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cadoargentinodevalores-my.sharepoint.com/personal/mgarrone_rosval_com_ar/Documents/Documentos/1. MCD/4. Analisis inteligente de datos/trabajo-final-miguegarrone-blip/"/>
    </mc:Choice>
  </mc:AlternateContent>
  <xr:revisionPtr revIDLastSave="339" documentId="13_ncr:1_{F15F6E54-1D47-485E-8F9D-47AECD0C91D8}" xr6:coauthVersionLast="47" xr6:coauthVersionMax="47" xr10:uidLastSave="{713705AF-FCF2-4161-89BF-4768E97B2F31}"/>
  <bookViews>
    <workbookView xWindow="-110" yWindow="-110" windowWidth="19420" windowHeight="10420" tabRatio="747" xr2:uid="{A1F72550-1F05-4D3F-B9F4-120E93164A6A}"/>
  </bookViews>
  <sheets>
    <sheet name="General" sheetId="1" r:id="rId1"/>
    <sheet name="Estandar" sheetId="2" r:id="rId2"/>
    <sheet name="Convenio 10%" sheetId="4" r:id="rId3"/>
    <sheet name="Bilateral" sheetId="5" r:id="rId4"/>
    <sheet name="AlyC" sheetId="6" r:id="rId5"/>
    <sheet name="Ints x desc" sheetId="7" r:id="rId6"/>
    <sheet name="FCI" sheetId="8" r:id="rId7"/>
    <sheet name="Vol x cuenta" sheetId="9" r:id="rId8"/>
    <sheet name="Vol x merc" sheetId="10" r:id="rId9"/>
    <sheet name="Posición Valuada" sheetId="11" r:id="rId10"/>
  </sheets>
  <externalReferences>
    <externalReference r:id="rId11"/>
    <externalReference r:id="rId12"/>
    <externalReference r:id="rId13"/>
  </externalReferences>
  <definedNames>
    <definedName name="_xlnm._FilterDatabase" localSheetId="2" hidden="1">'Convenio 10%'!$A$1:$D$77</definedName>
    <definedName name="_xlnm._FilterDatabase" localSheetId="1" hidden="1">Estandar!$A$1:$D$78</definedName>
    <definedName name="_xlnm._FilterDatabase" localSheetId="0" hidden="1">General!$A$1:$AA$79</definedName>
    <definedName name="_xlnm._FilterDatabase" localSheetId="5" hidden="1">'Ints x desc'!$A$1:$D$78</definedName>
    <definedName name="_xlnm._FilterDatabase" localSheetId="9" hidden="1">'Posición Valuada'!$A$1:$E$1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1" l="1"/>
  <c r="B75" i="11"/>
  <c r="A88" i="11"/>
  <c r="B88" i="11"/>
  <c r="C88" i="11"/>
  <c r="D88" i="11"/>
  <c r="E88" i="11"/>
  <c r="A89" i="11"/>
  <c r="B89" i="11"/>
  <c r="C89" i="11"/>
  <c r="D89" i="11"/>
  <c r="E89" i="11"/>
  <c r="A90" i="11"/>
  <c r="B90" i="11"/>
  <c r="C90" i="11"/>
  <c r="D90" i="11"/>
  <c r="E90" i="11"/>
  <c r="A91" i="11"/>
  <c r="B91" i="11"/>
  <c r="C91" i="11"/>
  <c r="D91" i="11"/>
  <c r="E91" i="11"/>
  <c r="A92" i="11"/>
  <c r="B92" i="11"/>
  <c r="C92" i="11"/>
  <c r="D92" i="11"/>
  <c r="E92" i="11"/>
  <c r="A93" i="11"/>
  <c r="B93" i="11"/>
  <c r="C93" i="11"/>
  <c r="D93" i="11"/>
  <c r="E93" i="11"/>
  <c r="A94" i="11"/>
  <c r="B94" i="11"/>
  <c r="C94" i="11"/>
  <c r="D94" i="11"/>
  <c r="E94" i="11"/>
  <c r="A95" i="11"/>
  <c r="B95" i="11"/>
  <c r="C95" i="11"/>
  <c r="D95" i="11"/>
  <c r="E95" i="11"/>
  <c r="A96" i="11"/>
  <c r="B96" i="11"/>
  <c r="C96" i="11"/>
  <c r="D96" i="11"/>
  <c r="E96" i="11"/>
  <c r="A2" i="11"/>
  <c r="B2" i="11"/>
  <c r="C2" i="11"/>
  <c r="D2" i="11"/>
  <c r="E2" i="11"/>
  <c r="A56" i="11"/>
  <c r="B56" i="11"/>
  <c r="C56" i="11"/>
  <c r="D56" i="11"/>
  <c r="E56" i="11"/>
  <c r="A3" i="11"/>
  <c r="B3" i="11"/>
  <c r="C3" i="11"/>
  <c r="D3" i="11"/>
  <c r="E3" i="11"/>
  <c r="A59" i="11"/>
  <c r="B59" i="11"/>
  <c r="C59" i="11"/>
  <c r="D59" i="11"/>
  <c r="E59" i="11"/>
  <c r="A75" i="11"/>
  <c r="C75" i="11"/>
  <c r="D75" i="11"/>
  <c r="E75" i="11"/>
  <c r="A28" i="11"/>
  <c r="B28" i="11"/>
  <c r="C28" i="11"/>
  <c r="D28" i="11"/>
  <c r="E28" i="11"/>
  <c r="A12" i="11"/>
  <c r="B12" i="11"/>
  <c r="C12" i="11"/>
  <c r="D12" i="11"/>
  <c r="E12" i="11"/>
  <c r="A42" i="11"/>
  <c r="B42" i="11"/>
  <c r="C42" i="11"/>
  <c r="D42" i="11"/>
  <c r="E42" i="11"/>
  <c r="A64" i="11"/>
  <c r="B64" i="11"/>
  <c r="C64" i="11"/>
  <c r="D64" i="11"/>
  <c r="E64" i="11"/>
  <c r="A11" i="11"/>
  <c r="B11" i="11"/>
  <c r="C11" i="11"/>
  <c r="D11" i="11"/>
  <c r="E11" i="11"/>
  <c r="A43" i="11"/>
  <c r="B43" i="11"/>
  <c r="C43" i="11"/>
  <c r="D43" i="11"/>
  <c r="E43" i="11"/>
  <c r="A33" i="11"/>
  <c r="B33" i="11"/>
  <c r="C33" i="11"/>
  <c r="D33" i="11"/>
  <c r="E33" i="11"/>
  <c r="A62" i="11"/>
  <c r="B62" i="11"/>
  <c r="C62" i="11"/>
  <c r="D62" i="11"/>
  <c r="E62" i="11"/>
  <c r="A52" i="11"/>
  <c r="B52" i="11"/>
  <c r="C52" i="11"/>
  <c r="D52" i="11"/>
  <c r="E52" i="11"/>
  <c r="A55" i="11"/>
  <c r="B55" i="11"/>
  <c r="C55" i="11"/>
  <c r="D55" i="11"/>
  <c r="E55" i="11"/>
  <c r="A36" i="11"/>
  <c r="B36" i="11"/>
  <c r="C36" i="11"/>
  <c r="D36" i="11"/>
  <c r="E36" i="11"/>
  <c r="A57" i="11"/>
  <c r="B57" i="11"/>
  <c r="C57" i="11"/>
  <c r="D57" i="11"/>
  <c r="E57" i="11"/>
  <c r="A22" i="11"/>
  <c r="B22" i="11"/>
  <c r="C22" i="11"/>
  <c r="D22" i="11"/>
  <c r="E22" i="11"/>
  <c r="A34" i="11"/>
  <c r="B34" i="11"/>
  <c r="C34" i="11"/>
  <c r="D34" i="11"/>
  <c r="E34" i="11"/>
  <c r="A4" i="11"/>
  <c r="B4" i="11"/>
  <c r="C4" i="11"/>
  <c r="D4" i="11"/>
  <c r="A25" i="11"/>
  <c r="B25" i="11"/>
  <c r="C25" i="11"/>
  <c r="D25" i="11"/>
  <c r="E25" i="11"/>
  <c r="A38" i="11"/>
  <c r="B38" i="11"/>
  <c r="C38" i="11"/>
  <c r="D38" i="11"/>
  <c r="E38" i="11"/>
  <c r="A82" i="11"/>
  <c r="B82" i="11"/>
  <c r="C82" i="11"/>
  <c r="D82" i="11"/>
  <c r="E82" i="11"/>
  <c r="A27" i="11"/>
  <c r="B27" i="11"/>
  <c r="C27" i="11"/>
  <c r="D27" i="11"/>
  <c r="E27" i="11"/>
  <c r="A86" i="11"/>
  <c r="B86" i="11"/>
  <c r="C86" i="11"/>
  <c r="D86" i="11"/>
  <c r="E86" i="11"/>
  <c r="A6" i="11"/>
  <c r="B6" i="11"/>
  <c r="C6" i="11"/>
  <c r="D6" i="11"/>
  <c r="E6" i="11"/>
  <c r="A84" i="11"/>
  <c r="B84" i="11"/>
  <c r="C84" i="11"/>
  <c r="D84" i="11"/>
  <c r="E84" i="11"/>
  <c r="A7" i="11"/>
  <c r="B7" i="11"/>
  <c r="C7" i="11"/>
  <c r="D7" i="11"/>
  <c r="E7" i="11"/>
  <c r="A8" i="11"/>
  <c r="B8" i="11"/>
  <c r="C8" i="11"/>
  <c r="D8" i="11"/>
  <c r="E8" i="11"/>
  <c r="A19" i="11"/>
  <c r="B19" i="11"/>
  <c r="C19" i="11"/>
  <c r="D19" i="11"/>
  <c r="E19" i="11"/>
  <c r="A16" i="11"/>
  <c r="B16" i="11"/>
  <c r="C16" i="11"/>
  <c r="D16" i="11"/>
  <c r="E16" i="11"/>
  <c r="A13" i="11"/>
  <c r="B13" i="11"/>
  <c r="C13" i="11"/>
  <c r="D13" i="11"/>
  <c r="E13" i="11"/>
  <c r="A35" i="11"/>
  <c r="B35" i="11"/>
  <c r="C35" i="11"/>
  <c r="D35" i="11"/>
  <c r="E35" i="11"/>
  <c r="A21" i="11"/>
  <c r="B21" i="11"/>
  <c r="C21" i="11"/>
  <c r="D21" i="11"/>
  <c r="E21" i="11"/>
  <c r="A32" i="11"/>
  <c r="B32" i="11"/>
  <c r="C32" i="11"/>
  <c r="D32" i="11"/>
  <c r="E32" i="11"/>
  <c r="A30" i="11"/>
  <c r="B30" i="11"/>
  <c r="C30" i="11"/>
  <c r="D30" i="11"/>
  <c r="E30" i="11"/>
  <c r="A54" i="11"/>
  <c r="B54" i="11"/>
  <c r="C54" i="11"/>
  <c r="D54" i="11"/>
  <c r="E54" i="11"/>
  <c r="A49" i="11"/>
  <c r="B49" i="11"/>
  <c r="C49" i="11"/>
  <c r="D49" i="11"/>
  <c r="E49" i="11"/>
  <c r="A23" i="11"/>
  <c r="B23" i="11"/>
  <c r="C23" i="11"/>
  <c r="D23" i="11"/>
  <c r="E23" i="11"/>
  <c r="A63" i="11"/>
  <c r="B63" i="11"/>
  <c r="C63" i="11"/>
  <c r="D63" i="11"/>
  <c r="E63" i="11"/>
  <c r="A68" i="11"/>
  <c r="B68" i="11"/>
  <c r="C68" i="11"/>
  <c r="D68" i="11"/>
  <c r="E68" i="11"/>
  <c r="A70" i="11"/>
  <c r="B70" i="11"/>
  <c r="C70" i="11"/>
  <c r="D70" i="11"/>
  <c r="E70" i="11"/>
  <c r="A65" i="11"/>
  <c r="B65" i="11"/>
  <c r="C65" i="11"/>
  <c r="D65" i="11"/>
  <c r="E65" i="11"/>
  <c r="A10" i="11"/>
  <c r="B10" i="11"/>
  <c r="C10" i="11"/>
  <c r="D10" i="11"/>
  <c r="E10" i="11"/>
  <c r="A81" i="11"/>
  <c r="B81" i="11"/>
  <c r="C81" i="11"/>
  <c r="D81" i="11"/>
  <c r="E81" i="11"/>
  <c r="A87" i="11"/>
  <c r="B87" i="11"/>
  <c r="C87" i="11"/>
  <c r="D87" i="11"/>
  <c r="E87" i="11"/>
  <c r="A78" i="11"/>
  <c r="B78" i="11"/>
  <c r="C78" i="11"/>
  <c r="D78" i="11"/>
  <c r="E78" i="11"/>
  <c r="A83" i="11"/>
  <c r="B83" i="11"/>
  <c r="C83" i="11"/>
  <c r="D83" i="11"/>
  <c r="E83" i="11"/>
  <c r="A73" i="11"/>
  <c r="B73" i="11"/>
  <c r="C73" i="11"/>
  <c r="D73" i="11"/>
  <c r="E73" i="11"/>
  <c r="A58" i="11"/>
  <c r="B58" i="11"/>
  <c r="C58" i="11"/>
  <c r="D58" i="11"/>
  <c r="E58" i="11"/>
  <c r="A69" i="11"/>
  <c r="B69" i="11"/>
  <c r="C69" i="11"/>
  <c r="D69" i="11"/>
  <c r="E69" i="11"/>
  <c r="A18" i="11"/>
  <c r="B18" i="11"/>
  <c r="C18" i="11"/>
  <c r="D18" i="11"/>
  <c r="E18" i="11"/>
  <c r="A17" i="11"/>
  <c r="B17" i="11"/>
  <c r="C17" i="11"/>
  <c r="D17" i="11"/>
  <c r="E17" i="11"/>
  <c r="A72" i="11"/>
  <c r="B72" i="11"/>
  <c r="C72" i="11"/>
  <c r="D72" i="11"/>
  <c r="E72" i="11"/>
  <c r="A77" i="11"/>
  <c r="B77" i="11"/>
  <c r="C77" i="11"/>
  <c r="D77" i="11"/>
  <c r="E77" i="11"/>
  <c r="A74" i="11"/>
  <c r="B74" i="11"/>
  <c r="C74" i="11"/>
  <c r="D74" i="11"/>
  <c r="E74" i="11"/>
  <c r="A20" i="11"/>
  <c r="B20" i="11"/>
  <c r="C20" i="11"/>
  <c r="D20" i="11"/>
  <c r="E20" i="11"/>
  <c r="A66" i="11"/>
  <c r="B66" i="11"/>
  <c r="C66" i="11"/>
  <c r="D66" i="11"/>
  <c r="E66" i="11"/>
  <c r="A26" i="11"/>
  <c r="B26" i="11"/>
  <c r="C26" i="11"/>
  <c r="D26" i="11"/>
  <c r="E26" i="11"/>
  <c r="A24" i="11"/>
  <c r="B24" i="11"/>
  <c r="C24" i="11"/>
  <c r="D24" i="11"/>
  <c r="E24" i="11"/>
  <c r="A71" i="11"/>
  <c r="B71" i="11"/>
  <c r="C71" i="11"/>
  <c r="D71" i="11"/>
  <c r="E71" i="11"/>
  <c r="A61" i="11"/>
  <c r="B61" i="11"/>
  <c r="C61" i="11"/>
  <c r="D61" i="11"/>
  <c r="E61" i="11"/>
  <c r="A48" i="11"/>
  <c r="B48" i="11"/>
  <c r="C48" i="11"/>
  <c r="D48" i="11"/>
  <c r="E48" i="11"/>
  <c r="A45" i="11"/>
  <c r="B45" i="11"/>
  <c r="C45" i="11"/>
  <c r="D45" i="11"/>
  <c r="E45" i="11"/>
  <c r="A5" i="11"/>
  <c r="B5" i="11"/>
  <c r="C5" i="11"/>
  <c r="D5" i="11"/>
  <c r="E5" i="11"/>
  <c r="A51" i="11"/>
  <c r="B51" i="11"/>
  <c r="C51" i="11"/>
  <c r="D51" i="11"/>
  <c r="E51" i="11"/>
  <c r="A31" i="11"/>
  <c r="B31" i="11"/>
  <c r="C31" i="11"/>
  <c r="D31" i="11"/>
  <c r="E31" i="11"/>
  <c r="A40" i="11"/>
  <c r="B40" i="11"/>
  <c r="C40" i="11"/>
  <c r="D40" i="11"/>
  <c r="E40" i="11"/>
  <c r="A29" i="11"/>
  <c r="B29" i="11"/>
  <c r="C29" i="11"/>
  <c r="D29" i="11"/>
  <c r="E29" i="11"/>
  <c r="A15" i="11"/>
  <c r="B15" i="11"/>
  <c r="C15" i="11"/>
  <c r="D15" i="11"/>
  <c r="E15" i="11"/>
  <c r="A14" i="11"/>
  <c r="B14" i="11"/>
  <c r="C14" i="11"/>
  <c r="D14" i="11"/>
  <c r="E14" i="11"/>
  <c r="A47" i="11"/>
  <c r="B47" i="11"/>
  <c r="C47" i="11"/>
  <c r="D47" i="11"/>
  <c r="E47" i="11"/>
  <c r="A9" i="11"/>
  <c r="B9" i="11"/>
  <c r="C9" i="11"/>
  <c r="D9" i="11"/>
  <c r="E9" i="11"/>
  <c r="A41" i="11"/>
  <c r="B41" i="11"/>
  <c r="C41" i="11"/>
  <c r="D41" i="11"/>
  <c r="E41" i="11"/>
  <c r="A37" i="11"/>
  <c r="B37" i="11"/>
  <c r="C37" i="11"/>
  <c r="D37" i="11"/>
  <c r="E37" i="11"/>
  <c r="A39" i="11"/>
  <c r="B39" i="11"/>
  <c r="C39" i="11"/>
  <c r="D39" i="11"/>
  <c r="E39" i="11"/>
  <c r="A44" i="11"/>
  <c r="B44" i="11"/>
  <c r="C44" i="11"/>
  <c r="D44" i="11"/>
  <c r="E44" i="11"/>
  <c r="A79" i="11"/>
  <c r="B79" i="11"/>
  <c r="C79" i="11"/>
  <c r="D79" i="11"/>
  <c r="E79" i="11"/>
  <c r="A60" i="11"/>
  <c r="B60" i="11"/>
  <c r="C60" i="11"/>
  <c r="D60" i="11"/>
  <c r="E60" i="11"/>
  <c r="A85" i="11"/>
  <c r="B85" i="11"/>
  <c r="C85" i="11"/>
  <c r="D85" i="11"/>
  <c r="E85" i="11"/>
  <c r="A76" i="11"/>
  <c r="B76" i="11"/>
  <c r="C76" i="11"/>
  <c r="D76" i="11"/>
  <c r="E76" i="11"/>
  <c r="A80" i="11"/>
  <c r="B80" i="11"/>
  <c r="C80" i="11"/>
  <c r="D80" i="11"/>
  <c r="E80" i="11"/>
  <c r="A46" i="11"/>
  <c r="B46" i="11"/>
  <c r="C46" i="11"/>
  <c r="D46" i="11"/>
  <c r="E46" i="11"/>
  <c r="A67" i="11"/>
  <c r="B67" i="11"/>
  <c r="C67" i="11"/>
  <c r="D67" i="11"/>
  <c r="E67" i="11"/>
  <c r="A50" i="11"/>
  <c r="B50" i="11"/>
  <c r="C50" i="11"/>
  <c r="D50" i="11"/>
  <c r="E50" i="11"/>
  <c r="A53" i="11"/>
  <c r="B53" i="11"/>
  <c r="C53" i="11"/>
  <c r="D53" i="11"/>
  <c r="E53" i="11"/>
  <c r="B1" i="11"/>
  <c r="C1" i="11"/>
  <c r="D1" i="11"/>
  <c r="E1" i="11"/>
  <c r="A1" i="11"/>
  <c r="A2" i="10" l="1"/>
  <c r="B2" i="10"/>
  <c r="C2" i="10"/>
  <c r="D2" i="10"/>
  <c r="A3" i="10"/>
  <c r="B3" i="10"/>
  <c r="C3" i="10"/>
  <c r="D3" i="10"/>
  <c r="A4" i="10"/>
  <c r="B4" i="10"/>
  <c r="C4" i="10"/>
  <c r="D4" i="10"/>
  <c r="A5" i="10"/>
  <c r="B5" i="10"/>
  <c r="C5" i="10"/>
  <c r="D5" i="10"/>
  <c r="A6" i="10"/>
  <c r="B6" i="10"/>
  <c r="C6" i="10"/>
  <c r="D6" i="10"/>
  <c r="A7" i="10"/>
  <c r="B7" i="10"/>
  <c r="C7" i="10"/>
  <c r="D7" i="10"/>
  <c r="A8" i="10"/>
  <c r="B8" i="10"/>
  <c r="C8" i="10"/>
  <c r="D8" i="10"/>
  <c r="A9" i="10"/>
  <c r="B9" i="10"/>
  <c r="C9" i="10"/>
  <c r="D9" i="10"/>
  <c r="A10" i="10"/>
  <c r="B10" i="10"/>
  <c r="C10" i="10"/>
  <c r="D10" i="10"/>
  <c r="A11" i="10"/>
  <c r="B11" i="10"/>
  <c r="C11" i="10"/>
  <c r="D11" i="10"/>
  <c r="A12" i="10"/>
  <c r="B12" i="10"/>
  <c r="C12" i="10"/>
  <c r="D12" i="10"/>
  <c r="D1" i="10"/>
  <c r="C1" i="10"/>
  <c r="B1" i="10"/>
  <c r="A1" i="10"/>
  <c r="A1576" i="9"/>
  <c r="B1576" i="9"/>
  <c r="C1576" i="9"/>
  <c r="D1576" i="9"/>
  <c r="E1576" i="9"/>
  <c r="F1576" i="9"/>
  <c r="A1577" i="9"/>
  <c r="B1577" i="9"/>
  <c r="C1577" i="9"/>
  <c r="D1577" i="9"/>
  <c r="E1577" i="9"/>
  <c r="F1577" i="9"/>
  <c r="A1578" i="9"/>
  <c r="B1578" i="9"/>
  <c r="C1578" i="9"/>
  <c r="D1578" i="9"/>
  <c r="E1578" i="9"/>
  <c r="F1578" i="9"/>
  <c r="A1579" i="9"/>
  <c r="B1579" i="9"/>
  <c r="C1579" i="9"/>
  <c r="D1579" i="9"/>
  <c r="E1579" i="9"/>
  <c r="F1579" i="9"/>
  <c r="A1580" i="9"/>
  <c r="B1580" i="9"/>
  <c r="C1580" i="9"/>
  <c r="D1580" i="9"/>
  <c r="E1580" i="9"/>
  <c r="F1580" i="9"/>
  <c r="A1581" i="9"/>
  <c r="B1581" i="9"/>
  <c r="C1581" i="9"/>
  <c r="D1581" i="9"/>
  <c r="E1581" i="9"/>
  <c r="F1581" i="9"/>
  <c r="A1582" i="9"/>
  <c r="B1582" i="9"/>
  <c r="C1582" i="9"/>
  <c r="D1582" i="9"/>
  <c r="E1582" i="9"/>
  <c r="F1582" i="9"/>
  <c r="A1583" i="9"/>
  <c r="B1583" i="9"/>
  <c r="C1583" i="9"/>
  <c r="D1583" i="9"/>
  <c r="E1583" i="9"/>
  <c r="F1583" i="9"/>
  <c r="A1584" i="9"/>
  <c r="B1584" i="9"/>
  <c r="C1584" i="9"/>
  <c r="D1584" i="9"/>
  <c r="E1584" i="9"/>
  <c r="F1584" i="9"/>
  <c r="A1585" i="9"/>
  <c r="B1585" i="9"/>
  <c r="C1585" i="9"/>
  <c r="D1585" i="9"/>
  <c r="E1585" i="9"/>
  <c r="F1585" i="9"/>
  <c r="A1586" i="9"/>
  <c r="B1586" i="9"/>
  <c r="C1586" i="9"/>
  <c r="D1586" i="9"/>
  <c r="E1586" i="9"/>
  <c r="F1586" i="9"/>
  <c r="A1587" i="9"/>
  <c r="B1587" i="9"/>
  <c r="C1587" i="9"/>
  <c r="D1587" i="9"/>
  <c r="E1587" i="9"/>
  <c r="F1587" i="9"/>
  <c r="A1588" i="9"/>
  <c r="B1588" i="9"/>
  <c r="C1588" i="9"/>
  <c r="D1588" i="9"/>
  <c r="E1588" i="9"/>
  <c r="F1588" i="9"/>
  <c r="A1589" i="9"/>
  <c r="B1589" i="9"/>
  <c r="C1589" i="9"/>
  <c r="D1589" i="9"/>
  <c r="E1589" i="9"/>
  <c r="F1589" i="9"/>
  <c r="A1590" i="9"/>
  <c r="B1590" i="9"/>
  <c r="C1590" i="9"/>
  <c r="D1590" i="9"/>
  <c r="E1590" i="9"/>
  <c r="F1590" i="9"/>
  <c r="A1591" i="9"/>
  <c r="B1591" i="9"/>
  <c r="C1591" i="9"/>
  <c r="D1591" i="9"/>
  <c r="E1591" i="9"/>
  <c r="F1591" i="9"/>
  <c r="A1592" i="9"/>
  <c r="B1592" i="9"/>
  <c r="C1592" i="9"/>
  <c r="D1592" i="9"/>
  <c r="E1592" i="9"/>
  <c r="F1592" i="9"/>
  <c r="A1593" i="9"/>
  <c r="B1593" i="9"/>
  <c r="C1593" i="9"/>
  <c r="D1593" i="9"/>
  <c r="E1593" i="9"/>
  <c r="F1593" i="9"/>
  <c r="A1594" i="9"/>
  <c r="B1594" i="9"/>
  <c r="C1594" i="9"/>
  <c r="D1594" i="9"/>
  <c r="E1594" i="9"/>
  <c r="F1594" i="9"/>
  <c r="A1595" i="9"/>
  <c r="B1595" i="9"/>
  <c r="C1595" i="9"/>
  <c r="D1595" i="9"/>
  <c r="E1595" i="9"/>
  <c r="F1595" i="9"/>
  <c r="A1596" i="9"/>
  <c r="B1596" i="9"/>
  <c r="C1596" i="9"/>
  <c r="D1596" i="9"/>
  <c r="E1596" i="9"/>
  <c r="F1596" i="9"/>
  <c r="A1597" i="9"/>
  <c r="B1597" i="9"/>
  <c r="C1597" i="9"/>
  <c r="D1597" i="9"/>
  <c r="E1597" i="9"/>
  <c r="F1597" i="9"/>
  <c r="A1598" i="9"/>
  <c r="B1598" i="9"/>
  <c r="C1598" i="9"/>
  <c r="D1598" i="9"/>
  <c r="E1598" i="9"/>
  <c r="F1598" i="9"/>
  <c r="A1599" i="9"/>
  <c r="B1599" i="9"/>
  <c r="C1599" i="9"/>
  <c r="D1599" i="9"/>
  <c r="E1599" i="9"/>
  <c r="F1599" i="9"/>
  <c r="A1600" i="9"/>
  <c r="B1600" i="9"/>
  <c r="C1600" i="9"/>
  <c r="D1600" i="9"/>
  <c r="E1600" i="9"/>
  <c r="F1600" i="9"/>
  <c r="A1601" i="9"/>
  <c r="B1601" i="9"/>
  <c r="C1601" i="9"/>
  <c r="D1601" i="9"/>
  <c r="E1601" i="9"/>
  <c r="F1601" i="9"/>
  <c r="A1602" i="9"/>
  <c r="B1602" i="9"/>
  <c r="C1602" i="9"/>
  <c r="D1602" i="9"/>
  <c r="E1602" i="9"/>
  <c r="F1602" i="9"/>
  <c r="A1603" i="9"/>
  <c r="B1603" i="9"/>
  <c r="C1603" i="9"/>
  <c r="D1603" i="9"/>
  <c r="E1603" i="9"/>
  <c r="F1603" i="9"/>
  <c r="A1604" i="9"/>
  <c r="B1604" i="9"/>
  <c r="C1604" i="9"/>
  <c r="D1604" i="9"/>
  <c r="E1604" i="9"/>
  <c r="F1604" i="9"/>
  <c r="A1605" i="9"/>
  <c r="B1605" i="9"/>
  <c r="C1605" i="9"/>
  <c r="D1605" i="9"/>
  <c r="E1605" i="9"/>
  <c r="F1605" i="9"/>
  <c r="A1606" i="9"/>
  <c r="B1606" i="9"/>
  <c r="C1606" i="9"/>
  <c r="D1606" i="9"/>
  <c r="E1606" i="9"/>
  <c r="F1606" i="9"/>
  <c r="A1607" i="9"/>
  <c r="B1607" i="9"/>
  <c r="C1607" i="9"/>
  <c r="D1607" i="9"/>
  <c r="E1607" i="9"/>
  <c r="F1607" i="9"/>
  <c r="A1608" i="9"/>
  <c r="B1608" i="9"/>
  <c r="C1608" i="9"/>
  <c r="D1608" i="9"/>
  <c r="E1608" i="9"/>
  <c r="F1608" i="9"/>
  <c r="A1609" i="9"/>
  <c r="B1609" i="9"/>
  <c r="C1609" i="9"/>
  <c r="D1609" i="9"/>
  <c r="E1609" i="9"/>
  <c r="F1609" i="9"/>
  <c r="A1610" i="9"/>
  <c r="B1610" i="9"/>
  <c r="C1610" i="9"/>
  <c r="D1610" i="9"/>
  <c r="E1610" i="9"/>
  <c r="F1610" i="9"/>
  <c r="A1611" i="9"/>
  <c r="B1611" i="9"/>
  <c r="C1611" i="9"/>
  <c r="D1611" i="9"/>
  <c r="E1611" i="9"/>
  <c r="F1611" i="9"/>
  <c r="A1612" i="9"/>
  <c r="B1612" i="9"/>
  <c r="C1612" i="9"/>
  <c r="D1612" i="9"/>
  <c r="E1612" i="9"/>
  <c r="F1612" i="9"/>
  <c r="A1613" i="9"/>
  <c r="B1613" i="9"/>
  <c r="C1613" i="9"/>
  <c r="D1613" i="9"/>
  <c r="E1613" i="9"/>
  <c r="F1613" i="9"/>
  <c r="A1614" i="9"/>
  <c r="B1614" i="9"/>
  <c r="C1614" i="9"/>
  <c r="D1614" i="9"/>
  <c r="E1614" i="9"/>
  <c r="F1614" i="9"/>
  <c r="A1615" i="9"/>
  <c r="B1615" i="9"/>
  <c r="C1615" i="9"/>
  <c r="D1615" i="9"/>
  <c r="E1615" i="9"/>
  <c r="F1615" i="9"/>
  <c r="A1616" i="9"/>
  <c r="B1616" i="9"/>
  <c r="C1616" i="9"/>
  <c r="D1616" i="9"/>
  <c r="E1616" i="9"/>
  <c r="F1616" i="9"/>
  <c r="A1617" i="9"/>
  <c r="B1617" i="9"/>
  <c r="C1617" i="9"/>
  <c r="D1617" i="9"/>
  <c r="E1617" i="9"/>
  <c r="F1617" i="9"/>
  <c r="A1618" i="9"/>
  <c r="B1618" i="9"/>
  <c r="C1618" i="9"/>
  <c r="D1618" i="9"/>
  <c r="E1618" i="9"/>
  <c r="F1618" i="9"/>
  <c r="A1619" i="9"/>
  <c r="B1619" i="9"/>
  <c r="C1619" i="9"/>
  <c r="D1619" i="9"/>
  <c r="E1619" i="9"/>
  <c r="F1619" i="9"/>
  <c r="A1620" i="9"/>
  <c r="B1620" i="9"/>
  <c r="C1620" i="9"/>
  <c r="D1620" i="9"/>
  <c r="E1620" i="9"/>
  <c r="F1620" i="9"/>
  <c r="A1621" i="9"/>
  <c r="B1621" i="9"/>
  <c r="C1621" i="9"/>
  <c r="D1621" i="9"/>
  <c r="E1621" i="9"/>
  <c r="F1621" i="9"/>
  <c r="A1622" i="9"/>
  <c r="B1622" i="9"/>
  <c r="C1622" i="9"/>
  <c r="D1622" i="9"/>
  <c r="E1622" i="9"/>
  <c r="F1622" i="9"/>
  <c r="A1623" i="9"/>
  <c r="B1623" i="9"/>
  <c r="C1623" i="9"/>
  <c r="D1623" i="9"/>
  <c r="E1623" i="9"/>
  <c r="F1623" i="9"/>
  <c r="A1624" i="9"/>
  <c r="B1624" i="9"/>
  <c r="C1624" i="9"/>
  <c r="D1624" i="9"/>
  <c r="E1624" i="9"/>
  <c r="F1624" i="9"/>
  <c r="A1625" i="9"/>
  <c r="B1625" i="9"/>
  <c r="C1625" i="9"/>
  <c r="D1625" i="9"/>
  <c r="E1625" i="9"/>
  <c r="F1625" i="9"/>
  <c r="A1626" i="9"/>
  <c r="B1626" i="9"/>
  <c r="C1626" i="9"/>
  <c r="D1626" i="9"/>
  <c r="E1626" i="9"/>
  <c r="F1626" i="9"/>
  <c r="A1627" i="9"/>
  <c r="B1627" i="9"/>
  <c r="C1627" i="9"/>
  <c r="D1627" i="9"/>
  <c r="E1627" i="9"/>
  <c r="F1627" i="9"/>
  <c r="A1628" i="9"/>
  <c r="B1628" i="9"/>
  <c r="C1628" i="9"/>
  <c r="D1628" i="9"/>
  <c r="E1628" i="9"/>
  <c r="F1628" i="9"/>
  <c r="A1629" i="9"/>
  <c r="B1629" i="9"/>
  <c r="C1629" i="9"/>
  <c r="D1629" i="9"/>
  <c r="E1629" i="9"/>
  <c r="F1629" i="9"/>
  <c r="A1630" i="9"/>
  <c r="B1630" i="9"/>
  <c r="C1630" i="9"/>
  <c r="D1630" i="9"/>
  <c r="E1630" i="9"/>
  <c r="F1630" i="9"/>
  <c r="A1631" i="9"/>
  <c r="B1631" i="9"/>
  <c r="C1631" i="9"/>
  <c r="D1631" i="9"/>
  <c r="E1631" i="9"/>
  <c r="F1631" i="9"/>
  <c r="A1632" i="9"/>
  <c r="B1632" i="9"/>
  <c r="C1632" i="9"/>
  <c r="D1632" i="9"/>
  <c r="E1632" i="9"/>
  <c r="F1632" i="9"/>
  <c r="A1633" i="9"/>
  <c r="B1633" i="9"/>
  <c r="C1633" i="9"/>
  <c r="D1633" i="9"/>
  <c r="E1633" i="9"/>
  <c r="F1633" i="9"/>
  <c r="A1634" i="9"/>
  <c r="B1634" i="9"/>
  <c r="C1634" i="9"/>
  <c r="D1634" i="9"/>
  <c r="E1634" i="9"/>
  <c r="F1634" i="9"/>
  <c r="A1635" i="9"/>
  <c r="B1635" i="9"/>
  <c r="C1635" i="9"/>
  <c r="D1635" i="9"/>
  <c r="E1635" i="9"/>
  <c r="F1635" i="9"/>
  <c r="A1636" i="9"/>
  <c r="B1636" i="9"/>
  <c r="C1636" i="9"/>
  <c r="D1636" i="9"/>
  <c r="E1636" i="9"/>
  <c r="F1636" i="9"/>
  <c r="A1637" i="9"/>
  <c r="B1637" i="9"/>
  <c r="C1637" i="9"/>
  <c r="D1637" i="9"/>
  <c r="E1637" i="9"/>
  <c r="F1637" i="9"/>
  <c r="A1638" i="9"/>
  <c r="B1638" i="9"/>
  <c r="C1638" i="9"/>
  <c r="D1638" i="9"/>
  <c r="E1638" i="9"/>
  <c r="F1638" i="9"/>
  <c r="A1639" i="9"/>
  <c r="B1639" i="9"/>
  <c r="C1639" i="9"/>
  <c r="D1639" i="9"/>
  <c r="E1639" i="9"/>
  <c r="F1639" i="9"/>
  <c r="A1640" i="9"/>
  <c r="B1640" i="9"/>
  <c r="C1640" i="9"/>
  <c r="D1640" i="9"/>
  <c r="E1640" i="9"/>
  <c r="F1640" i="9"/>
  <c r="A1641" i="9"/>
  <c r="B1641" i="9"/>
  <c r="C1641" i="9"/>
  <c r="D1641" i="9"/>
  <c r="E1641" i="9"/>
  <c r="F1641" i="9"/>
  <c r="A1642" i="9"/>
  <c r="B1642" i="9"/>
  <c r="C1642" i="9"/>
  <c r="D1642" i="9"/>
  <c r="E1642" i="9"/>
  <c r="F1642" i="9"/>
  <c r="A1643" i="9"/>
  <c r="B1643" i="9"/>
  <c r="C1643" i="9"/>
  <c r="D1643" i="9"/>
  <c r="E1643" i="9"/>
  <c r="F1643" i="9"/>
  <c r="A1644" i="9"/>
  <c r="B1644" i="9"/>
  <c r="C1644" i="9"/>
  <c r="D1644" i="9"/>
  <c r="E1644" i="9"/>
  <c r="F1644" i="9"/>
  <c r="A1645" i="9"/>
  <c r="B1645" i="9"/>
  <c r="C1645" i="9"/>
  <c r="D1645" i="9"/>
  <c r="E1645" i="9"/>
  <c r="F1645" i="9"/>
  <c r="A1646" i="9"/>
  <c r="B1646" i="9"/>
  <c r="C1646" i="9"/>
  <c r="D1646" i="9"/>
  <c r="E1646" i="9"/>
  <c r="F1646" i="9"/>
  <c r="A1647" i="9"/>
  <c r="B1647" i="9"/>
  <c r="C1647" i="9"/>
  <c r="D1647" i="9"/>
  <c r="E1647" i="9"/>
  <c r="F1647" i="9"/>
  <c r="A1648" i="9"/>
  <c r="B1648" i="9"/>
  <c r="C1648" i="9"/>
  <c r="D1648" i="9"/>
  <c r="E1648" i="9"/>
  <c r="F1648" i="9"/>
  <c r="A1649" i="9"/>
  <c r="B1649" i="9"/>
  <c r="C1649" i="9"/>
  <c r="D1649" i="9"/>
  <c r="E1649" i="9"/>
  <c r="F1649" i="9"/>
  <c r="A1650" i="9"/>
  <c r="B1650" i="9"/>
  <c r="C1650" i="9"/>
  <c r="D1650" i="9"/>
  <c r="E1650" i="9"/>
  <c r="F1650" i="9"/>
  <c r="A1651" i="9"/>
  <c r="B1651" i="9"/>
  <c r="C1651" i="9"/>
  <c r="D1651" i="9"/>
  <c r="E1651" i="9"/>
  <c r="F1651" i="9"/>
  <c r="A1652" i="9"/>
  <c r="B1652" i="9"/>
  <c r="C1652" i="9"/>
  <c r="D1652" i="9"/>
  <c r="E1652" i="9"/>
  <c r="F1652" i="9"/>
  <c r="A1653" i="9"/>
  <c r="B1653" i="9"/>
  <c r="C1653" i="9"/>
  <c r="D1653" i="9"/>
  <c r="E1653" i="9"/>
  <c r="F1653" i="9"/>
  <c r="A1654" i="9"/>
  <c r="B1654" i="9"/>
  <c r="C1654" i="9"/>
  <c r="D1654" i="9"/>
  <c r="E1654" i="9"/>
  <c r="F1654" i="9"/>
  <c r="A1655" i="9"/>
  <c r="B1655" i="9"/>
  <c r="C1655" i="9"/>
  <c r="D1655" i="9"/>
  <c r="E1655" i="9"/>
  <c r="F1655" i="9"/>
  <c r="A1656" i="9"/>
  <c r="B1656" i="9"/>
  <c r="C1656" i="9"/>
  <c r="D1656" i="9"/>
  <c r="E1656" i="9"/>
  <c r="F1656" i="9"/>
  <c r="A1657" i="9"/>
  <c r="B1657" i="9"/>
  <c r="C1657" i="9"/>
  <c r="D1657" i="9"/>
  <c r="E1657" i="9"/>
  <c r="F1657" i="9"/>
  <c r="A1658" i="9"/>
  <c r="B1658" i="9"/>
  <c r="C1658" i="9"/>
  <c r="D1658" i="9"/>
  <c r="E1658" i="9"/>
  <c r="F1658" i="9"/>
  <c r="A1659" i="9"/>
  <c r="B1659" i="9"/>
  <c r="C1659" i="9"/>
  <c r="D1659" i="9"/>
  <c r="E1659" i="9"/>
  <c r="F1659" i="9"/>
  <c r="A1660" i="9"/>
  <c r="B1660" i="9"/>
  <c r="C1660" i="9"/>
  <c r="D1660" i="9"/>
  <c r="E1660" i="9"/>
  <c r="F1660" i="9"/>
  <c r="A1661" i="9"/>
  <c r="B1661" i="9"/>
  <c r="C1661" i="9"/>
  <c r="D1661" i="9"/>
  <c r="E1661" i="9"/>
  <c r="F1661" i="9"/>
  <c r="A1662" i="9"/>
  <c r="B1662" i="9"/>
  <c r="C1662" i="9"/>
  <c r="D1662" i="9"/>
  <c r="E1662" i="9"/>
  <c r="F1662" i="9"/>
  <c r="A1663" i="9"/>
  <c r="B1663" i="9"/>
  <c r="C1663" i="9"/>
  <c r="D1663" i="9"/>
  <c r="E1663" i="9"/>
  <c r="F1663" i="9"/>
  <c r="A1664" i="9"/>
  <c r="B1664" i="9"/>
  <c r="C1664" i="9"/>
  <c r="D1664" i="9"/>
  <c r="E1664" i="9"/>
  <c r="F1664" i="9"/>
  <c r="A1665" i="9"/>
  <c r="B1665" i="9"/>
  <c r="C1665" i="9"/>
  <c r="D1665" i="9"/>
  <c r="E1665" i="9"/>
  <c r="F1665" i="9"/>
  <c r="A1666" i="9"/>
  <c r="B1666" i="9"/>
  <c r="C1666" i="9"/>
  <c r="D1666" i="9"/>
  <c r="E1666" i="9"/>
  <c r="F1666" i="9"/>
  <c r="A1667" i="9"/>
  <c r="B1667" i="9"/>
  <c r="C1667" i="9"/>
  <c r="D1667" i="9"/>
  <c r="E1667" i="9"/>
  <c r="F1667" i="9"/>
  <c r="A1668" i="9"/>
  <c r="B1668" i="9"/>
  <c r="C1668" i="9"/>
  <c r="D1668" i="9"/>
  <c r="E1668" i="9"/>
  <c r="F1668" i="9"/>
  <c r="A1669" i="9"/>
  <c r="B1669" i="9"/>
  <c r="C1669" i="9"/>
  <c r="D1669" i="9"/>
  <c r="E1669" i="9"/>
  <c r="F1669" i="9"/>
  <c r="A1670" i="9"/>
  <c r="B1670" i="9"/>
  <c r="C1670" i="9"/>
  <c r="D1670" i="9"/>
  <c r="E1670" i="9"/>
  <c r="F1670" i="9"/>
  <c r="A1671" i="9"/>
  <c r="B1671" i="9"/>
  <c r="C1671" i="9"/>
  <c r="D1671" i="9"/>
  <c r="E1671" i="9"/>
  <c r="F1671" i="9"/>
  <c r="A1672" i="9"/>
  <c r="B1672" i="9"/>
  <c r="C1672" i="9"/>
  <c r="D1672" i="9"/>
  <c r="E1672" i="9"/>
  <c r="F1672" i="9"/>
  <c r="A1673" i="9"/>
  <c r="B1673" i="9"/>
  <c r="C1673" i="9"/>
  <c r="D1673" i="9"/>
  <c r="E1673" i="9"/>
  <c r="F1673" i="9"/>
  <c r="A1674" i="9"/>
  <c r="B1674" i="9"/>
  <c r="C1674" i="9"/>
  <c r="D1674" i="9"/>
  <c r="E1674" i="9"/>
  <c r="F1674" i="9"/>
  <c r="A1675" i="9"/>
  <c r="B1675" i="9"/>
  <c r="C1675" i="9"/>
  <c r="D1675" i="9"/>
  <c r="E1675" i="9"/>
  <c r="F1675" i="9"/>
  <c r="A1676" i="9"/>
  <c r="B1676" i="9"/>
  <c r="C1676" i="9"/>
  <c r="D1676" i="9"/>
  <c r="E1676" i="9"/>
  <c r="F1676" i="9"/>
  <c r="A1677" i="9"/>
  <c r="B1677" i="9"/>
  <c r="C1677" i="9"/>
  <c r="D1677" i="9"/>
  <c r="E1677" i="9"/>
  <c r="F1677" i="9"/>
  <c r="A1678" i="9"/>
  <c r="B1678" i="9"/>
  <c r="C1678" i="9"/>
  <c r="D1678" i="9"/>
  <c r="E1678" i="9"/>
  <c r="F1678" i="9"/>
  <c r="A1679" i="9"/>
  <c r="B1679" i="9"/>
  <c r="C1679" i="9"/>
  <c r="D1679" i="9"/>
  <c r="E1679" i="9"/>
  <c r="F1679" i="9"/>
  <c r="A1680" i="9"/>
  <c r="B1680" i="9"/>
  <c r="C1680" i="9"/>
  <c r="D1680" i="9"/>
  <c r="E1680" i="9"/>
  <c r="F1680" i="9"/>
  <c r="A1681" i="9"/>
  <c r="B1681" i="9"/>
  <c r="C1681" i="9"/>
  <c r="D1681" i="9"/>
  <c r="E1681" i="9"/>
  <c r="F1681" i="9"/>
  <c r="A1682" i="9"/>
  <c r="B1682" i="9"/>
  <c r="C1682" i="9"/>
  <c r="D1682" i="9"/>
  <c r="E1682" i="9"/>
  <c r="F1682" i="9"/>
  <c r="A1683" i="9"/>
  <c r="B1683" i="9"/>
  <c r="C1683" i="9"/>
  <c r="D1683" i="9"/>
  <c r="E1683" i="9"/>
  <c r="F1683" i="9"/>
  <c r="A1684" i="9"/>
  <c r="B1684" i="9"/>
  <c r="C1684" i="9"/>
  <c r="D1684" i="9"/>
  <c r="E1684" i="9"/>
  <c r="F1684" i="9"/>
  <c r="A1685" i="9"/>
  <c r="B1685" i="9"/>
  <c r="C1685" i="9"/>
  <c r="D1685" i="9"/>
  <c r="E1685" i="9"/>
  <c r="F1685" i="9"/>
  <c r="A1686" i="9"/>
  <c r="B1686" i="9"/>
  <c r="C1686" i="9"/>
  <c r="D1686" i="9"/>
  <c r="E1686" i="9"/>
  <c r="F1686" i="9"/>
  <c r="A1687" i="9"/>
  <c r="B1687" i="9"/>
  <c r="C1687" i="9"/>
  <c r="D1687" i="9"/>
  <c r="E1687" i="9"/>
  <c r="F1687" i="9"/>
  <c r="A1688" i="9"/>
  <c r="B1688" i="9"/>
  <c r="C1688" i="9"/>
  <c r="D1688" i="9"/>
  <c r="E1688" i="9"/>
  <c r="F1688" i="9"/>
  <c r="A1689" i="9"/>
  <c r="B1689" i="9"/>
  <c r="C1689" i="9"/>
  <c r="D1689" i="9"/>
  <c r="E1689" i="9"/>
  <c r="F1689" i="9"/>
  <c r="A1690" i="9"/>
  <c r="B1690" i="9"/>
  <c r="C1690" i="9"/>
  <c r="D1690" i="9"/>
  <c r="E1690" i="9"/>
  <c r="F1690" i="9"/>
  <c r="A1691" i="9"/>
  <c r="B1691" i="9"/>
  <c r="C1691" i="9"/>
  <c r="D1691" i="9"/>
  <c r="E1691" i="9"/>
  <c r="F1691" i="9"/>
  <c r="A1692" i="9"/>
  <c r="B1692" i="9"/>
  <c r="C1692" i="9"/>
  <c r="D1692" i="9"/>
  <c r="E1692" i="9"/>
  <c r="F1692" i="9"/>
  <c r="A1693" i="9"/>
  <c r="B1693" i="9"/>
  <c r="C1693" i="9"/>
  <c r="D1693" i="9"/>
  <c r="E1693" i="9"/>
  <c r="F1693" i="9"/>
  <c r="A1694" i="9"/>
  <c r="B1694" i="9"/>
  <c r="C1694" i="9"/>
  <c r="D1694" i="9"/>
  <c r="E1694" i="9"/>
  <c r="F1694" i="9"/>
  <c r="A1695" i="9"/>
  <c r="B1695" i="9"/>
  <c r="C1695" i="9"/>
  <c r="D1695" i="9"/>
  <c r="E1695" i="9"/>
  <c r="F1695" i="9"/>
  <c r="A1696" i="9"/>
  <c r="B1696" i="9"/>
  <c r="C1696" i="9"/>
  <c r="D1696" i="9"/>
  <c r="E1696" i="9"/>
  <c r="F1696" i="9"/>
  <c r="A1697" i="9"/>
  <c r="B1697" i="9"/>
  <c r="C1697" i="9"/>
  <c r="D1697" i="9"/>
  <c r="E1697" i="9"/>
  <c r="F1697" i="9"/>
  <c r="A1698" i="9"/>
  <c r="B1698" i="9"/>
  <c r="C1698" i="9"/>
  <c r="D1698" i="9"/>
  <c r="E1698" i="9"/>
  <c r="F1698" i="9"/>
  <c r="A1699" i="9"/>
  <c r="B1699" i="9"/>
  <c r="C1699" i="9"/>
  <c r="D1699" i="9"/>
  <c r="E1699" i="9"/>
  <c r="F1699" i="9"/>
  <c r="A1700" i="9"/>
  <c r="B1700" i="9"/>
  <c r="C1700" i="9"/>
  <c r="D1700" i="9"/>
  <c r="E1700" i="9"/>
  <c r="F1700" i="9"/>
  <c r="A1701" i="9"/>
  <c r="B1701" i="9"/>
  <c r="C1701" i="9"/>
  <c r="D1701" i="9"/>
  <c r="E1701" i="9"/>
  <c r="F1701" i="9"/>
  <c r="A1702" i="9"/>
  <c r="B1702" i="9"/>
  <c r="C1702" i="9"/>
  <c r="D1702" i="9"/>
  <c r="E1702" i="9"/>
  <c r="F1702" i="9"/>
  <c r="A1703" i="9"/>
  <c r="B1703" i="9"/>
  <c r="C1703" i="9"/>
  <c r="D1703" i="9"/>
  <c r="E1703" i="9"/>
  <c r="F1703" i="9"/>
  <c r="A1704" i="9"/>
  <c r="B1704" i="9"/>
  <c r="C1704" i="9"/>
  <c r="D1704" i="9"/>
  <c r="E1704" i="9"/>
  <c r="F1704" i="9"/>
  <c r="A1705" i="9"/>
  <c r="B1705" i="9"/>
  <c r="C1705" i="9"/>
  <c r="D1705" i="9"/>
  <c r="E1705" i="9"/>
  <c r="F1705" i="9"/>
  <c r="A1706" i="9"/>
  <c r="B1706" i="9"/>
  <c r="C1706" i="9"/>
  <c r="D1706" i="9"/>
  <c r="E1706" i="9"/>
  <c r="F1706" i="9"/>
  <c r="A1707" i="9"/>
  <c r="B1707" i="9"/>
  <c r="C1707" i="9"/>
  <c r="D1707" i="9"/>
  <c r="E1707" i="9"/>
  <c r="F1707" i="9"/>
  <c r="A1708" i="9"/>
  <c r="B1708" i="9"/>
  <c r="C1708" i="9"/>
  <c r="D1708" i="9"/>
  <c r="E1708" i="9"/>
  <c r="F1708" i="9"/>
  <c r="A1709" i="9"/>
  <c r="B1709" i="9"/>
  <c r="C1709" i="9"/>
  <c r="D1709" i="9"/>
  <c r="E1709" i="9"/>
  <c r="F1709" i="9"/>
  <c r="A1710" i="9"/>
  <c r="B1710" i="9"/>
  <c r="C1710" i="9"/>
  <c r="D1710" i="9"/>
  <c r="E1710" i="9"/>
  <c r="F1710" i="9"/>
  <c r="A1711" i="9"/>
  <c r="B1711" i="9"/>
  <c r="C1711" i="9"/>
  <c r="D1711" i="9"/>
  <c r="E1711" i="9"/>
  <c r="F1711" i="9"/>
  <c r="A1712" i="9"/>
  <c r="B1712" i="9"/>
  <c r="C1712" i="9"/>
  <c r="D1712" i="9"/>
  <c r="E1712" i="9"/>
  <c r="F1712" i="9"/>
  <c r="A1713" i="9"/>
  <c r="B1713" i="9"/>
  <c r="C1713" i="9"/>
  <c r="D1713" i="9"/>
  <c r="E1713" i="9"/>
  <c r="F1713" i="9"/>
  <c r="A1714" i="9"/>
  <c r="B1714" i="9"/>
  <c r="C1714" i="9"/>
  <c r="D1714" i="9"/>
  <c r="E1714" i="9"/>
  <c r="F1714" i="9"/>
  <c r="A1715" i="9"/>
  <c r="B1715" i="9"/>
  <c r="C1715" i="9"/>
  <c r="D1715" i="9"/>
  <c r="E1715" i="9"/>
  <c r="F1715" i="9"/>
  <c r="A1716" i="9"/>
  <c r="B1716" i="9"/>
  <c r="C1716" i="9"/>
  <c r="D1716" i="9"/>
  <c r="E1716" i="9"/>
  <c r="F1716" i="9"/>
  <c r="A1717" i="9"/>
  <c r="B1717" i="9"/>
  <c r="C1717" i="9"/>
  <c r="D1717" i="9"/>
  <c r="E1717" i="9"/>
  <c r="F1717" i="9"/>
  <c r="A1718" i="9"/>
  <c r="B1718" i="9"/>
  <c r="C1718" i="9"/>
  <c r="D1718" i="9"/>
  <c r="E1718" i="9"/>
  <c r="F1718" i="9"/>
  <c r="A1719" i="9"/>
  <c r="B1719" i="9"/>
  <c r="C1719" i="9"/>
  <c r="D1719" i="9"/>
  <c r="E1719" i="9"/>
  <c r="F1719" i="9"/>
  <c r="A1720" i="9"/>
  <c r="B1720" i="9"/>
  <c r="C1720" i="9"/>
  <c r="D1720" i="9"/>
  <c r="E1720" i="9"/>
  <c r="F1720" i="9"/>
  <c r="A1721" i="9"/>
  <c r="B1721" i="9"/>
  <c r="C1721" i="9"/>
  <c r="D1721" i="9"/>
  <c r="E1721" i="9"/>
  <c r="F1721" i="9"/>
  <c r="A1722" i="9"/>
  <c r="B1722" i="9"/>
  <c r="C1722" i="9"/>
  <c r="D1722" i="9"/>
  <c r="E1722" i="9"/>
  <c r="F1722" i="9"/>
  <c r="A1723" i="9"/>
  <c r="B1723" i="9"/>
  <c r="C1723" i="9"/>
  <c r="D1723" i="9"/>
  <c r="E1723" i="9"/>
  <c r="F1723" i="9"/>
  <c r="A1724" i="9"/>
  <c r="B1724" i="9"/>
  <c r="C1724" i="9"/>
  <c r="D1724" i="9"/>
  <c r="E1724" i="9"/>
  <c r="F1724" i="9"/>
  <c r="A1725" i="9"/>
  <c r="B1725" i="9"/>
  <c r="C1725" i="9"/>
  <c r="D1725" i="9"/>
  <c r="E1725" i="9"/>
  <c r="F1725" i="9"/>
  <c r="A1726" i="9"/>
  <c r="B1726" i="9"/>
  <c r="C1726" i="9"/>
  <c r="D1726" i="9"/>
  <c r="E1726" i="9"/>
  <c r="F1726" i="9"/>
  <c r="A1727" i="9"/>
  <c r="B1727" i="9"/>
  <c r="C1727" i="9"/>
  <c r="D1727" i="9"/>
  <c r="E1727" i="9"/>
  <c r="F1727" i="9"/>
  <c r="A1728" i="9"/>
  <c r="B1728" i="9"/>
  <c r="C1728" i="9"/>
  <c r="D1728" i="9"/>
  <c r="E1728" i="9"/>
  <c r="F1728" i="9"/>
  <c r="A1729" i="9"/>
  <c r="B1729" i="9"/>
  <c r="C1729" i="9"/>
  <c r="D1729" i="9"/>
  <c r="E1729" i="9"/>
  <c r="F1729" i="9"/>
  <c r="A1730" i="9"/>
  <c r="B1730" i="9"/>
  <c r="C1730" i="9"/>
  <c r="D1730" i="9"/>
  <c r="E1730" i="9"/>
  <c r="F1730" i="9"/>
  <c r="A1731" i="9"/>
  <c r="B1731" i="9"/>
  <c r="C1731" i="9"/>
  <c r="D1731" i="9"/>
  <c r="E1731" i="9"/>
  <c r="F1731" i="9"/>
  <c r="A1732" i="9"/>
  <c r="B1732" i="9"/>
  <c r="C1732" i="9"/>
  <c r="D1732" i="9"/>
  <c r="E1732" i="9"/>
  <c r="F1732" i="9"/>
  <c r="A1733" i="9"/>
  <c r="B1733" i="9"/>
  <c r="C1733" i="9"/>
  <c r="D1733" i="9"/>
  <c r="E1733" i="9"/>
  <c r="F1733" i="9"/>
  <c r="A1734" i="9"/>
  <c r="B1734" i="9"/>
  <c r="C1734" i="9"/>
  <c r="D1734" i="9"/>
  <c r="E1734" i="9"/>
  <c r="F1734" i="9"/>
  <c r="A1735" i="9"/>
  <c r="B1735" i="9"/>
  <c r="C1735" i="9"/>
  <c r="D1735" i="9"/>
  <c r="E1735" i="9"/>
  <c r="F1735" i="9"/>
  <c r="A1736" i="9"/>
  <c r="B1736" i="9"/>
  <c r="C1736" i="9"/>
  <c r="D1736" i="9"/>
  <c r="E1736" i="9"/>
  <c r="F1736" i="9"/>
  <c r="A1737" i="9"/>
  <c r="B1737" i="9"/>
  <c r="C1737" i="9"/>
  <c r="D1737" i="9"/>
  <c r="E1737" i="9"/>
  <c r="F1737" i="9"/>
  <c r="A1738" i="9"/>
  <c r="B1738" i="9"/>
  <c r="C1738" i="9"/>
  <c r="D1738" i="9"/>
  <c r="E1738" i="9"/>
  <c r="F1738" i="9"/>
  <c r="A1739" i="9"/>
  <c r="B1739" i="9"/>
  <c r="C1739" i="9"/>
  <c r="D1739" i="9"/>
  <c r="E1739" i="9"/>
  <c r="F1739" i="9"/>
  <c r="A1740" i="9"/>
  <c r="B1740" i="9"/>
  <c r="C1740" i="9"/>
  <c r="D1740" i="9"/>
  <c r="E1740" i="9"/>
  <c r="F1740" i="9"/>
  <c r="A1741" i="9"/>
  <c r="B1741" i="9"/>
  <c r="C1741" i="9"/>
  <c r="D1741" i="9"/>
  <c r="E1741" i="9"/>
  <c r="F1741" i="9"/>
  <c r="A1742" i="9"/>
  <c r="B1742" i="9"/>
  <c r="C1742" i="9"/>
  <c r="D1742" i="9"/>
  <c r="E1742" i="9"/>
  <c r="F1742" i="9"/>
  <c r="A1743" i="9"/>
  <c r="B1743" i="9"/>
  <c r="C1743" i="9"/>
  <c r="D1743" i="9"/>
  <c r="E1743" i="9"/>
  <c r="F1743" i="9"/>
  <c r="A1744" i="9"/>
  <c r="B1744" i="9"/>
  <c r="C1744" i="9"/>
  <c r="D1744" i="9"/>
  <c r="E1744" i="9"/>
  <c r="F1744" i="9"/>
  <c r="A1745" i="9"/>
  <c r="B1745" i="9"/>
  <c r="C1745" i="9"/>
  <c r="D1745" i="9"/>
  <c r="E1745" i="9"/>
  <c r="F1745" i="9"/>
  <c r="A1746" i="9"/>
  <c r="B1746" i="9"/>
  <c r="C1746" i="9"/>
  <c r="D1746" i="9"/>
  <c r="E1746" i="9"/>
  <c r="F1746" i="9"/>
  <c r="A1747" i="9"/>
  <c r="B1747" i="9"/>
  <c r="C1747" i="9"/>
  <c r="D1747" i="9"/>
  <c r="E1747" i="9"/>
  <c r="F1747" i="9"/>
  <c r="A1748" i="9"/>
  <c r="B1748" i="9"/>
  <c r="C1748" i="9"/>
  <c r="D1748" i="9"/>
  <c r="E1748" i="9"/>
  <c r="F1748" i="9"/>
  <c r="A1749" i="9"/>
  <c r="B1749" i="9"/>
  <c r="C1749" i="9"/>
  <c r="D1749" i="9"/>
  <c r="E1749" i="9"/>
  <c r="F1749" i="9"/>
  <c r="A1750" i="9"/>
  <c r="B1750" i="9"/>
  <c r="C1750" i="9"/>
  <c r="D1750" i="9"/>
  <c r="E1750" i="9"/>
  <c r="F1750" i="9"/>
  <c r="A1751" i="9"/>
  <c r="B1751" i="9"/>
  <c r="C1751" i="9"/>
  <c r="D1751" i="9"/>
  <c r="E1751" i="9"/>
  <c r="F1751" i="9"/>
  <c r="A1752" i="9"/>
  <c r="B1752" i="9"/>
  <c r="C1752" i="9"/>
  <c r="D1752" i="9"/>
  <c r="E1752" i="9"/>
  <c r="F1752" i="9"/>
  <c r="A1753" i="9"/>
  <c r="B1753" i="9"/>
  <c r="C1753" i="9"/>
  <c r="D1753" i="9"/>
  <c r="E1753" i="9"/>
  <c r="F1753" i="9"/>
  <c r="A1754" i="9"/>
  <c r="B1754" i="9"/>
  <c r="C1754" i="9"/>
  <c r="D1754" i="9"/>
  <c r="E1754" i="9"/>
  <c r="F1754" i="9"/>
  <c r="A1755" i="9"/>
  <c r="B1755" i="9"/>
  <c r="C1755" i="9"/>
  <c r="D1755" i="9"/>
  <c r="E1755" i="9"/>
  <c r="F1755" i="9"/>
  <c r="A1756" i="9"/>
  <c r="B1756" i="9"/>
  <c r="C1756" i="9"/>
  <c r="D1756" i="9"/>
  <c r="E1756" i="9"/>
  <c r="F1756" i="9"/>
  <c r="A1757" i="9"/>
  <c r="B1757" i="9"/>
  <c r="C1757" i="9"/>
  <c r="D1757" i="9"/>
  <c r="E1757" i="9"/>
  <c r="F1757" i="9"/>
  <c r="A1758" i="9"/>
  <c r="B1758" i="9"/>
  <c r="C1758" i="9"/>
  <c r="D1758" i="9"/>
  <c r="E1758" i="9"/>
  <c r="F1758" i="9"/>
  <c r="A1759" i="9"/>
  <c r="B1759" i="9"/>
  <c r="C1759" i="9"/>
  <c r="D1759" i="9"/>
  <c r="E1759" i="9"/>
  <c r="F1759" i="9"/>
  <c r="A1760" i="9"/>
  <c r="B1760" i="9"/>
  <c r="C1760" i="9"/>
  <c r="D1760" i="9"/>
  <c r="E1760" i="9"/>
  <c r="F1760" i="9"/>
  <c r="A1761" i="9"/>
  <c r="B1761" i="9"/>
  <c r="C1761" i="9"/>
  <c r="D1761" i="9"/>
  <c r="E1761" i="9"/>
  <c r="F1761" i="9"/>
  <c r="A1762" i="9"/>
  <c r="B1762" i="9"/>
  <c r="C1762" i="9"/>
  <c r="D1762" i="9"/>
  <c r="E1762" i="9"/>
  <c r="F1762" i="9"/>
  <c r="A1763" i="9"/>
  <c r="B1763" i="9"/>
  <c r="C1763" i="9"/>
  <c r="D1763" i="9"/>
  <c r="E1763" i="9"/>
  <c r="F1763" i="9"/>
  <c r="A1764" i="9"/>
  <c r="B1764" i="9"/>
  <c r="C1764" i="9"/>
  <c r="D1764" i="9"/>
  <c r="E1764" i="9"/>
  <c r="F1764" i="9"/>
  <c r="A1765" i="9"/>
  <c r="B1765" i="9"/>
  <c r="C1765" i="9"/>
  <c r="D1765" i="9"/>
  <c r="E1765" i="9"/>
  <c r="F1765" i="9"/>
  <c r="A1766" i="9"/>
  <c r="B1766" i="9"/>
  <c r="C1766" i="9"/>
  <c r="D1766" i="9"/>
  <c r="E1766" i="9"/>
  <c r="F1766" i="9"/>
  <c r="A1767" i="9"/>
  <c r="B1767" i="9"/>
  <c r="C1767" i="9"/>
  <c r="D1767" i="9"/>
  <c r="E1767" i="9"/>
  <c r="F1767" i="9"/>
  <c r="A1768" i="9"/>
  <c r="B1768" i="9"/>
  <c r="C1768" i="9"/>
  <c r="D1768" i="9"/>
  <c r="E1768" i="9"/>
  <c r="F1768" i="9"/>
  <c r="A1769" i="9"/>
  <c r="B1769" i="9"/>
  <c r="C1769" i="9"/>
  <c r="D1769" i="9"/>
  <c r="E1769" i="9"/>
  <c r="F1769" i="9"/>
  <c r="A1770" i="9"/>
  <c r="B1770" i="9"/>
  <c r="C1770" i="9"/>
  <c r="D1770" i="9"/>
  <c r="E1770" i="9"/>
  <c r="F1770" i="9"/>
  <c r="A1771" i="9"/>
  <c r="B1771" i="9"/>
  <c r="C1771" i="9"/>
  <c r="D1771" i="9"/>
  <c r="E1771" i="9"/>
  <c r="F1771" i="9"/>
  <c r="A1772" i="9"/>
  <c r="B1772" i="9"/>
  <c r="C1772" i="9"/>
  <c r="D1772" i="9"/>
  <c r="E1772" i="9"/>
  <c r="F1772" i="9"/>
  <c r="A1773" i="9"/>
  <c r="B1773" i="9"/>
  <c r="C1773" i="9"/>
  <c r="D1773" i="9"/>
  <c r="E1773" i="9"/>
  <c r="F1773" i="9"/>
  <c r="A1774" i="9"/>
  <c r="B1774" i="9"/>
  <c r="C1774" i="9"/>
  <c r="D1774" i="9"/>
  <c r="E1774" i="9"/>
  <c r="F1774" i="9"/>
  <c r="A1775" i="9"/>
  <c r="B1775" i="9"/>
  <c r="C1775" i="9"/>
  <c r="D1775" i="9"/>
  <c r="E1775" i="9"/>
  <c r="F1775" i="9"/>
  <c r="A1776" i="9"/>
  <c r="B1776" i="9"/>
  <c r="C1776" i="9"/>
  <c r="D1776" i="9"/>
  <c r="E1776" i="9"/>
  <c r="F1776" i="9"/>
  <c r="A1777" i="9"/>
  <c r="B1777" i="9"/>
  <c r="C1777" i="9"/>
  <c r="D1777" i="9"/>
  <c r="E1777" i="9"/>
  <c r="F1777" i="9"/>
  <c r="A1778" i="9"/>
  <c r="B1778" i="9"/>
  <c r="C1778" i="9"/>
  <c r="D1778" i="9"/>
  <c r="E1778" i="9"/>
  <c r="F1778" i="9"/>
  <c r="A1779" i="9"/>
  <c r="B1779" i="9"/>
  <c r="C1779" i="9"/>
  <c r="D1779" i="9"/>
  <c r="E1779" i="9"/>
  <c r="F1779" i="9"/>
  <c r="A1780" i="9"/>
  <c r="B1780" i="9"/>
  <c r="C1780" i="9"/>
  <c r="D1780" i="9"/>
  <c r="E1780" i="9"/>
  <c r="F1780" i="9"/>
  <c r="A1781" i="9"/>
  <c r="B1781" i="9"/>
  <c r="C1781" i="9"/>
  <c r="D1781" i="9"/>
  <c r="E1781" i="9"/>
  <c r="F1781" i="9"/>
  <c r="A1782" i="9"/>
  <c r="B1782" i="9"/>
  <c r="C1782" i="9"/>
  <c r="D1782" i="9"/>
  <c r="E1782" i="9"/>
  <c r="F1782" i="9"/>
  <c r="A1783" i="9"/>
  <c r="B1783" i="9"/>
  <c r="C1783" i="9"/>
  <c r="D1783" i="9"/>
  <c r="E1783" i="9"/>
  <c r="F1783" i="9"/>
  <c r="A1784" i="9"/>
  <c r="B1784" i="9"/>
  <c r="C1784" i="9"/>
  <c r="D1784" i="9"/>
  <c r="E1784" i="9"/>
  <c r="F1784" i="9"/>
  <c r="A1785" i="9"/>
  <c r="B1785" i="9"/>
  <c r="C1785" i="9"/>
  <c r="D1785" i="9"/>
  <c r="E1785" i="9"/>
  <c r="F1785" i="9"/>
  <c r="A1786" i="9"/>
  <c r="B1786" i="9"/>
  <c r="C1786" i="9"/>
  <c r="D1786" i="9"/>
  <c r="E1786" i="9"/>
  <c r="F1786" i="9"/>
  <c r="A1787" i="9"/>
  <c r="B1787" i="9"/>
  <c r="C1787" i="9"/>
  <c r="D1787" i="9"/>
  <c r="E1787" i="9"/>
  <c r="F1787" i="9"/>
  <c r="A1788" i="9"/>
  <c r="B1788" i="9"/>
  <c r="C1788" i="9"/>
  <c r="D1788" i="9"/>
  <c r="E1788" i="9"/>
  <c r="F1788" i="9"/>
  <c r="A1789" i="9"/>
  <c r="B1789" i="9"/>
  <c r="C1789" i="9"/>
  <c r="D1789" i="9"/>
  <c r="E1789" i="9"/>
  <c r="F1789" i="9"/>
  <c r="A1790" i="9"/>
  <c r="B1790" i="9"/>
  <c r="C1790" i="9"/>
  <c r="D1790" i="9"/>
  <c r="E1790" i="9"/>
  <c r="F1790" i="9"/>
  <c r="A1791" i="9"/>
  <c r="B1791" i="9"/>
  <c r="C1791" i="9"/>
  <c r="D1791" i="9"/>
  <c r="E1791" i="9"/>
  <c r="F1791" i="9"/>
  <c r="A1792" i="9"/>
  <c r="B1792" i="9"/>
  <c r="C1792" i="9"/>
  <c r="D1792" i="9"/>
  <c r="E1792" i="9"/>
  <c r="F1792" i="9"/>
  <c r="A1793" i="9"/>
  <c r="B1793" i="9"/>
  <c r="C1793" i="9"/>
  <c r="D1793" i="9"/>
  <c r="E1793" i="9"/>
  <c r="F1793" i="9"/>
  <c r="A1794" i="9"/>
  <c r="B1794" i="9"/>
  <c r="C1794" i="9"/>
  <c r="D1794" i="9"/>
  <c r="E1794" i="9"/>
  <c r="F1794" i="9"/>
  <c r="A1795" i="9"/>
  <c r="B1795" i="9"/>
  <c r="C1795" i="9"/>
  <c r="D1795" i="9"/>
  <c r="E1795" i="9"/>
  <c r="F1795" i="9"/>
  <c r="A1796" i="9"/>
  <c r="B1796" i="9"/>
  <c r="C1796" i="9"/>
  <c r="D1796" i="9"/>
  <c r="E1796" i="9"/>
  <c r="F1796" i="9"/>
  <c r="A1797" i="9"/>
  <c r="B1797" i="9"/>
  <c r="C1797" i="9"/>
  <c r="D1797" i="9"/>
  <c r="E1797" i="9"/>
  <c r="F1797" i="9"/>
  <c r="A1798" i="9"/>
  <c r="B1798" i="9"/>
  <c r="C1798" i="9"/>
  <c r="D1798" i="9"/>
  <c r="E1798" i="9"/>
  <c r="F1798" i="9"/>
  <c r="A1799" i="9"/>
  <c r="B1799" i="9"/>
  <c r="C1799" i="9"/>
  <c r="D1799" i="9"/>
  <c r="E1799" i="9"/>
  <c r="F1799" i="9"/>
  <c r="A1800" i="9"/>
  <c r="B1800" i="9"/>
  <c r="C1800" i="9"/>
  <c r="D1800" i="9"/>
  <c r="E1800" i="9"/>
  <c r="F1800" i="9"/>
  <c r="A1801" i="9"/>
  <c r="B1801" i="9"/>
  <c r="C1801" i="9"/>
  <c r="D1801" i="9"/>
  <c r="E1801" i="9"/>
  <c r="F1801" i="9"/>
  <c r="A1802" i="9"/>
  <c r="B1802" i="9"/>
  <c r="C1802" i="9"/>
  <c r="D1802" i="9"/>
  <c r="E1802" i="9"/>
  <c r="F1802" i="9"/>
  <c r="A1803" i="9"/>
  <c r="B1803" i="9"/>
  <c r="C1803" i="9"/>
  <c r="D1803" i="9"/>
  <c r="E1803" i="9"/>
  <c r="F1803" i="9"/>
  <c r="A1804" i="9"/>
  <c r="B1804" i="9"/>
  <c r="C1804" i="9"/>
  <c r="D1804" i="9"/>
  <c r="E1804" i="9"/>
  <c r="F1804" i="9"/>
  <c r="A1805" i="9"/>
  <c r="B1805" i="9"/>
  <c r="C1805" i="9"/>
  <c r="D1805" i="9"/>
  <c r="E1805" i="9"/>
  <c r="F1805" i="9"/>
  <c r="A1806" i="9"/>
  <c r="B1806" i="9"/>
  <c r="C1806" i="9"/>
  <c r="D1806" i="9"/>
  <c r="E1806" i="9"/>
  <c r="F1806" i="9"/>
  <c r="A1807" i="9"/>
  <c r="B1807" i="9"/>
  <c r="C1807" i="9"/>
  <c r="D1807" i="9"/>
  <c r="E1807" i="9"/>
  <c r="F1807" i="9"/>
  <c r="A1808" i="9"/>
  <c r="B1808" i="9"/>
  <c r="C1808" i="9"/>
  <c r="D1808" i="9"/>
  <c r="E1808" i="9"/>
  <c r="F1808" i="9"/>
  <c r="A1809" i="9"/>
  <c r="B1809" i="9"/>
  <c r="C1809" i="9"/>
  <c r="D1809" i="9"/>
  <c r="E1809" i="9"/>
  <c r="F1809" i="9"/>
  <c r="A1810" i="9"/>
  <c r="B1810" i="9"/>
  <c r="C1810" i="9"/>
  <c r="D1810" i="9"/>
  <c r="E1810" i="9"/>
  <c r="F1810" i="9"/>
  <c r="A1811" i="9"/>
  <c r="B1811" i="9"/>
  <c r="C1811" i="9"/>
  <c r="D1811" i="9"/>
  <c r="E1811" i="9"/>
  <c r="F1811" i="9"/>
  <c r="A1812" i="9"/>
  <c r="B1812" i="9"/>
  <c r="C1812" i="9"/>
  <c r="D1812" i="9"/>
  <c r="E1812" i="9"/>
  <c r="F1812" i="9"/>
  <c r="A1813" i="9"/>
  <c r="B1813" i="9"/>
  <c r="C1813" i="9"/>
  <c r="D1813" i="9"/>
  <c r="E1813" i="9"/>
  <c r="F1813" i="9"/>
  <c r="A1814" i="9"/>
  <c r="B1814" i="9"/>
  <c r="C1814" i="9"/>
  <c r="D1814" i="9"/>
  <c r="E1814" i="9"/>
  <c r="F1814" i="9"/>
  <c r="A1815" i="9"/>
  <c r="B1815" i="9"/>
  <c r="C1815" i="9"/>
  <c r="D1815" i="9"/>
  <c r="E1815" i="9"/>
  <c r="F1815" i="9"/>
  <c r="A1816" i="9"/>
  <c r="B1816" i="9"/>
  <c r="C1816" i="9"/>
  <c r="D1816" i="9"/>
  <c r="E1816" i="9"/>
  <c r="F1816" i="9"/>
  <c r="A1817" i="9"/>
  <c r="B1817" i="9"/>
  <c r="C1817" i="9"/>
  <c r="D1817" i="9"/>
  <c r="E1817" i="9"/>
  <c r="F1817" i="9"/>
  <c r="A1818" i="9"/>
  <c r="B1818" i="9"/>
  <c r="C1818" i="9"/>
  <c r="D1818" i="9"/>
  <c r="E1818" i="9"/>
  <c r="F1818" i="9"/>
  <c r="A1819" i="9"/>
  <c r="B1819" i="9"/>
  <c r="C1819" i="9"/>
  <c r="D1819" i="9"/>
  <c r="E1819" i="9"/>
  <c r="F1819" i="9"/>
  <c r="A1820" i="9"/>
  <c r="B1820" i="9"/>
  <c r="C1820" i="9"/>
  <c r="D1820" i="9"/>
  <c r="E1820" i="9"/>
  <c r="F1820" i="9"/>
  <c r="A1821" i="9"/>
  <c r="B1821" i="9"/>
  <c r="C1821" i="9"/>
  <c r="D1821" i="9"/>
  <c r="E1821" i="9"/>
  <c r="F1821" i="9"/>
  <c r="A1822" i="9"/>
  <c r="B1822" i="9"/>
  <c r="C1822" i="9"/>
  <c r="D1822" i="9"/>
  <c r="E1822" i="9"/>
  <c r="F1822" i="9"/>
  <c r="A1823" i="9"/>
  <c r="B1823" i="9"/>
  <c r="C1823" i="9"/>
  <c r="D1823" i="9"/>
  <c r="E1823" i="9"/>
  <c r="F1823" i="9"/>
  <c r="A1824" i="9"/>
  <c r="B1824" i="9"/>
  <c r="C1824" i="9"/>
  <c r="D1824" i="9"/>
  <c r="E1824" i="9"/>
  <c r="F1824" i="9"/>
  <c r="A1825" i="9"/>
  <c r="B1825" i="9"/>
  <c r="C1825" i="9"/>
  <c r="D1825" i="9"/>
  <c r="E1825" i="9"/>
  <c r="F1825" i="9"/>
  <c r="A1826" i="9"/>
  <c r="B1826" i="9"/>
  <c r="C1826" i="9"/>
  <c r="D1826" i="9"/>
  <c r="E1826" i="9"/>
  <c r="F1826" i="9"/>
  <c r="A1827" i="9"/>
  <c r="B1827" i="9"/>
  <c r="C1827" i="9"/>
  <c r="D1827" i="9"/>
  <c r="E1827" i="9"/>
  <c r="F1827" i="9"/>
  <c r="A1828" i="9"/>
  <c r="B1828" i="9"/>
  <c r="C1828" i="9"/>
  <c r="D1828" i="9"/>
  <c r="E1828" i="9"/>
  <c r="F1828" i="9"/>
  <c r="A1829" i="9"/>
  <c r="B1829" i="9"/>
  <c r="C1829" i="9"/>
  <c r="D1829" i="9"/>
  <c r="E1829" i="9"/>
  <c r="F1829" i="9"/>
  <c r="A1830" i="9"/>
  <c r="B1830" i="9"/>
  <c r="C1830" i="9"/>
  <c r="D1830" i="9"/>
  <c r="E1830" i="9"/>
  <c r="F1830" i="9"/>
  <c r="A1831" i="9"/>
  <c r="B1831" i="9"/>
  <c r="C1831" i="9"/>
  <c r="D1831" i="9"/>
  <c r="E1831" i="9"/>
  <c r="F1831" i="9"/>
  <c r="A1832" i="9"/>
  <c r="B1832" i="9"/>
  <c r="C1832" i="9"/>
  <c r="D1832" i="9"/>
  <c r="E1832" i="9"/>
  <c r="F1832" i="9"/>
  <c r="A1833" i="9"/>
  <c r="B1833" i="9"/>
  <c r="C1833" i="9"/>
  <c r="D1833" i="9"/>
  <c r="E1833" i="9"/>
  <c r="F1833" i="9"/>
  <c r="A1834" i="9"/>
  <c r="B1834" i="9"/>
  <c r="C1834" i="9"/>
  <c r="D1834" i="9"/>
  <c r="E1834" i="9"/>
  <c r="F1834" i="9"/>
  <c r="A1835" i="9"/>
  <c r="B1835" i="9"/>
  <c r="C1835" i="9"/>
  <c r="D1835" i="9"/>
  <c r="E1835" i="9"/>
  <c r="F1835" i="9"/>
  <c r="A1836" i="9"/>
  <c r="B1836" i="9"/>
  <c r="C1836" i="9"/>
  <c r="D1836" i="9"/>
  <c r="E1836" i="9"/>
  <c r="F1836" i="9"/>
  <c r="A1837" i="9"/>
  <c r="B1837" i="9"/>
  <c r="C1837" i="9"/>
  <c r="D1837" i="9"/>
  <c r="E1837" i="9"/>
  <c r="F1837" i="9"/>
  <c r="A1838" i="9"/>
  <c r="B1838" i="9"/>
  <c r="C1838" i="9"/>
  <c r="D1838" i="9"/>
  <c r="E1838" i="9"/>
  <c r="F1838" i="9"/>
  <c r="A1839" i="9"/>
  <c r="B1839" i="9"/>
  <c r="C1839" i="9"/>
  <c r="D1839" i="9"/>
  <c r="E1839" i="9"/>
  <c r="F1839" i="9"/>
  <c r="A1840" i="9"/>
  <c r="B1840" i="9"/>
  <c r="C1840" i="9"/>
  <c r="D1840" i="9"/>
  <c r="E1840" i="9"/>
  <c r="F1840" i="9"/>
  <c r="A1841" i="9"/>
  <c r="B1841" i="9"/>
  <c r="C1841" i="9"/>
  <c r="D1841" i="9"/>
  <c r="E1841" i="9"/>
  <c r="F1841" i="9"/>
  <c r="A1842" i="9"/>
  <c r="B1842" i="9"/>
  <c r="C1842" i="9"/>
  <c r="D1842" i="9"/>
  <c r="E1842" i="9"/>
  <c r="F1842" i="9"/>
  <c r="A1843" i="9"/>
  <c r="B1843" i="9"/>
  <c r="C1843" i="9"/>
  <c r="D1843" i="9"/>
  <c r="E1843" i="9"/>
  <c r="F1843" i="9"/>
  <c r="A1844" i="9"/>
  <c r="B1844" i="9"/>
  <c r="C1844" i="9"/>
  <c r="D1844" i="9"/>
  <c r="E1844" i="9"/>
  <c r="F1844" i="9"/>
  <c r="A1845" i="9"/>
  <c r="B1845" i="9"/>
  <c r="C1845" i="9"/>
  <c r="D1845" i="9"/>
  <c r="E1845" i="9"/>
  <c r="F1845" i="9"/>
  <c r="A1846" i="9"/>
  <c r="B1846" i="9"/>
  <c r="C1846" i="9"/>
  <c r="D1846" i="9"/>
  <c r="E1846" i="9"/>
  <c r="F1846" i="9"/>
  <c r="A1847" i="9"/>
  <c r="B1847" i="9"/>
  <c r="C1847" i="9"/>
  <c r="D1847" i="9"/>
  <c r="E1847" i="9"/>
  <c r="F1847" i="9"/>
  <c r="A1848" i="9"/>
  <c r="B1848" i="9"/>
  <c r="C1848" i="9"/>
  <c r="D1848" i="9"/>
  <c r="E1848" i="9"/>
  <c r="F1848" i="9"/>
  <c r="A1849" i="9"/>
  <c r="B1849" i="9"/>
  <c r="C1849" i="9"/>
  <c r="D1849" i="9"/>
  <c r="E1849" i="9"/>
  <c r="F1849" i="9"/>
  <c r="A1850" i="9"/>
  <c r="B1850" i="9"/>
  <c r="C1850" i="9"/>
  <c r="D1850" i="9"/>
  <c r="E1850" i="9"/>
  <c r="F1850" i="9"/>
  <c r="A1851" i="9"/>
  <c r="B1851" i="9"/>
  <c r="C1851" i="9"/>
  <c r="D1851" i="9"/>
  <c r="E1851" i="9"/>
  <c r="F1851" i="9"/>
  <c r="A1852" i="9"/>
  <c r="B1852" i="9"/>
  <c r="C1852" i="9"/>
  <c r="D1852" i="9"/>
  <c r="E1852" i="9"/>
  <c r="F1852" i="9"/>
  <c r="A1853" i="9"/>
  <c r="B1853" i="9"/>
  <c r="C1853" i="9"/>
  <c r="D1853" i="9"/>
  <c r="E1853" i="9"/>
  <c r="F1853" i="9"/>
  <c r="A1854" i="9"/>
  <c r="B1854" i="9"/>
  <c r="C1854" i="9"/>
  <c r="D1854" i="9"/>
  <c r="E1854" i="9"/>
  <c r="F1854" i="9"/>
  <c r="A1855" i="9"/>
  <c r="B1855" i="9"/>
  <c r="C1855" i="9"/>
  <c r="D1855" i="9"/>
  <c r="E1855" i="9"/>
  <c r="F1855" i="9"/>
  <c r="A1856" i="9"/>
  <c r="B1856" i="9"/>
  <c r="C1856" i="9"/>
  <c r="D1856" i="9"/>
  <c r="E1856" i="9"/>
  <c r="F1856" i="9"/>
  <c r="A1857" i="9"/>
  <c r="B1857" i="9"/>
  <c r="C1857" i="9"/>
  <c r="D1857" i="9"/>
  <c r="E1857" i="9"/>
  <c r="F1857" i="9"/>
  <c r="A1858" i="9"/>
  <c r="B1858" i="9"/>
  <c r="C1858" i="9"/>
  <c r="D1858" i="9"/>
  <c r="E1858" i="9"/>
  <c r="F1858" i="9"/>
  <c r="A1859" i="9"/>
  <c r="B1859" i="9"/>
  <c r="C1859" i="9"/>
  <c r="D1859" i="9"/>
  <c r="E1859" i="9"/>
  <c r="F1859" i="9"/>
  <c r="A1860" i="9"/>
  <c r="B1860" i="9"/>
  <c r="C1860" i="9"/>
  <c r="D1860" i="9"/>
  <c r="E1860" i="9"/>
  <c r="F1860" i="9"/>
  <c r="A1861" i="9"/>
  <c r="B1861" i="9"/>
  <c r="C1861" i="9"/>
  <c r="D1861" i="9"/>
  <c r="E1861" i="9"/>
  <c r="F1861" i="9"/>
  <c r="A1862" i="9"/>
  <c r="B1862" i="9"/>
  <c r="C1862" i="9"/>
  <c r="D1862" i="9"/>
  <c r="E1862" i="9"/>
  <c r="F1862" i="9"/>
  <c r="A1863" i="9"/>
  <c r="B1863" i="9"/>
  <c r="C1863" i="9"/>
  <c r="D1863" i="9"/>
  <c r="E1863" i="9"/>
  <c r="F1863" i="9"/>
  <c r="A1864" i="9"/>
  <c r="B1864" i="9"/>
  <c r="C1864" i="9"/>
  <c r="D1864" i="9"/>
  <c r="E1864" i="9"/>
  <c r="F1864" i="9"/>
  <c r="A1865" i="9"/>
  <c r="B1865" i="9"/>
  <c r="C1865" i="9"/>
  <c r="D1865" i="9"/>
  <c r="E1865" i="9"/>
  <c r="F1865" i="9"/>
  <c r="A1866" i="9"/>
  <c r="B1866" i="9"/>
  <c r="C1866" i="9"/>
  <c r="D1866" i="9"/>
  <c r="E1866" i="9"/>
  <c r="F1866" i="9"/>
  <c r="A1867" i="9"/>
  <c r="B1867" i="9"/>
  <c r="C1867" i="9"/>
  <c r="D1867" i="9"/>
  <c r="E1867" i="9"/>
  <c r="F1867" i="9"/>
  <c r="A1868" i="9"/>
  <c r="B1868" i="9"/>
  <c r="C1868" i="9"/>
  <c r="D1868" i="9"/>
  <c r="E1868" i="9"/>
  <c r="F1868" i="9"/>
  <c r="A1869" i="9"/>
  <c r="B1869" i="9"/>
  <c r="C1869" i="9"/>
  <c r="D1869" i="9"/>
  <c r="E1869" i="9"/>
  <c r="F1869" i="9"/>
  <c r="A1870" i="9"/>
  <c r="B1870" i="9"/>
  <c r="C1870" i="9"/>
  <c r="D1870" i="9"/>
  <c r="E1870" i="9"/>
  <c r="F1870" i="9"/>
  <c r="A1871" i="9"/>
  <c r="B1871" i="9"/>
  <c r="C1871" i="9"/>
  <c r="D1871" i="9"/>
  <c r="E1871" i="9"/>
  <c r="F1871" i="9"/>
  <c r="A1872" i="9"/>
  <c r="B1872" i="9"/>
  <c r="C1872" i="9"/>
  <c r="D1872" i="9"/>
  <c r="E1872" i="9"/>
  <c r="F1872" i="9"/>
  <c r="A1873" i="9"/>
  <c r="B1873" i="9"/>
  <c r="C1873" i="9"/>
  <c r="D1873" i="9"/>
  <c r="E1873" i="9"/>
  <c r="F1873" i="9"/>
  <c r="A1874" i="9"/>
  <c r="B1874" i="9"/>
  <c r="C1874" i="9"/>
  <c r="D1874" i="9"/>
  <c r="E1874" i="9"/>
  <c r="F1874" i="9"/>
  <c r="A1875" i="9"/>
  <c r="B1875" i="9"/>
  <c r="C1875" i="9"/>
  <c r="D1875" i="9"/>
  <c r="E1875" i="9"/>
  <c r="F1875" i="9"/>
  <c r="A1876" i="9"/>
  <c r="B1876" i="9"/>
  <c r="C1876" i="9"/>
  <c r="D1876" i="9"/>
  <c r="E1876" i="9"/>
  <c r="F1876" i="9"/>
  <c r="A1877" i="9"/>
  <c r="B1877" i="9"/>
  <c r="C1877" i="9"/>
  <c r="D1877" i="9"/>
  <c r="E1877" i="9"/>
  <c r="F1877" i="9"/>
  <c r="A1878" i="9"/>
  <c r="B1878" i="9"/>
  <c r="C1878" i="9"/>
  <c r="D1878" i="9"/>
  <c r="E1878" i="9"/>
  <c r="F1878" i="9"/>
  <c r="A1879" i="9"/>
  <c r="B1879" i="9"/>
  <c r="C1879" i="9"/>
  <c r="D1879" i="9"/>
  <c r="E1879" i="9"/>
  <c r="F1879" i="9"/>
  <c r="A1880" i="9"/>
  <c r="B1880" i="9"/>
  <c r="C1880" i="9"/>
  <c r="D1880" i="9"/>
  <c r="E1880" i="9"/>
  <c r="F1880" i="9"/>
  <c r="A1881" i="9"/>
  <c r="B1881" i="9"/>
  <c r="C1881" i="9"/>
  <c r="D1881" i="9"/>
  <c r="E1881" i="9"/>
  <c r="F1881" i="9"/>
  <c r="A1882" i="9"/>
  <c r="B1882" i="9"/>
  <c r="C1882" i="9"/>
  <c r="D1882" i="9"/>
  <c r="E1882" i="9"/>
  <c r="F1882" i="9"/>
  <c r="A1883" i="9"/>
  <c r="B1883" i="9"/>
  <c r="C1883" i="9"/>
  <c r="D1883" i="9"/>
  <c r="E1883" i="9"/>
  <c r="F1883" i="9"/>
  <c r="A1884" i="9"/>
  <c r="B1884" i="9"/>
  <c r="C1884" i="9"/>
  <c r="D1884" i="9"/>
  <c r="E1884" i="9"/>
  <c r="F1884" i="9"/>
  <c r="A1885" i="9"/>
  <c r="B1885" i="9"/>
  <c r="C1885" i="9"/>
  <c r="D1885" i="9"/>
  <c r="E1885" i="9"/>
  <c r="F1885" i="9"/>
  <c r="A1886" i="9"/>
  <c r="B1886" i="9"/>
  <c r="C1886" i="9"/>
  <c r="D1886" i="9"/>
  <c r="E1886" i="9"/>
  <c r="F1886" i="9"/>
  <c r="A1887" i="9"/>
  <c r="B1887" i="9"/>
  <c r="C1887" i="9"/>
  <c r="D1887" i="9"/>
  <c r="E1887" i="9"/>
  <c r="F1887" i="9"/>
  <c r="A1888" i="9"/>
  <c r="B1888" i="9"/>
  <c r="C1888" i="9"/>
  <c r="D1888" i="9"/>
  <c r="E1888" i="9"/>
  <c r="F1888" i="9"/>
  <c r="A1889" i="9"/>
  <c r="B1889" i="9"/>
  <c r="C1889" i="9"/>
  <c r="D1889" i="9"/>
  <c r="E1889" i="9"/>
  <c r="F1889" i="9"/>
  <c r="A1890" i="9"/>
  <c r="B1890" i="9"/>
  <c r="C1890" i="9"/>
  <c r="D1890" i="9"/>
  <c r="E1890" i="9"/>
  <c r="F1890" i="9"/>
  <c r="A1891" i="9"/>
  <c r="B1891" i="9"/>
  <c r="C1891" i="9"/>
  <c r="D1891" i="9"/>
  <c r="E1891" i="9"/>
  <c r="F1891" i="9"/>
  <c r="A1892" i="9"/>
  <c r="B1892" i="9"/>
  <c r="C1892" i="9"/>
  <c r="D1892" i="9"/>
  <c r="E1892" i="9"/>
  <c r="F1892" i="9"/>
  <c r="A1893" i="9"/>
  <c r="B1893" i="9"/>
  <c r="C1893" i="9"/>
  <c r="D1893" i="9"/>
  <c r="E1893" i="9"/>
  <c r="F1893" i="9"/>
  <c r="A1894" i="9"/>
  <c r="B1894" i="9"/>
  <c r="C1894" i="9"/>
  <c r="D1894" i="9"/>
  <c r="E1894" i="9"/>
  <c r="F1894" i="9"/>
  <c r="A1895" i="9"/>
  <c r="B1895" i="9"/>
  <c r="C1895" i="9"/>
  <c r="D1895" i="9"/>
  <c r="E1895" i="9"/>
  <c r="F1895" i="9"/>
  <c r="A1896" i="9"/>
  <c r="B1896" i="9"/>
  <c r="C1896" i="9"/>
  <c r="D1896" i="9"/>
  <c r="E1896" i="9"/>
  <c r="F1896" i="9"/>
  <c r="A1897" i="9"/>
  <c r="B1897" i="9"/>
  <c r="C1897" i="9"/>
  <c r="D1897" i="9"/>
  <c r="E1897" i="9"/>
  <c r="F1897" i="9"/>
  <c r="A1898" i="9"/>
  <c r="B1898" i="9"/>
  <c r="C1898" i="9"/>
  <c r="D1898" i="9"/>
  <c r="E1898" i="9"/>
  <c r="F1898" i="9"/>
  <c r="A1899" i="9"/>
  <c r="B1899" i="9"/>
  <c r="C1899" i="9"/>
  <c r="D1899" i="9"/>
  <c r="E1899" i="9"/>
  <c r="F1899" i="9"/>
  <c r="A1900" i="9"/>
  <c r="B1900" i="9"/>
  <c r="C1900" i="9"/>
  <c r="D1900" i="9"/>
  <c r="E1900" i="9"/>
  <c r="F1900" i="9"/>
  <c r="A1901" i="9"/>
  <c r="B1901" i="9"/>
  <c r="C1901" i="9"/>
  <c r="D1901" i="9"/>
  <c r="E1901" i="9"/>
  <c r="F1901" i="9"/>
  <c r="A1902" i="9"/>
  <c r="B1902" i="9"/>
  <c r="C1902" i="9"/>
  <c r="D1902" i="9"/>
  <c r="E1902" i="9"/>
  <c r="F1902" i="9"/>
  <c r="A1903" i="9"/>
  <c r="B1903" i="9"/>
  <c r="C1903" i="9"/>
  <c r="D1903" i="9"/>
  <c r="E1903" i="9"/>
  <c r="F1903" i="9"/>
  <c r="A1904" i="9"/>
  <c r="B1904" i="9"/>
  <c r="C1904" i="9"/>
  <c r="D1904" i="9"/>
  <c r="E1904" i="9"/>
  <c r="F1904" i="9"/>
  <c r="A1905" i="9"/>
  <c r="B1905" i="9"/>
  <c r="C1905" i="9"/>
  <c r="D1905" i="9"/>
  <c r="E1905" i="9"/>
  <c r="F1905" i="9"/>
  <c r="A1906" i="9"/>
  <c r="B1906" i="9"/>
  <c r="C1906" i="9"/>
  <c r="D1906" i="9"/>
  <c r="E1906" i="9"/>
  <c r="F1906" i="9"/>
  <c r="A1907" i="9"/>
  <c r="B1907" i="9"/>
  <c r="C1907" i="9"/>
  <c r="D1907" i="9"/>
  <c r="E1907" i="9"/>
  <c r="F1907" i="9"/>
  <c r="A1908" i="9"/>
  <c r="B1908" i="9"/>
  <c r="C1908" i="9"/>
  <c r="D1908" i="9"/>
  <c r="E1908" i="9"/>
  <c r="F1908" i="9"/>
  <c r="A1909" i="9"/>
  <c r="B1909" i="9"/>
  <c r="C1909" i="9"/>
  <c r="D1909" i="9"/>
  <c r="E1909" i="9"/>
  <c r="F1909" i="9"/>
  <c r="A1910" i="9"/>
  <c r="B1910" i="9"/>
  <c r="C1910" i="9"/>
  <c r="D1910" i="9"/>
  <c r="E1910" i="9"/>
  <c r="F1910" i="9"/>
  <c r="A1911" i="9"/>
  <c r="B1911" i="9"/>
  <c r="C1911" i="9"/>
  <c r="D1911" i="9"/>
  <c r="E1911" i="9"/>
  <c r="F1911" i="9"/>
  <c r="A1912" i="9"/>
  <c r="B1912" i="9"/>
  <c r="C1912" i="9"/>
  <c r="D1912" i="9"/>
  <c r="E1912" i="9"/>
  <c r="F1912" i="9"/>
  <c r="A1913" i="9"/>
  <c r="B1913" i="9"/>
  <c r="C1913" i="9"/>
  <c r="D1913" i="9"/>
  <c r="E1913" i="9"/>
  <c r="F1913" i="9"/>
  <c r="A1914" i="9"/>
  <c r="B1914" i="9"/>
  <c r="C1914" i="9"/>
  <c r="D1914" i="9"/>
  <c r="E1914" i="9"/>
  <c r="F1914" i="9"/>
  <c r="A1915" i="9"/>
  <c r="B1915" i="9"/>
  <c r="C1915" i="9"/>
  <c r="D1915" i="9"/>
  <c r="E1915" i="9"/>
  <c r="F1915" i="9"/>
  <c r="A1916" i="9"/>
  <c r="B1916" i="9"/>
  <c r="C1916" i="9"/>
  <c r="D1916" i="9"/>
  <c r="E1916" i="9"/>
  <c r="F1916" i="9"/>
  <c r="A1917" i="9"/>
  <c r="B1917" i="9"/>
  <c r="C1917" i="9"/>
  <c r="D1917" i="9"/>
  <c r="E1917" i="9"/>
  <c r="F1917" i="9"/>
  <c r="A1918" i="9"/>
  <c r="B1918" i="9"/>
  <c r="C1918" i="9"/>
  <c r="D1918" i="9"/>
  <c r="E1918" i="9"/>
  <c r="F1918" i="9"/>
  <c r="A1919" i="9"/>
  <c r="B1919" i="9"/>
  <c r="C1919" i="9"/>
  <c r="D1919" i="9"/>
  <c r="E1919" i="9"/>
  <c r="F1919" i="9"/>
  <c r="A1920" i="9"/>
  <c r="B1920" i="9"/>
  <c r="C1920" i="9"/>
  <c r="D1920" i="9"/>
  <c r="E1920" i="9"/>
  <c r="F1920" i="9"/>
  <c r="A1921" i="9"/>
  <c r="B1921" i="9"/>
  <c r="C1921" i="9"/>
  <c r="D1921" i="9"/>
  <c r="E1921" i="9"/>
  <c r="F1921" i="9"/>
  <c r="A1922" i="9"/>
  <c r="B1922" i="9"/>
  <c r="C1922" i="9"/>
  <c r="D1922" i="9"/>
  <c r="E1922" i="9"/>
  <c r="F1922" i="9"/>
  <c r="A1923" i="9"/>
  <c r="B1923" i="9"/>
  <c r="C1923" i="9"/>
  <c r="D1923" i="9"/>
  <c r="E1923" i="9"/>
  <c r="F1923" i="9"/>
  <c r="A1924" i="9"/>
  <c r="B1924" i="9"/>
  <c r="C1924" i="9"/>
  <c r="D1924" i="9"/>
  <c r="E1924" i="9"/>
  <c r="F1924" i="9"/>
  <c r="A1925" i="9"/>
  <c r="B1925" i="9"/>
  <c r="C1925" i="9"/>
  <c r="D1925" i="9"/>
  <c r="E1925" i="9"/>
  <c r="F1925" i="9"/>
  <c r="A1926" i="9"/>
  <c r="B1926" i="9"/>
  <c r="C1926" i="9"/>
  <c r="D1926" i="9"/>
  <c r="E1926" i="9"/>
  <c r="F1926" i="9"/>
  <c r="A1927" i="9"/>
  <c r="B1927" i="9"/>
  <c r="C1927" i="9"/>
  <c r="D1927" i="9"/>
  <c r="E1927" i="9"/>
  <c r="F1927" i="9"/>
  <c r="A1928" i="9"/>
  <c r="B1928" i="9"/>
  <c r="C1928" i="9"/>
  <c r="D1928" i="9"/>
  <c r="E1928" i="9"/>
  <c r="F1928" i="9"/>
  <c r="A1929" i="9"/>
  <c r="B1929" i="9"/>
  <c r="C1929" i="9"/>
  <c r="D1929" i="9"/>
  <c r="E1929" i="9"/>
  <c r="F1929" i="9"/>
  <c r="A1930" i="9"/>
  <c r="B1930" i="9"/>
  <c r="C1930" i="9"/>
  <c r="D1930" i="9"/>
  <c r="E1930" i="9"/>
  <c r="F1930" i="9"/>
  <c r="A1931" i="9"/>
  <c r="B1931" i="9"/>
  <c r="C1931" i="9"/>
  <c r="D1931" i="9"/>
  <c r="E1931" i="9"/>
  <c r="F1931" i="9"/>
  <c r="A1932" i="9"/>
  <c r="B1932" i="9"/>
  <c r="C1932" i="9"/>
  <c r="D1932" i="9"/>
  <c r="E1932" i="9"/>
  <c r="F1932" i="9"/>
  <c r="A1933" i="9"/>
  <c r="B1933" i="9"/>
  <c r="C1933" i="9"/>
  <c r="D1933" i="9"/>
  <c r="E1933" i="9"/>
  <c r="F1933" i="9"/>
  <c r="A1934" i="9"/>
  <c r="B1934" i="9"/>
  <c r="C1934" i="9"/>
  <c r="D1934" i="9"/>
  <c r="E1934" i="9"/>
  <c r="F1934" i="9"/>
  <c r="A1935" i="9"/>
  <c r="B1935" i="9"/>
  <c r="C1935" i="9"/>
  <c r="D1935" i="9"/>
  <c r="E1935" i="9"/>
  <c r="F1935" i="9"/>
  <c r="A1936" i="9"/>
  <c r="B1936" i="9"/>
  <c r="C1936" i="9"/>
  <c r="D1936" i="9"/>
  <c r="E1936" i="9"/>
  <c r="F1936" i="9"/>
  <c r="A1937" i="9"/>
  <c r="B1937" i="9"/>
  <c r="C1937" i="9"/>
  <c r="D1937" i="9"/>
  <c r="E1937" i="9"/>
  <c r="F1937" i="9"/>
  <c r="A1938" i="9"/>
  <c r="B1938" i="9"/>
  <c r="C1938" i="9"/>
  <c r="D1938" i="9"/>
  <c r="E1938" i="9"/>
  <c r="F1938" i="9"/>
  <c r="A1939" i="9"/>
  <c r="B1939" i="9"/>
  <c r="C1939" i="9"/>
  <c r="D1939" i="9"/>
  <c r="E1939" i="9"/>
  <c r="F1939" i="9"/>
  <c r="A1940" i="9"/>
  <c r="B1940" i="9"/>
  <c r="C1940" i="9"/>
  <c r="D1940" i="9"/>
  <c r="E1940" i="9"/>
  <c r="F1940" i="9"/>
  <c r="A1941" i="9"/>
  <c r="B1941" i="9"/>
  <c r="C1941" i="9"/>
  <c r="D1941" i="9"/>
  <c r="E1941" i="9"/>
  <c r="F1941" i="9"/>
  <c r="A1942" i="9"/>
  <c r="B1942" i="9"/>
  <c r="C1942" i="9"/>
  <c r="D1942" i="9"/>
  <c r="E1942" i="9"/>
  <c r="F1942" i="9"/>
  <c r="A1943" i="9"/>
  <c r="B1943" i="9"/>
  <c r="C1943" i="9"/>
  <c r="D1943" i="9"/>
  <c r="E1943" i="9"/>
  <c r="F1943" i="9"/>
  <c r="A1944" i="9"/>
  <c r="B1944" i="9"/>
  <c r="C1944" i="9"/>
  <c r="D1944" i="9"/>
  <c r="E1944" i="9"/>
  <c r="F1944" i="9"/>
  <c r="A1945" i="9"/>
  <c r="B1945" i="9"/>
  <c r="C1945" i="9"/>
  <c r="D1945" i="9"/>
  <c r="E1945" i="9"/>
  <c r="F1945" i="9"/>
  <c r="A1946" i="9"/>
  <c r="B1946" i="9"/>
  <c r="C1946" i="9"/>
  <c r="D1946" i="9"/>
  <c r="E1946" i="9"/>
  <c r="F1946" i="9"/>
  <c r="A1947" i="9"/>
  <c r="B1947" i="9"/>
  <c r="C1947" i="9"/>
  <c r="D1947" i="9"/>
  <c r="E1947" i="9"/>
  <c r="F1947" i="9"/>
  <c r="A1948" i="9"/>
  <c r="B1948" i="9"/>
  <c r="C1948" i="9"/>
  <c r="D1948" i="9"/>
  <c r="E1948" i="9"/>
  <c r="F1948" i="9"/>
  <c r="A1949" i="9"/>
  <c r="B1949" i="9"/>
  <c r="C1949" i="9"/>
  <c r="D1949" i="9"/>
  <c r="E1949" i="9"/>
  <c r="F1949" i="9"/>
  <c r="A1950" i="9"/>
  <c r="B1950" i="9"/>
  <c r="C1950" i="9"/>
  <c r="D1950" i="9"/>
  <c r="E1950" i="9"/>
  <c r="F1950" i="9"/>
  <c r="A1951" i="9"/>
  <c r="B1951" i="9"/>
  <c r="C1951" i="9"/>
  <c r="D1951" i="9"/>
  <c r="E1951" i="9"/>
  <c r="F1951" i="9"/>
  <c r="A1952" i="9"/>
  <c r="B1952" i="9"/>
  <c r="C1952" i="9"/>
  <c r="D1952" i="9"/>
  <c r="E1952" i="9"/>
  <c r="F1952" i="9"/>
  <c r="A1953" i="9"/>
  <c r="B1953" i="9"/>
  <c r="C1953" i="9"/>
  <c r="D1953" i="9"/>
  <c r="E1953" i="9"/>
  <c r="F1953" i="9"/>
  <c r="A1954" i="9"/>
  <c r="B1954" i="9"/>
  <c r="C1954" i="9"/>
  <c r="D1954" i="9"/>
  <c r="E1954" i="9"/>
  <c r="F1954" i="9"/>
  <c r="A1955" i="9"/>
  <c r="B1955" i="9"/>
  <c r="C1955" i="9"/>
  <c r="D1955" i="9"/>
  <c r="E1955" i="9"/>
  <c r="F1955" i="9"/>
  <c r="A1956" i="9"/>
  <c r="B1956" i="9"/>
  <c r="C1956" i="9"/>
  <c r="D1956" i="9"/>
  <c r="E1956" i="9"/>
  <c r="F1956" i="9"/>
  <c r="A1957" i="9"/>
  <c r="B1957" i="9"/>
  <c r="C1957" i="9"/>
  <c r="D1957" i="9"/>
  <c r="E1957" i="9"/>
  <c r="F1957" i="9"/>
  <c r="A1958" i="9"/>
  <c r="B1958" i="9"/>
  <c r="C1958" i="9"/>
  <c r="D1958" i="9"/>
  <c r="E1958" i="9"/>
  <c r="F1958" i="9"/>
  <c r="A1959" i="9"/>
  <c r="B1959" i="9"/>
  <c r="C1959" i="9"/>
  <c r="D1959" i="9"/>
  <c r="E1959" i="9"/>
  <c r="F1959" i="9"/>
  <c r="A1960" i="9"/>
  <c r="B1960" i="9"/>
  <c r="C1960" i="9"/>
  <c r="D1960" i="9"/>
  <c r="E1960" i="9"/>
  <c r="F1960" i="9"/>
  <c r="A1961" i="9"/>
  <c r="B1961" i="9"/>
  <c r="C1961" i="9"/>
  <c r="D1961" i="9"/>
  <c r="E1961" i="9"/>
  <c r="F1961" i="9"/>
  <c r="A1962" i="9"/>
  <c r="B1962" i="9"/>
  <c r="C1962" i="9"/>
  <c r="D1962" i="9"/>
  <c r="E1962" i="9"/>
  <c r="F1962" i="9"/>
  <c r="A1963" i="9"/>
  <c r="B1963" i="9"/>
  <c r="C1963" i="9"/>
  <c r="D1963" i="9"/>
  <c r="E1963" i="9"/>
  <c r="F1963" i="9"/>
  <c r="A1964" i="9"/>
  <c r="B1964" i="9"/>
  <c r="C1964" i="9"/>
  <c r="D1964" i="9"/>
  <c r="E1964" i="9"/>
  <c r="F1964" i="9"/>
  <c r="A1965" i="9"/>
  <c r="B1965" i="9"/>
  <c r="C1965" i="9"/>
  <c r="D1965" i="9"/>
  <c r="E1965" i="9"/>
  <c r="F1965" i="9"/>
  <c r="A1966" i="9"/>
  <c r="B1966" i="9"/>
  <c r="C1966" i="9"/>
  <c r="D1966" i="9"/>
  <c r="E1966" i="9"/>
  <c r="F1966" i="9"/>
  <c r="A1967" i="9"/>
  <c r="B1967" i="9"/>
  <c r="C1967" i="9"/>
  <c r="D1967" i="9"/>
  <c r="E1967" i="9"/>
  <c r="F1967" i="9"/>
  <c r="A1968" i="9"/>
  <c r="B1968" i="9"/>
  <c r="C1968" i="9"/>
  <c r="D1968" i="9"/>
  <c r="E1968" i="9"/>
  <c r="F1968" i="9"/>
  <c r="A1969" i="9"/>
  <c r="B1969" i="9"/>
  <c r="C1969" i="9"/>
  <c r="D1969" i="9"/>
  <c r="E1969" i="9"/>
  <c r="F1969" i="9"/>
  <c r="A1970" i="9"/>
  <c r="B1970" i="9"/>
  <c r="C1970" i="9"/>
  <c r="D1970" i="9"/>
  <c r="E1970" i="9"/>
  <c r="F1970" i="9"/>
  <c r="A1971" i="9"/>
  <c r="B1971" i="9"/>
  <c r="C1971" i="9"/>
  <c r="D1971" i="9"/>
  <c r="E1971" i="9"/>
  <c r="F1971" i="9"/>
  <c r="A1972" i="9"/>
  <c r="B1972" i="9"/>
  <c r="C1972" i="9"/>
  <c r="D1972" i="9"/>
  <c r="E1972" i="9"/>
  <c r="F1972" i="9"/>
  <c r="A1973" i="9"/>
  <c r="B1973" i="9"/>
  <c r="C1973" i="9"/>
  <c r="D1973" i="9"/>
  <c r="E1973" i="9"/>
  <c r="F1973" i="9"/>
  <c r="A1974" i="9"/>
  <c r="B1974" i="9"/>
  <c r="C1974" i="9"/>
  <c r="D1974" i="9"/>
  <c r="E1974" i="9"/>
  <c r="F1974" i="9"/>
  <c r="A1975" i="9"/>
  <c r="B1975" i="9"/>
  <c r="C1975" i="9"/>
  <c r="D1975" i="9"/>
  <c r="E1975" i="9"/>
  <c r="F1975" i="9"/>
  <c r="A1976" i="9"/>
  <c r="B1976" i="9"/>
  <c r="C1976" i="9"/>
  <c r="D1976" i="9"/>
  <c r="E1976" i="9"/>
  <c r="F1976" i="9"/>
  <c r="A1977" i="9"/>
  <c r="B1977" i="9"/>
  <c r="C1977" i="9"/>
  <c r="D1977" i="9"/>
  <c r="E1977" i="9"/>
  <c r="F1977" i="9"/>
  <c r="A1978" i="9"/>
  <c r="B1978" i="9"/>
  <c r="C1978" i="9"/>
  <c r="D1978" i="9"/>
  <c r="E1978" i="9"/>
  <c r="F1978" i="9"/>
  <c r="A1979" i="9"/>
  <c r="B1979" i="9"/>
  <c r="C1979" i="9"/>
  <c r="D1979" i="9"/>
  <c r="E1979" i="9"/>
  <c r="F1979" i="9"/>
  <c r="A1980" i="9"/>
  <c r="B1980" i="9"/>
  <c r="C1980" i="9"/>
  <c r="D1980" i="9"/>
  <c r="E1980" i="9"/>
  <c r="F1980" i="9"/>
  <c r="A1981" i="9"/>
  <c r="B1981" i="9"/>
  <c r="C1981" i="9"/>
  <c r="D1981" i="9"/>
  <c r="E1981" i="9"/>
  <c r="F1981" i="9"/>
  <c r="A1982" i="9"/>
  <c r="B1982" i="9"/>
  <c r="C1982" i="9"/>
  <c r="D1982" i="9"/>
  <c r="E1982" i="9"/>
  <c r="F1982" i="9"/>
  <c r="A1983" i="9"/>
  <c r="B1983" i="9"/>
  <c r="C1983" i="9"/>
  <c r="D1983" i="9"/>
  <c r="E1983" i="9"/>
  <c r="F1983" i="9"/>
  <c r="A1984" i="9"/>
  <c r="B1984" i="9"/>
  <c r="C1984" i="9"/>
  <c r="D1984" i="9"/>
  <c r="E1984" i="9"/>
  <c r="F1984" i="9"/>
  <c r="A1985" i="9"/>
  <c r="B1985" i="9"/>
  <c r="C1985" i="9"/>
  <c r="D1985" i="9"/>
  <c r="E1985" i="9"/>
  <c r="F1985" i="9"/>
  <c r="A1986" i="9"/>
  <c r="B1986" i="9"/>
  <c r="C1986" i="9"/>
  <c r="D1986" i="9"/>
  <c r="E1986" i="9"/>
  <c r="F1986" i="9"/>
  <c r="A1987" i="9"/>
  <c r="B1987" i="9"/>
  <c r="C1987" i="9"/>
  <c r="D1987" i="9"/>
  <c r="E1987" i="9"/>
  <c r="F1987" i="9"/>
  <c r="A1988" i="9"/>
  <c r="B1988" i="9"/>
  <c r="C1988" i="9"/>
  <c r="D1988" i="9"/>
  <c r="E1988" i="9"/>
  <c r="F1988" i="9"/>
  <c r="A1989" i="9"/>
  <c r="B1989" i="9"/>
  <c r="C1989" i="9"/>
  <c r="D1989" i="9"/>
  <c r="E1989" i="9"/>
  <c r="F1989" i="9"/>
  <c r="A1990" i="9"/>
  <c r="B1990" i="9"/>
  <c r="C1990" i="9"/>
  <c r="D1990" i="9"/>
  <c r="E1990" i="9"/>
  <c r="F1990" i="9"/>
  <c r="A1991" i="9"/>
  <c r="B1991" i="9"/>
  <c r="C1991" i="9"/>
  <c r="D1991" i="9"/>
  <c r="E1991" i="9"/>
  <c r="F1991" i="9"/>
  <c r="A1992" i="9"/>
  <c r="B1992" i="9"/>
  <c r="C1992" i="9"/>
  <c r="D1992" i="9"/>
  <c r="E1992" i="9"/>
  <c r="F1992" i="9"/>
  <c r="A1993" i="9"/>
  <c r="B1993" i="9"/>
  <c r="C1993" i="9"/>
  <c r="D1993" i="9"/>
  <c r="E1993" i="9"/>
  <c r="F1993" i="9"/>
  <c r="A1994" i="9"/>
  <c r="B1994" i="9"/>
  <c r="C1994" i="9"/>
  <c r="D1994" i="9"/>
  <c r="E1994" i="9"/>
  <c r="F1994" i="9"/>
  <c r="A1995" i="9"/>
  <c r="B1995" i="9"/>
  <c r="C1995" i="9"/>
  <c r="D1995" i="9"/>
  <c r="E1995" i="9"/>
  <c r="F1995" i="9"/>
  <c r="A1996" i="9"/>
  <c r="B1996" i="9"/>
  <c r="C1996" i="9"/>
  <c r="D1996" i="9"/>
  <c r="E1996" i="9"/>
  <c r="F1996" i="9"/>
  <c r="A1997" i="9"/>
  <c r="B1997" i="9"/>
  <c r="C1997" i="9"/>
  <c r="D1997" i="9"/>
  <c r="E1997" i="9"/>
  <c r="F1997" i="9"/>
  <c r="A1998" i="9"/>
  <c r="B1998" i="9"/>
  <c r="C1998" i="9"/>
  <c r="D1998" i="9"/>
  <c r="E1998" i="9"/>
  <c r="F1998" i="9"/>
  <c r="A1999" i="9"/>
  <c r="B1999" i="9"/>
  <c r="C1999" i="9"/>
  <c r="D1999" i="9"/>
  <c r="E1999" i="9"/>
  <c r="F1999" i="9"/>
  <c r="A2000" i="9"/>
  <c r="B2000" i="9"/>
  <c r="C2000" i="9"/>
  <c r="D2000" i="9"/>
  <c r="E2000" i="9"/>
  <c r="F2000" i="9"/>
  <c r="A2001" i="9"/>
  <c r="B2001" i="9"/>
  <c r="C2001" i="9"/>
  <c r="D2001" i="9"/>
  <c r="E2001" i="9"/>
  <c r="F2001" i="9"/>
  <c r="A2002" i="9"/>
  <c r="B2002" i="9"/>
  <c r="C2002" i="9"/>
  <c r="D2002" i="9"/>
  <c r="E2002" i="9"/>
  <c r="F2002" i="9"/>
  <c r="A2003" i="9"/>
  <c r="B2003" i="9"/>
  <c r="C2003" i="9"/>
  <c r="D2003" i="9"/>
  <c r="E2003" i="9"/>
  <c r="F2003" i="9"/>
  <c r="A2004" i="9"/>
  <c r="B2004" i="9"/>
  <c r="C2004" i="9"/>
  <c r="D2004" i="9"/>
  <c r="E2004" i="9"/>
  <c r="F2004" i="9"/>
  <c r="A2005" i="9"/>
  <c r="B2005" i="9"/>
  <c r="C2005" i="9"/>
  <c r="D2005" i="9"/>
  <c r="E2005" i="9"/>
  <c r="F2005" i="9"/>
  <c r="A2006" i="9"/>
  <c r="B2006" i="9"/>
  <c r="C2006" i="9"/>
  <c r="D2006" i="9"/>
  <c r="E2006" i="9"/>
  <c r="F2006" i="9"/>
  <c r="A2007" i="9"/>
  <c r="B2007" i="9"/>
  <c r="C2007" i="9"/>
  <c r="D2007" i="9"/>
  <c r="E2007" i="9"/>
  <c r="F2007" i="9"/>
  <c r="A2008" i="9"/>
  <c r="B2008" i="9"/>
  <c r="C2008" i="9"/>
  <c r="D2008" i="9"/>
  <c r="E2008" i="9"/>
  <c r="F2008" i="9"/>
  <c r="A2009" i="9"/>
  <c r="B2009" i="9"/>
  <c r="C2009" i="9"/>
  <c r="D2009" i="9"/>
  <c r="E2009" i="9"/>
  <c r="F2009" i="9"/>
  <c r="A2010" i="9"/>
  <c r="B2010" i="9"/>
  <c r="C2010" i="9"/>
  <c r="D2010" i="9"/>
  <c r="E2010" i="9"/>
  <c r="F2010" i="9"/>
  <c r="A2011" i="9"/>
  <c r="B2011" i="9"/>
  <c r="C2011" i="9"/>
  <c r="D2011" i="9"/>
  <c r="E2011" i="9"/>
  <c r="F2011" i="9"/>
  <c r="A2012" i="9"/>
  <c r="B2012" i="9"/>
  <c r="C2012" i="9"/>
  <c r="D2012" i="9"/>
  <c r="E2012" i="9"/>
  <c r="F2012" i="9"/>
  <c r="A2013" i="9"/>
  <c r="B2013" i="9"/>
  <c r="C2013" i="9"/>
  <c r="D2013" i="9"/>
  <c r="E2013" i="9"/>
  <c r="F2013" i="9"/>
  <c r="A2014" i="9"/>
  <c r="B2014" i="9"/>
  <c r="C2014" i="9"/>
  <c r="D2014" i="9"/>
  <c r="E2014" i="9"/>
  <c r="F2014" i="9"/>
  <c r="A2015" i="9"/>
  <c r="B2015" i="9"/>
  <c r="C2015" i="9"/>
  <c r="D2015" i="9"/>
  <c r="E2015" i="9"/>
  <c r="F2015" i="9"/>
  <c r="A2016" i="9"/>
  <c r="B2016" i="9"/>
  <c r="C2016" i="9"/>
  <c r="D2016" i="9"/>
  <c r="E2016" i="9"/>
  <c r="F2016" i="9"/>
  <c r="A2017" i="9"/>
  <c r="B2017" i="9"/>
  <c r="C2017" i="9"/>
  <c r="D2017" i="9"/>
  <c r="E2017" i="9"/>
  <c r="F2017" i="9"/>
  <c r="A2018" i="9"/>
  <c r="B2018" i="9"/>
  <c r="C2018" i="9"/>
  <c r="D2018" i="9"/>
  <c r="E2018" i="9"/>
  <c r="F2018" i="9"/>
  <c r="A2019" i="9"/>
  <c r="B2019" i="9"/>
  <c r="C2019" i="9"/>
  <c r="D2019" i="9"/>
  <c r="E2019" i="9"/>
  <c r="F2019" i="9"/>
  <c r="A2020" i="9"/>
  <c r="B2020" i="9"/>
  <c r="C2020" i="9"/>
  <c r="D2020" i="9"/>
  <c r="E2020" i="9"/>
  <c r="F2020" i="9"/>
  <c r="A2021" i="9"/>
  <c r="B2021" i="9"/>
  <c r="C2021" i="9"/>
  <c r="D2021" i="9"/>
  <c r="E2021" i="9"/>
  <c r="F2021" i="9"/>
  <c r="A2022" i="9"/>
  <c r="B2022" i="9"/>
  <c r="C2022" i="9"/>
  <c r="D2022" i="9"/>
  <c r="E2022" i="9"/>
  <c r="F2022" i="9"/>
  <c r="A2023" i="9"/>
  <c r="B2023" i="9"/>
  <c r="C2023" i="9"/>
  <c r="D2023" i="9"/>
  <c r="E2023" i="9"/>
  <c r="F2023" i="9"/>
  <c r="A2024" i="9"/>
  <c r="B2024" i="9"/>
  <c r="C2024" i="9"/>
  <c r="D2024" i="9"/>
  <c r="E2024" i="9"/>
  <c r="F2024" i="9"/>
  <c r="A2025" i="9"/>
  <c r="B2025" i="9"/>
  <c r="C2025" i="9"/>
  <c r="D2025" i="9"/>
  <c r="E2025" i="9"/>
  <c r="F2025" i="9"/>
  <c r="A2026" i="9"/>
  <c r="B2026" i="9"/>
  <c r="C2026" i="9"/>
  <c r="D2026" i="9"/>
  <c r="E2026" i="9"/>
  <c r="F2026" i="9"/>
  <c r="A2027" i="9"/>
  <c r="B2027" i="9"/>
  <c r="C2027" i="9"/>
  <c r="D2027" i="9"/>
  <c r="E2027" i="9"/>
  <c r="F2027" i="9"/>
  <c r="A2028" i="9"/>
  <c r="B2028" i="9"/>
  <c r="C2028" i="9"/>
  <c r="D2028" i="9"/>
  <c r="E2028" i="9"/>
  <c r="F2028" i="9"/>
  <c r="A2029" i="9"/>
  <c r="B2029" i="9"/>
  <c r="C2029" i="9"/>
  <c r="D2029" i="9"/>
  <c r="E2029" i="9"/>
  <c r="F2029" i="9"/>
  <c r="A2030" i="9"/>
  <c r="B2030" i="9"/>
  <c r="C2030" i="9"/>
  <c r="D2030" i="9"/>
  <c r="E2030" i="9"/>
  <c r="F2030" i="9"/>
  <c r="A2031" i="9"/>
  <c r="B2031" i="9"/>
  <c r="C2031" i="9"/>
  <c r="D2031" i="9"/>
  <c r="E2031" i="9"/>
  <c r="F2031" i="9"/>
  <c r="A2032" i="9"/>
  <c r="B2032" i="9"/>
  <c r="C2032" i="9"/>
  <c r="D2032" i="9"/>
  <c r="E2032" i="9"/>
  <c r="F2032" i="9"/>
  <c r="A2033" i="9"/>
  <c r="B2033" i="9"/>
  <c r="C2033" i="9"/>
  <c r="D2033" i="9"/>
  <c r="E2033" i="9"/>
  <c r="F2033" i="9"/>
  <c r="A2034" i="9"/>
  <c r="B2034" i="9"/>
  <c r="C2034" i="9"/>
  <c r="D2034" i="9"/>
  <c r="E2034" i="9"/>
  <c r="F2034" i="9"/>
  <c r="A2035" i="9"/>
  <c r="B2035" i="9"/>
  <c r="C2035" i="9"/>
  <c r="D2035" i="9"/>
  <c r="E2035" i="9"/>
  <c r="F2035" i="9"/>
  <c r="A2036" i="9"/>
  <c r="B2036" i="9"/>
  <c r="C2036" i="9"/>
  <c r="D2036" i="9"/>
  <c r="E2036" i="9"/>
  <c r="F2036" i="9"/>
  <c r="A2037" i="9"/>
  <c r="B2037" i="9"/>
  <c r="C2037" i="9"/>
  <c r="D2037" i="9"/>
  <c r="E2037" i="9"/>
  <c r="F2037" i="9"/>
  <c r="A2038" i="9"/>
  <c r="B2038" i="9"/>
  <c r="C2038" i="9"/>
  <c r="D2038" i="9"/>
  <c r="E2038" i="9"/>
  <c r="F2038" i="9"/>
  <c r="A2039" i="9"/>
  <c r="B2039" i="9"/>
  <c r="C2039" i="9"/>
  <c r="D2039" i="9"/>
  <c r="E2039" i="9"/>
  <c r="F2039" i="9"/>
  <c r="A2040" i="9"/>
  <c r="B2040" i="9"/>
  <c r="C2040" i="9"/>
  <c r="D2040" i="9"/>
  <c r="E2040" i="9"/>
  <c r="F2040" i="9"/>
  <c r="A2041" i="9"/>
  <c r="B2041" i="9"/>
  <c r="C2041" i="9"/>
  <c r="D2041" i="9"/>
  <c r="E2041" i="9"/>
  <c r="F2041" i="9"/>
  <c r="A2042" i="9"/>
  <c r="B2042" i="9"/>
  <c r="C2042" i="9"/>
  <c r="D2042" i="9"/>
  <c r="E2042" i="9"/>
  <c r="F2042" i="9"/>
  <c r="A2043" i="9"/>
  <c r="B2043" i="9"/>
  <c r="C2043" i="9"/>
  <c r="D2043" i="9"/>
  <c r="E2043" i="9"/>
  <c r="F2043" i="9"/>
  <c r="A2044" i="9"/>
  <c r="B2044" i="9"/>
  <c r="C2044" i="9"/>
  <c r="D2044" i="9"/>
  <c r="E2044" i="9"/>
  <c r="F2044" i="9"/>
  <c r="A2045" i="9"/>
  <c r="B2045" i="9"/>
  <c r="C2045" i="9"/>
  <c r="D2045" i="9"/>
  <c r="E2045" i="9"/>
  <c r="F2045" i="9"/>
  <c r="A2046" i="9"/>
  <c r="B2046" i="9"/>
  <c r="C2046" i="9"/>
  <c r="D2046" i="9"/>
  <c r="E2046" i="9"/>
  <c r="F2046" i="9"/>
  <c r="A2047" i="9"/>
  <c r="B2047" i="9"/>
  <c r="C2047" i="9"/>
  <c r="D2047" i="9"/>
  <c r="E2047" i="9"/>
  <c r="F2047" i="9"/>
  <c r="A2048" i="9"/>
  <c r="B2048" i="9"/>
  <c r="C2048" i="9"/>
  <c r="D2048" i="9"/>
  <c r="E2048" i="9"/>
  <c r="F2048" i="9"/>
  <c r="A2049" i="9"/>
  <c r="B2049" i="9"/>
  <c r="C2049" i="9"/>
  <c r="D2049" i="9"/>
  <c r="E2049" i="9"/>
  <c r="F2049" i="9"/>
  <c r="A2050" i="9"/>
  <c r="B2050" i="9"/>
  <c r="C2050" i="9"/>
  <c r="D2050" i="9"/>
  <c r="E2050" i="9"/>
  <c r="F2050" i="9"/>
  <c r="A2051" i="9"/>
  <c r="B2051" i="9"/>
  <c r="C2051" i="9"/>
  <c r="D2051" i="9"/>
  <c r="E2051" i="9"/>
  <c r="F2051" i="9"/>
  <c r="A2052" i="9"/>
  <c r="B2052" i="9"/>
  <c r="C2052" i="9"/>
  <c r="D2052" i="9"/>
  <c r="E2052" i="9"/>
  <c r="F2052" i="9"/>
  <c r="A2053" i="9"/>
  <c r="B2053" i="9"/>
  <c r="C2053" i="9"/>
  <c r="D2053" i="9"/>
  <c r="E2053" i="9"/>
  <c r="F2053" i="9"/>
  <c r="A2054" i="9"/>
  <c r="B2054" i="9"/>
  <c r="C2054" i="9"/>
  <c r="D2054" i="9"/>
  <c r="E2054" i="9"/>
  <c r="F2054" i="9"/>
  <c r="A2055" i="9"/>
  <c r="B2055" i="9"/>
  <c r="C2055" i="9"/>
  <c r="D2055" i="9"/>
  <c r="E2055" i="9"/>
  <c r="F2055" i="9"/>
  <c r="A2056" i="9"/>
  <c r="B2056" i="9"/>
  <c r="C2056" i="9"/>
  <c r="D2056" i="9"/>
  <c r="E2056" i="9"/>
  <c r="F2056" i="9"/>
  <c r="A2057" i="9"/>
  <c r="B2057" i="9"/>
  <c r="C2057" i="9"/>
  <c r="D2057" i="9"/>
  <c r="E2057" i="9"/>
  <c r="F2057" i="9"/>
  <c r="A2058" i="9"/>
  <c r="B2058" i="9"/>
  <c r="C2058" i="9"/>
  <c r="D2058" i="9"/>
  <c r="E2058" i="9"/>
  <c r="F2058" i="9"/>
  <c r="A2059" i="9"/>
  <c r="B2059" i="9"/>
  <c r="C2059" i="9"/>
  <c r="D2059" i="9"/>
  <c r="E2059" i="9"/>
  <c r="F2059" i="9"/>
  <c r="A2060" i="9"/>
  <c r="B2060" i="9"/>
  <c r="C2060" i="9"/>
  <c r="D2060" i="9"/>
  <c r="E2060" i="9"/>
  <c r="F2060" i="9"/>
  <c r="A2061" i="9"/>
  <c r="B2061" i="9"/>
  <c r="C2061" i="9"/>
  <c r="D2061" i="9"/>
  <c r="E2061" i="9"/>
  <c r="F2061" i="9"/>
  <c r="A2062" i="9"/>
  <c r="B2062" i="9"/>
  <c r="C2062" i="9"/>
  <c r="D2062" i="9"/>
  <c r="E2062" i="9"/>
  <c r="F2062" i="9"/>
  <c r="A2063" i="9"/>
  <c r="B2063" i="9"/>
  <c r="C2063" i="9"/>
  <c r="D2063" i="9"/>
  <c r="E2063" i="9"/>
  <c r="F2063" i="9"/>
  <c r="A2064" i="9"/>
  <c r="B2064" i="9"/>
  <c r="C2064" i="9"/>
  <c r="D2064" i="9"/>
  <c r="E2064" i="9"/>
  <c r="F2064" i="9"/>
  <c r="A2065" i="9"/>
  <c r="B2065" i="9"/>
  <c r="C2065" i="9"/>
  <c r="D2065" i="9"/>
  <c r="E2065" i="9"/>
  <c r="F2065" i="9"/>
  <c r="A2066" i="9"/>
  <c r="B2066" i="9"/>
  <c r="C2066" i="9"/>
  <c r="D2066" i="9"/>
  <c r="E2066" i="9"/>
  <c r="F2066" i="9"/>
  <c r="A2067" i="9"/>
  <c r="B2067" i="9"/>
  <c r="C2067" i="9"/>
  <c r="D2067" i="9"/>
  <c r="E2067" i="9"/>
  <c r="F2067" i="9"/>
  <c r="A2068" i="9"/>
  <c r="B2068" i="9"/>
  <c r="C2068" i="9"/>
  <c r="D2068" i="9"/>
  <c r="E2068" i="9"/>
  <c r="F2068" i="9"/>
  <c r="A2069" i="9"/>
  <c r="B2069" i="9"/>
  <c r="C2069" i="9"/>
  <c r="D2069" i="9"/>
  <c r="E2069" i="9"/>
  <c r="F2069" i="9"/>
  <c r="A2070" i="9"/>
  <c r="B2070" i="9"/>
  <c r="C2070" i="9"/>
  <c r="D2070" i="9"/>
  <c r="E2070" i="9"/>
  <c r="F2070" i="9"/>
  <c r="A2071" i="9"/>
  <c r="B2071" i="9"/>
  <c r="C2071" i="9"/>
  <c r="D2071" i="9"/>
  <c r="E2071" i="9"/>
  <c r="F2071" i="9"/>
  <c r="A2072" i="9"/>
  <c r="B2072" i="9"/>
  <c r="C2072" i="9"/>
  <c r="D2072" i="9"/>
  <c r="E2072" i="9"/>
  <c r="F2072" i="9"/>
  <c r="A2073" i="9"/>
  <c r="B2073" i="9"/>
  <c r="C2073" i="9"/>
  <c r="D2073" i="9"/>
  <c r="E2073" i="9"/>
  <c r="F2073" i="9"/>
  <c r="A2074" i="9"/>
  <c r="B2074" i="9"/>
  <c r="C2074" i="9"/>
  <c r="D2074" i="9"/>
  <c r="E2074" i="9"/>
  <c r="F2074" i="9"/>
  <c r="A2075" i="9"/>
  <c r="B2075" i="9"/>
  <c r="C2075" i="9"/>
  <c r="D2075" i="9"/>
  <c r="E2075" i="9"/>
  <c r="F2075" i="9"/>
  <c r="A2076" i="9"/>
  <c r="B2076" i="9"/>
  <c r="C2076" i="9"/>
  <c r="D2076" i="9"/>
  <c r="E2076" i="9"/>
  <c r="F2076" i="9"/>
  <c r="A2077" i="9"/>
  <c r="B2077" i="9"/>
  <c r="C2077" i="9"/>
  <c r="D2077" i="9"/>
  <c r="E2077" i="9"/>
  <c r="F2077" i="9"/>
  <c r="A2078" i="9"/>
  <c r="B2078" i="9"/>
  <c r="C2078" i="9"/>
  <c r="D2078" i="9"/>
  <c r="E2078" i="9"/>
  <c r="F2078" i="9"/>
  <c r="A2079" i="9"/>
  <c r="B2079" i="9"/>
  <c r="C2079" i="9"/>
  <c r="D2079" i="9"/>
  <c r="E2079" i="9"/>
  <c r="F2079" i="9"/>
  <c r="A2080" i="9"/>
  <c r="B2080" i="9"/>
  <c r="C2080" i="9"/>
  <c r="D2080" i="9"/>
  <c r="E2080" i="9"/>
  <c r="F2080" i="9"/>
  <c r="A2081" i="9"/>
  <c r="B2081" i="9"/>
  <c r="C2081" i="9"/>
  <c r="D2081" i="9"/>
  <c r="E2081" i="9"/>
  <c r="F2081" i="9"/>
  <c r="A2082" i="9"/>
  <c r="B2082" i="9"/>
  <c r="C2082" i="9"/>
  <c r="D2082" i="9"/>
  <c r="E2082" i="9"/>
  <c r="F2082" i="9"/>
  <c r="A2083" i="9"/>
  <c r="B2083" i="9"/>
  <c r="C2083" i="9"/>
  <c r="D2083" i="9"/>
  <c r="E2083" i="9"/>
  <c r="F2083" i="9"/>
  <c r="A2084" i="9"/>
  <c r="B2084" i="9"/>
  <c r="C2084" i="9"/>
  <c r="D2084" i="9"/>
  <c r="E2084" i="9"/>
  <c r="F2084" i="9"/>
  <c r="A2085" i="9"/>
  <c r="B2085" i="9"/>
  <c r="C2085" i="9"/>
  <c r="D2085" i="9"/>
  <c r="E2085" i="9"/>
  <c r="F2085" i="9"/>
  <c r="A2086" i="9"/>
  <c r="B2086" i="9"/>
  <c r="C2086" i="9"/>
  <c r="D2086" i="9"/>
  <c r="E2086" i="9"/>
  <c r="F2086" i="9"/>
  <c r="A2087" i="9"/>
  <c r="B2087" i="9"/>
  <c r="C2087" i="9"/>
  <c r="D2087" i="9"/>
  <c r="E2087" i="9"/>
  <c r="F2087" i="9"/>
  <c r="A2088" i="9"/>
  <c r="B2088" i="9"/>
  <c r="C2088" i="9"/>
  <c r="D2088" i="9"/>
  <c r="E2088" i="9"/>
  <c r="F2088" i="9"/>
  <c r="A2089" i="9"/>
  <c r="B2089" i="9"/>
  <c r="C2089" i="9"/>
  <c r="D2089" i="9"/>
  <c r="E2089" i="9"/>
  <c r="F2089" i="9"/>
  <c r="A2090" i="9"/>
  <c r="B2090" i="9"/>
  <c r="C2090" i="9"/>
  <c r="D2090" i="9"/>
  <c r="E2090" i="9"/>
  <c r="F2090" i="9"/>
  <c r="A2091" i="9"/>
  <c r="B2091" i="9"/>
  <c r="C2091" i="9"/>
  <c r="D2091" i="9"/>
  <c r="E2091" i="9"/>
  <c r="F2091" i="9"/>
  <c r="A2092" i="9"/>
  <c r="B2092" i="9"/>
  <c r="C2092" i="9"/>
  <c r="D2092" i="9"/>
  <c r="E2092" i="9"/>
  <c r="F2092" i="9"/>
  <c r="A2093" i="9"/>
  <c r="B2093" i="9"/>
  <c r="C2093" i="9"/>
  <c r="D2093" i="9"/>
  <c r="E2093" i="9"/>
  <c r="F2093" i="9"/>
  <c r="A2094" i="9"/>
  <c r="B2094" i="9"/>
  <c r="C2094" i="9"/>
  <c r="D2094" i="9"/>
  <c r="E2094" i="9"/>
  <c r="F2094" i="9"/>
  <c r="A2095" i="9"/>
  <c r="B2095" i="9"/>
  <c r="C2095" i="9"/>
  <c r="D2095" i="9"/>
  <c r="E2095" i="9"/>
  <c r="F2095" i="9"/>
  <c r="A2096" i="9"/>
  <c r="B2096" i="9"/>
  <c r="C2096" i="9"/>
  <c r="D2096" i="9"/>
  <c r="E2096" i="9"/>
  <c r="F2096" i="9"/>
  <c r="A2097" i="9"/>
  <c r="B2097" i="9"/>
  <c r="C2097" i="9"/>
  <c r="D2097" i="9"/>
  <c r="E2097" i="9"/>
  <c r="F2097" i="9"/>
  <c r="A2098" i="9"/>
  <c r="B2098" i="9"/>
  <c r="C2098" i="9"/>
  <c r="D2098" i="9"/>
  <c r="E2098" i="9"/>
  <c r="F2098" i="9"/>
  <c r="A2099" i="9"/>
  <c r="B2099" i="9"/>
  <c r="C2099" i="9"/>
  <c r="D2099" i="9"/>
  <c r="E2099" i="9"/>
  <c r="F2099" i="9"/>
  <c r="A2100" i="9"/>
  <c r="B2100" i="9"/>
  <c r="C2100" i="9"/>
  <c r="D2100" i="9"/>
  <c r="E2100" i="9"/>
  <c r="F2100" i="9"/>
  <c r="A2101" i="9"/>
  <c r="B2101" i="9"/>
  <c r="C2101" i="9"/>
  <c r="D2101" i="9"/>
  <c r="E2101" i="9"/>
  <c r="F2101" i="9"/>
  <c r="A2102" i="9"/>
  <c r="B2102" i="9"/>
  <c r="C2102" i="9"/>
  <c r="D2102" i="9"/>
  <c r="E2102" i="9"/>
  <c r="F2102" i="9"/>
  <c r="A2103" i="9"/>
  <c r="B2103" i="9"/>
  <c r="C2103" i="9"/>
  <c r="D2103" i="9"/>
  <c r="E2103" i="9"/>
  <c r="F2103" i="9"/>
  <c r="A2104" i="9"/>
  <c r="B2104" i="9"/>
  <c r="C2104" i="9"/>
  <c r="D2104" i="9"/>
  <c r="E2104" i="9"/>
  <c r="F2104" i="9"/>
  <c r="A2105" i="9"/>
  <c r="B2105" i="9"/>
  <c r="C2105" i="9"/>
  <c r="D2105" i="9"/>
  <c r="E2105" i="9"/>
  <c r="F2105" i="9"/>
  <c r="A2106" i="9"/>
  <c r="B2106" i="9"/>
  <c r="C2106" i="9"/>
  <c r="D2106" i="9"/>
  <c r="E2106" i="9"/>
  <c r="F2106" i="9"/>
  <c r="A2107" i="9"/>
  <c r="B2107" i="9"/>
  <c r="C2107" i="9"/>
  <c r="D2107" i="9"/>
  <c r="E2107" i="9"/>
  <c r="F2107" i="9"/>
  <c r="A2108" i="9"/>
  <c r="B2108" i="9"/>
  <c r="C2108" i="9"/>
  <c r="D2108" i="9"/>
  <c r="E2108" i="9"/>
  <c r="F2108" i="9"/>
  <c r="A2109" i="9"/>
  <c r="B2109" i="9"/>
  <c r="C2109" i="9"/>
  <c r="D2109" i="9"/>
  <c r="E2109" i="9"/>
  <c r="F2109" i="9"/>
  <c r="A2110" i="9"/>
  <c r="B2110" i="9"/>
  <c r="C2110" i="9"/>
  <c r="D2110" i="9"/>
  <c r="E2110" i="9"/>
  <c r="F2110" i="9"/>
  <c r="A2111" i="9"/>
  <c r="B2111" i="9"/>
  <c r="C2111" i="9"/>
  <c r="D2111" i="9"/>
  <c r="E2111" i="9"/>
  <c r="F2111" i="9"/>
  <c r="A2112" i="9"/>
  <c r="B2112" i="9"/>
  <c r="C2112" i="9"/>
  <c r="D2112" i="9"/>
  <c r="E2112" i="9"/>
  <c r="F2112" i="9"/>
  <c r="A2113" i="9"/>
  <c r="B2113" i="9"/>
  <c r="C2113" i="9"/>
  <c r="D2113" i="9"/>
  <c r="E2113" i="9"/>
  <c r="F2113" i="9"/>
  <c r="A2114" i="9"/>
  <c r="B2114" i="9"/>
  <c r="C2114" i="9"/>
  <c r="D2114" i="9"/>
  <c r="E2114" i="9"/>
  <c r="F2114" i="9"/>
  <c r="A2115" i="9"/>
  <c r="B2115" i="9"/>
  <c r="C2115" i="9"/>
  <c r="D2115" i="9"/>
  <c r="E2115" i="9"/>
  <c r="F2115" i="9"/>
  <c r="A2116" i="9"/>
  <c r="B2116" i="9"/>
  <c r="C2116" i="9"/>
  <c r="D2116" i="9"/>
  <c r="E2116" i="9"/>
  <c r="F2116" i="9"/>
  <c r="A2117" i="9"/>
  <c r="B2117" i="9"/>
  <c r="C2117" i="9"/>
  <c r="D2117" i="9"/>
  <c r="E2117" i="9"/>
  <c r="F2117" i="9"/>
  <c r="A2118" i="9"/>
  <c r="B2118" i="9"/>
  <c r="C2118" i="9"/>
  <c r="D2118" i="9"/>
  <c r="E2118" i="9"/>
  <c r="F2118" i="9"/>
  <c r="A2119" i="9"/>
  <c r="B2119" i="9"/>
  <c r="C2119" i="9"/>
  <c r="D2119" i="9"/>
  <c r="E2119" i="9"/>
  <c r="F2119" i="9"/>
  <c r="A2120" i="9"/>
  <c r="B2120" i="9"/>
  <c r="C2120" i="9"/>
  <c r="D2120" i="9"/>
  <c r="E2120" i="9"/>
  <c r="F2120" i="9"/>
  <c r="A2121" i="9"/>
  <c r="B2121" i="9"/>
  <c r="C2121" i="9"/>
  <c r="D2121" i="9"/>
  <c r="E2121" i="9"/>
  <c r="F2121" i="9"/>
  <c r="A2122" i="9"/>
  <c r="B2122" i="9"/>
  <c r="C2122" i="9"/>
  <c r="D2122" i="9"/>
  <c r="E2122" i="9"/>
  <c r="F2122" i="9"/>
  <c r="A2123" i="9"/>
  <c r="B2123" i="9"/>
  <c r="C2123" i="9"/>
  <c r="D2123" i="9"/>
  <c r="E2123" i="9"/>
  <c r="F2123" i="9"/>
  <c r="A2124" i="9"/>
  <c r="B2124" i="9"/>
  <c r="C2124" i="9"/>
  <c r="D2124" i="9"/>
  <c r="E2124" i="9"/>
  <c r="F2124" i="9"/>
  <c r="A2125" i="9"/>
  <c r="B2125" i="9"/>
  <c r="C2125" i="9"/>
  <c r="D2125" i="9"/>
  <c r="E2125" i="9"/>
  <c r="F2125" i="9"/>
  <c r="A2126" i="9"/>
  <c r="B2126" i="9"/>
  <c r="C2126" i="9"/>
  <c r="D2126" i="9"/>
  <c r="E2126" i="9"/>
  <c r="F2126" i="9"/>
  <c r="A2127" i="9"/>
  <c r="B2127" i="9"/>
  <c r="C2127" i="9"/>
  <c r="D2127" i="9"/>
  <c r="E2127" i="9"/>
  <c r="F2127" i="9"/>
  <c r="A2128" i="9"/>
  <c r="B2128" i="9"/>
  <c r="C2128" i="9"/>
  <c r="D2128" i="9"/>
  <c r="E2128" i="9"/>
  <c r="F2128" i="9"/>
  <c r="A2129" i="9"/>
  <c r="B2129" i="9"/>
  <c r="C2129" i="9"/>
  <c r="D2129" i="9"/>
  <c r="E2129" i="9"/>
  <c r="F2129" i="9"/>
  <c r="A2130" i="9"/>
  <c r="B2130" i="9"/>
  <c r="C2130" i="9"/>
  <c r="D2130" i="9"/>
  <c r="E2130" i="9"/>
  <c r="F2130" i="9"/>
  <c r="A2131" i="9"/>
  <c r="B2131" i="9"/>
  <c r="C2131" i="9"/>
  <c r="D2131" i="9"/>
  <c r="E2131" i="9"/>
  <c r="F2131" i="9"/>
  <c r="A2132" i="9"/>
  <c r="B2132" i="9"/>
  <c r="C2132" i="9"/>
  <c r="D2132" i="9"/>
  <c r="E2132" i="9"/>
  <c r="F2132" i="9"/>
  <c r="A2133" i="9"/>
  <c r="B2133" i="9"/>
  <c r="C2133" i="9"/>
  <c r="D2133" i="9"/>
  <c r="E2133" i="9"/>
  <c r="F2133" i="9"/>
  <c r="A2134" i="9"/>
  <c r="B2134" i="9"/>
  <c r="C2134" i="9"/>
  <c r="D2134" i="9"/>
  <c r="E2134" i="9"/>
  <c r="F2134" i="9"/>
  <c r="A2135" i="9"/>
  <c r="B2135" i="9"/>
  <c r="C2135" i="9"/>
  <c r="D2135" i="9"/>
  <c r="E2135" i="9"/>
  <c r="F2135" i="9"/>
  <c r="A2136" i="9"/>
  <c r="B2136" i="9"/>
  <c r="C2136" i="9"/>
  <c r="D2136" i="9"/>
  <c r="E2136" i="9"/>
  <c r="F2136" i="9"/>
  <c r="A2137" i="9"/>
  <c r="B2137" i="9"/>
  <c r="C2137" i="9"/>
  <c r="D2137" i="9"/>
  <c r="E2137" i="9"/>
  <c r="F2137" i="9"/>
  <c r="A2138" i="9"/>
  <c r="B2138" i="9"/>
  <c r="C2138" i="9"/>
  <c r="D2138" i="9"/>
  <c r="E2138" i="9"/>
  <c r="F2138" i="9"/>
  <c r="A2139" i="9"/>
  <c r="B2139" i="9"/>
  <c r="C2139" i="9"/>
  <c r="D2139" i="9"/>
  <c r="E2139" i="9"/>
  <c r="F2139" i="9"/>
  <c r="A2140" i="9"/>
  <c r="B2140" i="9"/>
  <c r="C2140" i="9"/>
  <c r="D2140" i="9"/>
  <c r="E2140" i="9"/>
  <c r="F2140" i="9"/>
  <c r="A2141" i="9"/>
  <c r="B2141" i="9"/>
  <c r="C2141" i="9"/>
  <c r="D2141" i="9"/>
  <c r="E2141" i="9"/>
  <c r="F2141" i="9"/>
  <c r="A2142" i="9"/>
  <c r="B2142" i="9"/>
  <c r="C2142" i="9"/>
  <c r="D2142" i="9"/>
  <c r="E2142" i="9"/>
  <c r="F2142" i="9"/>
  <c r="A2143" i="9"/>
  <c r="B2143" i="9"/>
  <c r="C2143" i="9"/>
  <c r="D2143" i="9"/>
  <c r="E2143" i="9"/>
  <c r="F2143" i="9"/>
  <c r="A2144" i="9"/>
  <c r="B2144" i="9"/>
  <c r="C2144" i="9"/>
  <c r="D2144" i="9"/>
  <c r="E2144" i="9"/>
  <c r="F2144" i="9"/>
  <c r="A2145" i="9"/>
  <c r="B2145" i="9"/>
  <c r="C2145" i="9"/>
  <c r="D2145" i="9"/>
  <c r="E2145" i="9"/>
  <c r="F2145" i="9"/>
  <c r="A2146" i="9"/>
  <c r="B2146" i="9"/>
  <c r="C2146" i="9"/>
  <c r="D2146" i="9"/>
  <c r="E2146" i="9"/>
  <c r="F2146" i="9"/>
  <c r="A2147" i="9"/>
  <c r="B2147" i="9"/>
  <c r="C2147" i="9"/>
  <c r="D2147" i="9"/>
  <c r="E2147" i="9"/>
  <c r="F2147" i="9"/>
  <c r="A2148" i="9"/>
  <c r="B2148" i="9"/>
  <c r="C2148" i="9"/>
  <c r="D2148" i="9"/>
  <c r="E2148" i="9"/>
  <c r="F2148" i="9"/>
  <c r="A2149" i="9"/>
  <c r="B2149" i="9"/>
  <c r="C2149" i="9"/>
  <c r="D2149" i="9"/>
  <c r="E2149" i="9"/>
  <c r="F2149" i="9"/>
  <c r="A2150" i="9"/>
  <c r="B2150" i="9"/>
  <c r="C2150" i="9"/>
  <c r="D2150" i="9"/>
  <c r="E2150" i="9"/>
  <c r="F2150" i="9"/>
  <c r="A2151" i="9"/>
  <c r="B2151" i="9"/>
  <c r="C2151" i="9"/>
  <c r="D2151" i="9"/>
  <c r="E2151" i="9"/>
  <c r="F2151" i="9"/>
  <c r="A2152" i="9"/>
  <c r="B2152" i="9"/>
  <c r="C2152" i="9"/>
  <c r="D2152" i="9"/>
  <c r="E2152" i="9"/>
  <c r="F2152" i="9"/>
  <c r="A2153" i="9"/>
  <c r="B2153" i="9"/>
  <c r="C2153" i="9"/>
  <c r="D2153" i="9"/>
  <c r="E2153" i="9"/>
  <c r="F2153" i="9"/>
  <c r="A2154" i="9"/>
  <c r="B2154" i="9"/>
  <c r="C2154" i="9"/>
  <c r="D2154" i="9"/>
  <c r="E2154" i="9"/>
  <c r="F2154" i="9"/>
  <c r="A2155" i="9"/>
  <c r="B2155" i="9"/>
  <c r="C2155" i="9"/>
  <c r="D2155" i="9"/>
  <c r="E2155" i="9"/>
  <c r="F2155" i="9"/>
  <c r="A2156" i="9"/>
  <c r="B2156" i="9"/>
  <c r="C2156" i="9"/>
  <c r="D2156" i="9"/>
  <c r="E2156" i="9"/>
  <c r="F2156" i="9"/>
  <c r="A2157" i="9"/>
  <c r="B2157" i="9"/>
  <c r="C2157" i="9"/>
  <c r="D2157" i="9"/>
  <c r="E2157" i="9"/>
  <c r="F2157" i="9"/>
  <c r="A2158" i="9"/>
  <c r="B2158" i="9"/>
  <c r="C2158" i="9"/>
  <c r="D2158" i="9"/>
  <c r="E2158" i="9"/>
  <c r="F2158" i="9"/>
  <c r="A2159" i="9"/>
  <c r="B2159" i="9"/>
  <c r="C2159" i="9"/>
  <c r="D2159" i="9"/>
  <c r="E2159" i="9"/>
  <c r="F2159" i="9"/>
  <c r="A2160" i="9"/>
  <c r="B2160" i="9"/>
  <c r="C2160" i="9"/>
  <c r="D2160" i="9"/>
  <c r="E2160" i="9"/>
  <c r="F2160" i="9"/>
  <c r="A2161" i="9"/>
  <c r="B2161" i="9"/>
  <c r="C2161" i="9"/>
  <c r="D2161" i="9"/>
  <c r="E2161" i="9"/>
  <c r="F2161" i="9"/>
  <c r="A2162" i="9"/>
  <c r="B2162" i="9"/>
  <c r="C2162" i="9"/>
  <c r="D2162" i="9"/>
  <c r="E2162" i="9"/>
  <c r="F2162" i="9"/>
  <c r="A2163" i="9"/>
  <c r="B2163" i="9"/>
  <c r="C2163" i="9"/>
  <c r="D2163" i="9"/>
  <c r="E2163" i="9"/>
  <c r="F2163" i="9"/>
  <c r="A2164" i="9"/>
  <c r="B2164" i="9"/>
  <c r="C2164" i="9"/>
  <c r="D2164" i="9"/>
  <c r="E2164" i="9"/>
  <c r="F2164" i="9"/>
  <c r="A2165" i="9"/>
  <c r="B2165" i="9"/>
  <c r="C2165" i="9"/>
  <c r="D2165" i="9"/>
  <c r="E2165" i="9"/>
  <c r="F2165" i="9"/>
  <c r="A2166" i="9"/>
  <c r="B2166" i="9"/>
  <c r="C2166" i="9"/>
  <c r="D2166" i="9"/>
  <c r="E2166" i="9"/>
  <c r="F2166" i="9"/>
  <c r="A2167" i="9"/>
  <c r="B2167" i="9"/>
  <c r="C2167" i="9"/>
  <c r="D2167" i="9"/>
  <c r="E2167" i="9"/>
  <c r="F2167" i="9"/>
  <c r="A2168" i="9"/>
  <c r="B2168" i="9"/>
  <c r="C2168" i="9"/>
  <c r="D2168" i="9"/>
  <c r="E2168" i="9"/>
  <c r="F2168" i="9"/>
  <c r="A2169" i="9"/>
  <c r="B2169" i="9"/>
  <c r="C2169" i="9"/>
  <c r="D2169" i="9"/>
  <c r="E2169" i="9"/>
  <c r="F2169" i="9"/>
  <c r="A2170" i="9"/>
  <c r="B2170" i="9"/>
  <c r="C2170" i="9"/>
  <c r="D2170" i="9"/>
  <c r="E2170" i="9"/>
  <c r="F2170" i="9"/>
  <c r="A2171" i="9"/>
  <c r="B2171" i="9"/>
  <c r="C2171" i="9"/>
  <c r="D2171" i="9"/>
  <c r="E2171" i="9"/>
  <c r="F2171" i="9"/>
  <c r="A2172" i="9"/>
  <c r="B2172" i="9"/>
  <c r="C2172" i="9"/>
  <c r="D2172" i="9"/>
  <c r="E2172" i="9"/>
  <c r="F2172" i="9"/>
  <c r="A2173" i="9"/>
  <c r="B2173" i="9"/>
  <c r="C2173" i="9"/>
  <c r="D2173" i="9"/>
  <c r="E2173" i="9"/>
  <c r="F2173" i="9"/>
  <c r="A2174" i="9"/>
  <c r="B2174" i="9"/>
  <c r="C2174" i="9"/>
  <c r="D2174" i="9"/>
  <c r="E2174" i="9"/>
  <c r="F2174" i="9"/>
  <c r="A2175" i="9"/>
  <c r="B2175" i="9"/>
  <c r="C2175" i="9"/>
  <c r="D2175" i="9"/>
  <c r="E2175" i="9"/>
  <c r="F2175" i="9"/>
  <c r="A2176" i="9"/>
  <c r="B2176" i="9"/>
  <c r="C2176" i="9"/>
  <c r="D2176" i="9"/>
  <c r="E2176" i="9"/>
  <c r="F2176" i="9"/>
  <c r="A2177" i="9"/>
  <c r="B2177" i="9"/>
  <c r="C2177" i="9"/>
  <c r="D2177" i="9"/>
  <c r="E2177" i="9"/>
  <c r="F2177" i="9"/>
  <c r="A2178" i="9"/>
  <c r="B2178" i="9"/>
  <c r="C2178" i="9"/>
  <c r="D2178" i="9"/>
  <c r="E2178" i="9"/>
  <c r="F2178" i="9"/>
  <c r="A2179" i="9"/>
  <c r="B2179" i="9"/>
  <c r="C2179" i="9"/>
  <c r="D2179" i="9"/>
  <c r="E2179" i="9"/>
  <c r="F2179" i="9"/>
  <c r="A2180" i="9"/>
  <c r="B2180" i="9"/>
  <c r="C2180" i="9"/>
  <c r="D2180" i="9"/>
  <c r="E2180" i="9"/>
  <c r="F2180" i="9"/>
  <c r="A2181" i="9"/>
  <c r="B2181" i="9"/>
  <c r="C2181" i="9"/>
  <c r="D2181" i="9"/>
  <c r="E2181" i="9"/>
  <c r="F2181" i="9"/>
  <c r="A2182" i="9"/>
  <c r="B2182" i="9"/>
  <c r="C2182" i="9"/>
  <c r="D2182" i="9"/>
  <c r="E2182" i="9"/>
  <c r="F2182" i="9"/>
  <c r="A2183" i="9"/>
  <c r="B2183" i="9"/>
  <c r="C2183" i="9"/>
  <c r="D2183" i="9"/>
  <c r="E2183" i="9"/>
  <c r="F2183" i="9"/>
  <c r="A2184" i="9"/>
  <c r="B2184" i="9"/>
  <c r="C2184" i="9"/>
  <c r="D2184" i="9"/>
  <c r="E2184" i="9"/>
  <c r="F2184" i="9"/>
  <c r="A2185" i="9"/>
  <c r="B2185" i="9"/>
  <c r="C2185" i="9"/>
  <c r="D2185" i="9"/>
  <c r="E2185" i="9"/>
  <c r="F2185" i="9"/>
  <c r="A2186" i="9"/>
  <c r="B2186" i="9"/>
  <c r="C2186" i="9"/>
  <c r="D2186" i="9"/>
  <c r="E2186" i="9"/>
  <c r="F2186" i="9"/>
  <c r="A2187" i="9"/>
  <c r="B2187" i="9"/>
  <c r="C2187" i="9"/>
  <c r="D2187" i="9"/>
  <c r="E2187" i="9"/>
  <c r="F2187" i="9"/>
  <c r="A2188" i="9"/>
  <c r="B2188" i="9"/>
  <c r="C2188" i="9"/>
  <c r="D2188" i="9"/>
  <c r="E2188" i="9"/>
  <c r="F2188" i="9"/>
  <c r="A2189" i="9"/>
  <c r="B2189" i="9"/>
  <c r="C2189" i="9"/>
  <c r="D2189" i="9"/>
  <c r="E2189" i="9"/>
  <c r="F2189" i="9"/>
  <c r="A2190" i="9"/>
  <c r="B2190" i="9"/>
  <c r="C2190" i="9"/>
  <c r="D2190" i="9"/>
  <c r="E2190" i="9"/>
  <c r="F2190" i="9"/>
  <c r="A2191" i="9"/>
  <c r="B2191" i="9"/>
  <c r="C2191" i="9"/>
  <c r="D2191" i="9"/>
  <c r="E2191" i="9"/>
  <c r="F2191" i="9"/>
  <c r="A2192" i="9"/>
  <c r="B2192" i="9"/>
  <c r="C2192" i="9"/>
  <c r="D2192" i="9"/>
  <c r="E2192" i="9"/>
  <c r="F2192" i="9"/>
  <c r="A2193" i="9"/>
  <c r="B2193" i="9"/>
  <c r="C2193" i="9"/>
  <c r="D2193" i="9"/>
  <c r="E2193" i="9"/>
  <c r="F2193" i="9"/>
  <c r="A2194" i="9"/>
  <c r="B2194" i="9"/>
  <c r="C2194" i="9"/>
  <c r="D2194" i="9"/>
  <c r="E2194" i="9"/>
  <c r="F2194" i="9"/>
  <c r="A2195" i="9"/>
  <c r="B2195" i="9"/>
  <c r="C2195" i="9"/>
  <c r="D2195" i="9"/>
  <c r="E2195" i="9"/>
  <c r="F2195" i="9"/>
  <c r="A2196" i="9"/>
  <c r="B2196" i="9"/>
  <c r="C2196" i="9"/>
  <c r="D2196" i="9"/>
  <c r="E2196" i="9"/>
  <c r="F2196" i="9"/>
  <c r="A2197" i="9"/>
  <c r="B2197" i="9"/>
  <c r="C2197" i="9"/>
  <c r="D2197" i="9"/>
  <c r="E2197" i="9"/>
  <c r="F2197" i="9"/>
  <c r="A2198" i="9"/>
  <c r="B2198" i="9"/>
  <c r="C2198" i="9"/>
  <c r="D2198" i="9"/>
  <c r="E2198" i="9"/>
  <c r="F2198" i="9"/>
  <c r="A2199" i="9"/>
  <c r="B2199" i="9"/>
  <c r="C2199" i="9"/>
  <c r="D2199" i="9"/>
  <c r="E2199" i="9"/>
  <c r="F2199" i="9"/>
  <c r="A2200" i="9"/>
  <c r="B2200" i="9"/>
  <c r="C2200" i="9"/>
  <c r="D2200" i="9"/>
  <c r="E2200" i="9"/>
  <c r="F2200" i="9"/>
  <c r="A2201" i="9"/>
  <c r="B2201" i="9"/>
  <c r="C2201" i="9"/>
  <c r="D2201" i="9"/>
  <c r="E2201" i="9"/>
  <c r="F2201" i="9"/>
  <c r="A2202" i="9"/>
  <c r="B2202" i="9"/>
  <c r="C2202" i="9"/>
  <c r="D2202" i="9"/>
  <c r="E2202" i="9"/>
  <c r="F2202" i="9"/>
  <c r="A2203" i="9"/>
  <c r="B2203" i="9"/>
  <c r="C2203" i="9"/>
  <c r="D2203" i="9"/>
  <c r="E2203" i="9"/>
  <c r="F2203" i="9"/>
  <c r="A2204" i="9"/>
  <c r="B2204" i="9"/>
  <c r="C2204" i="9"/>
  <c r="D2204" i="9"/>
  <c r="E2204" i="9"/>
  <c r="F2204" i="9"/>
  <c r="A2205" i="9"/>
  <c r="B2205" i="9"/>
  <c r="C2205" i="9"/>
  <c r="D2205" i="9"/>
  <c r="E2205" i="9"/>
  <c r="F2205" i="9"/>
  <c r="A2206" i="9"/>
  <c r="B2206" i="9"/>
  <c r="C2206" i="9"/>
  <c r="D2206" i="9"/>
  <c r="E2206" i="9"/>
  <c r="F2206" i="9"/>
  <c r="A2207" i="9"/>
  <c r="B2207" i="9"/>
  <c r="C2207" i="9"/>
  <c r="D2207" i="9"/>
  <c r="E2207" i="9"/>
  <c r="F2207" i="9"/>
  <c r="A2208" i="9"/>
  <c r="B2208" i="9"/>
  <c r="C2208" i="9"/>
  <c r="D2208" i="9"/>
  <c r="E2208" i="9"/>
  <c r="F2208" i="9"/>
  <c r="A2209" i="9"/>
  <c r="B2209" i="9"/>
  <c r="C2209" i="9"/>
  <c r="D2209" i="9"/>
  <c r="E2209" i="9"/>
  <c r="F2209" i="9"/>
  <c r="A2210" i="9"/>
  <c r="B2210" i="9"/>
  <c r="C2210" i="9"/>
  <c r="D2210" i="9"/>
  <c r="E2210" i="9"/>
  <c r="F2210" i="9"/>
  <c r="A2211" i="9"/>
  <c r="B2211" i="9"/>
  <c r="C2211" i="9"/>
  <c r="D2211" i="9"/>
  <c r="E2211" i="9"/>
  <c r="F2211" i="9"/>
  <c r="A2212" i="9"/>
  <c r="B2212" i="9"/>
  <c r="C2212" i="9"/>
  <c r="D2212" i="9"/>
  <c r="E2212" i="9"/>
  <c r="F2212" i="9"/>
  <c r="A2213" i="9"/>
  <c r="B2213" i="9"/>
  <c r="C2213" i="9"/>
  <c r="D2213" i="9"/>
  <c r="E2213" i="9"/>
  <c r="F2213" i="9"/>
  <c r="A2214" i="9"/>
  <c r="B2214" i="9"/>
  <c r="C2214" i="9"/>
  <c r="D2214" i="9"/>
  <c r="E2214" i="9"/>
  <c r="F2214" i="9"/>
  <c r="A2215" i="9"/>
  <c r="B2215" i="9"/>
  <c r="C2215" i="9"/>
  <c r="D2215" i="9"/>
  <c r="E2215" i="9"/>
  <c r="F2215" i="9"/>
  <c r="A2216" i="9"/>
  <c r="B2216" i="9"/>
  <c r="C2216" i="9"/>
  <c r="D2216" i="9"/>
  <c r="E2216" i="9"/>
  <c r="F2216" i="9"/>
  <c r="A2217" i="9"/>
  <c r="B2217" i="9"/>
  <c r="C2217" i="9"/>
  <c r="D2217" i="9"/>
  <c r="E2217" i="9"/>
  <c r="F2217" i="9"/>
  <c r="A2218" i="9"/>
  <c r="B2218" i="9"/>
  <c r="C2218" i="9"/>
  <c r="D2218" i="9"/>
  <c r="E2218" i="9"/>
  <c r="F2218" i="9"/>
  <c r="A2219" i="9"/>
  <c r="B2219" i="9"/>
  <c r="C2219" i="9"/>
  <c r="D2219" i="9"/>
  <c r="E2219" i="9"/>
  <c r="F2219" i="9"/>
  <c r="A2220" i="9"/>
  <c r="B2220" i="9"/>
  <c r="C2220" i="9"/>
  <c r="D2220" i="9"/>
  <c r="E2220" i="9"/>
  <c r="F2220" i="9"/>
  <c r="A2221" i="9"/>
  <c r="B2221" i="9"/>
  <c r="C2221" i="9"/>
  <c r="D2221" i="9"/>
  <c r="E2221" i="9"/>
  <c r="F2221" i="9"/>
  <c r="A2222" i="9"/>
  <c r="B2222" i="9"/>
  <c r="C2222" i="9"/>
  <c r="D2222" i="9"/>
  <c r="E2222" i="9"/>
  <c r="F2222" i="9"/>
  <c r="A2223" i="9"/>
  <c r="B2223" i="9"/>
  <c r="C2223" i="9"/>
  <c r="D2223" i="9"/>
  <c r="E2223" i="9"/>
  <c r="F2223" i="9"/>
  <c r="A2224" i="9"/>
  <c r="B2224" i="9"/>
  <c r="C2224" i="9"/>
  <c r="D2224" i="9"/>
  <c r="E2224" i="9"/>
  <c r="F2224" i="9"/>
  <c r="A2225" i="9"/>
  <c r="B2225" i="9"/>
  <c r="C2225" i="9"/>
  <c r="D2225" i="9"/>
  <c r="E2225" i="9"/>
  <c r="F2225" i="9"/>
  <c r="A2226" i="9"/>
  <c r="B2226" i="9"/>
  <c r="C2226" i="9"/>
  <c r="D2226" i="9"/>
  <c r="E2226" i="9"/>
  <c r="F2226" i="9"/>
  <c r="A2227" i="9"/>
  <c r="B2227" i="9"/>
  <c r="C2227" i="9"/>
  <c r="D2227" i="9"/>
  <c r="E2227" i="9"/>
  <c r="F2227" i="9"/>
  <c r="A2228" i="9"/>
  <c r="B2228" i="9"/>
  <c r="C2228" i="9"/>
  <c r="D2228" i="9"/>
  <c r="E2228" i="9"/>
  <c r="F2228" i="9"/>
  <c r="A2229" i="9"/>
  <c r="B2229" i="9"/>
  <c r="C2229" i="9"/>
  <c r="D2229" i="9"/>
  <c r="E2229" i="9"/>
  <c r="F2229" i="9"/>
  <c r="A2230" i="9"/>
  <c r="B2230" i="9"/>
  <c r="C2230" i="9"/>
  <c r="D2230" i="9"/>
  <c r="E2230" i="9"/>
  <c r="F2230" i="9"/>
  <c r="A2231" i="9"/>
  <c r="B2231" i="9"/>
  <c r="C2231" i="9"/>
  <c r="D2231" i="9"/>
  <c r="E2231" i="9"/>
  <c r="F2231" i="9"/>
  <c r="A2232" i="9"/>
  <c r="B2232" i="9"/>
  <c r="C2232" i="9"/>
  <c r="D2232" i="9"/>
  <c r="E2232" i="9"/>
  <c r="F2232" i="9"/>
  <c r="A2233" i="9"/>
  <c r="B2233" i="9"/>
  <c r="C2233" i="9"/>
  <c r="D2233" i="9"/>
  <c r="E2233" i="9"/>
  <c r="F2233" i="9"/>
  <c r="A2234" i="9"/>
  <c r="B2234" i="9"/>
  <c r="C2234" i="9"/>
  <c r="D2234" i="9"/>
  <c r="E2234" i="9"/>
  <c r="F2234" i="9"/>
  <c r="A2235" i="9"/>
  <c r="B2235" i="9"/>
  <c r="C2235" i="9"/>
  <c r="D2235" i="9"/>
  <c r="E2235" i="9"/>
  <c r="F2235" i="9"/>
  <c r="A2236" i="9"/>
  <c r="B2236" i="9"/>
  <c r="C2236" i="9"/>
  <c r="D2236" i="9"/>
  <c r="E2236" i="9"/>
  <c r="F2236" i="9"/>
  <c r="A2237" i="9"/>
  <c r="B2237" i="9"/>
  <c r="C2237" i="9"/>
  <c r="D2237" i="9"/>
  <c r="E2237" i="9"/>
  <c r="F2237" i="9"/>
  <c r="A2238" i="9"/>
  <c r="B2238" i="9"/>
  <c r="C2238" i="9"/>
  <c r="D2238" i="9"/>
  <c r="E2238" i="9"/>
  <c r="F2238" i="9"/>
  <c r="A2239" i="9"/>
  <c r="B2239" i="9"/>
  <c r="C2239" i="9"/>
  <c r="D2239" i="9"/>
  <c r="E2239" i="9"/>
  <c r="F2239" i="9"/>
  <c r="A2240" i="9"/>
  <c r="B2240" i="9"/>
  <c r="C2240" i="9"/>
  <c r="D2240" i="9"/>
  <c r="E2240" i="9"/>
  <c r="F2240" i="9"/>
  <c r="A2241" i="9"/>
  <c r="B2241" i="9"/>
  <c r="C2241" i="9"/>
  <c r="D2241" i="9"/>
  <c r="E2241" i="9"/>
  <c r="F2241" i="9"/>
  <c r="A2242" i="9"/>
  <c r="B2242" i="9"/>
  <c r="C2242" i="9"/>
  <c r="D2242" i="9"/>
  <c r="E2242" i="9"/>
  <c r="F2242" i="9"/>
  <c r="A2243" i="9"/>
  <c r="B2243" i="9"/>
  <c r="C2243" i="9"/>
  <c r="D2243" i="9"/>
  <c r="E2243" i="9"/>
  <c r="F2243" i="9"/>
  <c r="A2244" i="9"/>
  <c r="B2244" i="9"/>
  <c r="C2244" i="9"/>
  <c r="D2244" i="9"/>
  <c r="E2244" i="9"/>
  <c r="F2244" i="9"/>
  <c r="A2245" i="9"/>
  <c r="B2245" i="9"/>
  <c r="C2245" i="9"/>
  <c r="D2245" i="9"/>
  <c r="E2245" i="9"/>
  <c r="F2245" i="9"/>
  <c r="A2246" i="9"/>
  <c r="B2246" i="9"/>
  <c r="C2246" i="9"/>
  <c r="D2246" i="9"/>
  <c r="E2246" i="9"/>
  <c r="F2246" i="9"/>
  <c r="A2247" i="9"/>
  <c r="B2247" i="9"/>
  <c r="C2247" i="9"/>
  <c r="D2247" i="9"/>
  <c r="E2247" i="9"/>
  <c r="F2247" i="9"/>
  <c r="A2248" i="9"/>
  <c r="B2248" i="9"/>
  <c r="C2248" i="9"/>
  <c r="D2248" i="9"/>
  <c r="E2248" i="9"/>
  <c r="F2248" i="9"/>
  <c r="A2249" i="9"/>
  <c r="B2249" i="9"/>
  <c r="C2249" i="9"/>
  <c r="D2249" i="9"/>
  <c r="E2249" i="9"/>
  <c r="F2249" i="9"/>
  <c r="A2250" i="9"/>
  <c r="B2250" i="9"/>
  <c r="C2250" i="9"/>
  <c r="D2250" i="9"/>
  <c r="E2250" i="9"/>
  <c r="F2250" i="9"/>
  <c r="A2251" i="9"/>
  <c r="B2251" i="9"/>
  <c r="C2251" i="9"/>
  <c r="D2251" i="9"/>
  <c r="E2251" i="9"/>
  <c r="F2251" i="9"/>
  <c r="A2252" i="9"/>
  <c r="B2252" i="9"/>
  <c r="C2252" i="9"/>
  <c r="D2252" i="9"/>
  <c r="E2252" i="9"/>
  <c r="F2252" i="9"/>
  <c r="A2253" i="9"/>
  <c r="B2253" i="9"/>
  <c r="C2253" i="9"/>
  <c r="D2253" i="9"/>
  <c r="E2253" i="9"/>
  <c r="F2253" i="9"/>
  <c r="A2254" i="9"/>
  <c r="B2254" i="9"/>
  <c r="C2254" i="9"/>
  <c r="D2254" i="9"/>
  <c r="E2254" i="9"/>
  <c r="F2254" i="9"/>
  <c r="A2255" i="9"/>
  <c r="B2255" i="9"/>
  <c r="C2255" i="9"/>
  <c r="D2255" i="9"/>
  <c r="E2255" i="9"/>
  <c r="F2255" i="9"/>
  <c r="A2256" i="9"/>
  <c r="B2256" i="9"/>
  <c r="C2256" i="9"/>
  <c r="D2256" i="9"/>
  <c r="E2256" i="9"/>
  <c r="F2256" i="9"/>
  <c r="A2257" i="9"/>
  <c r="B2257" i="9"/>
  <c r="C2257" i="9"/>
  <c r="D2257" i="9"/>
  <c r="E2257" i="9"/>
  <c r="F2257" i="9"/>
  <c r="A2258" i="9"/>
  <c r="B2258" i="9"/>
  <c r="C2258" i="9"/>
  <c r="D2258" i="9"/>
  <c r="E2258" i="9"/>
  <c r="F2258" i="9"/>
  <c r="A2259" i="9"/>
  <c r="B2259" i="9"/>
  <c r="C2259" i="9"/>
  <c r="D2259" i="9"/>
  <c r="E2259" i="9"/>
  <c r="F2259" i="9"/>
  <c r="A2260" i="9"/>
  <c r="B2260" i="9"/>
  <c r="C2260" i="9"/>
  <c r="D2260" i="9"/>
  <c r="E2260" i="9"/>
  <c r="F2260" i="9"/>
  <c r="A2261" i="9"/>
  <c r="B2261" i="9"/>
  <c r="C2261" i="9"/>
  <c r="D2261" i="9"/>
  <c r="E2261" i="9"/>
  <c r="F2261" i="9"/>
  <c r="A2262" i="9"/>
  <c r="B2262" i="9"/>
  <c r="C2262" i="9"/>
  <c r="D2262" i="9"/>
  <c r="E2262" i="9"/>
  <c r="F2262" i="9"/>
  <c r="A2263" i="9"/>
  <c r="B2263" i="9"/>
  <c r="C2263" i="9"/>
  <c r="D2263" i="9"/>
  <c r="E2263" i="9"/>
  <c r="F2263" i="9"/>
  <c r="A2264" i="9"/>
  <c r="B2264" i="9"/>
  <c r="C2264" i="9"/>
  <c r="D2264" i="9"/>
  <c r="E2264" i="9"/>
  <c r="F2264" i="9"/>
  <c r="A2265" i="9"/>
  <c r="B2265" i="9"/>
  <c r="C2265" i="9"/>
  <c r="D2265" i="9"/>
  <c r="E2265" i="9"/>
  <c r="F2265" i="9"/>
  <c r="A2266" i="9"/>
  <c r="B2266" i="9"/>
  <c r="C2266" i="9"/>
  <c r="D2266" i="9"/>
  <c r="E2266" i="9"/>
  <c r="F2266" i="9"/>
  <c r="A2267" i="9"/>
  <c r="B2267" i="9"/>
  <c r="C2267" i="9"/>
  <c r="D2267" i="9"/>
  <c r="E2267" i="9"/>
  <c r="F2267" i="9"/>
  <c r="A2268" i="9"/>
  <c r="B2268" i="9"/>
  <c r="C2268" i="9"/>
  <c r="D2268" i="9"/>
  <c r="E2268" i="9"/>
  <c r="F2268" i="9"/>
  <c r="A2269" i="9"/>
  <c r="B2269" i="9"/>
  <c r="C2269" i="9"/>
  <c r="D2269" i="9"/>
  <c r="E2269" i="9"/>
  <c r="F2269" i="9"/>
  <c r="A2270" i="9"/>
  <c r="B2270" i="9"/>
  <c r="C2270" i="9"/>
  <c r="D2270" i="9"/>
  <c r="E2270" i="9"/>
  <c r="F2270" i="9"/>
  <c r="A2271" i="9"/>
  <c r="B2271" i="9"/>
  <c r="C2271" i="9"/>
  <c r="D2271" i="9"/>
  <c r="E2271" i="9"/>
  <c r="F2271" i="9"/>
  <c r="A2272" i="9"/>
  <c r="B2272" i="9"/>
  <c r="C2272" i="9"/>
  <c r="D2272" i="9"/>
  <c r="E2272" i="9"/>
  <c r="F2272" i="9"/>
  <c r="A2273" i="9"/>
  <c r="B2273" i="9"/>
  <c r="C2273" i="9"/>
  <c r="D2273" i="9"/>
  <c r="E2273" i="9"/>
  <c r="F2273" i="9"/>
  <c r="A2274" i="9"/>
  <c r="B2274" i="9"/>
  <c r="C2274" i="9"/>
  <c r="D2274" i="9"/>
  <c r="E2274" i="9"/>
  <c r="F2274" i="9"/>
  <c r="A2275" i="9"/>
  <c r="B2275" i="9"/>
  <c r="C2275" i="9"/>
  <c r="D2275" i="9"/>
  <c r="E2275" i="9"/>
  <c r="F2275" i="9"/>
  <c r="A2276" i="9"/>
  <c r="B2276" i="9"/>
  <c r="C2276" i="9"/>
  <c r="D2276" i="9"/>
  <c r="E2276" i="9"/>
  <c r="F2276" i="9"/>
  <c r="A2277" i="9"/>
  <c r="B2277" i="9"/>
  <c r="C2277" i="9"/>
  <c r="D2277" i="9"/>
  <c r="E2277" i="9"/>
  <c r="F2277" i="9"/>
  <c r="A2278" i="9"/>
  <c r="B2278" i="9"/>
  <c r="C2278" i="9"/>
  <c r="D2278" i="9"/>
  <c r="E2278" i="9"/>
  <c r="F2278" i="9"/>
  <c r="A2279" i="9"/>
  <c r="B2279" i="9"/>
  <c r="C2279" i="9"/>
  <c r="D2279" i="9"/>
  <c r="E2279" i="9"/>
  <c r="F2279" i="9"/>
  <c r="A2280" i="9"/>
  <c r="B2280" i="9"/>
  <c r="C2280" i="9"/>
  <c r="D2280" i="9"/>
  <c r="E2280" i="9"/>
  <c r="F2280" i="9"/>
  <c r="A2281" i="9"/>
  <c r="B2281" i="9"/>
  <c r="C2281" i="9"/>
  <c r="D2281" i="9"/>
  <c r="E2281" i="9"/>
  <c r="F2281" i="9"/>
  <c r="A2282" i="9"/>
  <c r="B2282" i="9"/>
  <c r="C2282" i="9"/>
  <c r="D2282" i="9"/>
  <c r="E2282" i="9"/>
  <c r="F2282" i="9"/>
  <c r="A2283" i="9"/>
  <c r="B2283" i="9"/>
  <c r="C2283" i="9"/>
  <c r="D2283" i="9"/>
  <c r="E2283" i="9"/>
  <c r="F2283" i="9"/>
  <c r="A2284" i="9"/>
  <c r="B2284" i="9"/>
  <c r="C2284" i="9"/>
  <c r="D2284" i="9"/>
  <c r="E2284" i="9"/>
  <c r="F2284" i="9"/>
  <c r="A2285" i="9"/>
  <c r="B2285" i="9"/>
  <c r="C2285" i="9"/>
  <c r="D2285" i="9"/>
  <c r="E2285" i="9"/>
  <c r="F2285" i="9"/>
  <c r="A2286" i="9"/>
  <c r="B2286" i="9"/>
  <c r="C2286" i="9"/>
  <c r="D2286" i="9"/>
  <c r="E2286" i="9"/>
  <c r="F2286" i="9"/>
  <c r="A2287" i="9"/>
  <c r="B2287" i="9"/>
  <c r="C2287" i="9"/>
  <c r="D2287" i="9"/>
  <c r="E2287" i="9"/>
  <c r="F2287" i="9"/>
  <c r="A2288" i="9"/>
  <c r="B2288" i="9"/>
  <c r="C2288" i="9"/>
  <c r="D2288" i="9"/>
  <c r="E2288" i="9"/>
  <c r="F2288" i="9"/>
  <c r="A2289" i="9"/>
  <c r="B2289" i="9"/>
  <c r="C2289" i="9"/>
  <c r="D2289" i="9"/>
  <c r="E2289" i="9"/>
  <c r="F2289" i="9"/>
  <c r="A2290" i="9"/>
  <c r="B2290" i="9"/>
  <c r="C2290" i="9"/>
  <c r="D2290" i="9"/>
  <c r="E2290" i="9"/>
  <c r="F2290" i="9"/>
  <c r="A2291" i="9"/>
  <c r="B2291" i="9"/>
  <c r="C2291" i="9"/>
  <c r="D2291" i="9"/>
  <c r="E2291" i="9"/>
  <c r="F2291" i="9"/>
  <c r="A2292" i="9"/>
  <c r="B2292" i="9"/>
  <c r="C2292" i="9"/>
  <c r="D2292" i="9"/>
  <c r="E2292" i="9"/>
  <c r="F2292" i="9"/>
  <c r="A2293" i="9"/>
  <c r="B2293" i="9"/>
  <c r="C2293" i="9"/>
  <c r="D2293" i="9"/>
  <c r="E2293" i="9"/>
  <c r="F2293" i="9"/>
  <c r="A2294" i="9"/>
  <c r="B2294" i="9"/>
  <c r="C2294" i="9"/>
  <c r="D2294" i="9"/>
  <c r="E2294" i="9"/>
  <c r="F2294" i="9"/>
  <c r="A2295" i="9"/>
  <c r="B2295" i="9"/>
  <c r="C2295" i="9"/>
  <c r="D2295" i="9"/>
  <c r="E2295" i="9"/>
  <c r="F2295" i="9"/>
  <c r="A2296" i="9"/>
  <c r="B2296" i="9"/>
  <c r="C2296" i="9"/>
  <c r="D2296" i="9"/>
  <c r="E2296" i="9"/>
  <c r="F2296" i="9"/>
  <c r="A2297" i="9"/>
  <c r="B2297" i="9"/>
  <c r="C2297" i="9"/>
  <c r="D2297" i="9"/>
  <c r="E2297" i="9"/>
  <c r="F2297" i="9"/>
  <c r="A2298" i="9"/>
  <c r="B2298" i="9"/>
  <c r="C2298" i="9"/>
  <c r="D2298" i="9"/>
  <c r="E2298" i="9"/>
  <c r="F2298" i="9"/>
  <c r="A2299" i="9"/>
  <c r="B2299" i="9"/>
  <c r="C2299" i="9"/>
  <c r="D2299" i="9"/>
  <c r="E2299" i="9"/>
  <c r="F2299" i="9"/>
  <c r="A2300" i="9"/>
  <c r="B2300" i="9"/>
  <c r="C2300" i="9"/>
  <c r="D2300" i="9"/>
  <c r="E2300" i="9"/>
  <c r="F2300" i="9"/>
  <c r="A2301" i="9"/>
  <c r="B2301" i="9"/>
  <c r="C2301" i="9"/>
  <c r="D2301" i="9"/>
  <c r="E2301" i="9"/>
  <c r="F2301" i="9"/>
  <c r="A2302" i="9"/>
  <c r="B2302" i="9"/>
  <c r="C2302" i="9"/>
  <c r="D2302" i="9"/>
  <c r="E2302" i="9"/>
  <c r="F2302" i="9"/>
  <c r="A2303" i="9"/>
  <c r="B2303" i="9"/>
  <c r="C2303" i="9"/>
  <c r="D2303" i="9"/>
  <c r="E2303" i="9"/>
  <c r="F2303" i="9"/>
  <c r="A2304" i="9"/>
  <c r="B2304" i="9"/>
  <c r="C2304" i="9"/>
  <c r="D2304" i="9"/>
  <c r="E2304" i="9"/>
  <c r="F2304" i="9"/>
  <c r="A2305" i="9"/>
  <c r="B2305" i="9"/>
  <c r="C2305" i="9"/>
  <c r="D2305" i="9"/>
  <c r="E2305" i="9"/>
  <c r="F2305" i="9"/>
  <c r="A2306" i="9"/>
  <c r="B2306" i="9"/>
  <c r="C2306" i="9"/>
  <c r="D2306" i="9"/>
  <c r="E2306" i="9"/>
  <c r="F2306" i="9"/>
  <c r="A2307" i="9"/>
  <c r="B2307" i="9"/>
  <c r="C2307" i="9"/>
  <c r="D2307" i="9"/>
  <c r="E2307" i="9"/>
  <c r="F2307" i="9"/>
  <c r="A2308" i="9"/>
  <c r="B2308" i="9"/>
  <c r="C2308" i="9"/>
  <c r="D2308" i="9"/>
  <c r="E2308" i="9"/>
  <c r="F2308" i="9"/>
  <c r="A2309" i="9"/>
  <c r="B2309" i="9"/>
  <c r="C2309" i="9"/>
  <c r="D2309" i="9"/>
  <c r="E2309" i="9"/>
  <c r="F2309" i="9"/>
  <c r="A2310" i="9"/>
  <c r="B2310" i="9"/>
  <c r="C2310" i="9"/>
  <c r="D2310" i="9"/>
  <c r="E2310" i="9"/>
  <c r="F2310" i="9"/>
  <c r="A2311" i="9"/>
  <c r="B2311" i="9"/>
  <c r="C2311" i="9"/>
  <c r="D2311" i="9"/>
  <c r="E2311" i="9"/>
  <c r="F2311" i="9"/>
  <c r="A2312" i="9"/>
  <c r="B2312" i="9"/>
  <c r="C2312" i="9"/>
  <c r="D2312" i="9"/>
  <c r="E2312" i="9"/>
  <c r="F2312" i="9"/>
  <c r="A2313" i="9"/>
  <c r="B2313" i="9"/>
  <c r="C2313" i="9"/>
  <c r="D2313" i="9"/>
  <c r="E2313" i="9"/>
  <c r="F2313" i="9"/>
  <c r="A2314" i="9"/>
  <c r="B2314" i="9"/>
  <c r="C2314" i="9"/>
  <c r="D2314" i="9"/>
  <c r="E2314" i="9"/>
  <c r="F2314" i="9"/>
  <c r="A2315" i="9"/>
  <c r="B2315" i="9"/>
  <c r="C2315" i="9"/>
  <c r="D2315" i="9"/>
  <c r="E2315" i="9"/>
  <c r="F2315" i="9"/>
  <c r="A2316" i="9"/>
  <c r="B2316" i="9"/>
  <c r="C2316" i="9"/>
  <c r="D2316" i="9"/>
  <c r="E2316" i="9"/>
  <c r="F2316" i="9"/>
  <c r="A2317" i="9"/>
  <c r="B2317" i="9"/>
  <c r="C2317" i="9"/>
  <c r="D2317" i="9"/>
  <c r="E2317" i="9"/>
  <c r="F2317" i="9"/>
  <c r="A2318" i="9"/>
  <c r="B2318" i="9"/>
  <c r="C2318" i="9"/>
  <c r="D2318" i="9"/>
  <c r="E2318" i="9"/>
  <c r="F2318" i="9"/>
  <c r="A2319" i="9"/>
  <c r="B2319" i="9"/>
  <c r="C2319" i="9"/>
  <c r="D2319" i="9"/>
  <c r="E2319" i="9"/>
  <c r="F2319" i="9"/>
  <c r="A2320" i="9"/>
  <c r="B2320" i="9"/>
  <c r="C2320" i="9"/>
  <c r="D2320" i="9"/>
  <c r="E2320" i="9"/>
  <c r="F2320" i="9"/>
  <c r="A2321" i="9"/>
  <c r="B2321" i="9"/>
  <c r="C2321" i="9"/>
  <c r="D2321" i="9"/>
  <c r="E2321" i="9"/>
  <c r="F2321" i="9"/>
  <c r="A2322" i="9"/>
  <c r="B2322" i="9"/>
  <c r="C2322" i="9"/>
  <c r="D2322" i="9"/>
  <c r="E2322" i="9"/>
  <c r="F2322" i="9"/>
  <c r="A2323" i="9"/>
  <c r="B2323" i="9"/>
  <c r="C2323" i="9"/>
  <c r="D2323" i="9"/>
  <c r="E2323" i="9"/>
  <c r="F2323" i="9"/>
  <c r="A2324" i="9"/>
  <c r="B2324" i="9"/>
  <c r="C2324" i="9"/>
  <c r="D2324" i="9"/>
  <c r="E2324" i="9"/>
  <c r="F2324" i="9"/>
  <c r="A2325" i="9"/>
  <c r="B2325" i="9"/>
  <c r="C2325" i="9"/>
  <c r="D2325" i="9"/>
  <c r="E2325" i="9"/>
  <c r="F2325" i="9"/>
  <c r="A2326" i="9"/>
  <c r="B2326" i="9"/>
  <c r="C2326" i="9"/>
  <c r="D2326" i="9"/>
  <c r="E2326" i="9"/>
  <c r="F2326" i="9"/>
  <c r="A2327" i="9"/>
  <c r="B2327" i="9"/>
  <c r="C2327" i="9"/>
  <c r="D2327" i="9"/>
  <c r="E2327" i="9"/>
  <c r="F2327" i="9"/>
  <c r="A2328" i="9"/>
  <c r="B2328" i="9"/>
  <c r="C2328" i="9"/>
  <c r="D2328" i="9"/>
  <c r="E2328" i="9"/>
  <c r="F2328" i="9"/>
  <c r="A2329" i="9"/>
  <c r="B2329" i="9"/>
  <c r="C2329" i="9"/>
  <c r="D2329" i="9"/>
  <c r="E2329" i="9"/>
  <c r="F2329" i="9"/>
  <c r="A2330" i="9"/>
  <c r="B2330" i="9"/>
  <c r="C2330" i="9"/>
  <c r="D2330" i="9"/>
  <c r="E2330" i="9"/>
  <c r="F2330" i="9"/>
  <c r="A2331" i="9"/>
  <c r="B2331" i="9"/>
  <c r="C2331" i="9"/>
  <c r="D2331" i="9"/>
  <c r="E2331" i="9"/>
  <c r="F2331" i="9"/>
  <c r="A2332" i="9"/>
  <c r="B2332" i="9"/>
  <c r="C2332" i="9"/>
  <c r="D2332" i="9"/>
  <c r="E2332" i="9"/>
  <c r="F2332" i="9"/>
  <c r="A2333" i="9"/>
  <c r="B2333" i="9"/>
  <c r="C2333" i="9"/>
  <c r="D2333" i="9"/>
  <c r="E2333" i="9"/>
  <c r="F2333" i="9"/>
  <c r="A2334" i="9"/>
  <c r="B2334" i="9"/>
  <c r="C2334" i="9"/>
  <c r="D2334" i="9"/>
  <c r="E2334" i="9"/>
  <c r="F2334" i="9"/>
  <c r="A2335" i="9"/>
  <c r="B2335" i="9"/>
  <c r="C2335" i="9"/>
  <c r="D2335" i="9"/>
  <c r="E2335" i="9"/>
  <c r="F2335" i="9"/>
  <c r="A2336" i="9"/>
  <c r="B2336" i="9"/>
  <c r="C2336" i="9"/>
  <c r="D2336" i="9"/>
  <c r="E2336" i="9"/>
  <c r="F2336" i="9"/>
  <c r="A2337" i="9"/>
  <c r="B2337" i="9"/>
  <c r="C2337" i="9"/>
  <c r="D2337" i="9"/>
  <c r="E2337" i="9"/>
  <c r="F2337" i="9"/>
  <c r="A2338" i="9"/>
  <c r="B2338" i="9"/>
  <c r="C2338" i="9"/>
  <c r="D2338" i="9"/>
  <c r="E2338" i="9"/>
  <c r="F2338" i="9"/>
  <c r="A2339" i="9"/>
  <c r="B2339" i="9"/>
  <c r="C2339" i="9"/>
  <c r="D2339" i="9"/>
  <c r="E2339" i="9"/>
  <c r="F2339" i="9"/>
  <c r="A2340" i="9"/>
  <c r="B2340" i="9"/>
  <c r="C2340" i="9"/>
  <c r="D2340" i="9"/>
  <c r="E2340" i="9"/>
  <c r="F2340" i="9"/>
  <c r="A2341" i="9"/>
  <c r="B2341" i="9"/>
  <c r="C2341" i="9"/>
  <c r="D2341" i="9"/>
  <c r="E2341" i="9"/>
  <c r="F2341" i="9"/>
  <c r="A2342" i="9"/>
  <c r="B2342" i="9"/>
  <c r="C2342" i="9"/>
  <c r="D2342" i="9"/>
  <c r="E2342" i="9"/>
  <c r="F2342" i="9"/>
  <c r="A2343" i="9"/>
  <c r="B2343" i="9"/>
  <c r="C2343" i="9"/>
  <c r="D2343" i="9"/>
  <c r="E2343" i="9"/>
  <c r="F2343" i="9"/>
  <c r="A2344" i="9"/>
  <c r="B2344" i="9"/>
  <c r="C2344" i="9"/>
  <c r="D2344" i="9"/>
  <c r="E2344" i="9"/>
  <c r="F2344" i="9"/>
  <c r="A2345" i="9"/>
  <c r="B2345" i="9"/>
  <c r="C2345" i="9"/>
  <c r="D2345" i="9"/>
  <c r="E2345" i="9"/>
  <c r="F2345" i="9"/>
  <c r="A2346" i="9"/>
  <c r="B2346" i="9"/>
  <c r="C2346" i="9"/>
  <c r="D2346" i="9"/>
  <c r="E2346" i="9"/>
  <c r="F2346" i="9"/>
  <c r="A2347" i="9"/>
  <c r="B2347" i="9"/>
  <c r="C2347" i="9"/>
  <c r="D2347" i="9"/>
  <c r="E2347" i="9"/>
  <c r="F2347" i="9"/>
  <c r="A2348" i="9"/>
  <c r="B2348" i="9"/>
  <c r="C2348" i="9"/>
  <c r="D2348" i="9"/>
  <c r="E2348" i="9"/>
  <c r="F2348" i="9"/>
  <c r="A2349" i="9"/>
  <c r="B2349" i="9"/>
  <c r="C2349" i="9"/>
  <c r="D2349" i="9"/>
  <c r="E2349" i="9"/>
  <c r="F2349" i="9"/>
  <c r="A2350" i="9"/>
  <c r="B2350" i="9"/>
  <c r="C2350" i="9"/>
  <c r="D2350" i="9"/>
  <c r="E2350" i="9"/>
  <c r="F2350" i="9"/>
  <c r="A2351" i="9"/>
  <c r="B2351" i="9"/>
  <c r="C2351" i="9"/>
  <c r="D2351" i="9"/>
  <c r="E2351" i="9"/>
  <c r="F2351" i="9"/>
  <c r="A2352" i="9"/>
  <c r="B2352" i="9"/>
  <c r="C2352" i="9"/>
  <c r="D2352" i="9"/>
  <c r="E2352" i="9"/>
  <c r="F2352" i="9"/>
  <c r="A2353" i="9"/>
  <c r="B2353" i="9"/>
  <c r="C2353" i="9"/>
  <c r="D2353" i="9"/>
  <c r="E2353" i="9"/>
  <c r="F2353" i="9"/>
  <c r="A2354" i="9"/>
  <c r="B2354" i="9"/>
  <c r="C2354" i="9"/>
  <c r="D2354" i="9"/>
  <c r="E2354" i="9"/>
  <c r="F2354" i="9"/>
  <c r="A2355" i="9"/>
  <c r="B2355" i="9"/>
  <c r="C2355" i="9"/>
  <c r="D2355" i="9"/>
  <c r="E2355" i="9"/>
  <c r="F2355" i="9"/>
  <c r="A2356" i="9"/>
  <c r="B2356" i="9"/>
  <c r="C2356" i="9"/>
  <c r="D2356" i="9"/>
  <c r="E2356" i="9"/>
  <c r="F2356" i="9"/>
  <c r="A2357" i="9"/>
  <c r="B2357" i="9"/>
  <c r="C2357" i="9"/>
  <c r="D2357" i="9"/>
  <c r="E2357" i="9"/>
  <c r="F2357" i="9"/>
  <c r="A2358" i="9"/>
  <c r="B2358" i="9"/>
  <c r="C2358" i="9"/>
  <c r="D2358" i="9"/>
  <c r="E2358" i="9"/>
  <c r="F2358" i="9"/>
  <c r="A2359" i="9"/>
  <c r="B2359" i="9"/>
  <c r="C2359" i="9"/>
  <c r="D2359" i="9"/>
  <c r="E2359" i="9"/>
  <c r="F2359" i="9"/>
  <c r="A2360" i="9"/>
  <c r="B2360" i="9"/>
  <c r="C2360" i="9"/>
  <c r="D2360" i="9"/>
  <c r="E2360" i="9"/>
  <c r="F2360" i="9"/>
  <c r="A2361" i="9"/>
  <c r="B2361" i="9"/>
  <c r="C2361" i="9"/>
  <c r="D2361" i="9"/>
  <c r="E2361" i="9"/>
  <c r="F2361" i="9"/>
  <c r="A2362" i="9"/>
  <c r="B2362" i="9"/>
  <c r="C2362" i="9"/>
  <c r="D2362" i="9"/>
  <c r="E2362" i="9"/>
  <c r="F2362" i="9"/>
  <c r="A2363" i="9"/>
  <c r="B2363" i="9"/>
  <c r="C2363" i="9"/>
  <c r="D2363" i="9"/>
  <c r="E2363" i="9"/>
  <c r="F2363" i="9"/>
  <c r="A2364" i="9"/>
  <c r="B2364" i="9"/>
  <c r="C2364" i="9"/>
  <c r="D2364" i="9"/>
  <c r="E2364" i="9"/>
  <c r="F2364" i="9"/>
  <c r="A2365" i="9"/>
  <c r="B2365" i="9"/>
  <c r="C2365" i="9"/>
  <c r="D2365" i="9"/>
  <c r="E2365" i="9"/>
  <c r="F2365" i="9"/>
  <c r="A2366" i="9"/>
  <c r="B2366" i="9"/>
  <c r="C2366" i="9"/>
  <c r="D2366" i="9"/>
  <c r="E2366" i="9"/>
  <c r="F2366" i="9"/>
  <c r="A2367" i="9"/>
  <c r="B2367" i="9"/>
  <c r="C2367" i="9"/>
  <c r="D2367" i="9"/>
  <c r="E2367" i="9"/>
  <c r="F2367" i="9"/>
  <c r="A2368" i="9"/>
  <c r="B2368" i="9"/>
  <c r="C2368" i="9"/>
  <c r="D2368" i="9"/>
  <c r="E2368" i="9"/>
  <c r="F2368" i="9"/>
  <c r="A2369" i="9"/>
  <c r="B2369" i="9"/>
  <c r="C2369" i="9"/>
  <c r="D2369" i="9"/>
  <c r="E2369" i="9"/>
  <c r="F2369" i="9"/>
  <c r="A2370" i="9"/>
  <c r="B2370" i="9"/>
  <c r="C2370" i="9"/>
  <c r="D2370" i="9"/>
  <c r="E2370" i="9"/>
  <c r="F2370" i="9"/>
  <c r="A2371" i="9"/>
  <c r="B2371" i="9"/>
  <c r="C2371" i="9"/>
  <c r="D2371" i="9"/>
  <c r="E2371" i="9"/>
  <c r="F2371" i="9"/>
  <c r="A2372" i="9"/>
  <c r="B2372" i="9"/>
  <c r="C2372" i="9"/>
  <c r="D2372" i="9"/>
  <c r="E2372" i="9"/>
  <c r="F2372" i="9"/>
  <c r="A2373" i="9"/>
  <c r="B2373" i="9"/>
  <c r="C2373" i="9"/>
  <c r="D2373" i="9"/>
  <c r="E2373" i="9"/>
  <c r="F2373" i="9"/>
  <c r="A2374" i="9"/>
  <c r="B2374" i="9"/>
  <c r="C2374" i="9"/>
  <c r="D2374" i="9"/>
  <c r="E2374" i="9"/>
  <c r="F2374" i="9"/>
  <c r="A2375" i="9"/>
  <c r="B2375" i="9"/>
  <c r="C2375" i="9"/>
  <c r="D2375" i="9"/>
  <c r="E2375" i="9"/>
  <c r="F2375" i="9"/>
  <c r="A2376" i="9"/>
  <c r="B2376" i="9"/>
  <c r="C2376" i="9"/>
  <c r="D2376" i="9"/>
  <c r="E2376" i="9"/>
  <c r="F2376" i="9"/>
  <c r="A2377" i="9"/>
  <c r="B2377" i="9"/>
  <c r="C2377" i="9"/>
  <c r="D2377" i="9"/>
  <c r="E2377" i="9"/>
  <c r="F2377" i="9"/>
  <c r="A2378" i="9"/>
  <c r="B2378" i="9"/>
  <c r="C2378" i="9"/>
  <c r="D2378" i="9"/>
  <c r="E2378" i="9"/>
  <c r="F2378" i="9"/>
  <c r="A2379" i="9"/>
  <c r="B2379" i="9"/>
  <c r="C2379" i="9"/>
  <c r="D2379" i="9"/>
  <c r="E2379" i="9"/>
  <c r="F2379" i="9"/>
  <c r="A2380" i="9"/>
  <c r="B2380" i="9"/>
  <c r="C2380" i="9"/>
  <c r="D2380" i="9"/>
  <c r="E2380" i="9"/>
  <c r="F2380" i="9"/>
  <c r="A2381" i="9"/>
  <c r="B2381" i="9"/>
  <c r="C2381" i="9"/>
  <c r="D2381" i="9"/>
  <c r="E2381" i="9"/>
  <c r="F2381" i="9"/>
  <c r="A2382" i="9"/>
  <c r="B2382" i="9"/>
  <c r="C2382" i="9"/>
  <c r="D2382" i="9"/>
  <c r="E2382" i="9"/>
  <c r="F2382" i="9"/>
  <c r="A2383" i="9"/>
  <c r="B2383" i="9"/>
  <c r="C2383" i="9"/>
  <c r="D2383" i="9"/>
  <c r="E2383" i="9"/>
  <c r="F2383" i="9"/>
  <c r="A2384" i="9"/>
  <c r="B2384" i="9"/>
  <c r="C2384" i="9"/>
  <c r="D2384" i="9"/>
  <c r="E2384" i="9"/>
  <c r="F2384" i="9"/>
  <c r="A2385" i="9"/>
  <c r="B2385" i="9"/>
  <c r="C2385" i="9"/>
  <c r="D2385" i="9"/>
  <c r="E2385" i="9"/>
  <c r="F2385" i="9"/>
  <c r="A2386" i="9"/>
  <c r="B2386" i="9"/>
  <c r="C2386" i="9"/>
  <c r="D2386" i="9"/>
  <c r="E2386" i="9"/>
  <c r="F2386" i="9"/>
  <c r="A2387" i="9"/>
  <c r="B2387" i="9"/>
  <c r="C2387" i="9"/>
  <c r="D2387" i="9"/>
  <c r="E2387" i="9"/>
  <c r="F2387" i="9"/>
  <c r="A2388" i="9"/>
  <c r="B2388" i="9"/>
  <c r="C2388" i="9"/>
  <c r="D2388" i="9"/>
  <c r="E2388" i="9"/>
  <c r="F2388" i="9"/>
  <c r="A2389" i="9"/>
  <c r="B2389" i="9"/>
  <c r="C2389" i="9"/>
  <c r="D2389" i="9"/>
  <c r="E2389" i="9"/>
  <c r="F2389" i="9"/>
  <c r="A2390" i="9"/>
  <c r="B2390" i="9"/>
  <c r="C2390" i="9"/>
  <c r="D2390" i="9"/>
  <c r="E2390" i="9"/>
  <c r="F2390" i="9"/>
  <c r="A2391" i="9"/>
  <c r="B2391" i="9"/>
  <c r="C2391" i="9"/>
  <c r="D2391" i="9"/>
  <c r="E2391" i="9"/>
  <c r="F2391" i="9"/>
  <c r="A2392" i="9"/>
  <c r="B2392" i="9"/>
  <c r="C2392" i="9"/>
  <c r="D2392" i="9"/>
  <c r="E2392" i="9"/>
  <c r="F2392" i="9"/>
  <c r="A2393" i="9"/>
  <c r="B2393" i="9"/>
  <c r="C2393" i="9"/>
  <c r="D2393" i="9"/>
  <c r="E2393" i="9"/>
  <c r="F2393" i="9"/>
  <c r="A2394" i="9"/>
  <c r="B2394" i="9"/>
  <c r="C2394" i="9"/>
  <c r="D2394" i="9"/>
  <c r="E2394" i="9"/>
  <c r="F2394" i="9"/>
  <c r="A2395" i="9"/>
  <c r="B2395" i="9"/>
  <c r="C2395" i="9"/>
  <c r="D2395" i="9"/>
  <c r="E2395" i="9"/>
  <c r="F2395" i="9"/>
  <c r="A2396" i="9"/>
  <c r="B2396" i="9"/>
  <c r="C2396" i="9"/>
  <c r="D2396" i="9"/>
  <c r="E2396" i="9"/>
  <c r="F2396" i="9"/>
  <c r="A2397" i="9"/>
  <c r="B2397" i="9"/>
  <c r="C2397" i="9"/>
  <c r="D2397" i="9"/>
  <c r="E2397" i="9"/>
  <c r="F2397" i="9"/>
  <c r="A2398" i="9"/>
  <c r="B2398" i="9"/>
  <c r="C2398" i="9"/>
  <c r="D2398" i="9"/>
  <c r="E2398" i="9"/>
  <c r="F2398" i="9"/>
  <c r="A2399" i="9"/>
  <c r="B2399" i="9"/>
  <c r="C2399" i="9"/>
  <c r="D2399" i="9"/>
  <c r="E2399" i="9"/>
  <c r="F2399" i="9"/>
  <c r="A2400" i="9"/>
  <c r="B2400" i="9"/>
  <c r="C2400" i="9"/>
  <c r="D2400" i="9"/>
  <c r="E2400" i="9"/>
  <c r="F2400" i="9"/>
  <c r="A2401" i="9"/>
  <c r="B2401" i="9"/>
  <c r="C2401" i="9"/>
  <c r="D2401" i="9"/>
  <c r="E2401" i="9"/>
  <c r="F2401" i="9"/>
  <c r="A2402" i="9"/>
  <c r="B2402" i="9"/>
  <c r="C2402" i="9"/>
  <c r="D2402" i="9"/>
  <c r="E2402" i="9"/>
  <c r="F2402" i="9"/>
  <c r="A2403" i="9"/>
  <c r="B2403" i="9"/>
  <c r="C2403" i="9"/>
  <c r="D2403" i="9"/>
  <c r="E2403" i="9"/>
  <c r="F2403" i="9"/>
  <c r="A2404" i="9"/>
  <c r="B2404" i="9"/>
  <c r="C2404" i="9"/>
  <c r="D2404" i="9"/>
  <c r="E2404" i="9"/>
  <c r="F2404" i="9"/>
  <c r="A2405" i="9"/>
  <c r="B2405" i="9"/>
  <c r="C2405" i="9"/>
  <c r="D2405" i="9"/>
  <c r="E2405" i="9"/>
  <c r="F2405" i="9"/>
  <c r="A2406" i="9"/>
  <c r="B2406" i="9"/>
  <c r="C2406" i="9"/>
  <c r="D2406" i="9"/>
  <c r="E2406" i="9"/>
  <c r="F2406" i="9"/>
  <c r="A2407" i="9"/>
  <c r="B2407" i="9"/>
  <c r="C2407" i="9"/>
  <c r="D2407" i="9"/>
  <c r="E2407" i="9"/>
  <c r="F2407" i="9"/>
  <c r="A2408" i="9"/>
  <c r="B2408" i="9"/>
  <c r="C2408" i="9"/>
  <c r="D2408" i="9"/>
  <c r="E2408" i="9"/>
  <c r="F2408" i="9"/>
  <c r="A2409" i="9"/>
  <c r="B2409" i="9"/>
  <c r="C2409" i="9"/>
  <c r="D2409" i="9"/>
  <c r="E2409" i="9"/>
  <c r="F2409" i="9"/>
  <c r="A2410" i="9"/>
  <c r="B2410" i="9"/>
  <c r="C2410" i="9"/>
  <c r="D2410" i="9"/>
  <c r="E2410" i="9"/>
  <c r="F2410" i="9"/>
  <c r="A2411" i="9"/>
  <c r="B2411" i="9"/>
  <c r="C2411" i="9"/>
  <c r="D2411" i="9"/>
  <c r="E2411" i="9"/>
  <c r="F2411" i="9"/>
  <c r="A2412" i="9"/>
  <c r="B2412" i="9"/>
  <c r="C2412" i="9"/>
  <c r="D2412" i="9"/>
  <c r="E2412" i="9"/>
  <c r="F2412" i="9"/>
  <c r="A2413" i="9"/>
  <c r="B2413" i="9"/>
  <c r="C2413" i="9"/>
  <c r="D2413" i="9"/>
  <c r="E2413" i="9"/>
  <c r="F2413" i="9"/>
  <c r="A2414" i="9"/>
  <c r="B2414" i="9"/>
  <c r="C2414" i="9"/>
  <c r="D2414" i="9"/>
  <c r="E2414" i="9"/>
  <c r="F2414" i="9"/>
  <c r="A2415" i="9"/>
  <c r="B2415" i="9"/>
  <c r="C2415" i="9"/>
  <c r="D2415" i="9"/>
  <c r="E2415" i="9"/>
  <c r="F2415" i="9"/>
  <c r="A2416" i="9"/>
  <c r="B2416" i="9"/>
  <c r="C2416" i="9"/>
  <c r="D2416" i="9"/>
  <c r="E2416" i="9"/>
  <c r="F2416" i="9"/>
  <c r="A2417" i="9"/>
  <c r="B2417" i="9"/>
  <c r="C2417" i="9"/>
  <c r="D2417" i="9"/>
  <c r="E2417" i="9"/>
  <c r="F2417" i="9"/>
  <c r="A2418" i="9"/>
  <c r="B2418" i="9"/>
  <c r="C2418" i="9"/>
  <c r="D2418" i="9"/>
  <c r="E2418" i="9"/>
  <c r="F2418" i="9"/>
  <c r="A2419" i="9"/>
  <c r="B2419" i="9"/>
  <c r="C2419" i="9"/>
  <c r="D2419" i="9"/>
  <c r="E2419" i="9"/>
  <c r="F2419" i="9"/>
  <c r="A2420" i="9"/>
  <c r="B2420" i="9"/>
  <c r="C2420" i="9"/>
  <c r="D2420" i="9"/>
  <c r="E2420" i="9"/>
  <c r="F2420" i="9"/>
  <c r="A2421" i="9"/>
  <c r="B2421" i="9"/>
  <c r="C2421" i="9"/>
  <c r="D2421" i="9"/>
  <c r="E2421" i="9"/>
  <c r="F2421" i="9"/>
  <c r="A2422" i="9"/>
  <c r="B2422" i="9"/>
  <c r="C2422" i="9"/>
  <c r="D2422" i="9"/>
  <c r="E2422" i="9"/>
  <c r="F2422" i="9"/>
  <c r="A2423" i="9"/>
  <c r="B2423" i="9"/>
  <c r="C2423" i="9"/>
  <c r="D2423" i="9"/>
  <c r="E2423" i="9"/>
  <c r="F2423" i="9"/>
  <c r="A2424" i="9"/>
  <c r="B2424" i="9"/>
  <c r="C2424" i="9"/>
  <c r="D2424" i="9"/>
  <c r="E2424" i="9"/>
  <c r="F2424" i="9"/>
  <c r="A2425" i="9"/>
  <c r="B2425" i="9"/>
  <c r="C2425" i="9"/>
  <c r="D2425" i="9"/>
  <c r="E2425" i="9"/>
  <c r="F2425" i="9"/>
  <c r="A2426" i="9"/>
  <c r="B2426" i="9"/>
  <c r="C2426" i="9"/>
  <c r="D2426" i="9"/>
  <c r="E2426" i="9"/>
  <c r="F2426" i="9"/>
  <c r="A2427" i="9"/>
  <c r="B2427" i="9"/>
  <c r="C2427" i="9"/>
  <c r="D2427" i="9"/>
  <c r="E2427" i="9"/>
  <c r="F2427" i="9"/>
  <c r="A2428" i="9"/>
  <c r="B2428" i="9"/>
  <c r="C2428" i="9"/>
  <c r="D2428" i="9"/>
  <c r="E2428" i="9"/>
  <c r="F2428" i="9"/>
  <c r="A2429" i="9"/>
  <c r="B2429" i="9"/>
  <c r="C2429" i="9"/>
  <c r="D2429" i="9"/>
  <c r="E2429" i="9"/>
  <c r="F2429" i="9"/>
  <c r="A2430" i="9"/>
  <c r="B2430" i="9"/>
  <c r="C2430" i="9"/>
  <c r="D2430" i="9"/>
  <c r="E2430" i="9"/>
  <c r="F2430" i="9"/>
  <c r="A2431" i="9"/>
  <c r="B2431" i="9"/>
  <c r="C2431" i="9"/>
  <c r="D2431" i="9"/>
  <c r="E2431" i="9"/>
  <c r="F2431" i="9"/>
  <c r="A2432" i="9"/>
  <c r="B2432" i="9"/>
  <c r="C2432" i="9"/>
  <c r="D2432" i="9"/>
  <c r="E2432" i="9"/>
  <c r="F2432" i="9"/>
  <c r="A2433" i="9"/>
  <c r="B2433" i="9"/>
  <c r="C2433" i="9"/>
  <c r="D2433" i="9"/>
  <c r="E2433" i="9"/>
  <c r="F2433" i="9"/>
  <c r="A2434" i="9"/>
  <c r="B2434" i="9"/>
  <c r="C2434" i="9"/>
  <c r="D2434" i="9"/>
  <c r="E2434" i="9"/>
  <c r="F2434" i="9"/>
  <c r="A2435" i="9"/>
  <c r="B2435" i="9"/>
  <c r="C2435" i="9"/>
  <c r="D2435" i="9"/>
  <c r="E2435" i="9"/>
  <c r="F2435" i="9"/>
  <c r="A2436" i="9"/>
  <c r="B2436" i="9"/>
  <c r="C2436" i="9"/>
  <c r="D2436" i="9"/>
  <c r="E2436" i="9"/>
  <c r="F2436" i="9"/>
  <c r="A2437" i="9"/>
  <c r="B2437" i="9"/>
  <c r="C2437" i="9"/>
  <c r="D2437" i="9"/>
  <c r="E2437" i="9"/>
  <c r="F2437" i="9"/>
  <c r="A2438" i="9"/>
  <c r="B2438" i="9"/>
  <c r="C2438" i="9"/>
  <c r="D2438" i="9"/>
  <c r="E2438" i="9"/>
  <c r="F2438" i="9"/>
  <c r="A2439" i="9"/>
  <c r="B2439" i="9"/>
  <c r="C2439" i="9"/>
  <c r="D2439" i="9"/>
  <c r="E2439" i="9"/>
  <c r="F2439" i="9"/>
  <c r="A2440" i="9"/>
  <c r="B2440" i="9"/>
  <c r="C2440" i="9"/>
  <c r="D2440" i="9"/>
  <c r="E2440" i="9"/>
  <c r="F2440" i="9"/>
  <c r="A2441" i="9"/>
  <c r="B2441" i="9"/>
  <c r="C2441" i="9"/>
  <c r="D2441" i="9"/>
  <c r="E2441" i="9"/>
  <c r="F2441" i="9"/>
  <c r="A2442" i="9"/>
  <c r="B2442" i="9"/>
  <c r="C2442" i="9"/>
  <c r="D2442" i="9"/>
  <c r="E2442" i="9"/>
  <c r="F2442" i="9"/>
  <c r="A2443" i="9"/>
  <c r="B2443" i="9"/>
  <c r="C2443" i="9"/>
  <c r="D2443" i="9"/>
  <c r="E2443" i="9"/>
  <c r="F2443" i="9"/>
  <c r="A2444" i="9"/>
  <c r="B2444" i="9"/>
  <c r="C2444" i="9"/>
  <c r="D2444" i="9"/>
  <c r="E2444" i="9"/>
  <c r="F2444" i="9"/>
  <c r="A2445" i="9"/>
  <c r="B2445" i="9"/>
  <c r="C2445" i="9"/>
  <c r="D2445" i="9"/>
  <c r="E2445" i="9"/>
  <c r="F2445" i="9"/>
  <c r="A2446" i="9"/>
  <c r="B2446" i="9"/>
  <c r="C2446" i="9"/>
  <c r="D2446" i="9"/>
  <c r="E2446" i="9"/>
  <c r="F2446" i="9"/>
  <c r="A2447" i="9"/>
  <c r="B2447" i="9"/>
  <c r="C2447" i="9"/>
  <c r="D2447" i="9"/>
  <c r="E2447" i="9"/>
  <c r="F2447" i="9"/>
  <c r="A2448" i="9"/>
  <c r="B2448" i="9"/>
  <c r="C2448" i="9"/>
  <c r="D2448" i="9"/>
  <c r="E2448" i="9"/>
  <c r="F2448" i="9"/>
  <c r="A2449" i="9"/>
  <c r="B2449" i="9"/>
  <c r="C2449" i="9"/>
  <c r="D2449" i="9"/>
  <c r="E2449" i="9"/>
  <c r="F2449" i="9"/>
  <c r="A2450" i="9"/>
  <c r="B2450" i="9"/>
  <c r="C2450" i="9"/>
  <c r="D2450" i="9"/>
  <c r="E2450" i="9"/>
  <c r="F2450" i="9"/>
  <c r="A2451" i="9"/>
  <c r="B2451" i="9"/>
  <c r="C2451" i="9"/>
  <c r="D2451" i="9"/>
  <c r="E2451" i="9"/>
  <c r="F2451" i="9"/>
  <c r="A2452" i="9"/>
  <c r="B2452" i="9"/>
  <c r="C2452" i="9"/>
  <c r="D2452" i="9"/>
  <c r="E2452" i="9"/>
  <c r="F2452" i="9"/>
  <c r="A2453" i="9"/>
  <c r="B2453" i="9"/>
  <c r="C2453" i="9"/>
  <c r="D2453" i="9"/>
  <c r="E2453" i="9"/>
  <c r="F2453" i="9"/>
  <c r="A2454" i="9"/>
  <c r="B2454" i="9"/>
  <c r="C2454" i="9"/>
  <c r="D2454" i="9"/>
  <c r="E2454" i="9"/>
  <c r="F2454" i="9"/>
  <c r="A2455" i="9"/>
  <c r="B2455" i="9"/>
  <c r="C2455" i="9"/>
  <c r="D2455" i="9"/>
  <c r="E2455" i="9"/>
  <c r="F2455" i="9"/>
  <c r="A2456" i="9"/>
  <c r="B2456" i="9"/>
  <c r="C2456" i="9"/>
  <c r="D2456" i="9"/>
  <c r="E2456" i="9"/>
  <c r="F2456" i="9"/>
  <c r="A2457" i="9"/>
  <c r="B2457" i="9"/>
  <c r="C2457" i="9"/>
  <c r="D2457" i="9"/>
  <c r="E2457" i="9"/>
  <c r="F2457" i="9"/>
  <c r="A2458" i="9"/>
  <c r="B2458" i="9"/>
  <c r="C2458" i="9"/>
  <c r="D2458" i="9"/>
  <c r="E2458" i="9"/>
  <c r="F2458" i="9"/>
  <c r="A2459" i="9"/>
  <c r="B2459" i="9"/>
  <c r="C2459" i="9"/>
  <c r="D2459" i="9"/>
  <c r="E2459" i="9"/>
  <c r="F2459" i="9"/>
  <c r="A2460" i="9"/>
  <c r="B2460" i="9"/>
  <c r="C2460" i="9"/>
  <c r="D2460" i="9"/>
  <c r="E2460" i="9"/>
  <c r="F2460" i="9"/>
  <c r="A2461" i="9"/>
  <c r="B2461" i="9"/>
  <c r="C2461" i="9"/>
  <c r="D2461" i="9"/>
  <c r="E2461" i="9"/>
  <c r="F2461" i="9"/>
  <c r="A2462" i="9"/>
  <c r="B2462" i="9"/>
  <c r="C2462" i="9"/>
  <c r="D2462" i="9"/>
  <c r="E2462" i="9"/>
  <c r="F2462" i="9"/>
  <c r="A2463" i="9"/>
  <c r="B2463" i="9"/>
  <c r="C2463" i="9"/>
  <c r="D2463" i="9"/>
  <c r="E2463" i="9"/>
  <c r="F2463" i="9"/>
  <c r="A2464" i="9"/>
  <c r="B2464" i="9"/>
  <c r="C2464" i="9"/>
  <c r="D2464" i="9"/>
  <c r="E2464" i="9"/>
  <c r="F2464" i="9"/>
  <c r="A2465" i="9"/>
  <c r="B2465" i="9"/>
  <c r="C2465" i="9"/>
  <c r="D2465" i="9"/>
  <c r="E2465" i="9"/>
  <c r="F2465" i="9"/>
  <c r="A2466" i="9"/>
  <c r="B2466" i="9"/>
  <c r="C2466" i="9"/>
  <c r="D2466" i="9"/>
  <c r="E2466" i="9"/>
  <c r="F2466" i="9"/>
  <c r="A2467" i="9"/>
  <c r="B2467" i="9"/>
  <c r="C2467" i="9"/>
  <c r="D2467" i="9"/>
  <c r="E2467" i="9"/>
  <c r="F2467" i="9"/>
  <c r="A2468" i="9"/>
  <c r="B2468" i="9"/>
  <c r="C2468" i="9"/>
  <c r="D2468" i="9"/>
  <c r="E2468" i="9"/>
  <c r="F2468" i="9"/>
  <c r="A2469" i="9"/>
  <c r="B2469" i="9"/>
  <c r="C2469" i="9"/>
  <c r="D2469" i="9"/>
  <c r="E2469" i="9"/>
  <c r="F2469" i="9"/>
  <c r="A2470" i="9"/>
  <c r="B2470" i="9"/>
  <c r="C2470" i="9"/>
  <c r="D2470" i="9"/>
  <c r="E2470" i="9"/>
  <c r="F2470" i="9"/>
  <c r="A2471" i="9"/>
  <c r="B2471" i="9"/>
  <c r="C2471" i="9"/>
  <c r="D2471" i="9"/>
  <c r="E2471" i="9"/>
  <c r="F2471" i="9"/>
  <c r="A2472" i="9"/>
  <c r="B2472" i="9"/>
  <c r="C2472" i="9"/>
  <c r="D2472" i="9"/>
  <c r="E2472" i="9"/>
  <c r="F2472" i="9"/>
  <c r="A2473" i="9"/>
  <c r="B2473" i="9"/>
  <c r="C2473" i="9"/>
  <c r="D2473" i="9"/>
  <c r="E2473" i="9"/>
  <c r="F2473" i="9"/>
  <c r="A2474" i="9"/>
  <c r="B2474" i="9"/>
  <c r="C2474" i="9"/>
  <c r="D2474" i="9"/>
  <c r="E2474" i="9"/>
  <c r="F2474" i="9"/>
  <c r="A2475" i="9"/>
  <c r="B2475" i="9"/>
  <c r="C2475" i="9"/>
  <c r="D2475" i="9"/>
  <c r="E2475" i="9"/>
  <c r="F2475" i="9"/>
  <c r="A2476" i="9"/>
  <c r="B2476" i="9"/>
  <c r="C2476" i="9"/>
  <c r="D2476" i="9"/>
  <c r="E2476" i="9"/>
  <c r="F2476" i="9"/>
  <c r="A2477" i="9"/>
  <c r="B2477" i="9"/>
  <c r="C2477" i="9"/>
  <c r="D2477" i="9"/>
  <c r="E2477" i="9"/>
  <c r="F2477" i="9"/>
  <c r="A2478" i="9"/>
  <c r="B2478" i="9"/>
  <c r="C2478" i="9"/>
  <c r="D2478" i="9"/>
  <c r="E2478" i="9"/>
  <c r="F2478" i="9"/>
  <c r="A2479" i="9"/>
  <c r="B2479" i="9"/>
  <c r="C2479" i="9"/>
  <c r="D2479" i="9"/>
  <c r="E2479" i="9"/>
  <c r="F2479" i="9"/>
  <c r="A2480" i="9"/>
  <c r="B2480" i="9"/>
  <c r="C2480" i="9"/>
  <c r="D2480" i="9"/>
  <c r="E2480" i="9"/>
  <c r="F2480" i="9"/>
  <c r="A2481" i="9"/>
  <c r="B2481" i="9"/>
  <c r="C2481" i="9"/>
  <c r="D2481" i="9"/>
  <c r="E2481" i="9"/>
  <c r="F2481" i="9"/>
  <c r="A2482" i="9"/>
  <c r="B2482" i="9"/>
  <c r="C2482" i="9"/>
  <c r="D2482" i="9"/>
  <c r="E2482" i="9"/>
  <c r="F2482" i="9"/>
  <c r="A2483" i="9"/>
  <c r="B2483" i="9"/>
  <c r="C2483" i="9"/>
  <c r="D2483" i="9"/>
  <c r="E2483" i="9"/>
  <c r="F2483" i="9"/>
  <c r="A2484" i="9"/>
  <c r="B2484" i="9"/>
  <c r="C2484" i="9"/>
  <c r="D2484" i="9"/>
  <c r="E2484" i="9"/>
  <c r="F2484" i="9"/>
  <c r="A2485" i="9"/>
  <c r="B2485" i="9"/>
  <c r="C2485" i="9"/>
  <c r="D2485" i="9"/>
  <c r="E2485" i="9"/>
  <c r="F2485" i="9"/>
  <c r="A2486" i="9"/>
  <c r="B2486" i="9"/>
  <c r="C2486" i="9"/>
  <c r="D2486" i="9"/>
  <c r="E2486" i="9"/>
  <c r="F2486" i="9"/>
  <c r="A2487" i="9"/>
  <c r="B2487" i="9"/>
  <c r="C2487" i="9"/>
  <c r="D2487" i="9"/>
  <c r="E2487" i="9"/>
  <c r="F2487" i="9"/>
  <c r="A2488" i="9"/>
  <c r="B2488" i="9"/>
  <c r="C2488" i="9"/>
  <c r="D2488" i="9"/>
  <c r="E2488" i="9"/>
  <c r="F2488" i="9"/>
  <c r="A2489" i="9"/>
  <c r="B2489" i="9"/>
  <c r="C2489" i="9"/>
  <c r="D2489" i="9"/>
  <c r="E2489" i="9"/>
  <c r="F2489" i="9"/>
  <c r="A2490" i="9"/>
  <c r="B2490" i="9"/>
  <c r="C2490" i="9"/>
  <c r="D2490" i="9"/>
  <c r="E2490" i="9"/>
  <c r="F2490" i="9"/>
  <c r="A2491" i="9"/>
  <c r="B2491" i="9"/>
  <c r="C2491" i="9"/>
  <c r="D2491" i="9"/>
  <c r="E2491" i="9"/>
  <c r="F2491" i="9"/>
  <c r="A2492" i="9"/>
  <c r="B2492" i="9"/>
  <c r="C2492" i="9"/>
  <c r="D2492" i="9"/>
  <c r="E2492" i="9"/>
  <c r="F2492" i="9"/>
  <c r="A2493" i="9"/>
  <c r="B2493" i="9"/>
  <c r="C2493" i="9"/>
  <c r="D2493" i="9"/>
  <c r="E2493" i="9"/>
  <c r="F2493" i="9"/>
  <c r="A2494" i="9"/>
  <c r="B2494" i="9"/>
  <c r="C2494" i="9"/>
  <c r="D2494" i="9"/>
  <c r="E2494" i="9"/>
  <c r="F2494" i="9"/>
  <c r="A2495" i="9"/>
  <c r="B2495" i="9"/>
  <c r="C2495" i="9"/>
  <c r="D2495" i="9"/>
  <c r="E2495" i="9"/>
  <c r="F2495" i="9"/>
  <c r="A2496" i="9"/>
  <c r="B2496" i="9"/>
  <c r="C2496" i="9"/>
  <c r="D2496" i="9"/>
  <c r="E2496" i="9"/>
  <c r="F2496" i="9"/>
  <c r="A2497" i="9"/>
  <c r="B2497" i="9"/>
  <c r="C2497" i="9"/>
  <c r="D2497" i="9"/>
  <c r="E2497" i="9"/>
  <c r="F2497" i="9"/>
  <c r="A2498" i="9"/>
  <c r="B2498" i="9"/>
  <c r="C2498" i="9"/>
  <c r="D2498" i="9"/>
  <c r="E2498" i="9"/>
  <c r="F2498" i="9"/>
  <c r="A2499" i="9"/>
  <c r="B2499" i="9"/>
  <c r="C2499" i="9"/>
  <c r="D2499" i="9"/>
  <c r="E2499" i="9"/>
  <c r="F2499" i="9"/>
  <c r="A2500" i="9"/>
  <c r="B2500" i="9"/>
  <c r="C2500" i="9"/>
  <c r="D2500" i="9"/>
  <c r="E2500" i="9"/>
  <c r="F2500" i="9"/>
  <c r="A2501" i="9"/>
  <c r="B2501" i="9"/>
  <c r="C2501" i="9"/>
  <c r="D2501" i="9"/>
  <c r="E2501" i="9"/>
  <c r="F2501" i="9"/>
  <c r="A2502" i="9"/>
  <c r="B2502" i="9"/>
  <c r="C2502" i="9"/>
  <c r="D2502" i="9"/>
  <c r="E2502" i="9"/>
  <c r="F2502" i="9"/>
  <c r="A2503" i="9"/>
  <c r="B2503" i="9"/>
  <c r="C2503" i="9"/>
  <c r="D2503" i="9"/>
  <c r="E2503" i="9"/>
  <c r="F2503" i="9"/>
  <c r="A2504" i="9"/>
  <c r="B2504" i="9"/>
  <c r="C2504" i="9"/>
  <c r="D2504" i="9"/>
  <c r="E2504" i="9"/>
  <c r="F2504" i="9"/>
  <c r="A2505" i="9"/>
  <c r="B2505" i="9"/>
  <c r="C2505" i="9"/>
  <c r="D2505" i="9"/>
  <c r="E2505" i="9"/>
  <c r="F2505" i="9"/>
  <c r="A2506" i="9"/>
  <c r="B2506" i="9"/>
  <c r="C2506" i="9"/>
  <c r="D2506" i="9"/>
  <c r="E2506" i="9"/>
  <c r="F2506" i="9"/>
  <c r="A2507" i="9"/>
  <c r="B2507" i="9"/>
  <c r="C2507" i="9"/>
  <c r="D2507" i="9"/>
  <c r="E2507" i="9"/>
  <c r="F2507" i="9"/>
  <c r="A2508" i="9"/>
  <c r="B2508" i="9"/>
  <c r="C2508" i="9"/>
  <c r="D2508" i="9"/>
  <c r="E2508" i="9"/>
  <c r="F2508" i="9"/>
  <c r="A2509" i="9"/>
  <c r="B2509" i="9"/>
  <c r="C2509" i="9"/>
  <c r="D2509" i="9"/>
  <c r="E2509" i="9"/>
  <c r="F2509" i="9"/>
  <c r="A2510" i="9"/>
  <c r="B2510" i="9"/>
  <c r="C2510" i="9"/>
  <c r="D2510" i="9"/>
  <c r="E2510" i="9"/>
  <c r="F2510" i="9"/>
  <c r="A2511" i="9"/>
  <c r="B2511" i="9"/>
  <c r="C2511" i="9"/>
  <c r="D2511" i="9"/>
  <c r="E2511" i="9"/>
  <c r="F2511" i="9"/>
  <c r="A2512" i="9"/>
  <c r="B2512" i="9"/>
  <c r="C2512" i="9"/>
  <c r="D2512" i="9"/>
  <c r="E2512" i="9"/>
  <c r="F2512" i="9"/>
  <c r="A2513" i="9"/>
  <c r="B2513" i="9"/>
  <c r="C2513" i="9"/>
  <c r="D2513" i="9"/>
  <c r="E2513" i="9"/>
  <c r="F2513" i="9"/>
  <c r="A2514" i="9"/>
  <c r="B2514" i="9"/>
  <c r="C2514" i="9"/>
  <c r="D2514" i="9"/>
  <c r="E2514" i="9"/>
  <c r="F2514" i="9"/>
  <c r="A2515" i="9"/>
  <c r="B2515" i="9"/>
  <c r="C2515" i="9"/>
  <c r="D2515" i="9"/>
  <c r="E2515" i="9"/>
  <c r="F2515" i="9"/>
  <c r="A2516" i="9"/>
  <c r="B2516" i="9"/>
  <c r="C2516" i="9"/>
  <c r="D2516" i="9"/>
  <c r="E2516" i="9"/>
  <c r="F2516" i="9"/>
  <c r="A2517" i="9"/>
  <c r="B2517" i="9"/>
  <c r="C2517" i="9"/>
  <c r="D2517" i="9"/>
  <c r="E2517" i="9"/>
  <c r="F2517" i="9"/>
  <c r="A2518" i="9"/>
  <c r="B2518" i="9"/>
  <c r="C2518" i="9"/>
  <c r="D2518" i="9"/>
  <c r="E2518" i="9"/>
  <c r="F2518" i="9"/>
  <c r="A2519" i="9"/>
  <c r="B2519" i="9"/>
  <c r="C2519" i="9"/>
  <c r="D2519" i="9"/>
  <c r="E2519" i="9"/>
  <c r="F2519" i="9"/>
  <c r="A2520" i="9"/>
  <c r="B2520" i="9"/>
  <c r="C2520" i="9"/>
  <c r="D2520" i="9"/>
  <c r="E2520" i="9"/>
  <c r="F2520" i="9"/>
  <c r="A2521" i="9"/>
  <c r="B2521" i="9"/>
  <c r="C2521" i="9"/>
  <c r="D2521" i="9"/>
  <c r="E2521" i="9"/>
  <c r="F2521" i="9"/>
  <c r="A2522" i="9"/>
  <c r="B2522" i="9"/>
  <c r="C2522" i="9"/>
  <c r="D2522" i="9"/>
  <c r="E2522" i="9"/>
  <c r="F2522" i="9"/>
  <c r="A2523" i="9"/>
  <c r="B2523" i="9"/>
  <c r="C2523" i="9"/>
  <c r="D2523" i="9"/>
  <c r="E2523" i="9"/>
  <c r="F2523" i="9"/>
  <c r="A2524" i="9"/>
  <c r="B2524" i="9"/>
  <c r="C2524" i="9"/>
  <c r="D2524" i="9"/>
  <c r="E2524" i="9"/>
  <c r="F2524" i="9"/>
  <c r="A2525" i="9"/>
  <c r="B2525" i="9"/>
  <c r="C2525" i="9"/>
  <c r="D2525" i="9"/>
  <c r="E2525" i="9"/>
  <c r="F2525" i="9"/>
  <c r="A2526" i="9"/>
  <c r="B2526" i="9"/>
  <c r="C2526" i="9"/>
  <c r="D2526" i="9"/>
  <c r="E2526" i="9"/>
  <c r="F2526" i="9"/>
  <c r="A2527" i="9"/>
  <c r="B2527" i="9"/>
  <c r="C2527" i="9"/>
  <c r="D2527" i="9"/>
  <c r="E2527" i="9"/>
  <c r="F2527" i="9"/>
  <c r="A2528" i="9"/>
  <c r="B2528" i="9"/>
  <c r="C2528" i="9"/>
  <c r="D2528" i="9"/>
  <c r="E2528" i="9"/>
  <c r="F2528" i="9"/>
  <c r="A2529" i="9"/>
  <c r="B2529" i="9"/>
  <c r="C2529" i="9"/>
  <c r="D2529" i="9"/>
  <c r="E2529" i="9"/>
  <c r="F2529" i="9"/>
  <c r="A2530" i="9"/>
  <c r="B2530" i="9"/>
  <c r="C2530" i="9"/>
  <c r="D2530" i="9"/>
  <c r="E2530" i="9"/>
  <c r="F2530" i="9"/>
  <c r="A2531" i="9"/>
  <c r="B2531" i="9"/>
  <c r="C2531" i="9"/>
  <c r="D2531" i="9"/>
  <c r="E2531" i="9"/>
  <c r="F2531" i="9"/>
  <c r="A2532" i="9"/>
  <c r="B2532" i="9"/>
  <c r="C2532" i="9"/>
  <c r="D2532" i="9"/>
  <c r="E2532" i="9"/>
  <c r="F2532" i="9"/>
  <c r="A2533" i="9"/>
  <c r="B2533" i="9"/>
  <c r="C2533" i="9"/>
  <c r="D2533" i="9"/>
  <c r="E2533" i="9"/>
  <c r="F2533" i="9"/>
  <c r="A2534" i="9"/>
  <c r="B2534" i="9"/>
  <c r="C2534" i="9"/>
  <c r="D2534" i="9"/>
  <c r="E2534" i="9"/>
  <c r="F2534" i="9"/>
  <c r="A2535" i="9"/>
  <c r="B2535" i="9"/>
  <c r="C2535" i="9"/>
  <c r="D2535" i="9"/>
  <c r="E2535" i="9"/>
  <c r="F2535" i="9"/>
  <c r="A2536" i="9"/>
  <c r="B2536" i="9"/>
  <c r="C2536" i="9"/>
  <c r="D2536" i="9"/>
  <c r="E2536" i="9"/>
  <c r="F2536" i="9"/>
  <c r="A2537" i="9"/>
  <c r="B2537" i="9"/>
  <c r="C2537" i="9"/>
  <c r="D2537" i="9"/>
  <c r="E2537" i="9"/>
  <c r="F2537" i="9"/>
  <c r="A2538" i="9"/>
  <c r="B2538" i="9"/>
  <c r="C2538" i="9"/>
  <c r="D2538" i="9"/>
  <c r="E2538" i="9"/>
  <c r="F2538" i="9"/>
  <c r="A2539" i="9"/>
  <c r="B2539" i="9"/>
  <c r="C2539" i="9"/>
  <c r="D2539" i="9"/>
  <c r="E2539" i="9"/>
  <c r="F2539" i="9"/>
  <c r="A2540" i="9"/>
  <c r="B2540" i="9"/>
  <c r="C2540" i="9"/>
  <c r="D2540" i="9"/>
  <c r="E2540" i="9"/>
  <c r="F2540" i="9"/>
  <c r="A2541" i="9"/>
  <c r="B2541" i="9"/>
  <c r="C2541" i="9"/>
  <c r="D2541" i="9"/>
  <c r="E2541" i="9"/>
  <c r="F2541" i="9"/>
  <c r="A2542" i="9"/>
  <c r="B2542" i="9"/>
  <c r="C2542" i="9"/>
  <c r="D2542" i="9"/>
  <c r="E2542" i="9"/>
  <c r="F2542" i="9"/>
  <c r="A2543" i="9"/>
  <c r="B2543" i="9"/>
  <c r="C2543" i="9"/>
  <c r="D2543" i="9"/>
  <c r="E2543" i="9"/>
  <c r="F2543" i="9"/>
  <c r="A2544" i="9"/>
  <c r="B2544" i="9"/>
  <c r="C2544" i="9"/>
  <c r="D2544" i="9"/>
  <c r="E2544" i="9"/>
  <c r="F2544" i="9"/>
  <c r="A2545" i="9"/>
  <c r="B2545" i="9"/>
  <c r="C2545" i="9"/>
  <c r="D2545" i="9"/>
  <c r="E2545" i="9"/>
  <c r="F2545" i="9"/>
  <c r="A2546" i="9"/>
  <c r="B2546" i="9"/>
  <c r="C2546" i="9"/>
  <c r="D2546" i="9"/>
  <c r="E2546" i="9"/>
  <c r="F2546" i="9"/>
  <c r="A2547" i="9"/>
  <c r="B2547" i="9"/>
  <c r="C2547" i="9"/>
  <c r="D2547" i="9"/>
  <c r="E2547" i="9"/>
  <c r="F2547" i="9"/>
  <c r="A2548" i="9"/>
  <c r="B2548" i="9"/>
  <c r="C2548" i="9"/>
  <c r="D2548" i="9"/>
  <c r="E2548" i="9"/>
  <c r="F2548" i="9"/>
  <c r="A2549" i="9"/>
  <c r="B2549" i="9"/>
  <c r="C2549" i="9"/>
  <c r="D2549" i="9"/>
  <c r="E2549" i="9"/>
  <c r="F2549" i="9"/>
  <c r="A2550" i="9"/>
  <c r="B2550" i="9"/>
  <c r="C2550" i="9"/>
  <c r="D2550" i="9"/>
  <c r="E2550" i="9"/>
  <c r="F2550" i="9"/>
  <c r="A2551" i="9"/>
  <c r="B2551" i="9"/>
  <c r="C2551" i="9"/>
  <c r="D2551" i="9"/>
  <c r="E2551" i="9"/>
  <c r="F2551" i="9"/>
  <c r="A2552" i="9"/>
  <c r="B2552" i="9"/>
  <c r="C2552" i="9"/>
  <c r="D2552" i="9"/>
  <c r="E2552" i="9"/>
  <c r="F2552" i="9"/>
  <c r="A2553" i="9"/>
  <c r="B2553" i="9"/>
  <c r="C2553" i="9"/>
  <c r="D2553" i="9"/>
  <c r="E2553" i="9"/>
  <c r="F2553" i="9"/>
  <c r="A2554" i="9"/>
  <c r="B2554" i="9"/>
  <c r="C2554" i="9"/>
  <c r="D2554" i="9"/>
  <c r="E2554" i="9"/>
  <c r="F2554" i="9"/>
  <c r="A2555" i="9"/>
  <c r="B2555" i="9"/>
  <c r="C2555" i="9"/>
  <c r="D2555" i="9"/>
  <c r="E2555" i="9"/>
  <c r="F2555" i="9"/>
  <c r="A2556" i="9"/>
  <c r="B2556" i="9"/>
  <c r="C2556" i="9"/>
  <c r="D2556" i="9"/>
  <c r="E2556" i="9"/>
  <c r="F2556" i="9"/>
  <c r="A2557" i="9"/>
  <c r="B2557" i="9"/>
  <c r="C2557" i="9"/>
  <c r="D2557" i="9"/>
  <c r="E2557" i="9"/>
  <c r="F2557" i="9"/>
  <c r="A2558" i="9"/>
  <c r="B2558" i="9"/>
  <c r="C2558" i="9"/>
  <c r="D2558" i="9"/>
  <c r="E2558" i="9"/>
  <c r="F2558" i="9"/>
  <c r="A2559" i="9"/>
  <c r="B2559" i="9"/>
  <c r="C2559" i="9"/>
  <c r="D2559" i="9"/>
  <c r="E2559" i="9"/>
  <c r="F2559" i="9"/>
  <c r="A2560" i="9"/>
  <c r="B2560" i="9"/>
  <c r="C2560" i="9"/>
  <c r="D2560" i="9"/>
  <c r="E2560" i="9"/>
  <c r="F2560" i="9"/>
  <c r="A2561" i="9"/>
  <c r="B2561" i="9"/>
  <c r="C2561" i="9"/>
  <c r="D2561" i="9"/>
  <c r="E2561" i="9"/>
  <c r="F2561" i="9"/>
  <c r="A2562" i="9"/>
  <c r="B2562" i="9"/>
  <c r="C2562" i="9"/>
  <c r="D2562" i="9"/>
  <c r="E2562" i="9"/>
  <c r="F2562" i="9"/>
  <c r="A2563" i="9"/>
  <c r="B2563" i="9"/>
  <c r="C2563" i="9"/>
  <c r="D2563" i="9"/>
  <c r="E2563" i="9"/>
  <c r="F2563" i="9"/>
  <c r="A2564" i="9"/>
  <c r="B2564" i="9"/>
  <c r="C2564" i="9"/>
  <c r="D2564" i="9"/>
  <c r="E2564" i="9"/>
  <c r="F2564" i="9"/>
  <c r="A2565" i="9"/>
  <c r="B2565" i="9"/>
  <c r="C2565" i="9"/>
  <c r="D2565" i="9"/>
  <c r="E2565" i="9"/>
  <c r="F2565" i="9"/>
  <c r="A2566" i="9"/>
  <c r="B2566" i="9"/>
  <c r="C2566" i="9"/>
  <c r="D2566" i="9"/>
  <c r="E2566" i="9"/>
  <c r="F2566" i="9"/>
  <c r="A2567" i="9"/>
  <c r="B2567" i="9"/>
  <c r="C2567" i="9"/>
  <c r="D2567" i="9"/>
  <c r="E2567" i="9"/>
  <c r="F2567" i="9"/>
  <c r="A2568" i="9"/>
  <c r="B2568" i="9"/>
  <c r="C2568" i="9"/>
  <c r="D2568" i="9"/>
  <c r="E2568" i="9"/>
  <c r="F2568" i="9"/>
  <c r="A2569" i="9"/>
  <c r="B2569" i="9"/>
  <c r="C2569" i="9"/>
  <c r="D2569" i="9"/>
  <c r="E2569" i="9"/>
  <c r="F2569" i="9"/>
  <c r="A2570" i="9"/>
  <c r="B2570" i="9"/>
  <c r="C2570" i="9"/>
  <c r="D2570" i="9"/>
  <c r="E2570" i="9"/>
  <c r="F2570" i="9"/>
  <c r="A2571" i="9"/>
  <c r="B2571" i="9"/>
  <c r="C2571" i="9"/>
  <c r="D2571" i="9"/>
  <c r="E2571" i="9"/>
  <c r="F2571" i="9"/>
  <c r="A2572" i="9"/>
  <c r="B2572" i="9"/>
  <c r="C2572" i="9"/>
  <c r="D2572" i="9"/>
  <c r="E2572" i="9"/>
  <c r="F2572" i="9"/>
  <c r="A2573" i="9"/>
  <c r="B2573" i="9"/>
  <c r="C2573" i="9"/>
  <c r="D2573" i="9"/>
  <c r="E2573" i="9"/>
  <c r="F2573" i="9"/>
  <c r="A2574" i="9"/>
  <c r="B2574" i="9"/>
  <c r="C2574" i="9"/>
  <c r="D2574" i="9"/>
  <c r="E2574" i="9"/>
  <c r="F2574" i="9"/>
  <c r="A2575" i="9"/>
  <c r="B2575" i="9"/>
  <c r="C2575" i="9"/>
  <c r="D2575" i="9"/>
  <c r="E2575" i="9"/>
  <c r="F2575" i="9"/>
  <c r="A2576" i="9"/>
  <c r="B2576" i="9"/>
  <c r="C2576" i="9"/>
  <c r="D2576" i="9"/>
  <c r="E2576" i="9"/>
  <c r="F2576" i="9"/>
  <c r="A2577" i="9"/>
  <c r="B2577" i="9"/>
  <c r="C2577" i="9"/>
  <c r="D2577" i="9"/>
  <c r="E2577" i="9"/>
  <c r="F2577" i="9"/>
  <c r="A2578" i="9"/>
  <c r="B2578" i="9"/>
  <c r="C2578" i="9"/>
  <c r="D2578" i="9"/>
  <c r="E2578" i="9"/>
  <c r="F2578" i="9"/>
  <c r="A2579" i="9"/>
  <c r="B2579" i="9"/>
  <c r="C2579" i="9"/>
  <c r="D2579" i="9"/>
  <c r="E2579" i="9"/>
  <c r="F2579" i="9"/>
  <c r="A2580" i="9"/>
  <c r="B2580" i="9"/>
  <c r="C2580" i="9"/>
  <c r="D2580" i="9"/>
  <c r="E2580" i="9"/>
  <c r="F2580" i="9"/>
  <c r="A2581" i="9"/>
  <c r="B2581" i="9"/>
  <c r="C2581" i="9"/>
  <c r="D2581" i="9"/>
  <c r="E2581" i="9"/>
  <c r="F2581" i="9"/>
  <c r="A2582" i="9"/>
  <c r="B2582" i="9"/>
  <c r="C2582" i="9"/>
  <c r="D2582" i="9"/>
  <c r="E2582" i="9"/>
  <c r="F2582" i="9"/>
  <c r="A2583" i="9"/>
  <c r="B2583" i="9"/>
  <c r="C2583" i="9"/>
  <c r="D2583" i="9"/>
  <c r="E2583" i="9"/>
  <c r="F2583" i="9"/>
  <c r="A2584" i="9"/>
  <c r="B2584" i="9"/>
  <c r="C2584" i="9"/>
  <c r="D2584" i="9"/>
  <c r="E2584" i="9"/>
  <c r="F2584" i="9"/>
  <c r="A2585" i="9"/>
  <c r="B2585" i="9"/>
  <c r="C2585" i="9"/>
  <c r="D2585" i="9"/>
  <c r="E2585" i="9"/>
  <c r="F2585" i="9"/>
  <c r="A2586" i="9"/>
  <c r="B2586" i="9"/>
  <c r="C2586" i="9"/>
  <c r="D2586" i="9"/>
  <c r="E2586" i="9"/>
  <c r="F2586" i="9"/>
  <c r="A2587" i="9"/>
  <c r="B2587" i="9"/>
  <c r="C2587" i="9"/>
  <c r="D2587" i="9"/>
  <c r="E2587" i="9"/>
  <c r="F2587" i="9"/>
  <c r="A2588" i="9"/>
  <c r="B2588" i="9"/>
  <c r="C2588" i="9"/>
  <c r="D2588" i="9"/>
  <c r="E2588" i="9"/>
  <c r="F2588" i="9"/>
  <c r="A2589" i="9"/>
  <c r="B2589" i="9"/>
  <c r="C2589" i="9"/>
  <c r="D2589" i="9"/>
  <c r="E2589" i="9"/>
  <c r="F2589" i="9"/>
  <c r="A2590" i="9"/>
  <c r="B2590" i="9"/>
  <c r="C2590" i="9"/>
  <c r="D2590" i="9"/>
  <c r="E2590" i="9"/>
  <c r="F2590" i="9"/>
  <c r="A2591" i="9"/>
  <c r="B2591" i="9"/>
  <c r="C2591" i="9"/>
  <c r="D2591" i="9"/>
  <c r="E2591" i="9"/>
  <c r="F2591" i="9"/>
  <c r="A2592" i="9"/>
  <c r="B2592" i="9"/>
  <c r="C2592" i="9"/>
  <c r="D2592" i="9"/>
  <c r="E2592" i="9"/>
  <c r="F2592" i="9"/>
  <c r="A2593" i="9"/>
  <c r="B2593" i="9"/>
  <c r="C2593" i="9"/>
  <c r="D2593" i="9"/>
  <c r="E2593" i="9"/>
  <c r="F2593" i="9"/>
  <c r="A2594" i="9"/>
  <c r="B2594" i="9"/>
  <c r="C2594" i="9"/>
  <c r="D2594" i="9"/>
  <c r="E2594" i="9"/>
  <c r="F2594" i="9"/>
  <c r="A2595" i="9"/>
  <c r="B2595" i="9"/>
  <c r="C2595" i="9"/>
  <c r="D2595" i="9"/>
  <c r="E2595" i="9"/>
  <c r="F2595" i="9"/>
  <c r="A2596" i="9"/>
  <c r="B2596" i="9"/>
  <c r="C2596" i="9"/>
  <c r="D2596" i="9"/>
  <c r="E2596" i="9"/>
  <c r="F2596" i="9"/>
  <c r="A2597" i="9"/>
  <c r="B2597" i="9"/>
  <c r="C2597" i="9"/>
  <c r="D2597" i="9"/>
  <c r="E2597" i="9"/>
  <c r="F2597" i="9"/>
  <c r="A2598" i="9"/>
  <c r="B2598" i="9"/>
  <c r="C2598" i="9"/>
  <c r="D2598" i="9"/>
  <c r="E2598" i="9"/>
  <c r="F2598" i="9"/>
  <c r="A2599" i="9"/>
  <c r="B2599" i="9"/>
  <c r="C2599" i="9"/>
  <c r="D2599" i="9"/>
  <c r="E2599" i="9"/>
  <c r="F2599" i="9"/>
  <c r="A2600" i="9"/>
  <c r="B2600" i="9"/>
  <c r="C2600" i="9"/>
  <c r="D2600" i="9"/>
  <c r="E2600" i="9"/>
  <c r="F2600" i="9"/>
  <c r="A2601" i="9"/>
  <c r="B2601" i="9"/>
  <c r="C2601" i="9"/>
  <c r="D2601" i="9"/>
  <c r="E2601" i="9"/>
  <c r="F2601" i="9"/>
  <c r="A2602" i="9"/>
  <c r="B2602" i="9"/>
  <c r="C2602" i="9"/>
  <c r="D2602" i="9"/>
  <c r="E2602" i="9"/>
  <c r="F2602" i="9"/>
  <c r="A2603" i="9"/>
  <c r="B2603" i="9"/>
  <c r="C2603" i="9"/>
  <c r="D2603" i="9"/>
  <c r="E2603" i="9"/>
  <c r="F2603" i="9"/>
  <c r="A2604" i="9"/>
  <c r="B2604" i="9"/>
  <c r="C2604" i="9"/>
  <c r="D2604" i="9"/>
  <c r="E2604" i="9"/>
  <c r="F2604" i="9"/>
  <c r="A2605" i="9"/>
  <c r="B2605" i="9"/>
  <c r="C2605" i="9"/>
  <c r="D2605" i="9"/>
  <c r="E2605" i="9"/>
  <c r="F2605" i="9"/>
  <c r="A2606" i="9"/>
  <c r="B2606" i="9"/>
  <c r="C2606" i="9"/>
  <c r="D2606" i="9"/>
  <c r="E2606" i="9"/>
  <c r="F2606" i="9"/>
  <c r="A2607" i="9"/>
  <c r="B2607" i="9"/>
  <c r="C2607" i="9"/>
  <c r="D2607" i="9"/>
  <c r="E2607" i="9"/>
  <c r="F2607" i="9"/>
  <c r="A2608" i="9"/>
  <c r="B2608" i="9"/>
  <c r="C2608" i="9"/>
  <c r="D2608" i="9"/>
  <c r="E2608" i="9"/>
  <c r="F2608" i="9"/>
  <c r="A2609" i="9"/>
  <c r="B2609" i="9"/>
  <c r="C2609" i="9"/>
  <c r="D2609" i="9"/>
  <c r="E2609" i="9"/>
  <c r="F2609" i="9"/>
  <c r="A2610" i="9"/>
  <c r="B2610" i="9"/>
  <c r="C2610" i="9"/>
  <c r="D2610" i="9"/>
  <c r="E2610" i="9"/>
  <c r="F2610" i="9"/>
  <c r="A2611" i="9"/>
  <c r="B2611" i="9"/>
  <c r="C2611" i="9"/>
  <c r="D2611" i="9"/>
  <c r="E2611" i="9"/>
  <c r="F2611" i="9"/>
  <c r="A2612" i="9"/>
  <c r="B2612" i="9"/>
  <c r="C2612" i="9"/>
  <c r="D2612" i="9"/>
  <c r="E2612" i="9"/>
  <c r="F2612" i="9"/>
  <c r="A2613" i="9"/>
  <c r="B2613" i="9"/>
  <c r="C2613" i="9"/>
  <c r="D2613" i="9"/>
  <c r="E2613" i="9"/>
  <c r="F2613" i="9"/>
  <c r="A2614" i="9"/>
  <c r="B2614" i="9"/>
  <c r="C2614" i="9"/>
  <c r="D2614" i="9"/>
  <c r="E2614" i="9"/>
  <c r="F2614" i="9"/>
  <c r="A2615" i="9"/>
  <c r="B2615" i="9"/>
  <c r="C2615" i="9"/>
  <c r="D2615" i="9"/>
  <c r="E2615" i="9"/>
  <c r="F2615" i="9"/>
  <c r="A2616" i="9"/>
  <c r="B2616" i="9"/>
  <c r="C2616" i="9"/>
  <c r="D2616" i="9"/>
  <c r="E2616" i="9"/>
  <c r="F2616" i="9"/>
  <c r="A2617" i="9"/>
  <c r="B2617" i="9"/>
  <c r="C2617" i="9"/>
  <c r="D2617" i="9"/>
  <c r="E2617" i="9"/>
  <c r="F2617" i="9"/>
  <c r="A2618" i="9"/>
  <c r="B2618" i="9"/>
  <c r="C2618" i="9"/>
  <c r="D2618" i="9"/>
  <c r="E2618" i="9"/>
  <c r="F2618" i="9"/>
  <c r="A2619" i="9"/>
  <c r="B2619" i="9"/>
  <c r="C2619" i="9"/>
  <c r="D2619" i="9"/>
  <c r="E2619" i="9"/>
  <c r="F2619" i="9"/>
  <c r="A2620" i="9"/>
  <c r="B2620" i="9"/>
  <c r="C2620" i="9"/>
  <c r="D2620" i="9"/>
  <c r="E2620" i="9"/>
  <c r="F2620" i="9"/>
  <c r="A2621" i="9"/>
  <c r="B2621" i="9"/>
  <c r="C2621" i="9"/>
  <c r="D2621" i="9"/>
  <c r="E2621" i="9"/>
  <c r="F2621" i="9"/>
  <c r="A2622" i="9"/>
  <c r="B2622" i="9"/>
  <c r="C2622" i="9"/>
  <c r="D2622" i="9"/>
  <c r="E2622" i="9"/>
  <c r="F2622" i="9"/>
  <c r="A2623" i="9"/>
  <c r="B2623" i="9"/>
  <c r="C2623" i="9"/>
  <c r="D2623" i="9"/>
  <c r="E2623" i="9"/>
  <c r="F2623" i="9"/>
  <c r="A2624" i="9"/>
  <c r="B2624" i="9"/>
  <c r="C2624" i="9"/>
  <c r="D2624" i="9"/>
  <c r="E2624" i="9"/>
  <c r="F2624" i="9"/>
  <c r="A2625" i="9"/>
  <c r="B2625" i="9"/>
  <c r="C2625" i="9"/>
  <c r="D2625" i="9"/>
  <c r="E2625" i="9"/>
  <c r="F2625" i="9"/>
  <c r="A2626" i="9"/>
  <c r="B2626" i="9"/>
  <c r="C2626" i="9"/>
  <c r="D2626" i="9"/>
  <c r="E2626" i="9"/>
  <c r="F2626" i="9"/>
  <c r="A2627" i="9"/>
  <c r="B2627" i="9"/>
  <c r="C2627" i="9"/>
  <c r="D2627" i="9"/>
  <c r="E2627" i="9"/>
  <c r="F2627" i="9"/>
  <c r="A2628" i="9"/>
  <c r="B2628" i="9"/>
  <c r="C2628" i="9"/>
  <c r="D2628" i="9"/>
  <c r="E2628" i="9"/>
  <c r="F2628" i="9"/>
  <c r="A2629" i="9"/>
  <c r="B2629" i="9"/>
  <c r="C2629" i="9"/>
  <c r="D2629" i="9"/>
  <c r="E2629" i="9"/>
  <c r="F2629" i="9"/>
  <c r="A2630" i="9"/>
  <c r="B2630" i="9"/>
  <c r="C2630" i="9"/>
  <c r="D2630" i="9"/>
  <c r="E2630" i="9"/>
  <c r="F2630" i="9"/>
  <c r="A2631" i="9"/>
  <c r="B2631" i="9"/>
  <c r="C2631" i="9"/>
  <c r="D2631" i="9"/>
  <c r="E2631" i="9"/>
  <c r="F2631" i="9"/>
  <c r="A2632" i="9"/>
  <c r="B2632" i="9"/>
  <c r="C2632" i="9"/>
  <c r="D2632" i="9"/>
  <c r="E2632" i="9"/>
  <c r="F2632" i="9"/>
  <c r="A2633" i="9"/>
  <c r="B2633" i="9"/>
  <c r="C2633" i="9"/>
  <c r="D2633" i="9"/>
  <c r="E2633" i="9"/>
  <c r="F2633" i="9"/>
  <c r="A2634" i="9"/>
  <c r="B2634" i="9"/>
  <c r="C2634" i="9"/>
  <c r="D2634" i="9"/>
  <c r="E2634" i="9"/>
  <c r="F2634" i="9"/>
  <c r="A2635" i="9"/>
  <c r="B2635" i="9"/>
  <c r="C2635" i="9"/>
  <c r="D2635" i="9"/>
  <c r="E2635" i="9"/>
  <c r="F2635" i="9"/>
  <c r="A2636" i="9"/>
  <c r="B2636" i="9"/>
  <c r="C2636" i="9"/>
  <c r="D2636" i="9"/>
  <c r="E2636" i="9"/>
  <c r="F2636" i="9"/>
  <c r="A2637" i="9"/>
  <c r="B2637" i="9"/>
  <c r="C2637" i="9"/>
  <c r="D2637" i="9"/>
  <c r="E2637" i="9"/>
  <c r="F2637" i="9"/>
  <c r="A2638" i="9"/>
  <c r="B2638" i="9"/>
  <c r="C2638" i="9"/>
  <c r="D2638" i="9"/>
  <c r="E2638" i="9"/>
  <c r="F2638" i="9"/>
  <c r="A2639" i="9"/>
  <c r="B2639" i="9"/>
  <c r="C2639" i="9"/>
  <c r="D2639" i="9"/>
  <c r="E2639" i="9"/>
  <c r="F2639" i="9"/>
  <c r="A2640" i="9"/>
  <c r="B2640" i="9"/>
  <c r="C2640" i="9"/>
  <c r="D2640" i="9"/>
  <c r="E2640" i="9"/>
  <c r="F2640" i="9"/>
  <c r="A2641" i="9"/>
  <c r="B2641" i="9"/>
  <c r="C2641" i="9"/>
  <c r="D2641" i="9"/>
  <c r="E2641" i="9"/>
  <c r="F2641" i="9"/>
  <c r="A2642" i="9"/>
  <c r="B2642" i="9"/>
  <c r="C2642" i="9"/>
  <c r="D2642" i="9"/>
  <c r="E2642" i="9"/>
  <c r="F2642" i="9"/>
  <c r="A2643" i="9"/>
  <c r="B2643" i="9"/>
  <c r="C2643" i="9"/>
  <c r="D2643" i="9"/>
  <c r="E2643" i="9"/>
  <c r="F2643" i="9"/>
  <c r="A2644" i="9"/>
  <c r="B2644" i="9"/>
  <c r="C2644" i="9"/>
  <c r="D2644" i="9"/>
  <c r="E2644" i="9"/>
  <c r="F2644" i="9"/>
  <c r="A2645" i="9"/>
  <c r="B2645" i="9"/>
  <c r="C2645" i="9"/>
  <c r="D2645" i="9"/>
  <c r="E2645" i="9"/>
  <c r="F2645" i="9"/>
  <c r="A2646" i="9"/>
  <c r="B2646" i="9"/>
  <c r="C2646" i="9"/>
  <c r="D2646" i="9"/>
  <c r="E2646" i="9"/>
  <c r="F2646" i="9"/>
  <c r="A2647" i="9"/>
  <c r="B2647" i="9"/>
  <c r="C2647" i="9"/>
  <c r="D2647" i="9"/>
  <c r="E2647" i="9"/>
  <c r="F2647" i="9"/>
  <c r="A2648" i="9"/>
  <c r="B2648" i="9"/>
  <c r="C2648" i="9"/>
  <c r="D2648" i="9"/>
  <c r="E2648" i="9"/>
  <c r="F2648" i="9"/>
  <c r="A2649" i="9"/>
  <c r="B2649" i="9"/>
  <c r="C2649" i="9"/>
  <c r="D2649" i="9"/>
  <c r="E2649" i="9"/>
  <c r="F2649" i="9"/>
  <c r="A2650" i="9"/>
  <c r="B2650" i="9"/>
  <c r="C2650" i="9"/>
  <c r="D2650" i="9"/>
  <c r="E2650" i="9"/>
  <c r="F2650" i="9"/>
  <c r="A2651" i="9"/>
  <c r="B2651" i="9"/>
  <c r="C2651" i="9"/>
  <c r="D2651" i="9"/>
  <c r="E2651" i="9"/>
  <c r="F2651" i="9"/>
  <c r="A2652" i="9"/>
  <c r="B2652" i="9"/>
  <c r="C2652" i="9"/>
  <c r="D2652" i="9"/>
  <c r="E2652" i="9"/>
  <c r="F2652" i="9"/>
  <c r="A2653" i="9"/>
  <c r="B2653" i="9"/>
  <c r="C2653" i="9"/>
  <c r="D2653" i="9"/>
  <c r="E2653" i="9"/>
  <c r="F2653" i="9"/>
  <c r="A2654" i="9"/>
  <c r="B2654" i="9"/>
  <c r="C2654" i="9"/>
  <c r="D2654" i="9"/>
  <c r="E2654" i="9"/>
  <c r="F2654" i="9"/>
  <c r="A2655" i="9"/>
  <c r="B2655" i="9"/>
  <c r="C2655" i="9"/>
  <c r="D2655" i="9"/>
  <c r="E2655" i="9"/>
  <c r="F2655" i="9"/>
  <c r="A2656" i="9"/>
  <c r="B2656" i="9"/>
  <c r="C2656" i="9"/>
  <c r="D2656" i="9"/>
  <c r="E2656" i="9"/>
  <c r="F2656" i="9"/>
  <c r="A2657" i="9"/>
  <c r="B2657" i="9"/>
  <c r="C2657" i="9"/>
  <c r="D2657" i="9"/>
  <c r="E2657" i="9"/>
  <c r="F2657" i="9"/>
  <c r="A2658" i="9"/>
  <c r="B2658" i="9"/>
  <c r="C2658" i="9"/>
  <c r="D2658" i="9"/>
  <c r="E2658" i="9"/>
  <c r="F2658" i="9"/>
  <c r="A2659" i="9"/>
  <c r="B2659" i="9"/>
  <c r="C2659" i="9"/>
  <c r="D2659" i="9"/>
  <c r="E2659" i="9"/>
  <c r="F2659" i="9"/>
  <c r="A2660" i="9"/>
  <c r="B2660" i="9"/>
  <c r="C2660" i="9"/>
  <c r="D2660" i="9"/>
  <c r="E2660" i="9"/>
  <c r="F2660" i="9"/>
  <c r="A2661" i="9"/>
  <c r="B2661" i="9"/>
  <c r="C2661" i="9"/>
  <c r="D2661" i="9"/>
  <c r="E2661" i="9"/>
  <c r="F2661" i="9"/>
  <c r="A2662" i="9"/>
  <c r="B2662" i="9"/>
  <c r="C2662" i="9"/>
  <c r="D2662" i="9"/>
  <c r="E2662" i="9"/>
  <c r="F2662" i="9"/>
  <c r="A2663" i="9"/>
  <c r="B2663" i="9"/>
  <c r="C2663" i="9"/>
  <c r="D2663" i="9"/>
  <c r="E2663" i="9"/>
  <c r="F2663" i="9"/>
  <c r="A2664" i="9"/>
  <c r="B2664" i="9"/>
  <c r="C2664" i="9"/>
  <c r="D2664" i="9"/>
  <c r="E2664" i="9"/>
  <c r="F2664" i="9"/>
  <c r="A2665" i="9"/>
  <c r="B2665" i="9"/>
  <c r="C2665" i="9"/>
  <c r="D2665" i="9"/>
  <c r="E2665" i="9"/>
  <c r="F2665" i="9"/>
  <c r="A2666" i="9"/>
  <c r="B2666" i="9"/>
  <c r="C2666" i="9"/>
  <c r="D2666" i="9"/>
  <c r="E2666" i="9"/>
  <c r="F2666" i="9"/>
  <c r="A2667" i="9"/>
  <c r="B2667" i="9"/>
  <c r="C2667" i="9"/>
  <c r="D2667" i="9"/>
  <c r="E2667" i="9"/>
  <c r="F2667" i="9"/>
  <c r="A2668" i="9"/>
  <c r="B2668" i="9"/>
  <c r="C2668" i="9"/>
  <c r="D2668" i="9"/>
  <c r="E2668" i="9"/>
  <c r="F2668" i="9"/>
  <c r="A2669" i="9"/>
  <c r="B2669" i="9"/>
  <c r="C2669" i="9"/>
  <c r="D2669" i="9"/>
  <c r="E2669" i="9"/>
  <c r="F2669" i="9"/>
  <c r="A2670" i="9"/>
  <c r="B2670" i="9"/>
  <c r="C2670" i="9"/>
  <c r="D2670" i="9"/>
  <c r="E2670" i="9"/>
  <c r="F2670" i="9"/>
  <c r="A2671" i="9"/>
  <c r="B2671" i="9"/>
  <c r="C2671" i="9"/>
  <c r="D2671" i="9"/>
  <c r="E2671" i="9"/>
  <c r="F2671" i="9"/>
  <c r="A2672" i="9"/>
  <c r="B2672" i="9"/>
  <c r="C2672" i="9"/>
  <c r="D2672" i="9"/>
  <c r="E2672" i="9"/>
  <c r="F2672" i="9"/>
  <c r="A2673" i="9"/>
  <c r="B2673" i="9"/>
  <c r="C2673" i="9"/>
  <c r="D2673" i="9"/>
  <c r="E2673" i="9"/>
  <c r="F2673" i="9"/>
  <c r="A2674" i="9"/>
  <c r="B2674" i="9"/>
  <c r="C2674" i="9"/>
  <c r="D2674" i="9"/>
  <c r="E2674" i="9"/>
  <c r="F2674" i="9"/>
  <c r="A2675" i="9"/>
  <c r="B2675" i="9"/>
  <c r="C2675" i="9"/>
  <c r="D2675" i="9"/>
  <c r="E2675" i="9"/>
  <c r="F2675" i="9"/>
  <c r="A2676" i="9"/>
  <c r="B2676" i="9"/>
  <c r="C2676" i="9"/>
  <c r="D2676" i="9"/>
  <c r="E2676" i="9"/>
  <c r="F2676" i="9"/>
  <c r="A2677" i="9"/>
  <c r="B2677" i="9"/>
  <c r="C2677" i="9"/>
  <c r="D2677" i="9"/>
  <c r="E2677" i="9"/>
  <c r="F2677" i="9"/>
  <c r="A2678" i="9"/>
  <c r="B2678" i="9"/>
  <c r="C2678" i="9"/>
  <c r="D2678" i="9"/>
  <c r="E2678" i="9"/>
  <c r="F2678" i="9"/>
  <c r="A2679" i="9"/>
  <c r="B2679" i="9"/>
  <c r="C2679" i="9"/>
  <c r="D2679" i="9"/>
  <c r="E2679" i="9"/>
  <c r="F2679" i="9"/>
  <c r="A2680" i="9"/>
  <c r="B2680" i="9"/>
  <c r="C2680" i="9"/>
  <c r="D2680" i="9"/>
  <c r="E2680" i="9"/>
  <c r="F2680" i="9"/>
  <c r="A2681" i="9"/>
  <c r="B2681" i="9"/>
  <c r="C2681" i="9"/>
  <c r="D2681" i="9"/>
  <c r="E2681" i="9"/>
  <c r="F2681" i="9"/>
  <c r="A2682" i="9"/>
  <c r="B2682" i="9"/>
  <c r="C2682" i="9"/>
  <c r="D2682" i="9"/>
  <c r="E2682" i="9"/>
  <c r="F2682" i="9"/>
  <c r="A2683" i="9"/>
  <c r="B2683" i="9"/>
  <c r="C2683" i="9"/>
  <c r="D2683" i="9"/>
  <c r="E2683" i="9"/>
  <c r="F2683" i="9"/>
  <c r="A2684" i="9"/>
  <c r="B2684" i="9"/>
  <c r="C2684" i="9"/>
  <c r="D2684" i="9"/>
  <c r="E2684" i="9"/>
  <c r="F2684" i="9"/>
  <c r="A2685" i="9"/>
  <c r="B2685" i="9"/>
  <c r="C2685" i="9"/>
  <c r="D2685" i="9"/>
  <c r="E2685" i="9"/>
  <c r="F2685" i="9"/>
  <c r="A2686" i="9"/>
  <c r="B2686" i="9"/>
  <c r="C2686" i="9"/>
  <c r="D2686" i="9"/>
  <c r="E2686" i="9"/>
  <c r="F2686" i="9"/>
  <c r="A2687" i="9"/>
  <c r="B2687" i="9"/>
  <c r="C2687" i="9"/>
  <c r="D2687" i="9"/>
  <c r="E2687" i="9"/>
  <c r="F2687" i="9"/>
  <c r="A2688" i="9"/>
  <c r="B2688" i="9"/>
  <c r="C2688" i="9"/>
  <c r="D2688" i="9"/>
  <c r="E2688" i="9"/>
  <c r="F2688" i="9"/>
  <c r="A2689" i="9"/>
  <c r="B2689" i="9"/>
  <c r="C2689" i="9"/>
  <c r="D2689" i="9"/>
  <c r="E2689" i="9"/>
  <c r="F2689" i="9"/>
  <c r="A2690" i="9"/>
  <c r="B2690" i="9"/>
  <c r="C2690" i="9"/>
  <c r="D2690" i="9"/>
  <c r="E2690" i="9"/>
  <c r="F2690" i="9"/>
  <c r="A2691" i="9"/>
  <c r="B2691" i="9"/>
  <c r="C2691" i="9"/>
  <c r="D2691" i="9"/>
  <c r="E2691" i="9"/>
  <c r="F2691" i="9"/>
  <c r="A2692" i="9"/>
  <c r="B2692" i="9"/>
  <c r="C2692" i="9"/>
  <c r="D2692" i="9"/>
  <c r="E2692" i="9"/>
  <c r="F2692" i="9"/>
  <c r="A2693" i="9"/>
  <c r="B2693" i="9"/>
  <c r="C2693" i="9"/>
  <c r="D2693" i="9"/>
  <c r="E2693" i="9"/>
  <c r="F2693" i="9"/>
  <c r="A2694" i="9"/>
  <c r="B2694" i="9"/>
  <c r="C2694" i="9"/>
  <c r="D2694" i="9"/>
  <c r="E2694" i="9"/>
  <c r="F2694" i="9"/>
  <c r="A2695" i="9"/>
  <c r="B2695" i="9"/>
  <c r="C2695" i="9"/>
  <c r="D2695" i="9"/>
  <c r="E2695" i="9"/>
  <c r="F2695" i="9"/>
  <c r="A2696" i="9"/>
  <c r="B2696" i="9"/>
  <c r="C2696" i="9"/>
  <c r="D2696" i="9"/>
  <c r="E2696" i="9"/>
  <c r="F2696" i="9"/>
  <c r="A2697" i="9"/>
  <c r="B2697" i="9"/>
  <c r="C2697" i="9"/>
  <c r="D2697" i="9"/>
  <c r="E2697" i="9"/>
  <c r="F2697" i="9"/>
  <c r="A2698" i="9"/>
  <c r="B2698" i="9"/>
  <c r="C2698" i="9"/>
  <c r="D2698" i="9"/>
  <c r="E2698" i="9"/>
  <c r="F2698" i="9"/>
  <c r="A2699" i="9"/>
  <c r="B2699" i="9"/>
  <c r="C2699" i="9"/>
  <c r="D2699" i="9"/>
  <c r="E2699" i="9"/>
  <c r="F2699" i="9"/>
  <c r="A2700" i="9"/>
  <c r="B2700" i="9"/>
  <c r="C2700" i="9"/>
  <c r="D2700" i="9"/>
  <c r="E2700" i="9"/>
  <c r="F2700" i="9"/>
  <c r="A2701" i="9"/>
  <c r="B2701" i="9"/>
  <c r="C2701" i="9"/>
  <c r="D2701" i="9"/>
  <c r="E2701" i="9"/>
  <c r="F2701" i="9"/>
  <c r="A2702" i="9"/>
  <c r="B2702" i="9"/>
  <c r="C2702" i="9"/>
  <c r="D2702" i="9"/>
  <c r="E2702" i="9"/>
  <c r="F2702" i="9"/>
  <c r="A2703" i="9"/>
  <c r="B2703" i="9"/>
  <c r="C2703" i="9"/>
  <c r="D2703" i="9"/>
  <c r="E2703" i="9"/>
  <c r="F2703" i="9"/>
  <c r="A2704" i="9"/>
  <c r="B2704" i="9"/>
  <c r="C2704" i="9"/>
  <c r="D2704" i="9"/>
  <c r="E2704" i="9"/>
  <c r="F2704" i="9"/>
  <c r="A2705" i="9"/>
  <c r="B2705" i="9"/>
  <c r="C2705" i="9"/>
  <c r="D2705" i="9"/>
  <c r="E2705" i="9"/>
  <c r="F2705" i="9"/>
  <c r="A2706" i="9"/>
  <c r="B2706" i="9"/>
  <c r="C2706" i="9"/>
  <c r="D2706" i="9"/>
  <c r="E2706" i="9"/>
  <c r="F2706" i="9"/>
  <c r="A2707" i="9"/>
  <c r="B2707" i="9"/>
  <c r="C2707" i="9"/>
  <c r="D2707" i="9"/>
  <c r="E2707" i="9"/>
  <c r="F2707" i="9"/>
  <c r="A2708" i="9"/>
  <c r="B2708" i="9"/>
  <c r="C2708" i="9"/>
  <c r="D2708" i="9"/>
  <c r="E2708" i="9"/>
  <c r="F2708" i="9"/>
  <c r="A2709" i="9"/>
  <c r="B2709" i="9"/>
  <c r="C2709" i="9"/>
  <c r="D2709" i="9"/>
  <c r="E2709" i="9"/>
  <c r="F2709" i="9"/>
  <c r="A2710" i="9"/>
  <c r="B2710" i="9"/>
  <c r="C2710" i="9"/>
  <c r="D2710" i="9"/>
  <c r="E2710" i="9"/>
  <c r="F2710" i="9"/>
  <c r="A2711" i="9"/>
  <c r="B2711" i="9"/>
  <c r="C2711" i="9"/>
  <c r="D2711" i="9"/>
  <c r="E2711" i="9"/>
  <c r="F2711" i="9"/>
  <c r="A2712" i="9"/>
  <c r="B2712" i="9"/>
  <c r="C2712" i="9"/>
  <c r="D2712" i="9"/>
  <c r="E2712" i="9"/>
  <c r="F2712" i="9"/>
  <c r="A2713" i="9"/>
  <c r="B2713" i="9"/>
  <c r="C2713" i="9"/>
  <c r="D2713" i="9"/>
  <c r="E2713" i="9"/>
  <c r="F2713" i="9"/>
  <c r="A2714" i="9"/>
  <c r="B2714" i="9"/>
  <c r="C2714" i="9"/>
  <c r="D2714" i="9"/>
  <c r="E2714" i="9"/>
  <c r="F2714" i="9"/>
  <c r="A2715" i="9"/>
  <c r="B2715" i="9"/>
  <c r="C2715" i="9"/>
  <c r="D2715" i="9"/>
  <c r="E2715" i="9"/>
  <c r="F2715" i="9"/>
  <c r="A2716" i="9"/>
  <c r="B2716" i="9"/>
  <c r="C2716" i="9"/>
  <c r="D2716" i="9"/>
  <c r="E2716" i="9"/>
  <c r="F2716" i="9"/>
  <c r="A2717" i="9"/>
  <c r="B2717" i="9"/>
  <c r="C2717" i="9"/>
  <c r="D2717" i="9"/>
  <c r="E2717" i="9"/>
  <c r="F2717" i="9"/>
  <c r="A2718" i="9"/>
  <c r="B2718" i="9"/>
  <c r="C2718" i="9"/>
  <c r="D2718" i="9"/>
  <c r="E2718" i="9"/>
  <c r="F2718" i="9"/>
  <c r="A2719" i="9"/>
  <c r="B2719" i="9"/>
  <c r="C2719" i="9"/>
  <c r="D2719" i="9"/>
  <c r="E2719" i="9"/>
  <c r="F2719" i="9"/>
  <c r="A2720" i="9"/>
  <c r="B2720" i="9"/>
  <c r="C2720" i="9"/>
  <c r="D2720" i="9"/>
  <c r="E2720" i="9"/>
  <c r="F2720" i="9"/>
  <c r="A2721" i="9"/>
  <c r="B2721" i="9"/>
  <c r="C2721" i="9"/>
  <c r="D2721" i="9"/>
  <c r="E2721" i="9"/>
  <c r="F2721" i="9"/>
  <c r="A2722" i="9"/>
  <c r="B2722" i="9"/>
  <c r="C2722" i="9"/>
  <c r="D2722" i="9"/>
  <c r="E2722" i="9"/>
  <c r="F2722" i="9"/>
  <c r="A2723" i="9"/>
  <c r="B2723" i="9"/>
  <c r="C2723" i="9"/>
  <c r="D2723" i="9"/>
  <c r="E2723" i="9"/>
  <c r="F2723" i="9"/>
  <c r="A2724" i="9"/>
  <c r="B2724" i="9"/>
  <c r="C2724" i="9"/>
  <c r="D2724" i="9"/>
  <c r="E2724" i="9"/>
  <c r="F2724" i="9"/>
  <c r="A2725" i="9"/>
  <c r="B2725" i="9"/>
  <c r="C2725" i="9"/>
  <c r="D2725" i="9"/>
  <c r="E2725" i="9"/>
  <c r="F2725" i="9"/>
  <c r="A2726" i="9"/>
  <c r="B2726" i="9"/>
  <c r="C2726" i="9"/>
  <c r="D2726" i="9"/>
  <c r="E2726" i="9"/>
  <c r="F2726" i="9"/>
  <c r="A2727" i="9"/>
  <c r="B2727" i="9"/>
  <c r="C2727" i="9"/>
  <c r="D2727" i="9"/>
  <c r="E2727" i="9"/>
  <c r="F2727" i="9"/>
  <c r="A2728" i="9"/>
  <c r="B2728" i="9"/>
  <c r="C2728" i="9"/>
  <c r="D2728" i="9"/>
  <c r="E2728" i="9"/>
  <c r="F2728" i="9"/>
  <c r="A2729" i="9"/>
  <c r="B2729" i="9"/>
  <c r="C2729" i="9"/>
  <c r="D2729" i="9"/>
  <c r="E2729" i="9"/>
  <c r="F2729" i="9"/>
  <c r="A2730" i="9"/>
  <c r="B2730" i="9"/>
  <c r="C2730" i="9"/>
  <c r="D2730" i="9"/>
  <c r="E2730" i="9"/>
  <c r="F2730" i="9"/>
  <c r="A2731" i="9"/>
  <c r="B2731" i="9"/>
  <c r="C2731" i="9"/>
  <c r="D2731" i="9"/>
  <c r="E2731" i="9"/>
  <c r="F2731" i="9"/>
  <c r="A2732" i="9"/>
  <c r="B2732" i="9"/>
  <c r="C2732" i="9"/>
  <c r="D2732" i="9"/>
  <c r="E2732" i="9"/>
  <c r="F2732" i="9"/>
  <c r="A2733" i="9"/>
  <c r="B2733" i="9"/>
  <c r="C2733" i="9"/>
  <c r="D2733" i="9"/>
  <c r="E2733" i="9"/>
  <c r="F2733" i="9"/>
  <c r="A2734" i="9"/>
  <c r="B2734" i="9"/>
  <c r="C2734" i="9"/>
  <c r="D2734" i="9"/>
  <c r="E2734" i="9"/>
  <c r="F2734" i="9"/>
  <c r="A2735" i="9"/>
  <c r="B2735" i="9"/>
  <c r="C2735" i="9"/>
  <c r="D2735" i="9"/>
  <c r="E2735" i="9"/>
  <c r="F2735" i="9"/>
  <c r="A2736" i="9"/>
  <c r="B2736" i="9"/>
  <c r="C2736" i="9"/>
  <c r="D2736" i="9"/>
  <c r="E2736" i="9"/>
  <c r="F2736" i="9"/>
  <c r="A2737" i="9"/>
  <c r="B2737" i="9"/>
  <c r="C2737" i="9"/>
  <c r="D2737" i="9"/>
  <c r="E2737" i="9"/>
  <c r="F2737" i="9"/>
  <c r="A2738" i="9"/>
  <c r="B2738" i="9"/>
  <c r="C2738" i="9"/>
  <c r="D2738" i="9"/>
  <c r="E2738" i="9"/>
  <c r="F2738" i="9"/>
  <c r="A2739" i="9"/>
  <c r="B2739" i="9"/>
  <c r="C2739" i="9"/>
  <c r="D2739" i="9"/>
  <c r="E2739" i="9"/>
  <c r="F2739" i="9"/>
  <c r="A2740" i="9"/>
  <c r="B2740" i="9"/>
  <c r="C2740" i="9"/>
  <c r="D2740" i="9"/>
  <c r="E2740" i="9"/>
  <c r="F2740" i="9"/>
  <c r="A2741" i="9"/>
  <c r="B2741" i="9"/>
  <c r="C2741" i="9"/>
  <c r="D2741" i="9"/>
  <c r="E2741" i="9"/>
  <c r="F2741" i="9"/>
  <c r="A2742" i="9"/>
  <c r="B2742" i="9"/>
  <c r="C2742" i="9"/>
  <c r="D2742" i="9"/>
  <c r="E2742" i="9"/>
  <c r="F2742" i="9"/>
  <c r="A2743" i="9"/>
  <c r="B2743" i="9"/>
  <c r="C2743" i="9"/>
  <c r="D2743" i="9"/>
  <c r="E2743" i="9"/>
  <c r="F2743" i="9"/>
  <c r="A2744" i="9"/>
  <c r="B2744" i="9"/>
  <c r="C2744" i="9"/>
  <c r="D2744" i="9"/>
  <c r="E2744" i="9"/>
  <c r="F2744" i="9"/>
  <c r="A2745" i="9"/>
  <c r="B2745" i="9"/>
  <c r="C2745" i="9"/>
  <c r="D2745" i="9"/>
  <c r="E2745" i="9"/>
  <c r="F2745" i="9"/>
  <c r="A2746" i="9"/>
  <c r="B2746" i="9"/>
  <c r="C2746" i="9"/>
  <c r="D2746" i="9"/>
  <c r="E2746" i="9"/>
  <c r="F2746" i="9"/>
  <c r="A2747" i="9"/>
  <c r="B2747" i="9"/>
  <c r="C2747" i="9"/>
  <c r="D2747" i="9"/>
  <c r="E2747" i="9"/>
  <c r="F2747" i="9"/>
  <c r="A2748" i="9"/>
  <c r="B2748" i="9"/>
  <c r="C2748" i="9"/>
  <c r="D2748" i="9"/>
  <c r="E2748" i="9"/>
  <c r="F2748" i="9"/>
  <c r="A2749" i="9"/>
  <c r="B2749" i="9"/>
  <c r="C2749" i="9"/>
  <c r="D2749" i="9"/>
  <c r="E2749" i="9"/>
  <c r="F2749" i="9"/>
  <c r="A2750" i="9"/>
  <c r="B2750" i="9"/>
  <c r="C2750" i="9"/>
  <c r="D2750" i="9"/>
  <c r="E2750" i="9"/>
  <c r="F2750" i="9"/>
  <c r="A2751" i="9"/>
  <c r="B2751" i="9"/>
  <c r="C2751" i="9"/>
  <c r="D2751" i="9"/>
  <c r="E2751" i="9"/>
  <c r="F2751" i="9"/>
  <c r="A2752" i="9"/>
  <c r="B2752" i="9"/>
  <c r="C2752" i="9"/>
  <c r="D2752" i="9"/>
  <c r="E2752" i="9"/>
  <c r="F2752" i="9"/>
  <c r="A2753" i="9"/>
  <c r="B2753" i="9"/>
  <c r="C2753" i="9"/>
  <c r="D2753" i="9"/>
  <c r="E2753" i="9"/>
  <c r="F2753" i="9"/>
  <c r="A2754" i="9"/>
  <c r="B2754" i="9"/>
  <c r="C2754" i="9"/>
  <c r="D2754" i="9"/>
  <c r="E2754" i="9"/>
  <c r="F2754" i="9"/>
  <c r="A2755" i="9"/>
  <c r="B2755" i="9"/>
  <c r="C2755" i="9"/>
  <c r="D2755" i="9"/>
  <c r="E2755" i="9"/>
  <c r="F2755" i="9"/>
  <c r="A2756" i="9"/>
  <c r="B2756" i="9"/>
  <c r="C2756" i="9"/>
  <c r="D2756" i="9"/>
  <c r="E2756" i="9"/>
  <c r="F2756" i="9"/>
  <c r="A2757" i="9"/>
  <c r="B2757" i="9"/>
  <c r="C2757" i="9"/>
  <c r="D2757" i="9"/>
  <c r="E2757" i="9"/>
  <c r="F2757" i="9"/>
  <c r="A2758" i="9"/>
  <c r="B2758" i="9"/>
  <c r="C2758" i="9"/>
  <c r="D2758" i="9"/>
  <c r="E2758" i="9"/>
  <c r="F2758" i="9"/>
  <c r="A2759" i="9"/>
  <c r="B2759" i="9"/>
  <c r="C2759" i="9"/>
  <c r="D2759" i="9"/>
  <c r="E2759" i="9"/>
  <c r="F2759" i="9"/>
  <c r="A2760" i="9"/>
  <c r="B2760" i="9"/>
  <c r="C2760" i="9"/>
  <c r="D2760" i="9"/>
  <c r="E2760" i="9"/>
  <c r="F2760" i="9"/>
  <c r="A2761" i="9"/>
  <c r="B2761" i="9"/>
  <c r="C2761" i="9"/>
  <c r="D2761" i="9"/>
  <c r="E2761" i="9"/>
  <c r="F2761" i="9"/>
  <c r="A2762" i="9"/>
  <c r="B2762" i="9"/>
  <c r="C2762" i="9"/>
  <c r="D2762" i="9"/>
  <c r="E2762" i="9"/>
  <c r="F2762" i="9"/>
  <c r="A2763" i="9"/>
  <c r="B2763" i="9"/>
  <c r="C2763" i="9"/>
  <c r="D2763" i="9"/>
  <c r="E2763" i="9"/>
  <c r="F2763" i="9"/>
  <c r="A2764" i="9"/>
  <c r="B2764" i="9"/>
  <c r="C2764" i="9"/>
  <c r="D2764" i="9"/>
  <c r="E2764" i="9"/>
  <c r="F2764" i="9"/>
  <c r="A2765" i="9"/>
  <c r="B2765" i="9"/>
  <c r="C2765" i="9"/>
  <c r="D2765" i="9"/>
  <c r="E2765" i="9"/>
  <c r="F2765" i="9"/>
  <c r="A2766" i="9"/>
  <c r="B2766" i="9"/>
  <c r="C2766" i="9"/>
  <c r="D2766" i="9"/>
  <c r="E2766" i="9"/>
  <c r="F2766" i="9"/>
  <c r="A2767" i="9"/>
  <c r="B2767" i="9"/>
  <c r="C2767" i="9"/>
  <c r="D2767" i="9"/>
  <c r="E2767" i="9"/>
  <c r="F2767" i="9"/>
  <c r="A2768" i="9"/>
  <c r="B2768" i="9"/>
  <c r="C2768" i="9"/>
  <c r="D2768" i="9"/>
  <c r="E2768" i="9"/>
  <c r="F2768" i="9"/>
  <c r="A2769" i="9"/>
  <c r="B2769" i="9"/>
  <c r="C2769" i="9"/>
  <c r="D2769" i="9"/>
  <c r="E2769" i="9"/>
  <c r="F2769" i="9"/>
  <c r="A2770" i="9"/>
  <c r="B2770" i="9"/>
  <c r="C2770" i="9"/>
  <c r="D2770" i="9"/>
  <c r="E2770" i="9"/>
  <c r="F2770" i="9"/>
  <c r="A2771" i="9"/>
  <c r="B2771" i="9"/>
  <c r="C2771" i="9"/>
  <c r="D2771" i="9"/>
  <c r="E2771" i="9"/>
  <c r="F2771" i="9"/>
  <c r="A2772" i="9"/>
  <c r="B2772" i="9"/>
  <c r="C2772" i="9"/>
  <c r="D2772" i="9"/>
  <c r="E2772" i="9"/>
  <c r="F2772" i="9"/>
  <c r="A2773" i="9"/>
  <c r="B2773" i="9"/>
  <c r="C2773" i="9"/>
  <c r="D2773" i="9"/>
  <c r="E2773" i="9"/>
  <c r="F2773" i="9"/>
  <c r="A2774" i="9"/>
  <c r="B2774" i="9"/>
  <c r="C2774" i="9"/>
  <c r="D2774" i="9"/>
  <c r="E2774" i="9"/>
  <c r="F2774" i="9"/>
  <c r="A2775" i="9"/>
  <c r="B2775" i="9"/>
  <c r="C2775" i="9"/>
  <c r="D2775" i="9"/>
  <c r="E2775" i="9"/>
  <c r="F2775" i="9"/>
  <c r="A2776" i="9"/>
  <c r="B2776" i="9"/>
  <c r="C2776" i="9"/>
  <c r="D2776" i="9"/>
  <c r="E2776" i="9"/>
  <c r="F2776" i="9"/>
  <c r="A2777" i="9"/>
  <c r="B2777" i="9"/>
  <c r="C2777" i="9"/>
  <c r="D2777" i="9"/>
  <c r="E2777" i="9"/>
  <c r="F2777" i="9"/>
  <c r="A2778" i="9"/>
  <c r="B2778" i="9"/>
  <c r="C2778" i="9"/>
  <c r="D2778" i="9"/>
  <c r="E2778" i="9"/>
  <c r="F2778" i="9"/>
  <c r="A2779" i="9"/>
  <c r="B2779" i="9"/>
  <c r="C2779" i="9"/>
  <c r="D2779" i="9"/>
  <c r="E2779" i="9"/>
  <c r="F2779" i="9"/>
  <c r="A2780" i="9"/>
  <c r="B2780" i="9"/>
  <c r="C2780" i="9"/>
  <c r="D2780" i="9"/>
  <c r="E2780" i="9"/>
  <c r="F2780" i="9"/>
  <c r="A2781" i="9"/>
  <c r="B2781" i="9"/>
  <c r="C2781" i="9"/>
  <c r="D2781" i="9"/>
  <c r="E2781" i="9"/>
  <c r="F2781" i="9"/>
  <c r="A2782" i="9"/>
  <c r="B2782" i="9"/>
  <c r="C2782" i="9"/>
  <c r="D2782" i="9"/>
  <c r="E2782" i="9"/>
  <c r="F2782" i="9"/>
  <c r="A2783" i="9"/>
  <c r="B2783" i="9"/>
  <c r="C2783" i="9"/>
  <c r="D2783" i="9"/>
  <c r="E2783" i="9"/>
  <c r="F2783" i="9"/>
  <c r="A2784" i="9"/>
  <c r="B2784" i="9"/>
  <c r="C2784" i="9"/>
  <c r="D2784" i="9"/>
  <c r="E2784" i="9"/>
  <c r="F2784" i="9"/>
  <c r="A2785" i="9"/>
  <c r="B2785" i="9"/>
  <c r="C2785" i="9"/>
  <c r="D2785" i="9"/>
  <c r="E2785" i="9"/>
  <c r="F2785" i="9"/>
  <c r="A2786" i="9"/>
  <c r="B2786" i="9"/>
  <c r="C2786" i="9"/>
  <c r="D2786" i="9"/>
  <c r="E2786" i="9"/>
  <c r="F2786" i="9"/>
  <c r="A2787" i="9"/>
  <c r="B2787" i="9"/>
  <c r="C2787" i="9"/>
  <c r="D2787" i="9"/>
  <c r="E2787" i="9"/>
  <c r="F2787" i="9"/>
  <c r="A2788" i="9"/>
  <c r="B2788" i="9"/>
  <c r="C2788" i="9"/>
  <c r="D2788" i="9"/>
  <c r="E2788" i="9"/>
  <c r="F2788" i="9"/>
  <c r="A2789" i="9"/>
  <c r="B2789" i="9"/>
  <c r="C2789" i="9"/>
  <c r="D2789" i="9"/>
  <c r="E2789" i="9"/>
  <c r="F2789" i="9"/>
  <c r="A2790" i="9"/>
  <c r="B2790" i="9"/>
  <c r="C2790" i="9"/>
  <c r="D2790" i="9"/>
  <c r="E2790" i="9"/>
  <c r="F2790" i="9"/>
  <c r="A2791" i="9"/>
  <c r="B2791" i="9"/>
  <c r="C2791" i="9"/>
  <c r="D2791" i="9"/>
  <c r="E2791" i="9"/>
  <c r="F2791" i="9"/>
  <c r="A2792" i="9"/>
  <c r="B2792" i="9"/>
  <c r="C2792" i="9"/>
  <c r="D2792" i="9"/>
  <c r="E2792" i="9"/>
  <c r="F2792" i="9"/>
  <c r="A2793" i="9"/>
  <c r="B2793" i="9"/>
  <c r="C2793" i="9"/>
  <c r="D2793" i="9"/>
  <c r="E2793" i="9"/>
  <c r="F2793" i="9"/>
  <c r="A2794" i="9"/>
  <c r="B2794" i="9"/>
  <c r="C2794" i="9"/>
  <c r="D2794" i="9"/>
  <c r="E2794" i="9"/>
  <c r="F2794" i="9"/>
  <c r="A2795" i="9"/>
  <c r="B2795" i="9"/>
  <c r="C2795" i="9"/>
  <c r="D2795" i="9"/>
  <c r="E2795" i="9"/>
  <c r="F2795" i="9"/>
  <c r="A2796" i="9"/>
  <c r="B2796" i="9"/>
  <c r="C2796" i="9"/>
  <c r="D2796" i="9"/>
  <c r="E2796" i="9"/>
  <c r="F2796" i="9"/>
  <c r="A2797" i="9"/>
  <c r="B2797" i="9"/>
  <c r="C2797" i="9"/>
  <c r="D2797" i="9"/>
  <c r="E2797" i="9"/>
  <c r="F2797" i="9"/>
  <c r="A2798" i="9"/>
  <c r="B2798" i="9"/>
  <c r="C2798" i="9"/>
  <c r="D2798" i="9"/>
  <c r="E2798" i="9"/>
  <c r="F2798" i="9"/>
  <c r="A2799" i="9"/>
  <c r="B2799" i="9"/>
  <c r="C2799" i="9"/>
  <c r="D2799" i="9"/>
  <c r="E2799" i="9"/>
  <c r="F2799" i="9"/>
  <c r="A2800" i="9"/>
  <c r="B2800" i="9"/>
  <c r="C2800" i="9"/>
  <c r="D2800" i="9"/>
  <c r="E2800" i="9"/>
  <c r="F2800" i="9"/>
  <c r="A2801" i="9"/>
  <c r="B2801" i="9"/>
  <c r="C2801" i="9"/>
  <c r="D2801" i="9"/>
  <c r="E2801" i="9"/>
  <c r="F2801" i="9"/>
  <c r="A2802" i="9"/>
  <c r="B2802" i="9"/>
  <c r="C2802" i="9"/>
  <c r="D2802" i="9"/>
  <c r="E2802" i="9"/>
  <c r="F2802" i="9"/>
  <c r="A2803" i="9"/>
  <c r="B2803" i="9"/>
  <c r="C2803" i="9"/>
  <c r="D2803" i="9"/>
  <c r="E2803" i="9"/>
  <c r="F2803" i="9"/>
  <c r="A2804" i="9"/>
  <c r="B2804" i="9"/>
  <c r="C2804" i="9"/>
  <c r="D2804" i="9"/>
  <c r="E2804" i="9"/>
  <c r="F2804" i="9"/>
  <c r="A2805" i="9"/>
  <c r="B2805" i="9"/>
  <c r="C2805" i="9"/>
  <c r="D2805" i="9"/>
  <c r="E2805" i="9"/>
  <c r="F2805" i="9"/>
  <c r="A2806" i="9"/>
  <c r="B2806" i="9"/>
  <c r="C2806" i="9"/>
  <c r="D2806" i="9"/>
  <c r="E2806" i="9"/>
  <c r="F2806" i="9"/>
  <c r="A2807" i="9"/>
  <c r="B2807" i="9"/>
  <c r="C2807" i="9"/>
  <c r="D2807" i="9"/>
  <c r="E2807" i="9"/>
  <c r="F2807" i="9"/>
  <c r="A2808" i="9"/>
  <c r="B2808" i="9"/>
  <c r="C2808" i="9"/>
  <c r="D2808" i="9"/>
  <c r="E2808" i="9"/>
  <c r="F2808" i="9"/>
  <c r="A2809" i="9"/>
  <c r="B2809" i="9"/>
  <c r="C2809" i="9"/>
  <c r="D2809" i="9"/>
  <c r="E2809" i="9"/>
  <c r="F2809" i="9"/>
  <c r="A2810" i="9"/>
  <c r="B2810" i="9"/>
  <c r="C2810" i="9"/>
  <c r="D2810" i="9"/>
  <c r="E2810" i="9"/>
  <c r="F2810" i="9"/>
  <c r="A2811" i="9"/>
  <c r="B2811" i="9"/>
  <c r="C2811" i="9"/>
  <c r="D2811" i="9"/>
  <c r="E2811" i="9"/>
  <c r="F2811" i="9"/>
  <c r="A2812" i="9"/>
  <c r="B2812" i="9"/>
  <c r="C2812" i="9"/>
  <c r="D2812" i="9"/>
  <c r="E2812" i="9"/>
  <c r="F2812" i="9"/>
  <c r="A2813" i="9"/>
  <c r="B2813" i="9"/>
  <c r="C2813" i="9"/>
  <c r="D2813" i="9"/>
  <c r="E2813" i="9"/>
  <c r="F2813" i="9"/>
  <c r="A2814" i="9"/>
  <c r="B2814" i="9"/>
  <c r="C2814" i="9"/>
  <c r="D2814" i="9"/>
  <c r="E2814" i="9"/>
  <c r="F2814" i="9"/>
  <c r="A2815" i="9"/>
  <c r="B2815" i="9"/>
  <c r="C2815" i="9"/>
  <c r="D2815" i="9"/>
  <c r="E2815" i="9"/>
  <c r="F2815" i="9"/>
  <c r="A2816" i="9"/>
  <c r="B2816" i="9"/>
  <c r="C2816" i="9"/>
  <c r="D2816" i="9"/>
  <c r="E2816" i="9"/>
  <c r="F2816" i="9"/>
  <c r="A2817" i="9"/>
  <c r="B2817" i="9"/>
  <c r="C2817" i="9"/>
  <c r="D2817" i="9"/>
  <c r="E2817" i="9"/>
  <c r="F2817" i="9"/>
  <c r="A2818" i="9"/>
  <c r="B2818" i="9"/>
  <c r="C2818" i="9"/>
  <c r="D2818" i="9"/>
  <c r="E2818" i="9"/>
  <c r="F2818" i="9"/>
  <c r="A2819" i="9"/>
  <c r="B2819" i="9"/>
  <c r="C2819" i="9"/>
  <c r="D2819" i="9"/>
  <c r="E2819" i="9"/>
  <c r="F2819" i="9"/>
  <c r="A2820" i="9"/>
  <c r="B2820" i="9"/>
  <c r="C2820" i="9"/>
  <c r="D2820" i="9"/>
  <c r="E2820" i="9"/>
  <c r="F2820" i="9"/>
  <c r="A2821" i="9"/>
  <c r="B2821" i="9"/>
  <c r="C2821" i="9"/>
  <c r="D2821" i="9"/>
  <c r="E2821" i="9"/>
  <c r="F2821" i="9"/>
  <c r="A2822" i="9"/>
  <c r="B2822" i="9"/>
  <c r="C2822" i="9"/>
  <c r="D2822" i="9"/>
  <c r="E2822" i="9"/>
  <c r="F2822" i="9"/>
  <c r="A2823" i="9"/>
  <c r="B2823" i="9"/>
  <c r="C2823" i="9"/>
  <c r="D2823" i="9"/>
  <c r="E2823" i="9"/>
  <c r="F2823" i="9"/>
  <c r="A2824" i="9"/>
  <c r="B2824" i="9"/>
  <c r="C2824" i="9"/>
  <c r="D2824" i="9"/>
  <c r="E2824" i="9"/>
  <c r="F2824" i="9"/>
  <c r="A2825" i="9"/>
  <c r="B2825" i="9"/>
  <c r="C2825" i="9"/>
  <c r="D2825" i="9"/>
  <c r="E2825" i="9"/>
  <c r="F2825" i="9"/>
  <c r="A2826" i="9"/>
  <c r="B2826" i="9"/>
  <c r="C2826" i="9"/>
  <c r="D2826" i="9"/>
  <c r="E2826" i="9"/>
  <c r="F2826" i="9"/>
  <c r="A2827" i="9"/>
  <c r="B2827" i="9"/>
  <c r="C2827" i="9"/>
  <c r="D2827" i="9"/>
  <c r="E2827" i="9"/>
  <c r="F2827" i="9"/>
  <c r="A2828" i="9"/>
  <c r="B2828" i="9"/>
  <c r="C2828" i="9"/>
  <c r="D2828" i="9"/>
  <c r="E2828" i="9"/>
  <c r="F2828" i="9"/>
  <c r="A2829" i="9"/>
  <c r="B2829" i="9"/>
  <c r="C2829" i="9"/>
  <c r="D2829" i="9"/>
  <c r="E2829" i="9"/>
  <c r="F2829" i="9"/>
  <c r="A2830" i="9"/>
  <c r="B2830" i="9"/>
  <c r="C2830" i="9"/>
  <c r="D2830" i="9"/>
  <c r="E2830" i="9"/>
  <c r="F2830" i="9"/>
  <c r="A2831" i="9"/>
  <c r="B2831" i="9"/>
  <c r="C2831" i="9"/>
  <c r="D2831" i="9"/>
  <c r="E2831" i="9"/>
  <c r="F2831" i="9"/>
  <c r="A2832" i="9"/>
  <c r="B2832" i="9"/>
  <c r="C2832" i="9"/>
  <c r="D2832" i="9"/>
  <c r="E2832" i="9"/>
  <c r="F2832" i="9"/>
  <c r="A2833" i="9"/>
  <c r="B2833" i="9"/>
  <c r="C2833" i="9"/>
  <c r="D2833" i="9"/>
  <c r="E2833" i="9"/>
  <c r="F2833" i="9"/>
  <c r="A2834" i="9"/>
  <c r="B2834" i="9"/>
  <c r="C2834" i="9"/>
  <c r="D2834" i="9"/>
  <c r="E2834" i="9"/>
  <c r="F2834" i="9"/>
  <c r="A2835" i="9"/>
  <c r="B2835" i="9"/>
  <c r="C2835" i="9"/>
  <c r="D2835" i="9"/>
  <c r="E2835" i="9"/>
  <c r="F2835" i="9"/>
  <c r="A2836" i="9"/>
  <c r="B2836" i="9"/>
  <c r="C2836" i="9"/>
  <c r="D2836" i="9"/>
  <c r="E2836" i="9"/>
  <c r="F2836" i="9"/>
  <c r="A2837" i="9"/>
  <c r="B2837" i="9"/>
  <c r="C2837" i="9"/>
  <c r="D2837" i="9"/>
  <c r="E2837" i="9"/>
  <c r="F2837" i="9"/>
  <c r="A2838" i="9"/>
  <c r="B2838" i="9"/>
  <c r="C2838" i="9"/>
  <c r="D2838" i="9"/>
  <c r="E2838" i="9"/>
  <c r="F2838" i="9"/>
  <c r="A2839" i="9"/>
  <c r="B2839" i="9"/>
  <c r="C2839" i="9"/>
  <c r="D2839" i="9"/>
  <c r="E2839" i="9"/>
  <c r="F2839" i="9"/>
  <c r="A2840" i="9"/>
  <c r="B2840" i="9"/>
  <c r="C2840" i="9"/>
  <c r="D2840" i="9"/>
  <c r="E2840" i="9"/>
  <c r="F2840" i="9"/>
  <c r="A2841" i="9"/>
  <c r="B2841" i="9"/>
  <c r="C2841" i="9"/>
  <c r="D2841" i="9"/>
  <c r="E2841" i="9"/>
  <c r="F2841" i="9"/>
  <c r="A2842" i="9"/>
  <c r="B2842" i="9"/>
  <c r="C2842" i="9"/>
  <c r="D2842" i="9"/>
  <c r="E2842" i="9"/>
  <c r="F2842" i="9"/>
  <c r="A2843" i="9"/>
  <c r="B2843" i="9"/>
  <c r="C2843" i="9"/>
  <c r="D2843" i="9"/>
  <c r="E2843" i="9"/>
  <c r="F2843" i="9"/>
  <c r="A2844" i="9"/>
  <c r="B2844" i="9"/>
  <c r="C2844" i="9"/>
  <c r="D2844" i="9"/>
  <c r="E2844" i="9"/>
  <c r="F2844" i="9"/>
  <c r="A2845" i="9"/>
  <c r="B2845" i="9"/>
  <c r="C2845" i="9"/>
  <c r="D2845" i="9"/>
  <c r="E2845" i="9"/>
  <c r="F2845" i="9"/>
  <c r="A2846" i="9"/>
  <c r="B2846" i="9"/>
  <c r="C2846" i="9"/>
  <c r="D2846" i="9"/>
  <c r="E2846" i="9"/>
  <c r="F2846" i="9"/>
  <c r="A2847" i="9"/>
  <c r="B2847" i="9"/>
  <c r="C2847" i="9"/>
  <c r="D2847" i="9"/>
  <c r="E2847" i="9"/>
  <c r="F2847" i="9"/>
  <c r="A2848" i="9"/>
  <c r="B2848" i="9"/>
  <c r="C2848" i="9"/>
  <c r="D2848" i="9"/>
  <c r="E2848" i="9"/>
  <c r="F2848" i="9"/>
  <c r="A2849" i="9"/>
  <c r="B2849" i="9"/>
  <c r="C2849" i="9"/>
  <c r="D2849" i="9"/>
  <c r="E2849" i="9"/>
  <c r="F2849" i="9"/>
  <c r="A2850" i="9"/>
  <c r="B2850" i="9"/>
  <c r="C2850" i="9"/>
  <c r="D2850" i="9"/>
  <c r="E2850" i="9"/>
  <c r="F2850" i="9"/>
  <c r="A2851" i="9"/>
  <c r="B2851" i="9"/>
  <c r="C2851" i="9"/>
  <c r="D2851" i="9"/>
  <c r="E2851" i="9"/>
  <c r="F2851" i="9"/>
  <c r="A2852" i="9"/>
  <c r="B2852" i="9"/>
  <c r="C2852" i="9"/>
  <c r="D2852" i="9"/>
  <c r="E2852" i="9"/>
  <c r="F2852" i="9"/>
  <c r="A2853" i="9"/>
  <c r="B2853" i="9"/>
  <c r="C2853" i="9"/>
  <c r="D2853" i="9"/>
  <c r="E2853" i="9"/>
  <c r="F2853" i="9"/>
  <c r="A2854" i="9"/>
  <c r="B2854" i="9"/>
  <c r="C2854" i="9"/>
  <c r="D2854" i="9"/>
  <c r="E2854" i="9"/>
  <c r="F2854" i="9"/>
  <c r="A2855" i="9"/>
  <c r="B2855" i="9"/>
  <c r="C2855" i="9"/>
  <c r="D2855" i="9"/>
  <c r="E2855" i="9"/>
  <c r="F2855" i="9"/>
  <c r="A2856" i="9"/>
  <c r="B2856" i="9"/>
  <c r="C2856" i="9"/>
  <c r="D2856" i="9"/>
  <c r="E2856" i="9"/>
  <c r="F2856" i="9"/>
  <c r="A2857" i="9"/>
  <c r="B2857" i="9"/>
  <c r="C2857" i="9"/>
  <c r="D2857" i="9"/>
  <c r="E2857" i="9"/>
  <c r="F2857" i="9"/>
  <c r="A2858" i="9"/>
  <c r="B2858" i="9"/>
  <c r="C2858" i="9"/>
  <c r="D2858" i="9"/>
  <c r="E2858" i="9"/>
  <c r="F2858" i="9"/>
  <c r="A2859" i="9"/>
  <c r="B2859" i="9"/>
  <c r="C2859" i="9"/>
  <c r="D2859" i="9"/>
  <c r="E2859" i="9"/>
  <c r="F2859" i="9"/>
  <c r="A2860" i="9"/>
  <c r="B2860" i="9"/>
  <c r="C2860" i="9"/>
  <c r="D2860" i="9"/>
  <c r="E2860" i="9"/>
  <c r="F2860" i="9"/>
  <c r="A2861" i="9"/>
  <c r="B2861" i="9"/>
  <c r="C2861" i="9"/>
  <c r="D2861" i="9"/>
  <c r="E2861" i="9"/>
  <c r="F2861" i="9"/>
  <c r="A2862" i="9"/>
  <c r="B2862" i="9"/>
  <c r="C2862" i="9"/>
  <c r="D2862" i="9"/>
  <c r="E2862" i="9"/>
  <c r="F2862" i="9"/>
  <c r="A2863" i="9"/>
  <c r="B2863" i="9"/>
  <c r="C2863" i="9"/>
  <c r="D2863" i="9"/>
  <c r="E2863" i="9"/>
  <c r="F2863" i="9"/>
  <c r="A2864" i="9"/>
  <c r="B2864" i="9"/>
  <c r="C2864" i="9"/>
  <c r="D2864" i="9"/>
  <c r="E2864" i="9"/>
  <c r="F2864" i="9"/>
  <c r="A2865" i="9"/>
  <c r="B2865" i="9"/>
  <c r="C2865" i="9"/>
  <c r="D2865" i="9"/>
  <c r="E2865" i="9"/>
  <c r="F2865" i="9"/>
  <c r="A2866" i="9"/>
  <c r="B2866" i="9"/>
  <c r="C2866" i="9"/>
  <c r="D2866" i="9"/>
  <c r="E2866" i="9"/>
  <c r="F2866" i="9"/>
  <c r="A2867" i="9"/>
  <c r="B2867" i="9"/>
  <c r="C2867" i="9"/>
  <c r="D2867" i="9"/>
  <c r="E2867" i="9"/>
  <c r="F2867" i="9"/>
  <c r="A2868" i="9"/>
  <c r="B2868" i="9"/>
  <c r="C2868" i="9"/>
  <c r="D2868" i="9"/>
  <c r="E2868" i="9"/>
  <c r="F2868" i="9"/>
  <c r="A2869" i="9"/>
  <c r="B2869" i="9"/>
  <c r="C2869" i="9"/>
  <c r="D2869" i="9"/>
  <c r="E2869" i="9"/>
  <c r="F2869" i="9"/>
  <c r="A2870" i="9"/>
  <c r="B2870" i="9"/>
  <c r="C2870" i="9"/>
  <c r="D2870" i="9"/>
  <c r="E2870" i="9"/>
  <c r="F2870" i="9"/>
  <c r="A2871" i="9"/>
  <c r="B2871" i="9"/>
  <c r="C2871" i="9"/>
  <c r="D2871" i="9"/>
  <c r="E2871" i="9"/>
  <c r="F2871" i="9"/>
  <c r="A2872" i="9"/>
  <c r="B2872" i="9"/>
  <c r="C2872" i="9"/>
  <c r="D2872" i="9"/>
  <c r="E2872" i="9"/>
  <c r="F2872" i="9"/>
  <c r="A2873" i="9"/>
  <c r="B2873" i="9"/>
  <c r="C2873" i="9"/>
  <c r="D2873" i="9"/>
  <c r="E2873" i="9"/>
  <c r="F2873" i="9"/>
  <c r="A2874" i="9"/>
  <c r="B2874" i="9"/>
  <c r="C2874" i="9"/>
  <c r="D2874" i="9"/>
  <c r="E2874" i="9"/>
  <c r="F2874" i="9"/>
  <c r="A2875" i="9"/>
  <c r="B2875" i="9"/>
  <c r="C2875" i="9"/>
  <c r="D2875" i="9"/>
  <c r="E2875" i="9"/>
  <c r="F2875" i="9"/>
  <c r="A2876" i="9"/>
  <c r="B2876" i="9"/>
  <c r="C2876" i="9"/>
  <c r="D2876" i="9"/>
  <c r="E2876" i="9"/>
  <c r="F2876" i="9"/>
  <c r="A2877" i="9"/>
  <c r="B2877" i="9"/>
  <c r="C2877" i="9"/>
  <c r="D2877" i="9"/>
  <c r="E2877" i="9"/>
  <c r="F2877" i="9"/>
  <c r="A2878" i="9"/>
  <c r="B2878" i="9"/>
  <c r="C2878" i="9"/>
  <c r="D2878" i="9"/>
  <c r="E2878" i="9"/>
  <c r="F2878" i="9"/>
  <c r="A2879" i="9"/>
  <c r="B2879" i="9"/>
  <c r="C2879" i="9"/>
  <c r="D2879" i="9"/>
  <c r="E2879" i="9"/>
  <c r="F2879" i="9"/>
  <c r="A2880" i="9"/>
  <c r="B2880" i="9"/>
  <c r="C2880" i="9"/>
  <c r="D2880" i="9"/>
  <c r="E2880" i="9"/>
  <c r="F2880" i="9"/>
  <c r="A2881" i="9"/>
  <c r="B2881" i="9"/>
  <c r="C2881" i="9"/>
  <c r="D2881" i="9"/>
  <c r="E2881" i="9"/>
  <c r="F2881" i="9"/>
  <c r="A2882" i="9"/>
  <c r="B2882" i="9"/>
  <c r="C2882" i="9"/>
  <c r="D2882" i="9"/>
  <c r="E2882" i="9"/>
  <c r="F2882" i="9"/>
  <c r="A2883" i="9"/>
  <c r="B2883" i="9"/>
  <c r="C2883" i="9"/>
  <c r="D2883" i="9"/>
  <c r="E2883" i="9"/>
  <c r="F2883" i="9"/>
  <c r="A2884" i="9"/>
  <c r="B2884" i="9"/>
  <c r="C2884" i="9"/>
  <c r="D2884" i="9"/>
  <c r="E2884" i="9"/>
  <c r="F2884" i="9"/>
  <c r="A2885" i="9"/>
  <c r="B2885" i="9"/>
  <c r="C2885" i="9"/>
  <c r="D2885" i="9"/>
  <c r="E2885" i="9"/>
  <c r="F2885" i="9"/>
  <c r="A2886" i="9"/>
  <c r="B2886" i="9"/>
  <c r="C2886" i="9"/>
  <c r="D2886" i="9"/>
  <c r="E2886" i="9"/>
  <c r="F2886" i="9"/>
  <c r="A2887" i="9"/>
  <c r="B2887" i="9"/>
  <c r="C2887" i="9"/>
  <c r="D2887" i="9"/>
  <c r="E2887" i="9"/>
  <c r="F2887" i="9"/>
  <c r="A2888" i="9"/>
  <c r="B2888" i="9"/>
  <c r="C2888" i="9"/>
  <c r="D2888" i="9"/>
  <c r="E2888" i="9"/>
  <c r="F2888" i="9"/>
  <c r="A2889" i="9"/>
  <c r="B2889" i="9"/>
  <c r="C2889" i="9"/>
  <c r="D2889" i="9"/>
  <c r="E2889" i="9"/>
  <c r="F2889" i="9"/>
  <c r="A2890" i="9"/>
  <c r="B2890" i="9"/>
  <c r="C2890" i="9"/>
  <c r="D2890" i="9"/>
  <c r="E2890" i="9"/>
  <c r="F2890" i="9"/>
  <c r="A2891" i="9"/>
  <c r="B2891" i="9"/>
  <c r="C2891" i="9"/>
  <c r="D2891" i="9"/>
  <c r="E2891" i="9"/>
  <c r="F2891" i="9"/>
  <c r="A2892" i="9"/>
  <c r="B2892" i="9"/>
  <c r="C2892" i="9"/>
  <c r="D2892" i="9"/>
  <c r="E2892" i="9"/>
  <c r="F2892" i="9"/>
  <c r="A2893" i="9"/>
  <c r="B2893" i="9"/>
  <c r="C2893" i="9"/>
  <c r="D2893" i="9"/>
  <c r="E2893" i="9"/>
  <c r="F2893" i="9"/>
  <c r="A2894" i="9"/>
  <c r="B2894" i="9"/>
  <c r="C2894" i="9"/>
  <c r="D2894" i="9"/>
  <c r="E2894" i="9"/>
  <c r="F2894" i="9"/>
  <c r="A2895" i="9"/>
  <c r="B2895" i="9"/>
  <c r="C2895" i="9"/>
  <c r="D2895" i="9"/>
  <c r="E2895" i="9"/>
  <c r="F2895" i="9"/>
  <c r="A2896" i="9"/>
  <c r="B2896" i="9"/>
  <c r="C2896" i="9"/>
  <c r="D2896" i="9"/>
  <c r="E2896" i="9"/>
  <c r="F2896" i="9"/>
  <c r="A2897" i="9"/>
  <c r="B2897" i="9"/>
  <c r="C2897" i="9"/>
  <c r="D2897" i="9"/>
  <c r="E2897" i="9"/>
  <c r="F2897" i="9"/>
  <c r="A2898" i="9"/>
  <c r="B2898" i="9"/>
  <c r="C2898" i="9"/>
  <c r="D2898" i="9"/>
  <c r="E2898" i="9"/>
  <c r="F2898" i="9"/>
  <c r="A2899" i="9"/>
  <c r="B2899" i="9"/>
  <c r="C2899" i="9"/>
  <c r="D2899" i="9"/>
  <c r="E2899" i="9"/>
  <c r="F2899" i="9"/>
  <c r="A2900" i="9"/>
  <c r="B2900" i="9"/>
  <c r="C2900" i="9"/>
  <c r="D2900" i="9"/>
  <c r="E2900" i="9"/>
  <c r="F2900" i="9"/>
  <c r="A2901" i="9"/>
  <c r="B2901" i="9"/>
  <c r="C2901" i="9"/>
  <c r="D2901" i="9"/>
  <c r="E2901" i="9"/>
  <c r="F2901" i="9"/>
  <c r="A2902" i="9"/>
  <c r="B2902" i="9"/>
  <c r="C2902" i="9"/>
  <c r="D2902" i="9"/>
  <c r="E2902" i="9"/>
  <c r="F2902" i="9"/>
  <c r="A2903" i="9"/>
  <c r="B2903" i="9"/>
  <c r="C2903" i="9"/>
  <c r="D2903" i="9"/>
  <c r="E2903" i="9"/>
  <c r="F2903" i="9"/>
  <c r="A2904" i="9"/>
  <c r="B2904" i="9"/>
  <c r="C2904" i="9"/>
  <c r="D2904" i="9"/>
  <c r="E2904" i="9"/>
  <c r="F2904" i="9"/>
  <c r="A2905" i="9"/>
  <c r="B2905" i="9"/>
  <c r="C2905" i="9"/>
  <c r="D2905" i="9"/>
  <c r="E2905" i="9"/>
  <c r="F2905" i="9"/>
  <c r="A2906" i="9"/>
  <c r="B2906" i="9"/>
  <c r="C2906" i="9"/>
  <c r="D2906" i="9"/>
  <c r="E2906" i="9"/>
  <c r="F2906" i="9"/>
  <c r="A2907" i="9"/>
  <c r="B2907" i="9"/>
  <c r="C2907" i="9"/>
  <c r="D2907" i="9"/>
  <c r="E2907" i="9"/>
  <c r="F2907" i="9"/>
  <c r="A2908" i="9"/>
  <c r="B2908" i="9"/>
  <c r="C2908" i="9"/>
  <c r="D2908" i="9"/>
  <c r="E2908" i="9"/>
  <c r="F2908" i="9"/>
  <c r="A2909" i="9"/>
  <c r="B2909" i="9"/>
  <c r="C2909" i="9"/>
  <c r="D2909" i="9"/>
  <c r="E2909" i="9"/>
  <c r="F2909" i="9"/>
  <c r="A2910" i="9"/>
  <c r="B2910" i="9"/>
  <c r="C2910" i="9"/>
  <c r="D2910" i="9"/>
  <c r="E2910" i="9"/>
  <c r="F2910" i="9"/>
  <c r="A2911" i="9"/>
  <c r="B2911" i="9"/>
  <c r="C2911" i="9"/>
  <c r="D2911" i="9"/>
  <c r="E2911" i="9"/>
  <c r="F2911" i="9"/>
  <c r="A2912" i="9"/>
  <c r="B2912" i="9"/>
  <c r="C2912" i="9"/>
  <c r="D2912" i="9"/>
  <c r="E2912" i="9"/>
  <c r="F2912" i="9"/>
  <c r="A2913" i="9"/>
  <c r="B2913" i="9"/>
  <c r="C2913" i="9"/>
  <c r="D2913" i="9"/>
  <c r="E2913" i="9"/>
  <c r="F2913" i="9"/>
  <c r="A2914" i="9"/>
  <c r="B2914" i="9"/>
  <c r="C2914" i="9"/>
  <c r="D2914" i="9"/>
  <c r="E2914" i="9"/>
  <c r="F2914" i="9"/>
  <c r="A2915" i="9"/>
  <c r="B2915" i="9"/>
  <c r="C2915" i="9"/>
  <c r="D2915" i="9"/>
  <c r="E2915" i="9"/>
  <c r="F2915" i="9"/>
  <c r="A2916" i="9"/>
  <c r="B2916" i="9"/>
  <c r="C2916" i="9"/>
  <c r="D2916" i="9"/>
  <c r="E2916" i="9"/>
  <c r="F2916" i="9"/>
  <c r="A2917" i="9"/>
  <c r="B2917" i="9"/>
  <c r="C2917" i="9"/>
  <c r="D2917" i="9"/>
  <c r="E2917" i="9"/>
  <c r="F2917" i="9"/>
  <c r="A2918" i="9"/>
  <c r="B2918" i="9"/>
  <c r="C2918" i="9"/>
  <c r="D2918" i="9"/>
  <c r="E2918" i="9"/>
  <c r="F2918" i="9"/>
  <c r="A2919" i="9"/>
  <c r="B2919" i="9"/>
  <c r="C2919" i="9"/>
  <c r="D2919" i="9"/>
  <c r="E2919" i="9"/>
  <c r="F2919" i="9"/>
  <c r="A2920" i="9"/>
  <c r="B2920" i="9"/>
  <c r="C2920" i="9"/>
  <c r="D2920" i="9"/>
  <c r="E2920" i="9"/>
  <c r="F2920" i="9"/>
  <c r="A2921" i="9"/>
  <c r="B2921" i="9"/>
  <c r="C2921" i="9"/>
  <c r="D2921" i="9"/>
  <c r="E2921" i="9"/>
  <c r="F2921" i="9"/>
  <c r="A2922" i="9"/>
  <c r="B2922" i="9"/>
  <c r="C2922" i="9"/>
  <c r="D2922" i="9"/>
  <c r="E2922" i="9"/>
  <c r="F2922" i="9"/>
  <c r="A2923" i="9"/>
  <c r="B2923" i="9"/>
  <c r="C2923" i="9"/>
  <c r="D2923" i="9"/>
  <c r="E2923" i="9"/>
  <c r="F2923" i="9"/>
  <c r="A2924" i="9"/>
  <c r="B2924" i="9"/>
  <c r="C2924" i="9"/>
  <c r="D2924" i="9"/>
  <c r="E2924" i="9"/>
  <c r="F2924" i="9"/>
  <c r="A2925" i="9"/>
  <c r="B2925" i="9"/>
  <c r="C2925" i="9"/>
  <c r="D2925" i="9"/>
  <c r="E2925" i="9"/>
  <c r="F2925" i="9"/>
  <c r="A2926" i="9"/>
  <c r="B2926" i="9"/>
  <c r="C2926" i="9"/>
  <c r="D2926" i="9"/>
  <c r="E2926" i="9"/>
  <c r="F2926" i="9"/>
  <c r="A2927" i="9"/>
  <c r="B2927" i="9"/>
  <c r="C2927" i="9"/>
  <c r="D2927" i="9"/>
  <c r="E2927" i="9"/>
  <c r="F2927" i="9"/>
  <c r="A2928" i="9"/>
  <c r="B2928" i="9"/>
  <c r="C2928" i="9"/>
  <c r="D2928" i="9"/>
  <c r="E2928" i="9"/>
  <c r="F2928" i="9"/>
  <c r="A2929" i="9"/>
  <c r="B2929" i="9"/>
  <c r="C2929" i="9"/>
  <c r="D2929" i="9"/>
  <c r="E2929" i="9"/>
  <c r="F2929" i="9"/>
  <c r="A2930" i="9"/>
  <c r="B2930" i="9"/>
  <c r="C2930" i="9"/>
  <c r="D2930" i="9"/>
  <c r="E2930" i="9"/>
  <c r="F2930" i="9"/>
  <c r="A2931" i="9"/>
  <c r="B2931" i="9"/>
  <c r="C2931" i="9"/>
  <c r="D2931" i="9"/>
  <c r="E2931" i="9"/>
  <c r="F2931" i="9"/>
  <c r="A2932" i="9"/>
  <c r="B2932" i="9"/>
  <c r="C2932" i="9"/>
  <c r="D2932" i="9"/>
  <c r="E2932" i="9"/>
  <c r="F2932" i="9"/>
  <c r="A2933" i="9"/>
  <c r="B2933" i="9"/>
  <c r="C2933" i="9"/>
  <c r="D2933" i="9"/>
  <c r="E2933" i="9"/>
  <c r="F2933" i="9"/>
  <c r="A2934" i="9"/>
  <c r="B2934" i="9"/>
  <c r="C2934" i="9"/>
  <c r="D2934" i="9"/>
  <c r="E2934" i="9"/>
  <c r="F2934" i="9"/>
  <c r="A2935" i="9"/>
  <c r="B2935" i="9"/>
  <c r="C2935" i="9"/>
  <c r="D2935" i="9"/>
  <c r="E2935" i="9"/>
  <c r="F2935" i="9"/>
  <c r="A2936" i="9"/>
  <c r="B2936" i="9"/>
  <c r="C2936" i="9"/>
  <c r="D2936" i="9"/>
  <c r="E2936" i="9"/>
  <c r="F2936" i="9"/>
  <c r="A2937" i="9"/>
  <c r="B2937" i="9"/>
  <c r="C2937" i="9"/>
  <c r="D2937" i="9"/>
  <c r="E2937" i="9"/>
  <c r="F2937" i="9"/>
  <c r="A2938" i="9"/>
  <c r="B2938" i="9"/>
  <c r="C2938" i="9"/>
  <c r="D2938" i="9"/>
  <c r="E2938" i="9"/>
  <c r="F2938" i="9"/>
  <c r="A2939" i="9"/>
  <c r="B2939" i="9"/>
  <c r="C2939" i="9"/>
  <c r="D2939" i="9"/>
  <c r="E2939" i="9"/>
  <c r="F2939" i="9"/>
  <c r="A2940" i="9"/>
  <c r="B2940" i="9"/>
  <c r="C2940" i="9"/>
  <c r="D2940" i="9"/>
  <c r="E2940" i="9"/>
  <c r="F2940" i="9"/>
  <c r="A2941" i="9"/>
  <c r="B2941" i="9"/>
  <c r="C2941" i="9"/>
  <c r="D2941" i="9"/>
  <c r="E2941" i="9"/>
  <c r="F2941" i="9"/>
  <c r="A2942" i="9"/>
  <c r="B2942" i="9"/>
  <c r="C2942" i="9"/>
  <c r="D2942" i="9"/>
  <c r="E2942" i="9"/>
  <c r="F2942" i="9"/>
  <c r="A2943" i="9"/>
  <c r="B2943" i="9"/>
  <c r="C2943" i="9"/>
  <c r="D2943" i="9"/>
  <c r="E2943" i="9"/>
  <c r="F2943" i="9"/>
  <c r="A2944" i="9"/>
  <c r="B2944" i="9"/>
  <c r="C2944" i="9"/>
  <c r="D2944" i="9"/>
  <c r="E2944" i="9"/>
  <c r="F2944" i="9"/>
  <c r="A2945" i="9"/>
  <c r="B2945" i="9"/>
  <c r="C2945" i="9"/>
  <c r="D2945" i="9"/>
  <c r="E2945" i="9"/>
  <c r="F2945" i="9"/>
  <c r="A2946" i="9"/>
  <c r="B2946" i="9"/>
  <c r="C2946" i="9"/>
  <c r="D2946" i="9"/>
  <c r="E2946" i="9"/>
  <c r="F2946" i="9"/>
  <c r="A2947" i="9"/>
  <c r="B2947" i="9"/>
  <c r="C2947" i="9"/>
  <c r="D2947" i="9"/>
  <c r="E2947" i="9"/>
  <c r="F2947" i="9"/>
  <c r="A2948" i="9"/>
  <c r="B2948" i="9"/>
  <c r="C2948" i="9"/>
  <c r="D2948" i="9"/>
  <c r="E2948" i="9"/>
  <c r="F2948" i="9"/>
  <c r="A2949" i="9"/>
  <c r="B2949" i="9"/>
  <c r="C2949" i="9"/>
  <c r="D2949" i="9"/>
  <c r="E2949" i="9"/>
  <c r="F2949" i="9"/>
  <c r="A2950" i="9"/>
  <c r="B2950" i="9"/>
  <c r="C2950" i="9"/>
  <c r="D2950" i="9"/>
  <c r="E2950" i="9"/>
  <c r="F2950" i="9"/>
  <c r="A2951" i="9"/>
  <c r="B2951" i="9"/>
  <c r="C2951" i="9"/>
  <c r="D2951" i="9"/>
  <c r="E2951" i="9"/>
  <c r="F2951" i="9"/>
  <c r="A2952" i="9"/>
  <c r="B2952" i="9"/>
  <c r="C2952" i="9"/>
  <c r="D2952" i="9"/>
  <c r="E2952" i="9"/>
  <c r="F2952" i="9"/>
  <c r="A2953" i="9"/>
  <c r="B2953" i="9"/>
  <c r="C2953" i="9"/>
  <c r="D2953" i="9"/>
  <c r="E2953" i="9"/>
  <c r="F2953" i="9"/>
  <c r="A2954" i="9"/>
  <c r="B2954" i="9"/>
  <c r="C2954" i="9"/>
  <c r="D2954" i="9"/>
  <c r="E2954" i="9"/>
  <c r="F2954" i="9"/>
  <c r="A2955" i="9"/>
  <c r="B2955" i="9"/>
  <c r="C2955" i="9"/>
  <c r="D2955" i="9"/>
  <c r="E2955" i="9"/>
  <c r="F2955" i="9"/>
  <c r="A2956" i="9"/>
  <c r="B2956" i="9"/>
  <c r="C2956" i="9"/>
  <c r="D2956" i="9"/>
  <c r="E2956" i="9"/>
  <c r="F2956" i="9"/>
  <c r="A2957" i="9"/>
  <c r="B2957" i="9"/>
  <c r="C2957" i="9"/>
  <c r="D2957" i="9"/>
  <c r="E2957" i="9"/>
  <c r="F2957" i="9"/>
  <c r="A2958" i="9"/>
  <c r="B2958" i="9"/>
  <c r="C2958" i="9"/>
  <c r="D2958" i="9"/>
  <c r="E2958" i="9"/>
  <c r="F2958" i="9"/>
  <c r="A2959" i="9"/>
  <c r="B2959" i="9"/>
  <c r="C2959" i="9"/>
  <c r="D2959" i="9"/>
  <c r="E2959" i="9"/>
  <c r="F2959" i="9"/>
  <c r="A2960" i="9"/>
  <c r="B2960" i="9"/>
  <c r="C2960" i="9"/>
  <c r="D2960" i="9"/>
  <c r="E2960" i="9"/>
  <c r="F2960" i="9"/>
  <c r="A2961" i="9"/>
  <c r="B2961" i="9"/>
  <c r="C2961" i="9"/>
  <c r="D2961" i="9"/>
  <c r="E2961" i="9"/>
  <c r="F2961" i="9"/>
  <c r="A2962" i="9"/>
  <c r="B2962" i="9"/>
  <c r="C2962" i="9"/>
  <c r="D2962" i="9"/>
  <c r="E2962" i="9"/>
  <c r="F2962" i="9"/>
  <c r="A2963" i="9"/>
  <c r="B2963" i="9"/>
  <c r="C2963" i="9"/>
  <c r="D2963" i="9"/>
  <c r="E2963" i="9"/>
  <c r="F2963" i="9"/>
  <c r="A2964" i="9"/>
  <c r="B2964" i="9"/>
  <c r="C2964" i="9"/>
  <c r="D2964" i="9"/>
  <c r="E2964" i="9"/>
  <c r="F2964" i="9"/>
  <c r="A2965" i="9"/>
  <c r="B2965" i="9"/>
  <c r="C2965" i="9"/>
  <c r="D2965" i="9"/>
  <c r="E2965" i="9"/>
  <c r="F2965" i="9"/>
  <c r="A2966" i="9"/>
  <c r="B2966" i="9"/>
  <c r="C2966" i="9"/>
  <c r="D2966" i="9"/>
  <c r="E2966" i="9"/>
  <c r="F2966" i="9"/>
  <c r="A2967" i="9"/>
  <c r="B2967" i="9"/>
  <c r="C2967" i="9"/>
  <c r="D2967" i="9"/>
  <c r="E2967" i="9"/>
  <c r="F2967" i="9"/>
  <c r="A2968" i="9"/>
  <c r="B2968" i="9"/>
  <c r="C2968" i="9"/>
  <c r="D2968" i="9"/>
  <c r="E2968" i="9"/>
  <c r="F2968" i="9"/>
  <c r="A2969" i="9"/>
  <c r="B2969" i="9"/>
  <c r="C2969" i="9"/>
  <c r="D2969" i="9"/>
  <c r="E2969" i="9"/>
  <c r="F2969" i="9"/>
  <c r="A2970" i="9"/>
  <c r="B2970" i="9"/>
  <c r="C2970" i="9"/>
  <c r="D2970" i="9"/>
  <c r="E2970" i="9"/>
  <c r="F2970" i="9"/>
  <c r="A2971" i="9"/>
  <c r="B2971" i="9"/>
  <c r="C2971" i="9"/>
  <c r="D2971" i="9"/>
  <c r="E2971" i="9"/>
  <c r="F2971" i="9"/>
  <c r="A2972" i="9"/>
  <c r="B2972" i="9"/>
  <c r="C2972" i="9"/>
  <c r="D2972" i="9"/>
  <c r="E2972" i="9"/>
  <c r="F2972" i="9"/>
  <c r="A2973" i="9"/>
  <c r="B2973" i="9"/>
  <c r="C2973" i="9"/>
  <c r="D2973" i="9"/>
  <c r="E2973" i="9"/>
  <c r="F2973" i="9"/>
  <c r="A2974" i="9"/>
  <c r="B2974" i="9"/>
  <c r="C2974" i="9"/>
  <c r="D2974" i="9"/>
  <c r="E2974" i="9"/>
  <c r="F2974" i="9"/>
  <c r="A2975" i="9"/>
  <c r="B2975" i="9"/>
  <c r="C2975" i="9"/>
  <c r="D2975" i="9"/>
  <c r="E2975" i="9"/>
  <c r="F2975" i="9"/>
  <c r="A2976" i="9"/>
  <c r="B2976" i="9"/>
  <c r="C2976" i="9"/>
  <c r="D2976" i="9"/>
  <c r="E2976" i="9"/>
  <c r="F2976" i="9"/>
  <c r="A2977" i="9"/>
  <c r="B2977" i="9"/>
  <c r="C2977" i="9"/>
  <c r="D2977" i="9"/>
  <c r="E2977" i="9"/>
  <c r="F2977" i="9"/>
  <c r="A2978" i="9"/>
  <c r="B2978" i="9"/>
  <c r="C2978" i="9"/>
  <c r="D2978" i="9"/>
  <c r="E2978" i="9"/>
  <c r="F2978" i="9"/>
  <c r="A2979" i="9"/>
  <c r="B2979" i="9"/>
  <c r="C2979" i="9"/>
  <c r="D2979" i="9"/>
  <c r="E2979" i="9"/>
  <c r="F2979" i="9"/>
  <c r="A2980" i="9"/>
  <c r="B2980" i="9"/>
  <c r="C2980" i="9"/>
  <c r="D2980" i="9"/>
  <c r="E2980" i="9"/>
  <c r="F2980" i="9"/>
  <c r="A2981" i="9"/>
  <c r="B2981" i="9"/>
  <c r="C2981" i="9"/>
  <c r="D2981" i="9"/>
  <c r="E2981" i="9"/>
  <c r="F2981" i="9"/>
  <c r="A2982" i="9"/>
  <c r="B2982" i="9"/>
  <c r="C2982" i="9"/>
  <c r="D2982" i="9"/>
  <c r="E2982" i="9"/>
  <c r="F2982" i="9"/>
  <c r="A2983" i="9"/>
  <c r="B2983" i="9"/>
  <c r="C2983" i="9"/>
  <c r="D2983" i="9"/>
  <c r="E2983" i="9"/>
  <c r="F2983" i="9"/>
  <c r="A2984" i="9"/>
  <c r="B2984" i="9"/>
  <c r="C2984" i="9"/>
  <c r="D2984" i="9"/>
  <c r="E2984" i="9"/>
  <c r="F2984" i="9"/>
  <c r="A2985" i="9"/>
  <c r="B2985" i="9"/>
  <c r="C2985" i="9"/>
  <c r="D2985" i="9"/>
  <c r="E2985" i="9"/>
  <c r="F2985" i="9"/>
  <c r="A2986" i="9"/>
  <c r="B2986" i="9"/>
  <c r="C2986" i="9"/>
  <c r="D2986" i="9"/>
  <c r="E2986" i="9"/>
  <c r="F2986" i="9"/>
  <c r="A2987" i="9"/>
  <c r="B2987" i="9"/>
  <c r="C2987" i="9"/>
  <c r="D2987" i="9"/>
  <c r="E2987" i="9"/>
  <c r="F2987" i="9"/>
  <c r="A2988" i="9"/>
  <c r="B2988" i="9"/>
  <c r="C2988" i="9"/>
  <c r="D2988" i="9"/>
  <c r="E2988" i="9"/>
  <c r="F2988" i="9"/>
  <c r="A2989" i="9"/>
  <c r="B2989" i="9"/>
  <c r="C2989" i="9"/>
  <c r="D2989" i="9"/>
  <c r="E2989" i="9"/>
  <c r="F2989" i="9"/>
  <c r="A2990" i="9"/>
  <c r="B2990" i="9"/>
  <c r="C2990" i="9"/>
  <c r="D2990" i="9"/>
  <c r="E2990" i="9"/>
  <c r="F2990" i="9"/>
  <c r="A2991" i="9"/>
  <c r="B2991" i="9"/>
  <c r="C2991" i="9"/>
  <c r="D2991" i="9"/>
  <c r="E2991" i="9"/>
  <c r="F2991" i="9"/>
  <c r="A2992" i="9"/>
  <c r="B2992" i="9"/>
  <c r="C2992" i="9"/>
  <c r="D2992" i="9"/>
  <c r="E2992" i="9"/>
  <c r="F2992" i="9"/>
  <c r="A2993" i="9"/>
  <c r="B2993" i="9"/>
  <c r="C2993" i="9"/>
  <c r="D2993" i="9"/>
  <c r="E2993" i="9"/>
  <c r="F2993" i="9"/>
  <c r="A2994" i="9"/>
  <c r="B2994" i="9"/>
  <c r="C2994" i="9"/>
  <c r="D2994" i="9"/>
  <c r="E2994" i="9"/>
  <c r="F2994" i="9"/>
  <c r="A2995" i="9"/>
  <c r="B2995" i="9"/>
  <c r="C2995" i="9"/>
  <c r="D2995" i="9"/>
  <c r="E2995" i="9"/>
  <c r="F2995" i="9"/>
  <c r="A2996" i="9"/>
  <c r="B2996" i="9"/>
  <c r="C2996" i="9"/>
  <c r="D2996" i="9"/>
  <c r="E2996" i="9"/>
  <c r="F2996" i="9"/>
  <c r="A2997" i="9"/>
  <c r="B2997" i="9"/>
  <c r="C2997" i="9"/>
  <c r="D2997" i="9"/>
  <c r="E2997" i="9"/>
  <c r="F2997" i="9"/>
  <c r="A2998" i="9"/>
  <c r="B2998" i="9"/>
  <c r="C2998" i="9"/>
  <c r="D2998" i="9"/>
  <c r="E2998" i="9"/>
  <c r="F2998" i="9"/>
  <c r="A2999" i="9"/>
  <c r="B2999" i="9"/>
  <c r="C2999" i="9"/>
  <c r="D2999" i="9"/>
  <c r="E2999" i="9"/>
  <c r="F2999" i="9"/>
  <c r="A3000" i="9"/>
  <c r="B3000" i="9"/>
  <c r="C3000" i="9"/>
  <c r="D3000" i="9"/>
  <c r="E3000" i="9"/>
  <c r="F3000" i="9"/>
  <c r="A3001" i="9"/>
  <c r="B3001" i="9"/>
  <c r="C3001" i="9"/>
  <c r="D3001" i="9"/>
  <c r="E3001" i="9"/>
  <c r="F3001" i="9"/>
  <c r="A3002" i="9"/>
  <c r="B3002" i="9"/>
  <c r="C3002" i="9"/>
  <c r="D3002" i="9"/>
  <c r="E3002" i="9"/>
  <c r="F3002" i="9"/>
  <c r="A3003" i="9"/>
  <c r="B3003" i="9"/>
  <c r="C3003" i="9"/>
  <c r="D3003" i="9"/>
  <c r="E3003" i="9"/>
  <c r="F3003" i="9"/>
  <c r="A3004" i="9"/>
  <c r="B3004" i="9"/>
  <c r="C3004" i="9"/>
  <c r="D3004" i="9"/>
  <c r="E3004" i="9"/>
  <c r="F3004" i="9"/>
  <c r="A3005" i="9"/>
  <c r="B3005" i="9"/>
  <c r="C3005" i="9"/>
  <c r="D3005" i="9"/>
  <c r="E3005" i="9"/>
  <c r="F3005" i="9"/>
  <c r="A3006" i="9"/>
  <c r="B3006" i="9"/>
  <c r="C3006" i="9"/>
  <c r="D3006" i="9"/>
  <c r="E3006" i="9"/>
  <c r="F3006" i="9"/>
  <c r="A3007" i="9"/>
  <c r="B3007" i="9"/>
  <c r="C3007" i="9"/>
  <c r="D3007" i="9"/>
  <c r="E3007" i="9"/>
  <c r="F3007" i="9"/>
  <c r="A3008" i="9"/>
  <c r="B3008" i="9"/>
  <c r="C3008" i="9"/>
  <c r="D3008" i="9"/>
  <c r="E3008" i="9"/>
  <c r="F3008" i="9"/>
  <c r="A3009" i="9"/>
  <c r="B3009" i="9"/>
  <c r="C3009" i="9"/>
  <c r="D3009" i="9"/>
  <c r="E3009" i="9"/>
  <c r="F3009" i="9"/>
  <c r="A3010" i="9"/>
  <c r="B3010" i="9"/>
  <c r="C3010" i="9"/>
  <c r="D3010" i="9"/>
  <c r="E3010" i="9"/>
  <c r="F3010" i="9"/>
  <c r="A3011" i="9"/>
  <c r="B3011" i="9"/>
  <c r="C3011" i="9"/>
  <c r="D3011" i="9"/>
  <c r="E3011" i="9"/>
  <c r="F3011" i="9"/>
  <c r="A3012" i="9"/>
  <c r="B3012" i="9"/>
  <c r="C3012" i="9"/>
  <c r="D3012" i="9"/>
  <c r="E3012" i="9"/>
  <c r="F3012" i="9"/>
  <c r="A3013" i="9"/>
  <c r="B3013" i="9"/>
  <c r="C3013" i="9"/>
  <c r="D3013" i="9"/>
  <c r="E3013" i="9"/>
  <c r="F3013" i="9"/>
  <c r="A3014" i="9"/>
  <c r="B3014" i="9"/>
  <c r="C3014" i="9"/>
  <c r="D3014" i="9"/>
  <c r="E3014" i="9"/>
  <c r="F3014" i="9"/>
  <c r="A3015" i="9"/>
  <c r="B3015" i="9"/>
  <c r="C3015" i="9"/>
  <c r="D3015" i="9"/>
  <c r="E3015" i="9"/>
  <c r="F3015" i="9"/>
  <c r="A3016" i="9"/>
  <c r="B3016" i="9"/>
  <c r="C3016" i="9"/>
  <c r="D3016" i="9"/>
  <c r="E3016" i="9"/>
  <c r="F3016" i="9"/>
  <c r="A3017" i="9"/>
  <c r="B3017" i="9"/>
  <c r="C3017" i="9"/>
  <c r="D3017" i="9"/>
  <c r="E3017" i="9"/>
  <c r="F3017" i="9"/>
  <c r="A3018" i="9"/>
  <c r="B3018" i="9"/>
  <c r="C3018" i="9"/>
  <c r="D3018" i="9"/>
  <c r="E3018" i="9"/>
  <c r="F3018" i="9"/>
  <c r="A3019" i="9"/>
  <c r="B3019" i="9"/>
  <c r="C3019" i="9"/>
  <c r="D3019" i="9"/>
  <c r="E3019" i="9"/>
  <c r="F3019" i="9"/>
  <c r="A3020" i="9"/>
  <c r="B3020" i="9"/>
  <c r="C3020" i="9"/>
  <c r="D3020" i="9"/>
  <c r="E3020" i="9"/>
  <c r="F3020" i="9"/>
  <c r="A3021" i="9"/>
  <c r="B3021" i="9"/>
  <c r="C3021" i="9"/>
  <c r="D3021" i="9"/>
  <c r="E3021" i="9"/>
  <c r="F3021" i="9"/>
  <c r="A3022" i="9"/>
  <c r="B3022" i="9"/>
  <c r="C3022" i="9"/>
  <c r="D3022" i="9"/>
  <c r="E3022" i="9"/>
  <c r="F3022" i="9"/>
  <c r="A3023" i="9"/>
  <c r="B3023" i="9"/>
  <c r="C3023" i="9"/>
  <c r="D3023" i="9"/>
  <c r="E3023" i="9"/>
  <c r="F3023" i="9"/>
  <c r="A3024" i="9"/>
  <c r="B3024" i="9"/>
  <c r="C3024" i="9"/>
  <c r="D3024" i="9"/>
  <c r="E3024" i="9"/>
  <c r="F3024" i="9"/>
  <c r="A3025" i="9"/>
  <c r="B3025" i="9"/>
  <c r="C3025" i="9"/>
  <c r="D3025" i="9"/>
  <c r="E3025" i="9"/>
  <c r="F3025" i="9"/>
  <c r="A3026" i="9"/>
  <c r="B3026" i="9"/>
  <c r="C3026" i="9"/>
  <c r="D3026" i="9"/>
  <c r="E3026" i="9"/>
  <c r="F3026" i="9"/>
  <c r="A3027" i="9"/>
  <c r="B3027" i="9"/>
  <c r="C3027" i="9"/>
  <c r="D3027" i="9"/>
  <c r="E3027" i="9"/>
  <c r="F3027" i="9"/>
  <c r="A3028" i="9"/>
  <c r="B3028" i="9"/>
  <c r="C3028" i="9"/>
  <c r="D3028" i="9"/>
  <c r="E3028" i="9"/>
  <c r="F3028" i="9"/>
  <c r="A3029" i="9"/>
  <c r="B3029" i="9"/>
  <c r="C3029" i="9"/>
  <c r="D3029" i="9"/>
  <c r="E3029" i="9"/>
  <c r="F3029" i="9"/>
  <c r="A3030" i="9"/>
  <c r="B3030" i="9"/>
  <c r="C3030" i="9"/>
  <c r="D3030" i="9"/>
  <c r="E3030" i="9"/>
  <c r="F3030" i="9"/>
  <c r="A3031" i="9"/>
  <c r="B3031" i="9"/>
  <c r="C3031" i="9"/>
  <c r="D3031" i="9"/>
  <c r="E3031" i="9"/>
  <c r="F3031" i="9"/>
  <c r="A3032" i="9"/>
  <c r="B3032" i="9"/>
  <c r="C3032" i="9"/>
  <c r="D3032" i="9"/>
  <c r="E3032" i="9"/>
  <c r="F3032" i="9"/>
  <c r="A3033" i="9"/>
  <c r="B3033" i="9"/>
  <c r="C3033" i="9"/>
  <c r="D3033" i="9"/>
  <c r="E3033" i="9"/>
  <c r="F3033" i="9"/>
  <c r="A3034" i="9"/>
  <c r="B3034" i="9"/>
  <c r="C3034" i="9"/>
  <c r="D3034" i="9"/>
  <c r="E3034" i="9"/>
  <c r="F3034" i="9"/>
  <c r="A3035" i="9"/>
  <c r="B3035" i="9"/>
  <c r="C3035" i="9"/>
  <c r="D3035" i="9"/>
  <c r="E3035" i="9"/>
  <c r="F3035" i="9"/>
  <c r="A3036" i="9"/>
  <c r="B3036" i="9"/>
  <c r="C3036" i="9"/>
  <c r="D3036" i="9"/>
  <c r="E3036" i="9"/>
  <c r="F3036" i="9"/>
  <c r="A3037" i="9"/>
  <c r="B3037" i="9"/>
  <c r="C3037" i="9"/>
  <c r="D3037" i="9"/>
  <c r="E3037" i="9"/>
  <c r="F3037" i="9"/>
  <c r="A3038" i="9"/>
  <c r="B3038" i="9"/>
  <c r="C3038" i="9"/>
  <c r="D3038" i="9"/>
  <c r="E3038" i="9"/>
  <c r="F3038" i="9"/>
  <c r="A3039" i="9"/>
  <c r="B3039" i="9"/>
  <c r="C3039" i="9"/>
  <c r="D3039" i="9"/>
  <c r="E3039" i="9"/>
  <c r="F3039" i="9"/>
  <c r="A3040" i="9"/>
  <c r="B3040" i="9"/>
  <c r="C3040" i="9"/>
  <c r="D3040" i="9"/>
  <c r="E3040" i="9"/>
  <c r="F3040" i="9"/>
  <c r="A3041" i="9"/>
  <c r="B3041" i="9"/>
  <c r="C3041" i="9"/>
  <c r="D3041" i="9"/>
  <c r="E3041" i="9"/>
  <c r="F3041" i="9"/>
  <c r="A3042" i="9"/>
  <c r="B3042" i="9"/>
  <c r="C3042" i="9"/>
  <c r="D3042" i="9"/>
  <c r="E3042" i="9"/>
  <c r="F3042" i="9"/>
  <c r="A3043" i="9"/>
  <c r="B3043" i="9"/>
  <c r="C3043" i="9"/>
  <c r="D3043" i="9"/>
  <c r="E3043" i="9"/>
  <c r="F3043" i="9"/>
  <c r="A3044" i="9"/>
  <c r="B3044" i="9"/>
  <c r="C3044" i="9"/>
  <c r="D3044" i="9"/>
  <c r="E3044" i="9"/>
  <c r="F3044" i="9"/>
  <c r="A3045" i="9"/>
  <c r="B3045" i="9"/>
  <c r="C3045" i="9"/>
  <c r="D3045" i="9"/>
  <c r="E3045" i="9"/>
  <c r="F3045" i="9"/>
  <c r="A3046" i="9"/>
  <c r="B3046" i="9"/>
  <c r="C3046" i="9"/>
  <c r="D3046" i="9"/>
  <c r="E3046" i="9"/>
  <c r="F3046" i="9"/>
  <c r="A3047" i="9"/>
  <c r="B3047" i="9"/>
  <c r="C3047" i="9"/>
  <c r="D3047" i="9"/>
  <c r="E3047" i="9"/>
  <c r="F3047" i="9"/>
  <c r="A3048" i="9"/>
  <c r="B3048" i="9"/>
  <c r="C3048" i="9"/>
  <c r="D3048" i="9"/>
  <c r="E3048" i="9"/>
  <c r="F3048" i="9"/>
  <c r="A3049" i="9"/>
  <c r="B3049" i="9"/>
  <c r="C3049" i="9"/>
  <c r="D3049" i="9"/>
  <c r="E3049" i="9"/>
  <c r="F3049" i="9"/>
  <c r="A3050" i="9"/>
  <c r="B3050" i="9"/>
  <c r="C3050" i="9"/>
  <c r="D3050" i="9"/>
  <c r="E3050" i="9"/>
  <c r="F3050" i="9"/>
  <c r="A3051" i="9"/>
  <c r="B3051" i="9"/>
  <c r="C3051" i="9"/>
  <c r="D3051" i="9"/>
  <c r="E3051" i="9"/>
  <c r="F3051" i="9"/>
  <c r="A3052" i="9"/>
  <c r="B3052" i="9"/>
  <c r="C3052" i="9"/>
  <c r="D3052" i="9"/>
  <c r="E3052" i="9"/>
  <c r="F3052" i="9"/>
  <c r="A3053" i="9"/>
  <c r="B3053" i="9"/>
  <c r="C3053" i="9"/>
  <c r="D3053" i="9"/>
  <c r="E3053" i="9"/>
  <c r="F3053" i="9"/>
  <c r="A3054" i="9"/>
  <c r="B3054" i="9"/>
  <c r="C3054" i="9"/>
  <c r="D3054" i="9"/>
  <c r="E3054" i="9"/>
  <c r="F3054" i="9"/>
  <c r="A3055" i="9"/>
  <c r="B3055" i="9"/>
  <c r="C3055" i="9"/>
  <c r="D3055" i="9"/>
  <c r="E3055" i="9"/>
  <c r="F3055" i="9"/>
  <c r="A3056" i="9"/>
  <c r="B3056" i="9"/>
  <c r="C3056" i="9"/>
  <c r="D3056" i="9"/>
  <c r="E3056" i="9"/>
  <c r="F3056" i="9"/>
  <c r="A3057" i="9"/>
  <c r="B3057" i="9"/>
  <c r="C3057" i="9"/>
  <c r="D3057" i="9"/>
  <c r="E3057" i="9"/>
  <c r="F3057" i="9"/>
  <c r="A3058" i="9"/>
  <c r="B3058" i="9"/>
  <c r="C3058" i="9"/>
  <c r="D3058" i="9"/>
  <c r="E3058" i="9"/>
  <c r="F3058" i="9"/>
  <c r="A3059" i="9"/>
  <c r="B3059" i="9"/>
  <c r="C3059" i="9"/>
  <c r="D3059" i="9"/>
  <c r="E3059" i="9"/>
  <c r="F3059" i="9"/>
  <c r="A3060" i="9"/>
  <c r="B3060" i="9"/>
  <c r="C3060" i="9"/>
  <c r="D3060" i="9"/>
  <c r="E3060" i="9"/>
  <c r="F3060" i="9"/>
  <c r="A3061" i="9"/>
  <c r="B3061" i="9"/>
  <c r="C3061" i="9"/>
  <c r="D3061" i="9"/>
  <c r="E3061" i="9"/>
  <c r="F3061" i="9"/>
  <c r="A3062" i="9"/>
  <c r="B3062" i="9"/>
  <c r="C3062" i="9"/>
  <c r="D3062" i="9"/>
  <c r="E3062" i="9"/>
  <c r="F3062" i="9"/>
  <c r="A3063" i="9"/>
  <c r="B3063" i="9"/>
  <c r="C3063" i="9"/>
  <c r="D3063" i="9"/>
  <c r="E3063" i="9"/>
  <c r="F3063" i="9"/>
  <c r="A3064" i="9"/>
  <c r="B3064" i="9"/>
  <c r="C3064" i="9"/>
  <c r="D3064" i="9"/>
  <c r="E3064" i="9"/>
  <c r="F3064" i="9"/>
  <c r="A3065" i="9"/>
  <c r="B3065" i="9"/>
  <c r="C3065" i="9"/>
  <c r="D3065" i="9"/>
  <c r="E3065" i="9"/>
  <c r="F3065" i="9"/>
  <c r="A3066" i="9"/>
  <c r="B3066" i="9"/>
  <c r="C3066" i="9"/>
  <c r="D3066" i="9"/>
  <c r="E3066" i="9"/>
  <c r="F3066" i="9"/>
  <c r="A3067" i="9"/>
  <c r="B3067" i="9"/>
  <c r="C3067" i="9"/>
  <c r="D3067" i="9"/>
  <c r="E3067" i="9"/>
  <c r="F3067" i="9"/>
  <c r="A3068" i="9"/>
  <c r="B3068" i="9"/>
  <c r="C3068" i="9"/>
  <c r="D3068" i="9"/>
  <c r="E3068" i="9"/>
  <c r="F3068" i="9"/>
  <c r="A3069" i="9"/>
  <c r="B3069" i="9"/>
  <c r="C3069" i="9"/>
  <c r="D3069" i="9"/>
  <c r="E3069" i="9"/>
  <c r="F3069" i="9"/>
  <c r="A3070" i="9"/>
  <c r="B3070" i="9"/>
  <c r="C3070" i="9"/>
  <c r="D3070" i="9"/>
  <c r="E3070" i="9"/>
  <c r="F3070" i="9"/>
  <c r="A3071" i="9"/>
  <c r="B3071" i="9"/>
  <c r="C3071" i="9"/>
  <c r="D3071" i="9"/>
  <c r="E3071" i="9"/>
  <c r="F3071" i="9"/>
  <c r="A3072" i="9"/>
  <c r="B3072" i="9"/>
  <c r="C3072" i="9"/>
  <c r="D3072" i="9"/>
  <c r="E3072" i="9"/>
  <c r="F3072" i="9"/>
  <c r="A3073" i="9"/>
  <c r="B3073" i="9"/>
  <c r="C3073" i="9"/>
  <c r="D3073" i="9"/>
  <c r="E3073" i="9"/>
  <c r="F3073" i="9"/>
  <c r="A3074" i="9"/>
  <c r="B3074" i="9"/>
  <c r="C3074" i="9"/>
  <c r="D3074" i="9"/>
  <c r="E3074" i="9"/>
  <c r="F3074" i="9"/>
  <c r="A3075" i="9"/>
  <c r="B3075" i="9"/>
  <c r="C3075" i="9"/>
  <c r="D3075" i="9"/>
  <c r="E3075" i="9"/>
  <c r="F3075" i="9"/>
  <c r="A3076" i="9"/>
  <c r="B3076" i="9"/>
  <c r="C3076" i="9"/>
  <c r="D3076" i="9"/>
  <c r="E3076" i="9"/>
  <c r="F3076" i="9"/>
  <c r="A3077" i="9"/>
  <c r="B3077" i="9"/>
  <c r="C3077" i="9"/>
  <c r="D3077" i="9"/>
  <c r="E3077" i="9"/>
  <c r="F3077" i="9"/>
  <c r="A3078" i="9"/>
  <c r="B3078" i="9"/>
  <c r="C3078" i="9"/>
  <c r="D3078" i="9"/>
  <c r="E3078" i="9"/>
  <c r="F3078" i="9"/>
  <c r="A3079" i="9"/>
  <c r="B3079" i="9"/>
  <c r="C3079" i="9"/>
  <c r="D3079" i="9"/>
  <c r="E3079" i="9"/>
  <c r="F3079" i="9"/>
  <c r="A3080" i="9"/>
  <c r="B3080" i="9"/>
  <c r="C3080" i="9"/>
  <c r="D3080" i="9"/>
  <c r="E3080" i="9"/>
  <c r="F3080" i="9"/>
  <c r="A3081" i="9"/>
  <c r="B3081" i="9"/>
  <c r="C3081" i="9"/>
  <c r="D3081" i="9"/>
  <c r="E3081" i="9"/>
  <c r="F3081" i="9"/>
  <c r="A3082" i="9"/>
  <c r="B3082" i="9"/>
  <c r="C3082" i="9"/>
  <c r="D3082" i="9"/>
  <c r="E3082" i="9"/>
  <c r="F3082" i="9"/>
  <c r="A3083" i="9"/>
  <c r="B3083" i="9"/>
  <c r="C3083" i="9"/>
  <c r="D3083" i="9"/>
  <c r="E3083" i="9"/>
  <c r="F3083" i="9"/>
  <c r="A3084" i="9"/>
  <c r="B3084" i="9"/>
  <c r="C3084" i="9"/>
  <c r="D3084" i="9"/>
  <c r="E3084" i="9"/>
  <c r="F3084" i="9"/>
  <c r="A3085" i="9"/>
  <c r="B3085" i="9"/>
  <c r="C3085" i="9"/>
  <c r="D3085" i="9"/>
  <c r="E3085" i="9"/>
  <c r="F3085" i="9"/>
  <c r="A3086" i="9"/>
  <c r="B3086" i="9"/>
  <c r="C3086" i="9"/>
  <c r="D3086" i="9"/>
  <c r="E3086" i="9"/>
  <c r="F3086" i="9"/>
  <c r="A3087" i="9"/>
  <c r="B3087" i="9"/>
  <c r="C3087" i="9"/>
  <c r="D3087" i="9"/>
  <c r="E3087" i="9"/>
  <c r="F3087" i="9"/>
  <c r="A3088" i="9"/>
  <c r="B3088" i="9"/>
  <c r="C3088" i="9"/>
  <c r="D3088" i="9"/>
  <c r="E3088" i="9"/>
  <c r="F3088" i="9"/>
  <c r="A3089" i="9"/>
  <c r="B3089" i="9"/>
  <c r="C3089" i="9"/>
  <c r="D3089" i="9"/>
  <c r="E3089" i="9"/>
  <c r="F3089" i="9"/>
  <c r="A3090" i="9"/>
  <c r="B3090" i="9"/>
  <c r="C3090" i="9"/>
  <c r="D3090" i="9"/>
  <c r="E3090" i="9"/>
  <c r="F3090" i="9"/>
  <c r="A3091" i="9"/>
  <c r="B3091" i="9"/>
  <c r="C3091" i="9"/>
  <c r="D3091" i="9"/>
  <c r="E3091" i="9"/>
  <c r="F3091" i="9"/>
  <c r="A3092" i="9"/>
  <c r="B3092" i="9"/>
  <c r="C3092" i="9"/>
  <c r="D3092" i="9"/>
  <c r="E3092" i="9"/>
  <c r="F3092" i="9"/>
  <c r="A3093" i="9"/>
  <c r="B3093" i="9"/>
  <c r="C3093" i="9"/>
  <c r="D3093" i="9"/>
  <c r="E3093" i="9"/>
  <c r="F3093" i="9"/>
  <c r="A3094" i="9"/>
  <c r="B3094" i="9"/>
  <c r="C3094" i="9"/>
  <c r="D3094" i="9"/>
  <c r="E3094" i="9"/>
  <c r="F3094" i="9"/>
  <c r="A3095" i="9"/>
  <c r="B3095" i="9"/>
  <c r="C3095" i="9"/>
  <c r="D3095" i="9"/>
  <c r="E3095" i="9"/>
  <c r="F3095" i="9"/>
  <c r="A3096" i="9"/>
  <c r="B3096" i="9"/>
  <c r="C3096" i="9"/>
  <c r="D3096" i="9"/>
  <c r="E3096" i="9"/>
  <c r="F3096" i="9"/>
  <c r="A3097" i="9"/>
  <c r="B3097" i="9"/>
  <c r="C3097" i="9"/>
  <c r="D3097" i="9"/>
  <c r="E3097" i="9"/>
  <c r="F3097" i="9"/>
  <c r="A3098" i="9"/>
  <c r="B3098" i="9"/>
  <c r="C3098" i="9"/>
  <c r="D3098" i="9"/>
  <c r="E3098" i="9"/>
  <c r="F3098" i="9"/>
  <c r="A3099" i="9"/>
  <c r="B3099" i="9"/>
  <c r="C3099" i="9"/>
  <c r="D3099" i="9"/>
  <c r="E3099" i="9"/>
  <c r="F3099" i="9"/>
  <c r="A3100" i="9"/>
  <c r="B3100" i="9"/>
  <c r="C3100" i="9"/>
  <c r="D3100" i="9"/>
  <c r="E3100" i="9"/>
  <c r="F3100" i="9"/>
  <c r="A3101" i="9"/>
  <c r="B3101" i="9"/>
  <c r="C3101" i="9"/>
  <c r="D3101" i="9"/>
  <c r="E3101" i="9"/>
  <c r="F3101" i="9"/>
  <c r="A3102" i="9"/>
  <c r="B3102" i="9"/>
  <c r="C3102" i="9"/>
  <c r="D3102" i="9"/>
  <c r="E3102" i="9"/>
  <c r="F3102" i="9"/>
  <c r="A3103" i="9"/>
  <c r="B3103" i="9"/>
  <c r="C3103" i="9"/>
  <c r="D3103" i="9"/>
  <c r="E3103" i="9"/>
  <c r="F3103" i="9"/>
  <c r="A3104" i="9"/>
  <c r="B3104" i="9"/>
  <c r="C3104" i="9"/>
  <c r="D3104" i="9"/>
  <c r="E3104" i="9"/>
  <c r="F3104" i="9"/>
  <c r="A3105" i="9"/>
  <c r="B3105" i="9"/>
  <c r="C3105" i="9"/>
  <c r="D3105" i="9"/>
  <c r="E3105" i="9"/>
  <c r="F3105" i="9"/>
  <c r="A3106" i="9"/>
  <c r="B3106" i="9"/>
  <c r="C3106" i="9"/>
  <c r="D3106" i="9"/>
  <c r="E3106" i="9"/>
  <c r="F3106" i="9"/>
  <c r="A3107" i="9"/>
  <c r="B3107" i="9"/>
  <c r="C3107" i="9"/>
  <c r="D3107" i="9"/>
  <c r="E3107" i="9"/>
  <c r="F3107" i="9"/>
  <c r="A3108" i="9"/>
  <c r="B3108" i="9"/>
  <c r="C3108" i="9"/>
  <c r="D3108" i="9"/>
  <c r="E3108" i="9"/>
  <c r="F3108" i="9"/>
  <c r="A3109" i="9"/>
  <c r="B3109" i="9"/>
  <c r="C3109" i="9"/>
  <c r="D3109" i="9"/>
  <c r="E3109" i="9"/>
  <c r="F3109" i="9"/>
  <c r="A3110" i="9"/>
  <c r="B3110" i="9"/>
  <c r="C3110" i="9"/>
  <c r="D3110" i="9"/>
  <c r="E3110" i="9"/>
  <c r="F3110" i="9"/>
  <c r="A3111" i="9"/>
  <c r="B3111" i="9"/>
  <c r="C3111" i="9"/>
  <c r="D3111" i="9"/>
  <c r="E3111" i="9"/>
  <c r="F3111" i="9"/>
  <c r="A3112" i="9"/>
  <c r="B3112" i="9"/>
  <c r="C3112" i="9"/>
  <c r="D3112" i="9"/>
  <c r="E3112" i="9"/>
  <c r="F3112" i="9"/>
  <c r="A3113" i="9"/>
  <c r="B3113" i="9"/>
  <c r="C3113" i="9"/>
  <c r="D3113" i="9"/>
  <c r="E3113" i="9"/>
  <c r="F3113" i="9"/>
  <c r="A3114" i="9"/>
  <c r="B3114" i="9"/>
  <c r="C3114" i="9"/>
  <c r="D3114" i="9"/>
  <c r="E3114" i="9"/>
  <c r="F3114" i="9"/>
  <c r="A3115" i="9"/>
  <c r="B3115" i="9"/>
  <c r="C3115" i="9"/>
  <c r="D3115" i="9"/>
  <c r="E3115" i="9"/>
  <c r="F3115" i="9"/>
  <c r="A3116" i="9"/>
  <c r="B3116" i="9"/>
  <c r="C3116" i="9"/>
  <c r="D3116" i="9"/>
  <c r="E3116" i="9"/>
  <c r="F3116" i="9"/>
  <c r="A3117" i="9"/>
  <c r="B3117" i="9"/>
  <c r="C3117" i="9"/>
  <c r="D3117" i="9"/>
  <c r="E3117" i="9"/>
  <c r="F3117" i="9"/>
  <c r="A3118" i="9"/>
  <c r="B3118" i="9"/>
  <c r="C3118" i="9"/>
  <c r="D3118" i="9"/>
  <c r="E3118" i="9"/>
  <c r="F3118" i="9"/>
  <c r="A3119" i="9"/>
  <c r="B3119" i="9"/>
  <c r="C3119" i="9"/>
  <c r="D3119" i="9"/>
  <c r="E3119" i="9"/>
  <c r="F3119" i="9"/>
  <c r="A3120" i="9"/>
  <c r="B3120" i="9"/>
  <c r="C3120" i="9"/>
  <c r="D3120" i="9"/>
  <c r="E3120" i="9"/>
  <c r="F3120" i="9"/>
  <c r="A3121" i="9"/>
  <c r="B3121" i="9"/>
  <c r="C3121" i="9"/>
  <c r="D3121" i="9"/>
  <c r="E3121" i="9"/>
  <c r="F3121" i="9"/>
  <c r="A3122" i="9"/>
  <c r="B3122" i="9"/>
  <c r="C3122" i="9"/>
  <c r="D3122" i="9"/>
  <c r="E3122" i="9"/>
  <c r="F3122" i="9"/>
  <c r="A3123" i="9"/>
  <c r="B3123" i="9"/>
  <c r="C3123" i="9"/>
  <c r="D3123" i="9"/>
  <c r="E3123" i="9"/>
  <c r="F3123" i="9"/>
  <c r="A3124" i="9"/>
  <c r="B3124" i="9"/>
  <c r="C3124" i="9"/>
  <c r="D3124" i="9"/>
  <c r="E3124" i="9"/>
  <c r="F3124" i="9"/>
  <c r="A3125" i="9"/>
  <c r="B3125" i="9"/>
  <c r="C3125" i="9"/>
  <c r="D3125" i="9"/>
  <c r="E3125" i="9"/>
  <c r="F3125" i="9"/>
  <c r="A3126" i="9"/>
  <c r="B3126" i="9"/>
  <c r="C3126" i="9"/>
  <c r="D3126" i="9"/>
  <c r="E3126" i="9"/>
  <c r="F3126" i="9"/>
  <c r="A3127" i="9"/>
  <c r="B3127" i="9"/>
  <c r="C3127" i="9"/>
  <c r="D3127" i="9"/>
  <c r="E3127" i="9"/>
  <c r="F3127" i="9"/>
  <c r="A3128" i="9"/>
  <c r="B3128" i="9"/>
  <c r="C3128" i="9"/>
  <c r="D3128" i="9"/>
  <c r="E3128" i="9"/>
  <c r="F3128" i="9"/>
  <c r="A3129" i="9"/>
  <c r="B3129" i="9"/>
  <c r="C3129" i="9"/>
  <c r="D3129" i="9"/>
  <c r="E3129" i="9"/>
  <c r="F3129" i="9"/>
  <c r="A3130" i="9"/>
  <c r="B3130" i="9"/>
  <c r="C3130" i="9"/>
  <c r="D3130" i="9"/>
  <c r="E3130" i="9"/>
  <c r="F3130" i="9"/>
  <c r="A3131" i="9"/>
  <c r="B3131" i="9"/>
  <c r="C3131" i="9"/>
  <c r="D3131" i="9"/>
  <c r="E3131" i="9"/>
  <c r="F3131" i="9"/>
  <c r="A3132" i="9"/>
  <c r="B3132" i="9"/>
  <c r="C3132" i="9"/>
  <c r="D3132" i="9"/>
  <c r="E3132" i="9"/>
  <c r="F3132" i="9"/>
  <c r="A3133" i="9"/>
  <c r="B3133" i="9"/>
  <c r="C3133" i="9"/>
  <c r="D3133" i="9"/>
  <c r="E3133" i="9"/>
  <c r="F3133" i="9"/>
  <c r="A3134" i="9"/>
  <c r="B3134" i="9"/>
  <c r="C3134" i="9"/>
  <c r="D3134" i="9"/>
  <c r="E3134" i="9"/>
  <c r="F3134" i="9"/>
  <c r="A3135" i="9"/>
  <c r="B3135" i="9"/>
  <c r="C3135" i="9"/>
  <c r="D3135" i="9"/>
  <c r="E3135" i="9"/>
  <c r="F3135" i="9"/>
  <c r="A3136" i="9"/>
  <c r="B3136" i="9"/>
  <c r="C3136" i="9"/>
  <c r="D3136" i="9"/>
  <c r="E3136" i="9"/>
  <c r="F3136" i="9"/>
  <c r="A3137" i="9"/>
  <c r="B3137" i="9"/>
  <c r="C3137" i="9"/>
  <c r="D3137" i="9"/>
  <c r="E3137" i="9"/>
  <c r="F3137" i="9"/>
  <c r="A3138" i="9"/>
  <c r="B3138" i="9"/>
  <c r="C3138" i="9"/>
  <c r="D3138" i="9"/>
  <c r="E3138" i="9"/>
  <c r="F3138" i="9"/>
  <c r="A3139" i="9"/>
  <c r="B3139" i="9"/>
  <c r="C3139" i="9"/>
  <c r="D3139" i="9"/>
  <c r="E3139" i="9"/>
  <c r="F3139" i="9"/>
  <c r="A3140" i="9"/>
  <c r="B3140" i="9"/>
  <c r="C3140" i="9"/>
  <c r="D3140" i="9"/>
  <c r="E3140" i="9"/>
  <c r="F3140" i="9"/>
  <c r="A3141" i="9"/>
  <c r="B3141" i="9"/>
  <c r="C3141" i="9"/>
  <c r="D3141" i="9"/>
  <c r="E3141" i="9"/>
  <c r="F3141" i="9"/>
  <c r="A3142" i="9"/>
  <c r="B3142" i="9"/>
  <c r="C3142" i="9"/>
  <c r="D3142" i="9"/>
  <c r="E3142" i="9"/>
  <c r="F3142" i="9"/>
  <c r="A3143" i="9"/>
  <c r="B3143" i="9"/>
  <c r="C3143" i="9"/>
  <c r="D3143" i="9"/>
  <c r="E3143" i="9"/>
  <c r="F3143" i="9"/>
  <c r="A3144" i="9"/>
  <c r="B3144" i="9"/>
  <c r="C3144" i="9"/>
  <c r="D3144" i="9"/>
  <c r="E3144" i="9"/>
  <c r="F3144" i="9"/>
  <c r="A3145" i="9"/>
  <c r="B3145" i="9"/>
  <c r="C3145" i="9"/>
  <c r="D3145" i="9"/>
  <c r="E3145" i="9"/>
  <c r="F3145" i="9"/>
  <c r="A3146" i="9"/>
  <c r="B3146" i="9"/>
  <c r="C3146" i="9"/>
  <c r="D3146" i="9"/>
  <c r="E3146" i="9"/>
  <c r="F3146" i="9"/>
  <c r="A3147" i="9"/>
  <c r="B3147" i="9"/>
  <c r="C3147" i="9"/>
  <c r="D3147" i="9"/>
  <c r="E3147" i="9"/>
  <c r="F3147" i="9"/>
  <c r="A3148" i="9"/>
  <c r="B3148" i="9"/>
  <c r="C3148" i="9"/>
  <c r="D3148" i="9"/>
  <c r="E3148" i="9"/>
  <c r="F3148" i="9"/>
  <c r="A3149" i="9"/>
  <c r="B3149" i="9"/>
  <c r="C3149" i="9"/>
  <c r="D3149" i="9"/>
  <c r="E3149" i="9"/>
  <c r="F3149" i="9"/>
  <c r="A3150" i="9"/>
  <c r="B3150" i="9"/>
  <c r="C3150" i="9"/>
  <c r="D3150" i="9"/>
  <c r="E3150" i="9"/>
  <c r="F3150" i="9"/>
  <c r="A3151" i="9"/>
  <c r="B3151" i="9"/>
  <c r="C3151" i="9"/>
  <c r="D3151" i="9"/>
  <c r="E3151" i="9"/>
  <c r="F3151" i="9"/>
  <c r="A3152" i="9"/>
  <c r="B3152" i="9"/>
  <c r="C3152" i="9"/>
  <c r="D3152" i="9"/>
  <c r="E3152" i="9"/>
  <c r="F3152" i="9"/>
  <c r="A3153" i="9"/>
  <c r="B3153" i="9"/>
  <c r="C3153" i="9"/>
  <c r="D3153" i="9"/>
  <c r="E3153" i="9"/>
  <c r="F3153" i="9"/>
  <c r="A3154" i="9"/>
  <c r="B3154" i="9"/>
  <c r="C3154" i="9"/>
  <c r="D3154" i="9"/>
  <c r="E3154" i="9"/>
  <c r="F3154" i="9"/>
  <c r="A3155" i="9"/>
  <c r="B3155" i="9"/>
  <c r="C3155" i="9"/>
  <c r="D3155" i="9"/>
  <c r="E3155" i="9"/>
  <c r="F3155" i="9"/>
  <c r="A3156" i="9"/>
  <c r="B3156" i="9"/>
  <c r="C3156" i="9"/>
  <c r="D3156" i="9"/>
  <c r="E3156" i="9"/>
  <c r="F3156" i="9"/>
  <c r="A3157" i="9"/>
  <c r="B3157" i="9"/>
  <c r="C3157" i="9"/>
  <c r="D3157" i="9"/>
  <c r="E3157" i="9"/>
  <c r="F3157" i="9"/>
  <c r="A3158" i="9"/>
  <c r="B3158" i="9"/>
  <c r="C3158" i="9"/>
  <c r="D3158" i="9"/>
  <c r="E3158" i="9"/>
  <c r="F3158" i="9"/>
  <c r="A3159" i="9"/>
  <c r="B3159" i="9"/>
  <c r="C3159" i="9"/>
  <c r="D3159" i="9"/>
  <c r="E3159" i="9"/>
  <c r="F3159" i="9"/>
  <c r="A3160" i="9"/>
  <c r="B3160" i="9"/>
  <c r="C3160" i="9"/>
  <c r="D3160" i="9"/>
  <c r="E3160" i="9"/>
  <c r="F3160" i="9"/>
  <c r="A3161" i="9"/>
  <c r="B3161" i="9"/>
  <c r="C3161" i="9"/>
  <c r="D3161" i="9"/>
  <c r="E3161" i="9"/>
  <c r="F3161" i="9"/>
  <c r="A3162" i="9"/>
  <c r="B3162" i="9"/>
  <c r="C3162" i="9"/>
  <c r="D3162" i="9"/>
  <c r="E3162" i="9"/>
  <c r="F3162" i="9"/>
  <c r="A3163" i="9"/>
  <c r="B3163" i="9"/>
  <c r="C3163" i="9"/>
  <c r="D3163" i="9"/>
  <c r="E3163" i="9"/>
  <c r="F3163" i="9"/>
  <c r="A3164" i="9"/>
  <c r="B3164" i="9"/>
  <c r="C3164" i="9"/>
  <c r="D3164" i="9"/>
  <c r="E3164" i="9"/>
  <c r="F3164" i="9"/>
  <c r="A3165" i="9"/>
  <c r="B3165" i="9"/>
  <c r="C3165" i="9"/>
  <c r="D3165" i="9"/>
  <c r="E3165" i="9"/>
  <c r="F3165" i="9"/>
  <c r="A3166" i="9"/>
  <c r="B3166" i="9"/>
  <c r="C3166" i="9"/>
  <c r="D3166" i="9"/>
  <c r="E3166" i="9"/>
  <c r="F3166" i="9"/>
  <c r="A3167" i="9"/>
  <c r="B3167" i="9"/>
  <c r="C3167" i="9"/>
  <c r="D3167" i="9"/>
  <c r="E3167" i="9"/>
  <c r="F3167" i="9"/>
  <c r="A3168" i="9"/>
  <c r="B3168" i="9"/>
  <c r="C3168" i="9"/>
  <c r="D3168" i="9"/>
  <c r="E3168" i="9"/>
  <c r="F3168" i="9"/>
  <c r="A3169" i="9"/>
  <c r="B3169" i="9"/>
  <c r="C3169" i="9"/>
  <c r="D3169" i="9"/>
  <c r="E3169" i="9"/>
  <c r="F3169" i="9"/>
  <c r="A3170" i="9"/>
  <c r="B3170" i="9"/>
  <c r="C3170" i="9"/>
  <c r="D3170" i="9"/>
  <c r="E3170" i="9"/>
  <c r="F3170" i="9"/>
  <c r="A3171" i="9"/>
  <c r="B3171" i="9"/>
  <c r="C3171" i="9"/>
  <c r="D3171" i="9"/>
  <c r="E3171" i="9"/>
  <c r="F3171" i="9"/>
  <c r="A3172" i="9"/>
  <c r="B3172" i="9"/>
  <c r="C3172" i="9"/>
  <c r="D3172" i="9"/>
  <c r="E3172" i="9"/>
  <c r="F3172" i="9"/>
  <c r="A3173" i="9"/>
  <c r="B3173" i="9"/>
  <c r="C3173" i="9"/>
  <c r="D3173" i="9"/>
  <c r="E3173" i="9"/>
  <c r="F3173" i="9"/>
  <c r="A3174" i="9"/>
  <c r="B3174" i="9"/>
  <c r="C3174" i="9"/>
  <c r="D3174" i="9"/>
  <c r="E3174" i="9"/>
  <c r="F3174" i="9"/>
  <c r="A3175" i="9"/>
  <c r="B3175" i="9"/>
  <c r="C3175" i="9"/>
  <c r="D3175" i="9"/>
  <c r="E3175" i="9"/>
  <c r="F3175" i="9"/>
  <c r="A3176" i="9"/>
  <c r="B3176" i="9"/>
  <c r="C3176" i="9"/>
  <c r="D3176" i="9"/>
  <c r="E3176" i="9"/>
  <c r="F3176" i="9"/>
  <c r="A3177" i="9"/>
  <c r="B3177" i="9"/>
  <c r="C3177" i="9"/>
  <c r="D3177" i="9"/>
  <c r="E3177" i="9"/>
  <c r="F3177" i="9"/>
  <c r="A3178" i="9"/>
  <c r="B3178" i="9"/>
  <c r="C3178" i="9"/>
  <c r="D3178" i="9"/>
  <c r="E3178" i="9"/>
  <c r="F3178" i="9"/>
  <c r="A3179" i="9"/>
  <c r="B3179" i="9"/>
  <c r="C3179" i="9"/>
  <c r="D3179" i="9"/>
  <c r="E3179" i="9"/>
  <c r="F3179" i="9"/>
  <c r="A3180" i="9"/>
  <c r="B3180" i="9"/>
  <c r="C3180" i="9"/>
  <c r="D3180" i="9"/>
  <c r="E3180" i="9"/>
  <c r="F3180" i="9"/>
  <c r="A3181" i="9"/>
  <c r="B3181" i="9"/>
  <c r="C3181" i="9"/>
  <c r="D3181" i="9"/>
  <c r="E3181" i="9"/>
  <c r="F3181" i="9"/>
  <c r="A3182" i="9"/>
  <c r="B3182" i="9"/>
  <c r="C3182" i="9"/>
  <c r="D3182" i="9"/>
  <c r="E3182" i="9"/>
  <c r="F3182" i="9"/>
  <c r="A3183" i="9"/>
  <c r="B3183" i="9"/>
  <c r="C3183" i="9"/>
  <c r="D3183" i="9"/>
  <c r="E3183" i="9"/>
  <c r="F3183" i="9"/>
  <c r="A3184" i="9"/>
  <c r="B3184" i="9"/>
  <c r="C3184" i="9"/>
  <c r="D3184" i="9"/>
  <c r="E3184" i="9"/>
  <c r="F3184" i="9"/>
  <c r="A3185" i="9"/>
  <c r="B3185" i="9"/>
  <c r="C3185" i="9"/>
  <c r="D3185" i="9"/>
  <c r="E3185" i="9"/>
  <c r="F3185" i="9"/>
  <c r="A3186" i="9"/>
  <c r="B3186" i="9"/>
  <c r="C3186" i="9"/>
  <c r="D3186" i="9"/>
  <c r="E3186" i="9"/>
  <c r="F3186" i="9"/>
  <c r="A3187" i="9"/>
  <c r="B3187" i="9"/>
  <c r="C3187" i="9"/>
  <c r="D3187" i="9"/>
  <c r="E3187" i="9"/>
  <c r="F3187" i="9"/>
  <c r="A3188" i="9"/>
  <c r="B3188" i="9"/>
  <c r="C3188" i="9"/>
  <c r="D3188" i="9"/>
  <c r="E3188" i="9"/>
  <c r="F3188" i="9"/>
  <c r="A3189" i="9"/>
  <c r="B3189" i="9"/>
  <c r="C3189" i="9"/>
  <c r="D3189" i="9"/>
  <c r="E3189" i="9"/>
  <c r="F3189" i="9"/>
  <c r="A3190" i="9"/>
  <c r="B3190" i="9"/>
  <c r="C3190" i="9"/>
  <c r="D3190" i="9"/>
  <c r="E3190" i="9"/>
  <c r="F3190" i="9"/>
  <c r="A3191" i="9"/>
  <c r="B3191" i="9"/>
  <c r="C3191" i="9"/>
  <c r="D3191" i="9"/>
  <c r="E3191" i="9"/>
  <c r="F3191" i="9"/>
  <c r="A3192" i="9"/>
  <c r="B3192" i="9"/>
  <c r="C3192" i="9"/>
  <c r="D3192" i="9"/>
  <c r="E3192" i="9"/>
  <c r="F3192" i="9"/>
  <c r="A3193" i="9"/>
  <c r="B3193" i="9"/>
  <c r="C3193" i="9"/>
  <c r="D3193" i="9"/>
  <c r="E3193" i="9"/>
  <c r="F3193" i="9"/>
  <c r="A3194" i="9"/>
  <c r="B3194" i="9"/>
  <c r="C3194" i="9"/>
  <c r="D3194" i="9"/>
  <c r="E3194" i="9"/>
  <c r="F3194" i="9"/>
  <c r="A3195" i="9"/>
  <c r="B3195" i="9"/>
  <c r="C3195" i="9"/>
  <c r="D3195" i="9"/>
  <c r="E3195" i="9"/>
  <c r="F3195" i="9"/>
  <c r="A3196" i="9"/>
  <c r="B3196" i="9"/>
  <c r="C3196" i="9"/>
  <c r="D3196" i="9"/>
  <c r="E3196" i="9"/>
  <c r="F3196" i="9"/>
  <c r="A3197" i="9"/>
  <c r="B3197" i="9"/>
  <c r="C3197" i="9"/>
  <c r="D3197" i="9"/>
  <c r="E3197" i="9"/>
  <c r="F3197" i="9"/>
  <c r="A3198" i="9"/>
  <c r="B3198" i="9"/>
  <c r="C3198" i="9"/>
  <c r="D3198" i="9"/>
  <c r="E3198" i="9"/>
  <c r="F3198" i="9"/>
  <c r="A3199" i="9"/>
  <c r="B3199" i="9"/>
  <c r="C3199" i="9"/>
  <c r="D3199" i="9"/>
  <c r="E3199" i="9"/>
  <c r="F3199" i="9"/>
  <c r="A3200" i="9"/>
  <c r="B3200" i="9"/>
  <c r="C3200" i="9"/>
  <c r="D3200" i="9"/>
  <c r="E3200" i="9"/>
  <c r="F3200" i="9"/>
  <c r="A3201" i="9"/>
  <c r="B3201" i="9"/>
  <c r="C3201" i="9"/>
  <c r="D3201" i="9"/>
  <c r="E3201" i="9"/>
  <c r="F3201" i="9"/>
  <c r="A3202" i="9"/>
  <c r="B3202" i="9"/>
  <c r="C3202" i="9"/>
  <c r="D3202" i="9"/>
  <c r="E3202" i="9"/>
  <c r="F3202" i="9"/>
  <c r="A3203" i="9"/>
  <c r="B3203" i="9"/>
  <c r="C3203" i="9"/>
  <c r="D3203" i="9"/>
  <c r="E3203" i="9"/>
  <c r="F3203" i="9"/>
  <c r="A3204" i="9"/>
  <c r="B3204" i="9"/>
  <c r="C3204" i="9"/>
  <c r="D3204" i="9"/>
  <c r="E3204" i="9"/>
  <c r="F3204" i="9"/>
  <c r="A3205" i="9"/>
  <c r="B3205" i="9"/>
  <c r="C3205" i="9"/>
  <c r="D3205" i="9"/>
  <c r="E3205" i="9"/>
  <c r="F3205" i="9"/>
  <c r="A3206" i="9"/>
  <c r="B3206" i="9"/>
  <c r="C3206" i="9"/>
  <c r="D3206" i="9"/>
  <c r="E3206" i="9"/>
  <c r="F3206" i="9"/>
  <c r="A3207" i="9"/>
  <c r="B3207" i="9"/>
  <c r="C3207" i="9"/>
  <c r="D3207" i="9"/>
  <c r="E3207" i="9"/>
  <c r="F3207" i="9"/>
  <c r="A3208" i="9"/>
  <c r="B3208" i="9"/>
  <c r="C3208" i="9"/>
  <c r="D3208" i="9"/>
  <c r="E3208" i="9"/>
  <c r="F3208" i="9"/>
  <c r="A3209" i="9"/>
  <c r="B3209" i="9"/>
  <c r="C3209" i="9"/>
  <c r="D3209" i="9"/>
  <c r="E3209" i="9"/>
  <c r="F3209" i="9"/>
  <c r="A3210" i="9"/>
  <c r="B3210" i="9"/>
  <c r="C3210" i="9"/>
  <c r="D3210" i="9"/>
  <c r="E3210" i="9"/>
  <c r="F3210" i="9"/>
  <c r="A3211" i="9"/>
  <c r="B3211" i="9"/>
  <c r="C3211" i="9"/>
  <c r="D3211" i="9"/>
  <c r="E3211" i="9"/>
  <c r="F3211" i="9"/>
  <c r="A3212" i="9"/>
  <c r="B3212" i="9"/>
  <c r="C3212" i="9"/>
  <c r="D3212" i="9"/>
  <c r="E3212" i="9"/>
  <c r="F3212" i="9"/>
  <c r="A3213" i="9"/>
  <c r="B3213" i="9"/>
  <c r="C3213" i="9"/>
  <c r="D3213" i="9"/>
  <c r="E3213" i="9"/>
  <c r="F3213" i="9"/>
  <c r="A3214" i="9"/>
  <c r="B3214" i="9"/>
  <c r="C3214" i="9"/>
  <c r="D3214" i="9"/>
  <c r="E3214" i="9"/>
  <c r="F3214" i="9"/>
  <c r="A3215" i="9"/>
  <c r="B3215" i="9"/>
  <c r="C3215" i="9"/>
  <c r="D3215" i="9"/>
  <c r="E3215" i="9"/>
  <c r="F3215" i="9"/>
  <c r="A3216" i="9"/>
  <c r="B3216" i="9"/>
  <c r="C3216" i="9"/>
  <c r="D3216" i="9"/>
  <c r="E3216" i="9"/>
  <c r="F3216" i="9"/>
  <c r="A3217" i="9"/>
  <c r="B3217" i="9"/>
  <c r="C3217" i="9"/>
  <c r="D3217" i="9"/>
  <c r="E3217" i="9"/>
  <c r="F3217" i="9"/>
  <c r="A3218" i="9"/>
  <c r="B3218" i="9"/>
  <c r="C3218" i="9"/>
  <c r="D3218" i="9"/>
  <c r="E3218" i="9"/>
  <c r="F3218" i="9"/>
  <c r="A3219" i="9"/>
  <c r="B3219" i="9"/>
  <c r="C3219" i="9"/>
  <c r="D3219" i="9"/>
  <c r="E3219" i="9"/>
  <c r="F3219" i="9"/>
  <c r="A3220" i="9"/>
  <c r="B3220" i="9"/>
  <c r="C3220" i="9"/>
  <c r="D3220" i="9"/>
  <c r="E3220" i="9"/>
  <c r="F3220" i="9"/>
  <c r="A3221" i="9"/>
  <c r="B3221" i="9"/>
  <c r="C3221" i="9"/>
  <c r="D3221" i="9"/>
  <c r="E3221" i="9"/>
  <c r="F3221" i="9"/>
  <c r="A3222" i="9"/>
  <c r="B3222" i="9"/>
  <c r="C3222" i="9"/>
  <c r="D3222" i="9"/>
  <c r="E3222" i="9"/>
  <c r="F3222" i="9"/>
  <c r="A3223" i="9"/>
  <c r="B3223" i="9"/>
  <c r="C3223" i="9"/>
  <c r="D3223" i="9"/>
  <c r="E3223" i="9"/>
  <c r="F3223" i="9"/>
  <c r="A3224" i="9"/>
  <c r="B3224" i="9"/>
  <c r="C3224" i="9"/>
  <c r="D3224" i="9"/>
  <c r="E3224" i="9"/>
  <c r="F3224" i="9"/>
  <c r="A3225" i="9"/>
  <c r="B3225" i="9"/>
  <c r="C3225" i="9"/>
  <c r="D3225" i="9"/>
  <c r="E3225" i="9"/>
  <c r="F3225" i="9"/>
  <c r="A3226" i="9"/>
  <c r="B3226" i="9"/>
  <c r="C3226" i="9"/>
  <c r="D3226" i="9"/>
  <c r="E3226" i="9"/>
  <c r="F3226" i="9"/>
  <c r="A3227" i="9"/>
  <c r="B3227" i="9"/>
  <c r="C3227" i="9"/>
  <c r="D3227" i="9"/>
  <c r="E3227" i="9"/>
  <c r="F3227" i="9"/>
  <c r="A3228" i="9"/>
  <c r="B3228" i="9"/>
  <c r="C3228" i="9"/>
  <c r="D3228" i="9"/>
  <c r="E3228" i="9"/>
  <c r="F3228" i="9"/>
  <c r="A3229" i="9"/>
  <c r="B3229" i="9"/>
  <c r="C3229" i="9"/>
  <c r="D3229" i="9"/>
  <c r="E3229" i="9"/>
  <c r="F3229" i="9"/>
  <c r="A3230" i="9"/>
  <c r="B3230" i="9"/>
  <c r="C3230" i="9"/>
  <c r="D3230" i="9"/>
  <c r="E3230" i="9"/>
  <c r="F3230" i="9"/>
  <c r="A3231" i="9"/>
  <c r="B3231" i="9"/>
  <c r="C3231" i="9"/>
  <c r="D3231" i="9"/>
  <c r="E3231" i="9"/>
  <c r="F3231" i="9"/>
  <c r="A3232" i="9"/>
  <c r="B3232" i="9"/>
  <c r="C3232" i="9"/>
  <c r="D3232" i="9"/>
  <c r="E3232" i="9"/>
  <c r="F3232" i="9"/>
  <c r="A3233" i="9"/>
  <c r="B3233" i="9"/>
  <c r="C3233" i="9"/>
  <c r="D3233" i="9"/>
  <c r="E3233" i="9"/>
  <c r="F3233" i="9"/>
  <c r="A3234" i="9"/>
  <c r="B3234" i="9"/>
  <c r="C3234" i="9"/>
  <c r="D3234" i="9"/>
  <c r="E3234" i="9"/>
  <c r="F3234" i="9"/>
  <c r="A3235" i="9"/>
  <c r="B3235" i="9"/>
  <c r="C3235" i="9"/>
  <c r="D3235" i="9"/>
  <c r="E3235" i="9"/>
  <c r="F3235" i="9"/>
  <c r="A3236" i="9"/>
  <c r="B3236" i="9"/>
  <c r="C3236" i="9"/>
  <c r="D3236" i="9"/>
  <c r="E3236" i="9"/>
  <c r="F3236" i="9"/>
  <c r="A3237" i="9"/>
  <c r="B3237" i="9"/>
  <c r="C3237" i="9"/>
  <c r="D3237" i="9"/>
  <c r="E3237" i="9"/>
  <c r="F3237" i="9"/>
  <c r="A3238" i="9"/>
  <c r="B3238" i="9"/>
  <c r="C3238" i="9"/>
  <c r="D3238" i="9"/>
  <c r="E3238" i="9"/>
  <c r="F3238" i="9"/>
  <c r="A3239" i="9"/>
  <c r="B3239" i="9"/>
  <c r="C3239" i="9"/>
  <c r="D3239" i="9"/>
  <c r="E3239" i="9"/>
  <c r="F3239" i="9"/>
  <c r="A3240" i="9"/>
  <c r="B3240" i="9"/>
  <c r="C3240" i="9"/>
  <c r="D3240" i="9"/>
  <c r="E3240" i="9"/>
  <c r="F3240" i="9"/>
  <c r="A3241" i="9"/>
  <c r="B3241" i="9"/>
  <c r="C3241" i="9"/>
  <c r="D3241" i="9"/>
  <c r="E3241" i="9"/>
  <c r="F3241" i="9"/>
  <c r="A3242" i="9"/>
  <c r="B3242" i="9"/>
  <c r="C3242" i="9"/>
  <c r="D3242" i="9"/>
  <c r="E3242" i="9"/>
  <c r="F3242" i="9"/>
  <c r="A3243" i="9"/>
  <c r="B3243" i="9"/>
  <c r="C3243" i="9"/>
  <c r="D3243" i="9"/>
  <c r="E3243" i="9"/>
  <c r="F3243" i="9"/>
  <c r="A3244" i="9"/>
  <c r="B3244" i="9"/>
  <c r="C3244" i="9"/>
  <c r="D3244" i="9"/>
  <c r="E3244" i="9"/>
  <c r="F3244" i="9"/>
  <c r="A3245" i="9"/>
  <c r="B3245" i="9"/>
  <c r="C3245" i="9"/>
  <c r="D3245" i="9"/>
  <c r="E3245" i="9"/>
  <c r="F3245" i="9"/>
  <c r="A3246" i="9"/>
  <c r="B3246" i="9"/>
  <c r="C3246" i="9"/>
  <c r="D3246" i="9"/>
  <c r="E3246" i="9"/>
  <c r="F3246" i="9"/>
  <c r="A3247" i="9"/>
  <c r="B3247" i="9"/>
  <c r="C3247" i="9"/>
  <c r="D3247" i="9"/>
  <c r="E3247" i="9"/>
  <c r="F3247" i="9"/>
  <c r="A3248" i="9"/>
  <c r="B3248" i="9"/>
  <c r="C3248" i="9"/>
  <c r="D3248" i="9"/>
  <c r="E3248" i="9"/>
  <c r="F3248" i="9"/>
  <c r="A3249" i="9"/>
  <c r="B3249" i="9"/>
  <c r="C3249" i="9"/>
  <c r="D3249" i="9"/>
  <c r="E3249" i="9"/>
  <c r="F3249" i="9"/>
  <c r="A3250" i="9"/>
  <c r="B3250" i="9"/>
  <c r="C3250" i="9"/>
  <c r="D3250" i="9"/>
  <c r="E3250" i="9"/>
  <c r="F3250" i="9"/>
  <c r="A3251" i="9"/>
  <c r="B3251" i="9"/>
  <c r="C3251" i="9"/>
  <c r="D3251" i="9"/>
  <c r="E3251" i="9"/>
  <c r="F3251" i="9"/>
  <c r="A3252" i="9"/>
  <c r="B3252" i="9"/>
  <c r="C3252" i="9"/>
  <c r="D3252" i="9"/>
  <c r="E3252" i="9"/>
  <c r="F3252" i="9"/>
  <c r="A3253" i="9"/>
  <c r="B3253" i="9"/>
  <c r="C3253" i="9"/>
  <c r="D3253" i="9"/>
  <c r="E3253" i="9"/>
  <c r="F3253" i="9"/>
  <c r="A3254" i="9"/>
  <c r="B3254" i="9"/>
  <c r="C3254" i="9"/>
  <c r="D3254" i="9"/>
  <c r="E3254" i="9"/>
  <c r="F3254" i="9"/>
  <c r="A3255" i="9"/>
  <c r="B3255" i="9"/>
  <c r="C3255" i="9"/>
  <c r="D3255" i="9"/>
  <c r="E3255" i="9"/>
  <c r="F3255" i="9"/>
  <c r="A3256" i="9"/>
  <c r="B3256" i="9"/>
  <c r="C3256" i="9"/>
  <c r="D3256" i="9"/>
  <c r="E3256" i="9"/>
  <c r="F3256" i="9"/>
  <c r="A3257" i="9"/>
  <c r="B3257" i="9"/>
  <c r="C3257" i="9"/>
  <c r="D3257" i="9"/>
  <c r="E3257" i="9"/>
  <c r="F3257" i="9"/>
  <c r="A3258" i="9"/>
  <c r="B3258" i="9"/>
  <c r="C3258" i="9"/>
  <c r="D3258" i="9"/>
  <c r="E3258" i="9"/>
  <c r="F3258" i="9"/>
  <c r="A3259" i="9"/>
  <c r="B3259" i="9"/>
  <c r="C3259" i="9"/>
  <c r="D3259" i="9"/>
  <c r="E3259" i="9"/>
  <c r="F3259" i="9"/>
  <c r="A3260" i="9"/>
  <c r="B3260" i="9"/>
  <c r="C3260" i="9"/>
  <c r="D3260" i="9"/>
  <c r="E3260" i="9"/>
  <c r="F3260" i="9"/>
  <c r="A3261" i="9"/>
  <c r="B3261" i="9"/>
  <c r="C3261" i="9"/>
  <c r="D3261" i="9"/>
  <c r="E3261" i="9"/>
  <c r="F3261" i="9"/>
  <c r="A3262" i="9"/>
  <c r="B3262" i="9"/>
  <c r="C3262" i="9"/>
  <c r="D3262" i="9"/>
  <c r="E3262" i="9"/>
  <c r="F3262" i="9"/>
  <c r="A3263" i="9"/>
  <c r="B3263" i="9"/>
  <c r="C3263" i="9"/>
  <c r="D3263" i="9"/>
  <c r="E3263" i="9"/>
  <c r="F3263" i="9"/>
  <c r="A3264" i="9"/>
  <c r="B3264" i="9"/>
  <c r="C3264" i="9"/>
  <c r="D3264" i="9"/>
  <c r="E3264" i="9"/>
  <c r="F3264" i="9"/>
  <c r="A3265" i="9"/>
  <c r="B3265" i="9"/>
  <c r="C3265" i="9"/>
  <c r="D3265" i="9"/>
  <c r="E3265" i="9"/>
  <c r="F3265" i="9"/>
  <c r="A3266" i="9"/>
  <c r="B3266" i="9"/>
  <c r="C3266" i="9"/>
  <c r="D3266" i="9"/>
  <c r="E3266" i="9"/>
  <c r="F3266" i="9"/>
  <c r="A3267" i="9"/>
  <c r="B3267" i="9"/>
  <c r="C3267" i="9"/>
  <c r="D3267" i="9"/>
  <c r="E3267" i="9"/>
  <c r="F3267" i="9"/>
  <c r="A3268" i="9"/>
  <c r="B3268" i="9"/>
  <c r="C3268" i="9"/>
  <c r="D3268" i="9"/>
  <c r="E3268" i="9"/>
  <c r="F3268" i="9"/>
  <c r="A3269" i="9"/>
  <c r="B3269" i="9"/>
  <c r="C3269" i="9"/>
  <c r="D3269" i="9"/>
  <c r="E3269" i="9"/>
  <c r="F3269" i="9"/>
  <c r="A3270" i="9"/>
  <c r="B3270" i="9"/>
  <c r="C3270" i="9"/>
  <c r="D3270" i="9"/>
  <c r="E3270" i="9"/>
  <c r="F3270" i="9"/>
  <c r="A3271" i="9"/>
  <c r="B3271" i="9"/>
  <c r="C3271" i="9"/>
  <c r="D3271" i="9"/>
  <c r="E3271" i="9"/>
  <c r="F3271" i="9"/>
  <c r="A3272" i="9"/>
  <c r="B3272" i="9"/>
  <c r="C3272" i="9"/>
  <c r="D3272" i="9"/>
  <c r="E3272" i="9"/>
  <c r="F3272" i="9"/>
  <c r="A3273" i="9"/>
  <c r="B3273" i="9"/>
  <c r="C3273" i="9"/>
  <c r="D3273" i="9"/>
  <c r="E3273" i="9"/>
  <c r="F3273" i="9"/>
  <c r="A3274" i="9"/>
  <c r="B3274" i="9"/>
  <c r="C3274" i="9"/>
  <c r="D3274" i="9"/>
  <c r="E3274" i="9"/>
  <c r="F3274" i="9"/>
  <c r="A3275" i="9"/>
  <c r="B3275" i="9"/>
  <c r="C3275" i="9"/>
  <c r="D3275" i="9"/>
  <c r="E3275" i="9"/>
  <c r="F3275" i="9"/>
  <c r="A3276" i="9"/>
  <c r="B3276" i="9"/>
  <c r="C3276" i="9"/>
  <c r="D3276" i="9"/>
  <c r="E3276" i="9"/>
  <c r="F3276" i="9"/>
  <c r="A3277" i="9"/>
  <c r="B3277" i="9"/>
  <c r="C3277" i="9"/>
  <c r="D3277" i="9"/>
  <c r="E3277" i="9"/>
  <c r="F3277" i="9"/>
  <c r="A3278" i="9"/>
  <c r="B3278" i="9"/>
  <c r="C3278" i="9"/>
  <c r="D3278" i="9"/>
  <c r="E3278" i="9"/>
  <c r="F3278" i="9"/>
  <c r="A3279" i="9"/>
  <c r="B3279" i="9"/>
  <c r="C3279" i="9"/>
  <c r="D3279" i="9"/>
  <c r="E3279" i="9"/>
  <c r="F3279" i="9"/>
  <c r="A3280" i="9"/>
  <c r="B3280" i="9"/>
  <c r="C3280" i="9"/>
  <c r="D3280" i="9"/>
  <c r="E3280" i="9"/>
  <c r="F3280" i="9"/>
  <c r="A3281" i="9"/>
  <c r="B3281" i="9"/>
  <c r="C3281" i="9"/>
  <c r="D3281" i="9"/>
  <c r="E3281" i="9"/>
  <c r="F3281" i="9"/>
  <c r="A3282" i="9"/>
  <c r="B3282" i="9"/>
  <c r="C3282" i="9"/>
  <c r="D3282" i="9"/>
  <c r="E3282" i="9"/>
  <c r="F3282" i="9"/>
  <c r="A3283" i="9"/>
  <c r="B3283" i="9"/>
  <c r="C3283" i="9"/>
  <c r="D3283" i="9"/>
  <c r="E3283" i="9"/>
  <c r="F3283" i="9"/>
  <c r="A3284" i="9"/>
  <c r="B3284" i="9"/>
  <c r="C3284" i="9"/>
  <c r="D3284" i="9"/>
  <c r="E3284" i="9"/>
  <c r="F3284" i="9"/>
  <c r="A3285" i="9"/>
  <c r="B3285" i="9"/>
  <c r="C3285" i="9"/>
  <c r="D3285" i="9"/>
  <c r="E3285" i="9"/>
  <c r="F3285" i="9"/>
  <c r="A3286" i="9"/>
  <c r="B3286" i="9"/>
  <c r="C3286" i="9"/>
  <c r="D3286" i="9"/>
  <c r="E3286" i="9"/>
  <c r="F3286" i="9"/>
  <c r="A3287" i="9"/>
  <c r="B3287" i="9"/>
  <c r="C3287" i="9"/>
  <c r="D3287" i="9"/>
  <c r="E3287" i="9"/>
  <c r="F3287" i="9"/>
  <c r="A3288" i="9"/>
  <c r="B3288" i="9"/>
  <c r="C3288" i="9"/>
  <c r="D3288" i="9"/>
  <c r="E3288" i="9"/>
  <c r="F3288" i="9"/>
  <c r="A3289" i="9"/>
  <c r="B3289" i="9"/>
  <c r="C3289" i="9"/>
  <c r="D3289" i="9"/>
  <c r="E3289" i="9"/>
  <c r="F3289" i="9"/>
  <c r="A3290" i="9"/>
  <c r="B3290" i="9"/>
  <c r="C3290" i="9"/>
  <c r="D3290" i="9"/>
  <c r="E3290" i="9"/>
  <c r="F3290" i="9"/>
  <c r="A3291" i="9"/>
  <c r="B3291" i="9"/>
  <c r="C3291" i="9"/>
  <c r="D3291" i="9"/>
  <c r="E3291" i="9"/>
  <c r="F3291" i="9"/>
  <c r="A3292" i="9"/>
  <c r="B3292" i="9"/>
  <c r="C3292" i="9"/>
  <c r="D3292" i="9"/>
  <c r="E3292" i="9"/>
  <c r="F3292" i="9"/>
  <c r="A3293" i="9"/>
  <c r="B3293" i="9"/>
  <c r="C3293" i="9"/>
  <c r="D3293" i="9"/>
  <c r="E3293" i="9"/>
  <c r="F3293" i="9"/>
  <c r="A3294" i="9"/>
  <c r="B3294" i="9"/>
  <c r="C3294" i="9"/>
  <c r="D3294" i="9"/>
  <c r="E3294" i="9"/>
  <c r="F3294" i="9"/>
  <c r="A3295" i="9"/>
  <c r="B3295" i="9"/>
  <c r="C3295" i="9"/>
  <c r="D3295" i="9"/>
  <c r="E3295" i="9"/>
  <c r="F3295" i="9"/>
  <c r="A3296" i="9"/>
  <c r="B3296" i="9"/>
  <c r="C3296" i="9"/>
  <c r="D3296" i="9"/>
  <c r="E3296" i="9"/>
  <c r="F3296" i="9"/>
  <c r="A3297" i="9"/>
  <c r="B3297" i="9"/>
  <c r="C3297" i="9"/>
  <c r="D3297" i="9"/>
  <c r="E3297" i="9"/>
  <c r="F3297" i="9"/>
  <c r="A3298" i="9"/>
  <c r="B3298" i="9"/>
  <c r="C3298" i="9"/>
  <c r="D3298" i="9"/>
  <c r="E3298" i="9"/>
  <c r="F3298" i="9"/>
  <c r="A3299" i="9"/>
  <c r="B3299" i="9"/>
  <c r="C3299" i="9"/>
  <c r="D3299" i="9"/>
  <c r="E3299" i="9"/>
  <c r="F3299" i="9"/>
  <c r="A3300" i="9"/>
  <c r="B3300" i="9"/>
  <c r="C3300" i="9"/>
  <c r="D3300" i="9"/>
  <c r="E3300" i="9"/>
  <c r="F3300" i="9"/>
  <c r="A3301" i="9"/>
  <c r="B3301" i="9"/>
  <c r="C3301" i="9"/>
  <c r="D3301" i="9"/>
  <c r="E3301" i="9"/>
  <c r="F3301" i="9"/>
  <c r="A3302" i="9"/>
  <c r="B3302" i="9"/>
  <c r="C3302" i="9"/>
  <c r="D3302" i="9"/>
  <c r="E3302" i="9"/>
  <c r="F3302" i="9"/>
  <c r="A3303" i="9"/>
  <c r="B3303" i="9"/>
  <c r="C3303" i="9"/>
  <c r="D3303" i="9"/>
  <c r="E3303" i="9"/>
  <c r="F3303" i="9"/>
  <c r="A3304" i="9"/>
  <c r="B3304" i="9"/>
  <c r="C3304" i="9"/>
  <c r="D3304" i="9"/>
  <c r="E3304" i="9"/>
  <c r="F3304" i="9"/>
  <c r="A3305" i="9"/>
  <c r="B3305" i="9"/>
  <c r="C3305" i="9"/>
  <c r="D3305" i="9"/>
  <c r="E3305" i="9"/>
  <c r="F3305" i="9"/>
  <c r="A3306" i="9"/>
  <c r="B3306" i="9"/>
  <c r="C3306" i="9"/>
  <c r="D3306" i="9"/>
  <c r="E3306" i="9"/>
  <c r="F3306" i="9"/>
  <c r="A3307" i="9"/>
  <c r="B3307" i="9"/>
  <c r="C3307" i="9"/>
  <c r="D3307" i="9"/>
  <c r="E3307" i="9"/>
  <c r="F3307" i="9"/>
  <c r="A3308" i="9"/>
  <c r="B3308" i="9"/>
  <c r="C3308" i="9"/>
  <c r="D3308" i="9"/>
  <c r="E3308" i="9"/>
  <c r="F3308" i="9"/>
  <c r="A3309" i="9"/>
  <c r="B3309" i="9"/>
  <c r="C3309" i="9"/>
  <c r="D3309" i="9"/>
  <c r="E3309" i="9"/>
  <c r="F3309" i="9"/>
  <c r="A3310" i="9"/>
  <c r="B3310" i="9"/>
  <c r="C3310" i="9"/>
  <c r="D3310" i="9"/>
  <c r="E3310" i="9"/>
  <c r="F3310" i="9"/>
  <c r="A3311" i="9"/>
  <c r="B3311" i="9"/>
  <c r="C3311" i="9"/>
  <c r="D3311" i="9"/>
  <c r="E3311" i="9"/>
  <c r="F3311" i="9"/>
  <c r="A3312" i="9"/>
  <c r="B3312" i="9"/>
  <c r="C3312" i="9"/>
  <c r="D3312" i="9"/>
  <c r="E3312" i="9"/>
  <c r="F3312" i="9"/>
  <c r="A3313" i="9"/>
  <c r="B3313" i="9"/>
  <c r="C3313" i="9"/>
  <c r="D3313" i="9"/>
  <c r="E3313" i="9"/>
  <c r="F3313" i="9"/>
  <c r="A3314" i="9"/>
  <c r="B3314" i="9"/>
  <c r="C3314" i="9"/>
  <c r="D3314" i="9"/>
  <c r="E3314" i="9"/>
  <c r="F3314" i="9"/>
  <c r="A3315" i="9"/>
  <c r="B3315" i="9"/>
  <c r="C3315" i="9"/>
  <c r="D3315" i="9"/>
  <c r="E3315" i="9"/>
  <c r="F3315" i="9"/>
  <c r="A3316" i="9"/>
  <c r="B3316" i="9"/>
  <c r="C3316" i="9"/>
  <c r="D3316" i="9"/>
  <c r="E3316" i="9"/>
  <c r="F3316" i="9"/>
  <c r="A3317" i="9"/>
  <c r="B3317" i="9"/>
  <c r="C3317" i="9"/>
  <c r="D3317" i="9"/>
  <c r="E3317" i="9"/>
  <c r="F3317" i="9"/>
  <c r="A3318" i="9"/>
  <c r="B3318" i="9"/>
  <c r="C3318" i="9"/>
  <c r="D3318" i="9"/>
  <c r="E3318" i="9"/>
  <c r="F3318" i="9"/>
  <c r="A3319" i="9"/>
  <c r="B3319" i="9"/>
  <c r="C3319" i="9"/>
  <c r="D3319" i="9"/>
  <c r="E3319" i="9"/>
  <c r="F3319" i="9"/>
  <c r="A3320" i="9"/>
  <c r="B3320" i="9"/>
  <c r="C3320" i="9"/>
  <c r="D3320" i="9"/>
  <c r="E3320" i="9"/>
  <c r="F3320" i="9"/>
  <c r="A3321" i="9"/>
  <c r="B3321" i="9"/>
  <c r="C3321" i="9"/>
  <c r="D3321" i="9"/>
  <c r="E3321" i="9"/>
  <c r="F3321" i="9"/>
  <c r="A3322" i="9"/>
  <c r="B3322" i="9"/>
  <c r="C3322" i="9"/>
  <c r="D3322" i="9"/>
  <c r="E3322" i="9"/>
  <c r="F3322" i="9"/>
  <c r="A3323" i="9"/>
  <c r="B3323" i="9"/>
  <c r="C3323" i="9"/>
  <c r="D3323" i="9"/>
  <c r="E3323" i="9"/>
  <c r="F3323" i="9"/>
  <c r="A3324" i="9"/>
  <c r="B3324" i="9"/>
  <c r="C3324" i="9"/>
  <c r="D3324" i="9"/>
  <c r="E3324" i="9"/>
  <c r="F3324" i="9"/>
  <c r="A3325" i="9"/>
  <c r="B3325" i="9"/>
  <c r="C3325" i="9"/>
  <c r="D3325" i="9"/>
  <c r="E3325" i="9"/>
  <c r="F3325" i="9"/>
  <c r="A3326" i="9"/>
  <c r="B3326" i="9"/>
  <c r="C3326" i="9"/>
  <c r="D3326" i="9"/>
  <c r="E3326" i="9"/>
  <c r="F3326" i="9"/>
  <c r="A3327" i="9"/>
  <c r="B3327" i="9"/>
  <c r="C3327" i="9"/>
  <c r="D3327" i="9"/>
  <c r="E3327" i="9"/>
  <c r="F3327" i="9"/>
  <c r="A3328" i="9"/>
  <c r="B3328" i="9"/>
  <c r="C3328" i="9"/>
  <c r="D3328" i="9"/>
  <c r="E3328" i="9"/>
  <c r="F3328" i="9"/>
  <c r="A3329" i="9"/>
  <c r="B3329" i="9"/>
  <c r="C3329" i="9"/>
  <c r="D3329" i="9"/>
  <c r="E3329" i="9"/>
  <c r="F3329" i="9"/>
  <c r="A3330" i="9"/>
  <c r="B3330" i="9"/>
  <c r="C3330" i="9"/>
  <c r="D3330" i="9"/>
  <c r="E3330" i="9"/>
  <c r="F3330" i="9"/>
  <c r="A3331" i="9"/>
  <c r="B3331" i="9"/>
  <c r="C3331" i="9"/>
  <c r="D3331" i="9"/>
  <c r="E3331" i="9"/>
  <c r="F3331" i="9"/>
  <c r="A3332" i="9"/>
  <c r="B3332" i="9"/>
  <c r="C3332" i="9"/>
  <c r="D3332" i="9"/>
  <c r="E3332" i="9"/>
  <c r="F3332" i="9"/>
  <c r="A3333" i="9"/>
  <c r="B3333" i="9"/>
  <c r="C3333" i="9"/>
  <c r="D3333" i="9"/>
  <c r="E3333" i="9"/>
  <c r="F3333" i="9"/>
  <c r="A3334" i="9"/>
  <c r="B3334" i="9"/>
  <c r="C3334" i="9"/>
  <c r="D3334" i="9"/>
  <c r="E3334" i="9"/>
  <c r="F3334" i="9"/>
  <c r="A3335" i="9"/>
  <c r="B3335" i="9"/>
  <c r="C3335" i="9"/>
  <c r="D3335" i="9"/>
  <c r="E3335" i="9"/>
  <c r="F3335" i="9"/>
  <c r="A3336" i="9"/>
  <c r="B3336" i="9"/>
  <c r="C3336" i="9"/>
  <c r="D3336" i="9"/>
  <c r="E3336" i="9"/>
  <c r="F3336" i="9"/>
  <c r="A3337" i="9"/>
  <c r="B3337" i="9"/>
  <c r="C3337" i="9"/>
  <c r="D3337" i="9"/>
  <c r="E3337" i="9"/>
  <c r="F3337" i="9"/>
  <c r="A3338" i="9"/>
  <c r="B3338" i="9"/>
  <c r="C3338" i="9"/>
  <c r="D3338" i="9"/>
  <c r="E3338" i="9"/>
  <c r="F3338" i="9"/>
  <c r="A3339" i="9"/>
  <c r="B3339" i="9"/>
  <c r="C3339" i="9"/>
  <c r="D3339" i="9"/>
  <c r="E3339" i="9"/>
  <c r="F3339" i="9"/>
  <c r="A3340" i="9"/>
  <c r="B3340" i="9"/>
  <c r="C3340" i="9"/>
  <c r="D3340" i="9"/>
  <c r="E3340" i="9"/>
  <c r="F3340" i="9"/>
  <c r="A3341" i="9"/>
  <c r="B3341" i="9"/>
  <c r="C3341" i="9"/>
  <c r="D3341" i="9"/>
  <c r="E3341" i="9"/>
  <c r="F3341" i="9"/>
  <c r="A3342" i="9"/>
  <c r="B3342" i="9"/>
  <c r="C3342" i="9"/>
  <c r="D3342" i="9"/>
  <c r="E3342" i="9"/>
  <c r="F3342" i="9"/>
  <c r="A3343" i="9"/>
  <c r="B3343" i="9"/>
  <c r="C3343" i="9"/>
  <c r="D3343" i="9"/>
  <c r="E3343" i="9"/>
  <c r="F3343" i="9"/>
  <c r="A3344" i="9"/>
  <c r="B3344" i="9"/>
  <c r="C3344" i="9"/>
  <c r="D3344" i="9"/>
  <c r="E3344" i="9"/>
  <c r="F3344" i="9"/>
  <c r="A3345" i="9"/>
  <c r="B3345" i="9"/>
  <c r="C3345" i="9"/>
  <c r="D3345" i="9"/>
  <c r="E3345" i="9"/>
  <c r="F3345" i="9"/>
  <c r="A3346" i="9"/>
  <c r="B3346" i="9"/>
  <c r="C3346" i="9"/>
  <c r="D3346" i="9"/>
  <c r="E3346" i="9"/>
  <c r="F3346" i="9"/>
  <c r="A3347" i="9"/>
  <c r="B3347" i="9"/>
  <c r="C3347" i="9"/>
  <c r="D3347" i="9"/>
  <c r="E3347" i="9"/>
  <c r="F3347" i="9"/>
  <c r="A3348" i="9"/>
  <c r="B3348" i="9"/>
  <c r="C3348" i="9"/>
  <c r="D3348" i="9"/>
  <c r="E3348" i="9"/>
  <c r="F3348" i="9"/>
  <c r="A3349" i="9"/>
  <c r="B3349" i="9"/>
  <c r="C3349" i="9"/>
  <c r="D3349" i="9"/>
  <c r="E3349" i="9"/>
  <c r="F3349" i="9"/>
  <c r="A3350" i="9"/>
  <c r="B3350" i="9"/>
  <c r="C3350" i="9"/>
  <c r="D3350" i="9"/>
  <c r="E3350" i="9"/>
  <c r="F3350" i="9"/>
  <c r="A3351" i="9"/>
  <c r="B3351" i="9"/>
  <c r="C3351" i="9"/>
  <c r="D3351" i="9"/>
  <c r="E3351" i="9"/>
  <c r="F3351" i="9"/>
  <c r="A3352" i="9"/>
  <c r="B3352" i="9"/>
  <c r="C3352" i="9"/>
  <c r="D3352" i="9"/>
  <c r="E3352" i="9"/>
  <c r="F3352" i="9"/>
  <c r="A3353" i="9"/>
  <c r="B3353" i="9"/>
  <c r="C3353" i="9"/>
  <c r="D3353" i="9"/>
  <c r="E3353" i="9"/>
  <c r="F3353" i="9"/>
  <c r="A3354" i="9"/>
  <c r="B3354" i="9"/>
  <c r="C3354" i="9"/>
  <c r="D3354" i="9"/>
  <c r="E3354" i="9"/>
  <c r="F3354" i="9"/>
  <c r="A3355" i="9"/>
  <c r="B3355" i="9"/>
  <c r="C3355" i="9"/>
  <c r="D3355" i="9"/>
  <c r="E3355" i="9"/>
  <c r="F3355" i="9"/>
  <c r="A3356" i="9"/>
  <c r="B3356" i="9"/>
  <c r="C3356" i="9"/>
  <c r="D3356" i="9"/>
  <c r="E3356" i="9"/>
  <c r="F3356" i="9"/>
  <c r="A3357" i="9"/>
  <c r="B3357" i="9"/>
  <c r="C3357" i="9"/>
  <c r="D3357" i="9"/>
  <c r="E3357" i="9"/>
  <c r="F3357" i="9"/>
  <c r="A3358" i="9"/>
  <c r="B3358" i="9"/>
  <c r="C3358" i="9"/>
  <c r="D3358" i="9"/>
  <c r="E3358" i="9"/>
  <c r="F3358" i="9"/>
  <c r="A3359" i="9"/>
  <c r="B3359" i="9"/>
  <c r="C3359" i="9"/>
  <c r="D3359" i="9"/>
  <c r="E3359" i="9"/>
  <c r="F3359" i="9"/>
  <c r="A3360" i="9"/>
  <c r="B3360" i="9"/>
  <c r="C3360" i="9"/>
  <c r="D3360" i="9"/>
  <c r="E3360" i="9"/>
  <c r="F3360" i="9"/>
  <c r="A3361" i="9"/>
  <c r="B3361" i="9"/>
  <c r="C3361" i="9"/>
  <c r="D3361" i="9"/>
  <c r="E3361" i="9"/>
  <c r="F3361" i="9"/>
  <c r="A3362" i="9"/>
  <c r="B3362" i="9"/>
  <c r="C3362" i="9"/>
  <c r="D3362" i="9"/>
  <c r="E3362" i="9"/>
  <c r="F3362" i="9"/>
  <c r="A3363" i="9"/>
  <c r="B3363" i="9"/>
  <c r="C3363" i="9"/>
  <c r="D3363" i="9"/>
  <c r="E3363" i="9"/>
  <c r="F3363" i="9"/>
  <c r="A3364" i="9"/>
  <c r="B3364" i="9"/>
  <c r="C3364" i="9"/>
  <c r="D3364" i="9"/>
  <c r="E3364" i="9"/>
  <c r="F3364" i="9"/>
  <c r="A3365" i="9"/>
  <c r="B3365" i="9"/>
  <c r="C3365" i="9"/>
  <c r="D3365" i="9"/>
  <c r="E3365" i="9"/>
  <c r="F3365" i="9"/>
  <c r="A3366" i="9"/>
  <c r="B3366" i="9"/>
  <c r="C3366" i="9"/>
  <c r="D3366" i="9"/>
  <c r="E3366" i="9"/>
  <c r="F3366" i="9"/>
  <c r="A3367" i="9"/>
  <c r="B3367" i="9"/>
  <c r="C3367" i="9"/>
  <c r="D3367" i="9"/>
  <c r="E3367" i="9"/>
  <c r="F3367" i="9"/>
  <c r="A3368" i="9"/>
  <c r="B3368" i="9"/>
  <c r="C3368" i="9"/>
  <c r="D3368" i="9"/>
  <c r="E3368" i="9"/>
  <c r="F3368" i="9"/>
  <c r="A3369" i="9"/>
  <c r="B3369" i="9"/>
  <c r="C3369" i="9"/>
  <c r="D3369" i="9"/>
  <c r="E3369" i="9"/>
  <c r="F3369" i="9"/>
  <c r="A3370" i="9"/>
  <c r="B3370" i="9"/>
  <c r="C3370" i="9"/>
  <c r="D3370" i="9"/>
  <c r="E3370" i="9"/>
  <c r="F3370" i="9"/>
  <c r="A3371" i="9"/>
  <c r="B3371" i="9"/>
  <c r="C3371" i="9"/>
  <c r="D3371" i="9"/>
  <c r="E3371" i="9"/>
  <c r="F3371" i="9"/>
  <c r="A3372" i="9"/>
  <c r="B3372" i="9"/>
  <c r="C3372" i="9"/>
  <c r="D3372" i="9"/>
  <c r="E3372" i="9"/>
  <c r="F3372" i="9"/>
  <c r="A3373" i="9"/>
  <c r="B3373" i="9"/>
  <c r="C3373" i="9"/>
  <c r="D3373" i="9"/>
  <c r="E3373" i="9"/>
  <c r="F3373" i="9"/>
  <c r="A3374" i="9"/>
  <c r="B3374" i="9"/>
  <c r="C3374" i="9"/>
  <c r="D3374" i="9"/>
  <c r="E3374" i="9"/>
  <c r="F3374" i="9"/>
  <c r="A3375" i="9"/>
  <c r="B3375" i="9"/>
  <c r="C3375" i="9"/>
  <c r="D3375" i="9"/>
  <c r="E3375" i="9"/>
  <c r="F3375" i="9"/>
  <c r="A3376" i="9"/>
  <c r="B3376" i="9"/>
  <c r="C3376" i="9"/>
  <c r="D3376" i="9"/>
  <c r="E3376" i="9"/>
  <c r="F3376" i="9"/>
  <c r="A3377" i="9"/>
  <c r="B3377" i="9"/>
  <c r="C3377" i="9"/>
  <c r="D3377" i="9"/>
  <c r="E3377" i="9"/>
  <c r="F3377" i="9"/>
  <c r="A3378" i="9"/>
  <c r="B3378" i="9"/>
  <c r="C3378" i="9"/>
  <c r="D3378" i="9"/>
  <c r="E3378" i="9"/>
  <c r="F3378" i="9"/>
  <c r="A3379" i="9"/>
  <c r="B3379" i="9"/>
  <c r="C3379" i="9"/>
  <c r="D3379" i="9"/>
  <c r="E3379" i="9"/>
  <c r="F3379" i="9"/>
  <c r="A3380" i="9"/>
  <c r="B3380" i="9"/>
  <c r="C3380" i="9"/>
  <c r="D3380" i="9"/>
  <c r="E3380" i="9"/>
  <c r="F3380" i="9"/>
  <c r="A3381" i="9"/>
  <c r="B3381" i="9"/>
  <c r="C3381" i="9"/>
  <c r="D3381" i="9"/>
  <c r="E3381" i="9"/>
  <c r="F3381" i="9"/>
  <c r="A3382" i="9"/>
  <c r="B3382" i="9"/>
  <c r="C3382" i="9"/>
  <c r="D3382" i="9"/>
  <c r="E3382" i="9"/>
  <c r="F3382" i="9"/>
  <c r="A3383" i="9"/>
  <c r="B3383" i="9"/>
  <c r="C3383" i="9"/>
  <c r="D3383" i="9"/>
  <c r="E3383" i="9"/>
  <c r="F3383" i="9"/>
  <c r="A3384" i="9"/>
  <c r="B3384" i="9"/>
  <c r="C3384" i="9"/>
  <c r="D3384" i="9"/>
  <c r="E3384" i="9"/>
  <c r="F3384" i="9"/>
  <c r="A3385" i="9"/>
  <c r="B3385" i="9"/>
  <c r="C3385" i="9"/>
  <c r="D3385" i="9"/>
  <c r="E3385" i="9"/>
  <c r="F3385" i="9"/>
  <c r="A3386" i="9"/>
  <c r="B3386" i="9"/>
  <c r="C3386" i="9"/>
  <c r="D3386" i="9"/>
  <c r="E3386" i="9"/>
  <c r="F3386" i="9"/>
  <c r="A3387" i="9"/>
  <c r="B3387" i="9"/>
  <c r="C3387" i="9"/>
  <c r="D3387" i="9"/>
  <c r="E3387" i="9"/>
  <c r="F3387" i="9"/>
  <c r="A3388" i="9"/>
  <c r="B3388" i="9"/>
  <c r="C3388" i="9"/>
  <c r="D3388" i="9"/>
  <c r="E3388" i="9"/>
  <c r="F3388" i="9"/>
  <c r="A3389" i="9"/>
  <c r="B3389" i="9"/>
  <c r="C3389" i="9"/>
  <c r="D3389" i="9"/>
  <c r="E3389" i="9"/>
  <c r="F3389" i="9"/>
  <c r="A3390" i="9"/>
  <c r="B3390" i="9"/>
  <c r="C3390" i="9"/>
  <c r="D3390" i="9"/>
  <c r="E3390" i="9"/>
  <c r="F3390" i="9"/>
  <c r="A3391" i="9"/>
  <c r="B3391" i="9"/>
  <c r="C3391" i="9"/>
  <c r="D3391" i="9"/>
  <c r="E3391" i="9"/>
  <c r="F3391" i="9"/>
  <c r="A3392" i="9"/>
  <c r="B3392" i="9"/>
  <c r="C3392" i="9"/>
  <c r="D3392" i="9"/>
  <c r="E3392" i="9"/>
  <c r="F3392" i="9"/>
  <c r="A3393" i="9"/>
  <c r="B3393" i="9"/>
  <c r="C3393" i="9"/>
  <c r="D3393" i="9"/>
  <c r="E3393" i="9"/>
  <c r="F3393" i="9"/>
  <c r="A3394" i="9"/>
  <c r="B3394" i="9"/>
  <c r="C3394" i="9"/>
  <c r="D3394" i="9"/>
  <c r="E3394" i="9"/>
  <c r="F3394" i="9"/>
  <c r="A3395" i="9"/>
  <c r="B3395" i="9"/>
  <c r="C3395" i="9"/>
  <c r="D3395" i="9"/>
  <c r="E3395" i="9"/>
  <c r="F3395" i="9"/>
  <c r="A3396" i="9"/>
  <c r="B3396" i="9"/>
  <c r="C3396" i="9"/>
  <c r="D3396" i="9"/>
  <c r="E3396" i="9"/>
  <c r="F3396" i="9"/>
  <c r="A3397" i="9"/>
  <c r="B3397" i="9"/>
  <c r="C3397" i="9"/>
  <c r="D3397" i="9"/>
  <c r="E3397" i="9"/>
  <c r="F3397" i="9"/>
  <c r="A3398" i="9"/>
  <c r="B3398" i="9"/>
  <c r="C3398" i="9"/>
  <c r="D3398" i="9"/>
  <c r="E3398" i="9"/>
  <c r="F3398" i="9"/>
  <c r="A3399" i="9"/>
  <c r="B3399" i="9"/>
  <c r="C3399" i="9"/>
  <c r="D3399" i="9"/>
  <c r="E3399" i="9"/>
  <c r="F3399" i="9"/>
  <c r="A3400" i="9"/>
  <c r="B3400" i="9"/>
  <c r="C3400" i="9"/>
  <c r="D3400" i="9"/>
  <c r="E3400" i="9"/>
  <c r="F3400" i="9"/>
  <c r="A3401" i="9"/>
  <c r="B3401" i="9"/>
  <c r="C3401" i="9"/>
  <c r="D3401" i="9"/>
  <c r="E3401" i="9"/>
  <c r="F3401" i="9"/>
  <c r="A3402" i="9"/>
  <c r="B3402" i="9"/>
  <c r="C3402" i="9"/>
  <c r="D3402" i="9"/>
  <c r="E3402" i="9"/>
  <c r="F3402" i="9"/>
  <c r="A3403" i="9"/>
  <c r="B3403" i="9"/>
  <c r="C3403" i="9"/>
  <c r="D3403" i="9"/>
  <c r="E3403" i="9"/>
  <c r="F3403" i="9"/>
  <c r="A3404" i="9"/>
  <c r="B3404" i="9"/>
  <c r="C3404" i="9"/>
  <c r="D3404" i="9"/>
  <c r="E3404" i="9"/>
  <c r="F3404" i="9"/>
  <c r="A3405" i="9"/>
  <c r="B3405" i="9"/>
  <c r="C3405" i="9"/>
  <c r="D3405" i="9"/>
  <c r="E3405" i="9"/>
  <c r="F3405" i="9"/>
  <c r="A3406" i="9"/>
  <c r="B3406" i="9"/>
  <c r="C3406" i="9"/>
  <c r="D3406" i="9"/>
  <c r="E3406" i="9"/>
  <c r="F3406" i="9"/>
  <c r="A3407" i="9"/>
  <c r="B3407" i="9"/>
  <c r="C3407" i="9"/>
  <c r="D3407" i="9"/>
  <c r="E3407" i="9"/>
  <c r="F3407" i="9"/>
  <c r="A3408" i="9"/>
  <c r="B3408" i="9"/>
  <c r="C3408" i="9"/>
  <c r="D3408" i="9"/>
  <c r="E3408" i="9"/>
  <c r="F3408" i="9"/>
  <c r="A3409" i="9"/>
  <c r="B3409" i="9"/>
  <c r="C3409" i="9"/>
  <c r="D3409" i="9"/>
  <c r="E3409" i="9"/>
  <c r="F3409" i="9"/>
  <c r="A3410" i="9"/>
  <c r="B3410" i="9"/>
  <c r="C3410" i="9"/>
  <c r="D3410" i="9"/>
  <c r="E3410" i="9"/>
  <c r="F3410" i="9"/>
  <c r="A3411" i="9"/>
  <c r="B3411" i="9"/>
  <c r="C3411" i="9"/>
  <c r="D3411" i="9"/>
  <c r="E3411" i="9"/>
  <c r="F3411" i="9"/>
  <c r="A3412" i="9"/>
  <c r="B3412" i="9"/>
  <c r="C3412" i="9"/>
  <c r="D3412" i="9"/>
  <c r="E3412" i="9"/>
  <c r="F3412" i="9"/>
  <c r="A3413" i="9"/>
  <c r="B3413" i="9"/>
  <c r="C3413" i="9"/>
  <c r="D3413" i="9"/>
  <c r="E3413" i="9"/>
  <c r="F3413" i="9"/>
  <c r="A3414" i="9"/>
  <c r="B3414" i="9"/>
  <c r="C3414" i="9"/>
  <c r="D3414" i="9"/>
  <c r="E3414" i="9"/>
  <c r="F3414" i="9"/>
  <c r="A3415" i="9"/>
  <c r="B3415" i="9"/>
  <c r="C3415" i="9"/>
  <c r="D3415" i="9"/>
  <c r="E3415" i="9"/>
  <c r="F3415" i="9"/>
  <c r="A3416" i="9"/>
  <c r="B3416" i="9"/>
  <c r="C3416" i="9"/>
  <c r="D3416" i="9"/>
  <c r="E3416" i="9"/>
  <c r="F3416" i="9"/>
  <c r="A3417" i="9"/>
  <c r="B3417" i="9"/>
  <c r="C3417" i="9"/>
  <c r="D3417" i="9"/>
  <c r="E3417" i="9"/>
  <c r="F3417" i="9"/>
  <c r="A3418" i="9"/>
  <c r="B3418" i="9"/>
  <c r="C3418" i="9"/>
  <c r="D3418" i="9"/>
  <c r="E3418" i="9"/>
  <c r="F3418" i="9"/>
  <c r="A3419" i="9"/>
  <c r="B3419" i="9"/>
  <c r="C3419" i="9"/>
  <c r="D3419" i="9"/>
  <c r="E3419" i="9"/>
  <c r="F3419" i="9"/>
  <c r="A3420" i="9"/>
  <c r="B3420" i="9"/>
  <c r="C3420" i="9"/>
  <c r="D3420" i="9"/>
  <c r="E3420" i="9"/>
  <c r="F3420" i="9"/>
  <c r="A3421" i="9"/>
  <c r="B3421" i="9"/>
  <c r="C3421" i="9"/>
  <c r="D3421" i="9"/>
  <c r="E3421" i="9"/>
  <c r="F3421" i="9"/>
  <c r="A3422" i="9"/>
  <c r="B3422" i="9"/>
  <c r="C3422" i="9"/>
  <c r="D3422" i="9"/>
  <c r="E3422" i="9"/>
  <c r="F3422" i="9"/>
  <c r="A3423" i="9"/>
  <c r="B3423" i="9"/>
  <c r="C3423" i="9"/>
  <c r="D3423" i="9"/>
  <c r="E3423" i="9"/>
  <c r="F3423" i="9"/>
  <c r="A3424" i="9"/>
  <c r="B3424" i="9"/>
  <c r="C3424" i="9"/>
  <c r="D3424" i="9"/>
  <c r="E3424" i="9"/>
  <c r="F3424" i="9"/>
  <c r="A3425" i="9"/>
  <c r="B3425" i="9"/>
  <c r="C3425" i="9"/>
  <c r="D3425" i="9"/>
  <c r="E3425" i="9"/>
  <c r="F3425" i="9"/>
  <c r="A3426" i="9"/>
  <c r="B3426" i="9"/>
  <c r="C3426" i="9"/>
  <c r="D3426" i="9"/>
  <c r="E3426" i="9"/>
  <c r="F3426" i="9"/>
  <c r="A3427" i="9"/>
  <c r="B3427" i="9"/>
  <c r="C3427" i="9"/>
  <c r="D3427" i="9"/>
  <c r="E3427" i="9"/>
  <c r="F3427" i="9"/>
  <c r="A3428" i="9"/>
  <c r="B3428" i="9"/>
  <c r="C3428" i="9"/>
  <c r="D3428" i="9"/>
  <c r="E3428" i="9"/>
  <c r="F3428" i="9"/>
  <c r="A3429" i="9"/>
  <c r="B3429" i="9"/>
  <c r="C3429" i="9"/>
  <c r="D3429" i="9"/>
  <c r="E3429" i="9"/>
  <c r="F3429" i="9"/>
  <c r="A3430" i="9"/>
  <c r="B3430" i="9"/>
  <c r="C3430" i="9"/>
  <c r="D3430" i="9"/>
  <c r="E3430" i="9"/>
  <c r="F3430" i="9"/>
  <c r="A3431" i="9"/>
  <c r="B3431" i="9"/>
  <c r="C3431" i="9"/>
  <c r="D3431" i="9"/>
  <c r="E3431" i="9"/>
  <c r="F3431" i="9"/>
  <c r="A3432" i="9"/>
  <c r="B3432" i="9"/>
  <c r="C3432" i="9"/>
  <c r="D3432" i="9"/>
  <c r="E3432" i="9"/>
  <c r="F3432" i="9"/>
  <c r="A3433" i="9"/>
  <c r="B3433" i="9"/>
  <c r="C3433" i="9"/>
  <c r="D3433" i="9"/>
  <c r="E3433" i="9"/>
  <c r="F3433" i="9"/>
  <c r="A3434" i="9"/>
  <c r="B3434" i="9"/>
  <c r="C3434" i="9"/>
  <c r="D3434" i="9"/>
  <c r="E3434" i="9"/>
  <c r="F3434" i="9"/>
  <c r="A3435" i="9"/>
  <c r="B3435" i="9"/>
  <c r="C3435" i="9"/>
  <c r="D3435" i="9"/>
  <c r="E3435" i="9"/>
  <c r="F3435" i="9"/>
  <c r="A3436" i="9"/>
  <c r="B3436" i="9"/>
  <c r="C3436" i="9"/>
  <c r="D3436" i="9"/>
  <c r="E3436" i="9"/>
  <c r="F3436" i="9"/>
  <c r="A3437" i="9"/>
  <c r="B3437" i="9"/>
  <c r="C3437" i="9"/>
  <c r="D3437" i="9"/>
  <c r="E3437" i="9"/>
  <c r="F3437" i="9"/>
  <c r="A3438" i="9"/>
  <c r="B3438" i="9"/>
  <c r="C3438" i="9"/>
  <c r="D3438" i="9"/>
  <c r="E3438" i="9"/>
  <c r="F3438" i="9"/>
  <c r="A3439" i="9"/>
  <c r="B3439" i="9"/>
  <c r="C3439" i="9"/>
  <c r="D3439" i="9"/>
  <c r="E3439" i="9"/>
  <c r="F3439" i="9"/>
  <c r="A3440" i="9"/>
  <c r="B3440" i="9"/>
  <c r="C3440" i="9"/>
  <c r="D3440" i="9"/>
  <c r="E3440" i="9"/>
  <c r="F3440" i="9"/>
  <c r="A3441" i="9"/>
  <c r="B3441" i="9"/>
  <c r="C3441" i="9"/>
  <c r="D3441" i="9"/>
  <c r="E3441" i="9"/>
  <c r="F3441" i="9"/>
  <c r="A3442" i="9"/>
  <c r="B3442" i="9"/>
  <c r="C3442" i="9"/>
  <c r="D3442" i="9"/>
  <c r="E3442" i="9"/>
  <c r="F3442" i="9"/>
  <c r="A3443" i="9"/>
  <c r="B3443" i="9"/>
  <c r="C3443" i="9"/>
  <c r="D3443" i="9"/>
  <c r="E3443" i="9"/>
  <c r="F3443" i="9"/>
  <c r="A3444" i="9"/>
  <c r="B3444" i="9"/>
  <c r="C3444" i="9"/>
  <c r="D3444" i="9"/>
  <c r="E3444" i="9"/>
  <c r="F3444" i="9"/>
  <c r="A3445" i="9"/>
  <c r="B3445" i="9"/>
  <c r="C3445" i="9"/>
  <c r="D3445" i="9"/>
  <c r="E3445" i="9"/>
  <c r="F3445" i="9"/>
  <c r="A3446" i="9"/>
  <c r="B3446" i="9"/>
  <c r="C3446" i="9"/>
  <c r="D3446" i="9"/>
  <c r="E3446" i="9"/>
  <c r="F3446" i="9"/>
  <c r="A3447" i="9"/>
  <c r="B3447" i="9"/>
  <c r="C3447" i="9"/>
  <c r="D3447" i="9"/>
  <c r="E3447" i="9"/>
  <c r="F3447" i="9"/>
  <c r="A3448" i="9"/>
  <c r="B3448" i="9"/>
  <c r="C3448" i="9"/>
  <c r="D3448" i="9"/>
  <c r="E3448" i="9"/>
  <c r="F3448" i="9"/>
  <c r="A3449" i="9"/>
  <c r="B3449" i="9"/>
  <c r="C3449" i="9"/>
  <c r="D3449" i="9"/>
  <c r="E3449" i="9"/>
  <c r="F3449" i="9"/>
  <c r="A3450" i="9"/>
  <c r="B3450" i="9"/>
  <c r="C3450" i="9"/>
  <c r="D3450" i="9"/>
  <c r="E3450" i="9"/>
  <c r="F3450" i="9"/>
  <c r="A3451" i="9"/>
  <c r="B3451" i="9"/>
  <c r="C3451" i="9"/>
  <c r="D3451" i="9"/>
  <c r="E3451" i="9"/>
  <c r="F3451" i="9"/>
  <c r="A3452" i="9"/>
  <c r="B3452" i="9"/>
  <c r="C3452" i="9"/>
  <c r="D3452" i="9"/>
  <c r="E3452" i="9"/>
  <c r="F3452" i="9"/>
  <c r="A3453" i="9"/>
  <c r="B3453" i="9"/>
  <c r="C3453" i="9"/>
  <c r="D3453" i="9"/>
  <c r="E3453" i="9"/>
  <c r="F3453" i="9"/>
  <c r="A3454" i="9"/>
  <c r="B3454" i="9"/>
  <c r="C3454" i="9"/>
  <c r="D3454" i="9"/>
  <c r="E3454" i="9"/>
  <c r="F3454" i="9"/>
  <c r="A3455" i="9"/>
  <c r="B3455" i="9"/>
  <c r="C3455" i="9"/>
  <c r="D3455" i="9"/>
  <c r="E3455" i="9"/>
  <c r="F3455" i="9"/>
  <c r="A3456" i="9"/>
  <c r="B3456" i="9"/>
  <c r="C3456" i="9"/>
  <c r="D3456" i="9"/>
  <c r="E3456" i="9"/>
  <c r="F3456" i="9"/>
  <c r="A3457" i="9"/>
  <c r="B3457" i="9"/>
  <c r="C3457" i="9"/>
  <c r="D3457" i="9"/>
  <c r="E3457" i="9"/>
  <c r="F3457" i="9"/>
  <c r="A3458" i="9"/>
  <c r="B3458" i="9"/>
  <c r="C3458" i="9"/>
  <c r="D3458" i="9"/>
  <c r="E3458" i="9"/>
  <c r="F3458" i="9"/>
  <c r="A3459" i="9"/>
  <c r="B3459" i="9"/>
  <c r="C3459" i="9"/>
  <c r="D3459" i="9"/>
  <c r="E3459" i="9"/>
  <c r="F3459" i="9"/>
  <c r="A3460" i="9"/>
  <c r="B3460" i="9"/>
  <c r="C3460" i="9"/>
  <c r="D3460" i="9"/>
  <c r="E3460" i="9"/>
  <c r="F3460" i="9"/>
  <c r="A3461" i="9"/>
  <c r="B3461" i="9"/>
  <c r="C3461" i="9"/>
  <c r="D3461" i="9"/>
  <c r="E3461" i="9"/>
  <c r="F3461" i="9"/>
  <c r="A3462" i="9"/>
  <c r="B3462" i="9"/>
  <c r="C3462" i="9"/>
  <c r="D3462" i="9"/>
  <c r="E3462" i="9"/>
  <c r="F3462" i="9"/>
  <c r="A3463" i="9"/>
  <c r="B3463" i="9"/>
  <c r="C3463" i="9"/>
  <c r="D3463" i="9"/>
  <c r="E3463" i="9"/>
  <c r="F3463" i="9"/>
  <c r="A3464" i="9"/>
  <c r="B3464" i="9"/>
  <c r="C3464" i="9"/>
  <c r="D3464" i="9"/>
  <c r="E3464" i="9"/>
  <c r="F3464" i="9"/>
  <c r="A3465" i="9"/>
  <c r="B3465" i="9"/>
  <c r="C3465" i="9"/>
  <c r="D3465" i="9"/>
  <c r="E3465" i="9"/>
  <c r="F3465" i="9"/>
  <c r="A3466" i="9"/>
  <c r="B3466" i="9"/>
  <c r="C3466" i="9"/>
  <c r="D3466" i="9"/>
  <c r="E3466" i="9"/>
  <c r="F3466" i="9"/>
  <c r="A3467" i="9"/>
  <c r="B3467" i="9"/>
  <c r="C3467" i="9"/>
  <c r="D3467" i="9"/>
  <c r="E3467" i="9"/>
  <c r="F3467" i="9"/>
  <c r="A3468" i="9"/>
  <c r="B3468" i="9"/>
  <c r="C3468" i="9"/>
  <c r="D3468" i="9"/>
  <c r="E3468" i="9"/>
  <c r="F3468" i="9"/>
  <c r="A3469" i="9"/>
  <c r="B3469" i="9"/>
  <c r="C3469" i="9"/>
  <c r="D3469" i="9"/>
  <c r="E3469" i="9"/>
  <c r="F3469" i="9"/>
  <c r="A3470" i="9"/>
  <c r="B3470" i="9"/>
  <c r="C3470" i="9"/>
  <c r="D3470" i="9"/>
  <c r="E3470" i="9"/>
  <c r="F3470" i="9"/>
  <c r="A3471" i="9"/>
  <c r="B3471" i="9"/>
  <c r="C3471" i="9"/>
  <c r="D3471" i="9"/>
  <c r="E3471" i="9"/>
  <c r="F3471" i="9"/>
  <c r="A3472" i="9"/>
  <c r="B3472" i="9"/>
  <c r="C3472" i="9"/>
  <c r="D3472" i="9"/>
  <c r="E3472" i="9"/>
  <c r="F3472" i="9"/>
  <c r="A3473" i="9"/>
  <c r="B3473" i="9"/>
  <c r="C3473" i="9"/>
  <c r="D3473" i="9"/>
  <c r="E3473" i="9"/>
  <c r="F3473" i="9"/>
  <c r="A3474" i="9"/>
  <c r="B3474" i="9"/>
  <c r="C3474" i="9"/>
  <c r="D3474" i="9"/>
  <c r="E3474" i="9"/>
  <c r="F3474" i="9"/>
  <c r="A3475" i="9"/>
  <c r="B3475" i="9"/>
  <c r="C3475" i="9"/>
  <c r="D3475" i="9"/>
  <c r="E3475" i="9"/>
  <c r="F3475" i="9"/>
  <c r="A3476" i="9"/>
  <c r="B3476" i="9"/>
  <c r="C3476" i="9"/>
  <c r="D3476" i="9"/>
  <c r="E3476" i="9"/>
  <c r="F3476" i="9"/>
  <c r="A3477" i="9"/>
  <c r="B3477" i="9"/>
  <c r="C3477" i="9"/>
  <c r="D3477" i="9"/>
  <c r="E3477" i="9"/>
  <c r="F3477" i="9"/>
  <c r="A3478" i="9"/>
  <c r="B3478" i="9"/>
  <c r="C3478" i="9"/>
  <c r="D3478" i="9"/>
  <c r="E3478" i="9"/>
  <c r="F3478" i="9"/>
  <c r="A3479" i="9"/>
  <c r="B3479" i="9"/>
  <c r="C3479" i="9"/>
  <c r="D3479" i="9"/>
  <c r="E3479" i="9"/>
  <c r="F3479" i="9"/>
  <c r="A3480" i="9"/>
  <c r="B3480" i="9"/>
  <c r="C3480" i="9"/>
  <c r="D3480" i="9"/>
  <c r="E3480" i="9"/>
  <c r="F3480" i="9"/>
  <c r="A3481" i="9"/>
  <c r="B3481" i="9"/>
  <c r="C3481" i="9"/>
  <c r="D3481" i="9"/>
  <c r="E3481" i="9"/>
  <c r="F3481" i="9"/>
  <c r="A3482" i="9"/>
  <c r="B3482" i="9"/>
  <c r="C3482" i="9"/>
  <c r="D3482" i="9"/>
  <c r="E3482" i="9"/>
  <c r="F3482" i="9"/>
  <c r="A3483" i="9"/>
  <c r="B3483" i="9"/>
  <c r="C3483" i="9"/>
  <c r="D3483" i="9"/>
  <c r="E3483" i="9"/>
  <c r="F3483" i="9"/>
  <c r="A3484" i="9"/>
  <c r="B3484" i="9"/>
  <c r="C3484" i="9"/>
  <c r="D3484" i="9"/>
  <c r="E3484" i="9"/>
  <c r="F3484" i="9"/>
  <c r="A3485" i="9"/>
  <c r="B3485" i="9"/>
  <c r="C3485" i="9"/>
  <c r="D3485" i="9"/>
  <c r="E3485" i="9"/>
  <c r="F3485" i="9"/>
  <c r="A3486" i="9"/>
  <c r="B3486" i="9"/>
  <c r="C3486" i="9"/>
  <c r="D3486" i="9"/>
  <c r="E3486" i="9"/>
  <c r="F3486" i="9"/>
  <c r="A3487" i="9"/>
  <c r="B3487" i="9"/>
  <c r="C3487" i="9"/>
  <c r="D3487" i="9"/>
  <c r="E3487" i="9"/>
  <c r="F3487" i="9"/>
  <c r="A3488" i="9"/>
  <c r="B3488" i="9"/>
  <c r="C3488" i="9"/>
  <c r="D3488" i="9"/>
  <c r="E3488" i="9"/>
  <c r="F3488" i="9"/>
  <c r="A3489" i="9"/>
  <c r="B3489" i="9"/>
  <c r="C3489" i="9"/>
  <c r="D3489" i="9"/>
  <c r="E3489" i="9"/>
  <c r="F3489" i="9"/>
  <c r="A3490" i="9"/>
  <c r="B3490" i="9"/>
  <c r="C3490" i="9"/>
  <c r="D3490" i="9"/>
  <c r="E3490" i="9"/>
  <c r="F3490" i="9"/>
  <c r="A3491" i="9"/>
  <c r="B3491" i="9"/>
  <c r="C3491" i="9"/>
  <c r="D3491" i="9"/>
  <c r="E3491" i="9"/>
  <c r="F3491" i="9"/>
  <c r="A3492" i="9"/>
  <c r="B3492" i="9"/>
  <c r="C3492" i="9"/>
  <c r="D3492" i="9"/>
  <c r="E3492" i="9"/>
  <c r="F3492" i="9"/>
  <c r="A3493" i="9"/>
  <c r="B3493" i="9"/>
  <c r="C3493" i="9"/>
  <c r="D3493" i="9"/>
  <c r="E3493" i="9"/>
  <c r="F3493" i="9"/>
  <c r="A3494" i="9"/>
  <c r="B3494" i="9"/>
  <c r="C3494" i="9"/>
  <c r="D3494" i="9"/>
  <c r="E3494" i="9"/>
  <c r="F3494" i="9"/>
  <c r="A3495" i="9"/>
  <c r="B3495" i="9"/>
  <c r="C3495" i="9"/>
  <c r="D3495" i="9"/>
  <c r="E3495" i="9"/>
  <c r="F3495" i="9"/>
  <c r="A3496" i="9"/>
  <c r="B3496" i="9"/>
  <c r="C3496" i="9"/>
  <c r="D3496" i="9"/>
  <c r="E3496" i="9"/>
  <c r="F3496" i="9"/>
  <c r="A3497" i="9"/>
  <c r="B3497" i="9"/>
  <c r="C3497" i="9"/>
  <c r="D3497" i="9"/>
  <c r="E3497" i="9"/>
  <c r="F3497" i="9"/>
  <c r="A3498" i="9"/>
  <c r="B3498" i="9"/>
  <c r="C3498" i="9"/>
  <c r="D3498" i="9"/>
  <c r="E3498" i="9"/>
  <c r="F3498" i="9"/>
  <c r="A3499" i="9"/>
  <c r="B3499" i="9"/>
  <c r="C3499" i="9"/>
  <c r="D3499" i="9"/>
  <c r="E3499" i="9"/>
  <c r="F3499" i="9"/>
  <c r="A3500" i="9"/>
  <c r="B3500" i="9"/>
  <c r="C3500" i="9"/>
  <c r="D3500" i="9"/>
  <c r="E3500" i="9"/>
  <c r="F3500" i="9"/>
  <c r="A3501" i="9"/>
  <c r="B3501" i="9"/>
  <c r="C3501" i="9"/>
  <c r="D3501" i="9"/>
  <c r="E3501" i="9"/>
  <c r="F3501" i="9"/>
  <c r="A3502" i="9"/>
  <c r="B3502" i="9"/>
  <c r="C3502" i="9"/>
  <c r="D3502" i="9"/>
  <c r="E3502" i="9"/>
  <c r="F3502" i="9"/>
  <c r="A3503" i="9"/>
  <c r="B3503" i="9"/>
  <c r="C3503" i="9"/>
  <c r="D3503" i="9"/>
  <c r="E3503" i="9"/>
  <c r="F3503" i="9"/>
  <c r="A3504" i="9"/>
  <c r="B3504" i="9"/>
  <c r="C3504" i="9"/>
  <c r="D3504" i="9"/>
  <c r="E3504" i="9"/>
  <c r="F3504" i="9"/>
  <c r="A3505" i="9"/>
  <c r="B3505" i="9"/>
  <c r="C3505" i="9"/>
  <c r="D3505" i="9"/>
  <c r="E3505" i="9"/>
  <c r="F3505" i="9"/>
  <c r="A3506" i="9"/>
  <c r="B3506" i="9"/>
  <c r="C3506" i="9"/>
  <c r="D3506" i="9"/>
  <c r="E3506" i="9"/>
  <c r="F3506" i="9"/>
  <c r="A3507" i="9"/>
  <c r="B3507" i="9"/>
  <c r="C3507" i="9"/>
  <c r="D3507" i="9"/>
  <c r="E3507" i="9"/>
  <c r="F3507" i="9"/>
  <c r="A3508" i="9"/>
  <c r="B3508" i="9"/>
  <c r="C3508" i="9"/>
  <c r="D3508" i="9"/>
  <c r="E3508" i="9"/>
  <c r="F3508" i="9"/>
  <c r="A3509" i="9"/>
  <c r="B3509" i="9"/>
  <c r="C3509" i="9"/>
  <c r="D3509" i="9"/>
  <c r="E3509" i="9"/>
  <c r="F3509" i="9"/>
  <c r="A3510" i="9"/>
  <c r="B3510" i="9"/>
  <c r="C3510" i="9"/>
  <c r="D3510" i="9"/>
  <c r="E3510" i="9"/>
  <c r="F3510" i="9"/>
  <c r="A3511" i="9"/>
  <c r="B3511" i="9"/>
  <c r="C3511" i="9"/>
  <c r="D3511" i="9"/>
  <c r="E3511" i="9"/>
  <c r="F3511" i="9"/>
  <c r="A3512" i="9"/>
  <c r="B3512" i="9"/>
  <c r="C3512" i="9"/>
  <c r="D3512" i="9"/>
  <c r="E3512" i="9"/>
  <c r="F3512" i="9"/>
  <c r="A3513" i="9"/>
  <c r="B3513" i="9"/>
  <c r="C3513" i="9"/>
  <c r="D3513" i="9"/>
  <c r="E3513" i="9"/>
  <c r="F3513" i="9"/>
  <c r="A3514" i="9"/>
  <c r="B3514" i="9"/>
  <c r="C3514" i="9"/>
  <c r="D3514" i="9"/>
  <c r="E3514" i="9"/>
  <c r="F3514" i="9"/>
  <c r="A3515" i="9"/>
  <c r="B3515" i="9"/>
  <c r="C3515" i="9"/>
  <c r="D3515" i="9"/>
  <c r="E3515" i="9"/>
  <c r="F3515" i="9"/>
  <c r="A3516" i="9"/>
  <c r="B3516" i="9"/>
  <c r="C3516" i="9"/>
  <c r="D3516" i="9"/>
  <c r="E3516" i="9"/>
  <c r="F3516" i="9"/>
  <c r="A3517" i="9"/>
  <c r="B3517" i="9"/>
  <c r="C3517" i="9"/>
  <c r="D3517" i="9"/>
  <c r="E3517" i="9"/>
  <c r="F3517" i="9"/>
  <c r="A3518" i="9"/>
  <c r="B3518" i="9"/>
  <c r="C3518" i="9"/>
  <c r="D3518" i="9"/>
  <c r="E3518" i="9"/>
  <c r="F3518" i="9"/>
  <c r="A3519" i="9"/>
  <c r="B3519" i="9"/>
  <c r="C3519" i="9"/>
  <c r="D3519" i="9"/>
  <c r="E3519" i="9"/>
  <c r="F3519" i="9"/>
  <c r="A3520" i="9"/>
  <c r="B3520" i="9"/>
  <c r="C3520" i="9"/>
  <c r="D3520" i="9"/>
  <c r="E3520" i="9"/>
  <c r="F3520" i="9"/>
  <c r="A3521" i="9"/>
  <c r="B3521" i="9"/>
  <c r="C3521" i="9"/>
  <c r="D3521" i="9"/>
  <c r="E3521" i="9"/>
  <c r="F3521" i="9"/>
  <c r="A3522" i="9"/>
  <c r="B3522" i="9"/>
  <c r="C3522" i="9"/>
  <c r="D3522" i="9"/>
  <c r="E3522" i="9"/>
  <c r="F3522" i="9"/>
  <c r="A3523" i="9"/>
  <c r="B3523" i="9"/>
  <c r="C3523" i="9"/>
  <c r="D3523" i="9"/>
  <c r="E3523" i="9"/>
  <c r="F3523" i="9"/>
  <c r="A3524" i="9"/>
  <c r="B3524" i="9"/>
  <c r="C3524" i="9"/>
  <c r="D3524" i="9"/>
  <c r="E3524" i="9"/>
  <c r="F3524" i="9"/>
  <c r="A3525" i="9"/>
  <c r="B3525" i="9"/>
  <c r="C3525" i="9"/>
  <c r="D3525" i="9"/>
  <c r="E3525" i="9"/>
  <c r="F3525" i="9"/>
  <c r="A3526" i="9"/>
  <c r="B3526" i="9"/>
  <c r="C3526" i="9"/>
  <c r="D3526" i="9"/>
  <c r="E3526" i="9"/>
  <c r="F3526" i="9"/>
  <c r="A3527" i="9"/>
  <c r="B3527" i="9"/>
  <c r="C3527" i="9"/>
  <c r="D3527" i="9"/>
  <c r="E3527" i="9"/>
  <c r="F3527" i="9"/>
  <c r="A3528" i="9"/>
  <c r="B3528" i="9"/>
  <c r="C3528" i="9"/>
  <c r="D3528" i="9"/>
  <c r="E3528" i="9"/>
  <c r="F3528" i="9"/>
  <c r="A3529" i="9"/>
  <c r="B3529" i="9"/>
  <c r="C3529" i="9"/>
  <c r="D3529" i="9"/>
  <c r="E3529" i="9"/>
  <c r="F3529" i="9"/>
  <c r="A3530" i="9"/>
  <c r="B3530" i="9"/>
  <c r="C3530" i="9"/>
  <c r="D3530" i="9"/>
  <c r="E3530" i="9"/>
  <c r="F3530" i="9"/>
  <c r="A3531" i="9"/>
  <c r="B3531" i="9"/>
  <c r="C3531" i="9"/>
  <c r="D3531" i="9"/>
  <c r="E3531" i="9"/>
  <c r="F3531" i="9"/>
  <c r="A3532" i="9"/>
  <c r="B3532" i="9"/>
  <c r="C3532" i="9"/>
  <c r="D3532" i="9"/>
  <c r="E3532" i="9"/>
  <c r="F3532" i="9"/>
  <c r="A3533" i="9"/>
  <c r="B3533" i="9"/>
  <c r="C3533" i="9"/>
  <c r="D3533" i="9"/>
  <c r="E3533" i="9"/>
  <c r="F3533" i="9"/>
  <c r="A3534" i="9"/>
  <c r="B3534" i="9"/>
  <c r="C3534" i="9"/>
  <c r="D3534" i="9"/>
  <c r="E3534" i="9"/>
  <c r="F3534" i="9"/>
  <c r="A3535" i="9"/>
  <c r="B3535" i="9"/>
  <c r="C3535" i="9"/>
  <c r="D3535" i="9"/>
  <c r="E3535" i="9"/>
  <c r="F3535" i="9"/>
  <c r="A3536" i="9"/>
  <c r="B3536" i="9"/>
  <c r="C3536" i="9"/>
  <c r="D3536" i="9"/>
  <c r="E3536" i="9"/>
  <c r="F3536" i="9"/>
  <c r="A3537" i="9"/>
  <c r="B3537" i="9"/>
  <c r="C3537" i="9"/>
  <c r="D3537" i="9"/>
  <c r="E3537" i="9"/>
  <c r="F3537" i="9"/>
  <c r="A3538" i="9"/>
  <c r="B3538" i="9"/>
  <c r="C3538" i="9"/>
  <c r="D3538" i="9"/>
  <c r="E3538" i="9"/>
  <c r="F3538" i="9"/>
  <c r="A3539" i="9"/>
  <c r="B3539" i="9"/>
  <c r="C3539" i="9"/>
  <c r="D3539" i="9"/>
  <c r="E3539" i="9"/>
  <c r="F3539" i="9"/>
  <c r="A3540" i="9"/>
  <c r="B3540" i="9"/>
  <c r="C3540" i="9"/>
  <c r="D3540" i="9"/>
  <c r="E3540" i="9"/>
  <c r="F3540" i="9"/>
  <c r="A3541" i="9"/>
  <c r="B3541" i="9"/>
  <c r="C3541" i="9"/>
  <c r="D3541" i="9"/>
  <c r="E3541" i="9"/>
  <c r="F3541" i="9"/>
  <c r="A3542" i="9"/>
  <c r="B3542" i="9"/>
  <c r="C3542" i="9"/>
  <c r="D3542" i="9"/>
  <c r="E3542" i="9"/>
  <c r="F3542" i="9"/>
  <c r="A3543" i="9"/>
  <c r="B3543" i="9"/>
  <c r="C3543" i="9"/>
  <c r="D3543" i="9"/>
  <c r="E3543" i="9"/>
  <c r="F3543" i="9"/>
  <c r="A3544" i="9"/>
  <c r="B3544" i="9"/>
  <c r="C3544" i="9"/>
  <c r="D3544" i="9"/>
  <c r="E3544" i="9"/>
  <c r="F3544" i="9"/>
  <c r="A3545" i="9"/>
  <c r="B3545" i="9"/>
  <c r="C3545" i="9"/>
  <c r="D3545" i="9"/>
  <c r="E3545" i="9"/>
  <c r="F3545" i="9"/>
  <c r="A3546" i="9"/>
  <c r="B3546" i="9"/>
  <c r="C3546" i="9"/>
  <c r="D3546" i="9"/>
  <c r="E3546" i="9"/>
  <c r="F3546" i="9"/>
  <c r="A3547" i="9"/>
  <c r="B3547" i="9"/>
  <c r="C3547" i="9"/>
  <c r="D3547" i="9"/>
  <c r="E3547" i="9"/>
  <c r="F3547" i="9"/>
  <c r="A3548" i="9"/>
  <c r="B3548" i="9"/>
  <c r="C3548" i="9"/>
  <c r="D3548" i="9"/>
  <c r="E3548" i="9"/>
  <c r="F3548" i="9"/>
  <c r="A3549" i="9"/>
  <c r="B3549" i="9"/>
  <c r="C3549" i="9"/>
  <c r="D3549" i="9"/>
  <c r="E3549" i="9"/>
  <c r="F3549" i="9"/>
  <c r="A3550" i="9"/>
  <c r="B3550" i="9"/>
  <c r="C3550" i="9"/>
  <c r="D3550" i="9"/>
  <c r="E3550" i="9"/>
  <c r="F3550" i="9"/>
  <c r="A3551" i="9"/>
  <c r="B3551" i="9"/>
  <c r="C3551" i="9"/>
  <c r="D3551" i="9"/>
  <c r="E3551" i="9"/>
  <c r="F3551" i="9"/>
  <c r="A3552" i="9"/>
  <c r="B3552" i="9"/>
  <c r="C3552" i="9"/>
  <c r="D3552" i="9"/>
  <c r="E3552" i="9"/>
  <c r="F3552" i="9"/>
  <c r="A3553" i="9"/>
  <c r="B3553" i="9"/>
  <c r="C3553" i="9"/>
  <c r="D3553" i="9"/>
  <c r="E3553" i="9"/>
  <c r="F3553" i="9"/>
  <c r="A3554" i="9"/>
  <c r="B3554" i="9"/>
  <c r="C3554" i="9"/>
  <c r="D3554" i="9"/>
  <c r="E3554" i="9"/>
  <c r="F3554" i="9"/>
  <c r="A3555" i="9"/>
  <c r="B3555" i="9"/>
  <c r="C3555" i="9"/>
  <c r="D3555" i="9"/>
  <c r="E3555" i="9"/>
  <c r="F3555" i="9"/>
  <c r="A3556" i="9"/>
  <c r="B3556" i="9"/>
  <c r="C3556" i="9"/>
  <c r="D3556" i="9"/>
  <c r="E3556" i="9"/>
  <c r="F3556" i="9"/>
  <c r="A3557" i="9"/>
  <c r="B3557" i="9"/>
  <c r="C3557" i="9"/>
  <c r="D3557" i="9"/>
  <c r="E3557" i="9"/>
  <c r="F3557" i="9"/>
  <c r="A3558" i="9"/>
  <c r="B3558" i="9"/>
  <c r="C3558" i="9"/>
  <c r="D3558" i="9"/>
  <c r="E3558" i="9"/>
  <c r="F3558" i="9"/>
  <c r="A3559" i="9"/>
  <c r="B3559" i="9"/>
  <c r="C3559" i="9"/>
  <c r="D3559" i="9"/>
  <c r="E3559" i="9"/>
  <c r="F3559" i="9"/>
  <c r="A3560" i="9"/>
  <c r="B3560" i="9"/>
  <c r="C3560" i="9"/>
  <c r="D3560" i="9"/>
  <c r="E3560" i="9"/>
  <c r="F3560" i="9"/>
  <c r="A3561" i="9"/>
  <c r="B3561" i="9"/>
  <c r="C3561" i="9"/>
  <c r="D3561" i="9"/>
  <c r="E3561" i="9"/>
  <c r="F3561" i="9"/>
  <c r="A3562" i="9"/>
  <c r="B3562" i="9"/>
  <c r="C3562" i="9"/>
  <c r="D3562" i="9"/>
  <c r="E3562" i="9"/>
  <c r="F3562" i="9"/>
  <c r="A3563" i="9"/>
  <c r="B3563" i="9"/>
  <c r="C3563" i="9"/>
  <c r="D3563" i="9"/>
  <c r="E3563" i="9"/>
  <c r="F3563" i="9"/>
  <c r="A3564" i="9"/>
  <c r="B3564" i="9"/>
  <c r="C3564" i="9"/>
  <c r="D3564" i="9"/>
  <c r="E3564" i="9"/>
  <c r="F3564" i="9"/>
  <c r="A3565" i="9"/>
  <c r="B3565" i="9"/>
  <c r="C3565" i="9"/>
  <c r="D3565" i="9"/>
  <c r="E3565" i="9"/>
  <c r="F3565" i="9"/>
  <c r="A3566" i="9"/>
  <c r="B3566" i="9"/>
  <c r="C3566" i="9"/>
  <c r="D3566" i="9"/>
  <c r="E3566" i="9"/>
  <c r="F3566" i="9"/>
  <c r="A3567" i="9"/>
  <c r="B3567" i="9"/>
  <c r="C3567" i="9"/>
  <c r="D3567" i="9"/>
  <c r="E3567" i="9"/>
  <c r="F3567" i="9"/>
  <c r="A3568" i="9"/>
  <c r="B3568" i="9"/>
  <c r="C3568" i="9"/>
  <c r="D3568" i="9"/>
  <c r="E3568" i="9"/>
  <c r="F3568" i="9"/>
  <c r="A3569" i="9"/>
  <c r="B3569" i="9"/>
  <c r="C3569" i="9"/>
  <c r="D3569" i="9"/>
  <c r="E3569" i="9"/>
  <c r="F3569" i="9"/>
  <c r="A3570" i="9"/>
  <c r="B3570" i="9"/>
  <c r="C3570" i="9"/>
  <c r="D3570" i="9"/>
  <c r="E3570" i="9"/>
  <c r="F3570" i="9"/>
  <c r="A3571" i="9"/>
  <c r="B3571" i="9"/>
  <c r="C3571" i="9"/>
  <c r="D3571" i="9"/>
  <c r="E3571" i="9"/>
  <c r="F3571" i="9"/>
  <c r="A3572" i="9"/>
  <c r="B3572" i="9"/>
  <c r="C3572" i="9"/>
  <c r="D3572" i="9"/>
  <c r="E3572" i="9"/>
  <c r="F3572" i="9"/>
  <c r="A3573" i="9"/>
  <c r="B3573" i="9"/>
  <c r="C3573" i="9"/>
  <c r="D3573" i="9"/>
  <c r="E3573" i="9"/>
  <c r="F3573" i="9"/>
  <c r="A3574" i="9"/>
  <c r="B3574" i="9"/>
  <c r="C3574" i="9"/>
  <c r="D3574" i="9"/>
  <c r="E3574" i="9"/>
  <c r="F3574" i="9"/>
  <c r="A3575" i="9"/>
  <c r="B3575" i="9"/>
  <c r="C3575" i="9"/>
  <c r="D3575" i="9"/>
  <c r="E3575" i="9"/>
  <c r="F3575" i="9"/>
  <c r="A3576" i="9"/>
  <c r="B3576" i="9"/>
  <c r="C3576" i="9"/>
  <c r="D3576" i="9"/>
  <c r="E3576" i="9"/>
  <c r="F3576" i="9"/>
  <c r="A3577" i="9"/>
  <c r="B3577" i="9"/>
  <c r="C3577" i="9"/>
  <c r="D3577" i="9"/>
  <c r="E3577" i="9"/>
  <c r="F3577" i="9"/>
  <c r="A3578" i="9"/>
  <c r="B3578" i="9"/>
  <c r="C3578" i="9"/>
  <c r="D3578" i="9"/>
  <c r="E3578" i="9"/>
  <c r="F3578" i="9"/>
  <c r="A3579" i="9"/>
  <c r="B3579" i="9"/>
  <c r="C3579" i="9"/>
  <c r="D3579" i="9"/>
  <c r="E3579" i="9"/>
  <c r="F3579" i="9"/>
  <c r="A3580" i="9"/>
  <c r="B3580" i="9"/>
  <c r="C3580" i="9"/>
  <c r="D3580" i="9"/>
  <c r="E3580" i="9"/>
  <c r="F3580" i="9"/>
  <c r="A3581" i="9"/>
  <c r="B3581" i="9"/>
  <c r="C3581" i="9"/>
  <c r="D3581" i="9"/>
  <c r="E3581" i="9"/>
  <c r="F3581" i="9"/>
  <c r="A3582" i="9"/>
  <c r="B3582" i="9"/>
  <c r="C3582" i="9"/>
  <c r="D3582" i="9"/>
  <c r="E3582" i="9"/>
  <c r="F3582" i="9"/>
  <c r="A3583" i="9"/>
  <c r="B3583" i="9"/>
  <c r="C3583" i="9"/>
  <c r="D3583" i="9"/>
  <c r="E3583" i="9"/>
  <c r="F3583" i="9"/>
  <c r="A3584" i="9"/>
  <c r="B3584" i="9"/>
  <c r="C3584" i="9"/>
  <c r="D3584" i="9"/>
  <c r="E3584" i="9"/>
  <c r="F3584" i="9"/>
  <c r="A3585" i="9"/>
  <c r="B3585" i="9"/>
  <c r="C3585" i="9"/>
  <c r="D3585" i="9"/>
  <c r="E3585" i="9"/>
  <c r="F3585" i="9"/>
  <c r="A3586" i="9"/>
  <c r="B3586" i="9"/>
  <c r="C3586" i="9"/>
  <c r="D3586" i="9"/>
  <c r="E3586" i="9"/>
  <c r="F3586" i="9"/>
  <c r="A3587" i="9"/>
  <c r="B3587" i="9"/>
  <c r="C3587" i="9"/>
  <c r="D3587" i="9"/>
  <c r="E3587" i="9"/>
  <c r="F3587" i="9"/>
  <c r="A3588" i="9"/>
  <c r="B3588" i="9"/>
  <c r="C3588" i="9"/>
  <c r="D3588" i="9"/>
  <c r="E3588" i="9"/>
  <c r="F3588" i="9"/>
  <c r="A3589" i="9"/>
  <c r="B3589" i="9"/>
  <c r="C3589" i="9"/>
  <c r="D3589" i="9"/>
  <c r="E3589" i="9"/>
  <c r="F3589" i="9"/>
  <c r="A3590" i="9"/>
  <c r="B3590" i="9"/>
  <c r="C3590" i="9"/>
  <c r="D3590" i="9"/>
  <c r="E3590" i="9"/>
  <c r="F3590" i="9"/>
  <c r="A3591" i="9"/>
  <c r="B3591" i="9"/>
  <c r="C3591" i="9"/>
  <c r="D3591" i="9"/>
  <c r="E3591" i="9"/>
  <c r="F3591" i="9"/>
  <c r="A3592" i="9"/>
  <c r="B3592" i="9"/>
  <c r="C3592" i="9"/>
  <c r="D3592" i="9"/>
  <c r="E3592" i="9"/>
  <c r="F3592" i="9"/>
  <c r="A3593" i="9"/>
  <c r="B3593" i="9"/>
  <c r="C3593" i="9"/>
  <c r="D3593" i="9"/>
  <c r="E3593" i="9"/>
  <c r="F3593" i="9"/>
  <c r="A3594" i="9"/>
  <c r="B3594" i="9"/>
  <c r="C3594" i="9"/>
  <c r="D3594" i="9"/>
  <c r="E3594" i="9"/>
  <c r="F3594" i="9"/>
  <c r="A3595" i="9"/>
  <c r="B3595" i="9"/>
  <c r="C3595" i="9"/>
  <c r="D3595" i="9"/>
  <c r="E3595" i="9"/>
  <c r="F3595" i="9"/>
  <c r="A3596" i="9"/>
  <c r="B3596" i="9"/>
  <c r="C3596" i="9"/>
  <c r="D3596" i="9"/>
  <c r="E3596" i="9"/>
  <c r="F3596" i="9"/>
  <c r="A3597" i="9"/>
  <c r="B3597" i="9"/>
  <c r="C3597" i="9"/>
  <c r="D3597" i="9"/>
  <c r="E3597" i="9"/>
  <c r="F3597" i="9"/>
  <c r="A3598" i="9"/>
  <c r="B3598" i="9"/>
  <c r="C3598" i="9"/>
  <c r="D3598" i="9"/>
  <c r="E3598" i="9"/>
  <c r="F3598" i="9"/>
  <c r="A3599" i="9"/>
  <c r="B3599" i="9"/>
  <c r="C3599" i="9"/>
  <c r="D3599" i="9"/>
  <c r="E3599" i="9"/>
  <c r="F3599" i="9"/>
  <c r="A3600" i="9"/>
  <c r="B3600" i="9"/>
  <c r="C3600" i="9"/>
  <c r="D3600" i="9"/>
  <c r="E3600" i="9"/>
  <c r="F3600" i="9"/>
  <c r="A3601" i="9"/>
  <c r="B3601" i="9"/>
  <c r="C3601" i="9"/>
  <c r="D3601" i="9"/>
  <c r="E3601" i="9"/>
  <c r="F3601" i="9"/>
  <c r="A3602" i="9"/>
  <c r="B3602" i="9"/>
  <c r="C3602" i="9"/>
  <c r="D3602" i="9"/>
  <c r="E3602" i="9"/>
  <c r="F3602" i="9"/>
  <c r="A3603" i="9"/>
  <c r="B3603" i="9"/>
  <c r="C3603" i="9"/>
  <c r="D3603" i="9"/>
  <c r="E3603" i="9"/>
  <c r="F3603" i="9"/>
  <c r="A3604" i="9"/>
  <c r="B3604" i="9"/>
  <c r="C3604" i="9"/>
  <c r="D3604" i="9"/>
  <c r="E3604" i="9"/>
  <c r="F3604" i="9"/>
  <c r="A3605" i="9"/>
  <c r="B3605" i="9"/>
  <c r="C3605" i="9"/>
  <c r="D3605" i="9"/>
  <c r="E3605" i="9"/>
  <c r="F3605" i="9"/>
  <c r="A3606" i="9"/>
  <c r="B3606" i="9"/>
  <c r="C3606" i="9"/>
  <c r="D3606" i="9"/>
  <c r="E3606" i="9"/>
  <c r="F3606" i="9"/>
  <c r="A3607" i="9"/>
  <c r="B3607" i="9"/>
  <c r="C3607" i="9"/>
  <c r="D3607" i="9"/>
  <c r="E3607" i="9"/>
  <c r="F3607" i="9"/>
  <c r="A3608" i="9"/>
  <c r="B3608" i="9"/>
  <c r="C3608" i="9"/>
  <c r="D3608" i="9"/>
  <c r="E3608" i="9"/>
  <c r="F3608" i="9"/>
  <c r="A3609" i="9"/>
  <c r="B3609" i="9"/>
  <c r="C3609" i="9"/>
  <c r="D3609" i="9"/>
  <c r="E3609" i="9"/>
  <c r="F3609" i="9"/>
  <c r="A3610" i="9"/>
  <c r="B3610" i="9"/>
  <c r="C3610" i="9"/>
  <c r="D3610" i="9"/>
  <c r="E3610" i="9"/>
  <c r="F3610" i="9"/>
  <c r="A3611" i="9"/>
  <c r="B3611" i="9"/>
  <c r="C3611" i="9"/>
  <c r="D3611" i="9"/>
  <c r="E3611" i="9"/>
  <c r="F3611" i="9"/>
  <c r="A3612" i="9"/>
  <c r="B3612" i="9"/>
  <c r="C3612" i="9"/>
  <c r="D3612" i="9"/>
  <c r="E3612" i="9"/>
  <c r="F3612" i="9"/>
  <c r="A3613" i="9"/>
  <c r="B3613" i="9"/>
  <c r="C3613" i="9"/>
  <c r="D3613" i="9"/>
  <c r="E3613" i="9"/>
  <c r="F3613" i="9"/>
  <c r="A3614" i="9"/>
  <c r="B3614" i="9"/>
  <c r="C3614" i="9"/>
  <c r="D3614" i="9"/>
  <c r="E3614" i="9"/>
  <c r="F3614" i="9"/>
  <c r="A3615" i="9"/>
  <c r="B3615" i="9"/>
  <c r="C3615" i="9"/>
  <c r="D3615" i="9"/>
  <c r="E3615" i="9"/>
  <c r="F3615" i="9"/>
  <c r="A3616" i="9"/>
  <c r="B3616" i="9"/>
  <c r="C3616" i="9"/>
  <c r="D3616" i="9"/>
  <c r="E3616" i="9"/>
  <c r="F3616" i="9"/>
  <c r="A3617" i="9"/>
  <c r="B3617" i="9"/>
  <c r="C3617" i="9"/>
  <c r="D3617" i="9"/>
  <c r="E3617" i="9"/>
  <c r="F3617" i="9"/>
  <c r="A3618" i="9"/>
  <c r="B3618" i="9"/>
  <c r="C3618" i="9"/>
  <c r="D3618" i="9"/>
  <c r="E3618" i="9"/>
  <c r="F3618" i="9"/>
  <c r="A3619" i="9"/>
  <c r="B3619" i="9"/>
  <c r="C3619" i="9"/>
  <c r="D3619" i="9"/>
  <c r="E3619" i="9"/>
  <c r="F3619" i="9"/>
  <c r="A3620" i="9"/>
  <c r="B3620" i="9"/>
  <c r="C3620" i="9"/>
  <c r="D3620" i="9"/>
  <c r="E3620" i="9"/>
  <c r="F3620" i="9"/>
  <c r="A3621" i="9"/>
  <c r="B3621" i="9"/>
  <c r="C3621" i="9"/>
  <c r="D3621" i="9"/>
  <c r="E3621" i="9"/>
  <c r="F3621" i="9"/>
  <c r="A3622" i="9"/>
  <c r="B3622" i="9"/>
  <c r="C3622" i="9"/>
  <c r="D3622" i="9"/>
  <c r="E3622" i="9"/>
  <c r="F3622" i="9"/>
  <c r="A3623" i="9"/>
  <c r="B3623" i="9"/>
  <c r="C3623" i="9"/>
  <c r="D3623" i="9"/>
  <c r="E3623" i="9"/>
  <c r="F3623" i="9"/>
  <c r="A3624" i="9"/>
  <c r="B3624" i="9"/>
  <c r="C3624" i="9"/>
  <c r="D3624" i="9"/>
  <c r="E3624" i="9"/>
  <c r="F3624" i="9"/>
  <c r="A3625" i="9"/>
  <c r="B3625" i="9"/>
  <c r="C3625" i="9"/>
  <c r="D3625" i="9"/>
  <c r="E3625" i="9"/>
  <c r="F3625" i="9"/>
  <c r="A3626" i="9"/>
  <c r="B3626" i="9"/>
  <c r="C3626" i="9"/>
  <c r="D3626" i="9"/>
  <c r="E3626" i="9"/>
  <c r="F3626" i="9"/>
  <c r="A3627" i="9"/>
  <c r="B3627" i="9"/>
  <c r="C3627" i="9"/>
  <c r="D3627" i="9"/>
  <c r="E3627" i="9"/>
  <c r="F3627" i="9"/>
  <c r="A3628" i="9"/>
  <c r="B3628" i="9"/>
  <c r="C3628" i="9"/>
  <c r="D3628" i="9"/>
  <c r="E3628" i="9"/>
  <c r="F3628" i="9"/>
  <c r="A3629" i="9"/>
  <c r="B3629" i="9"/>
  <c r="C3629" i="9"/>
  <c r="D3629" i="9"/>
  <c r="E3629" i="9"/>
  <c r="F3629" i="9"/>
  <c r="A3630" i="9"/>
  <c r="B3630" i="9"/>
  <c r="C3630" i="9"/>
  <c r="D3630" i="9"/>
  <c r="E3630" i="9"/>
  <c r="F3630" i="9"/>
  <c r="A3631" i="9"/>
  <c r="B3631" i="9"/>
  <c r="C3631" i="9"/>
  <c r="D3631" i="9"/>
  <c r="E3631" i="9"/>
  <c r="F3631" i="9"/>
  <c r="A3632" i="9"/>
  <c r="B3632" i="9"/>
  <c r="C3632" i="9"/>
  <c r="D3632" i="9"/>
  <c r="E3632" i="9"/>
  <c r="F3632" i="9"/>
  <c r="A3633" i="9"/>
  <c r="B3633" i="9"/>
  <c r="C3633" i="9"/>
  <c r="D3633" i="9"/>
  <c r="E3633" i="9"/>
  <c r="F3633" i="9"/>
  <c r="A3634" i="9"/>
  <c r="B3634" i="9"/>
  <c r="C3634" i="9"/>
  <c r="D3634" i="9"/>
  <c r="E3634" i="9"/>
  <c r="F3634" i="9"/>
  <c r="A3635" i="9"/>
  <c r="B3635" i="9"/>
  <c r="C3635" i="9"/>
  <c r="D3635" i="9"/>
  <c r="E3635" i="9"/>
  <c r="F3635" i="9"/>
  <c r="A3636" i="9"/>
  <c r="B3636" i="9"/>
  <c r="C3636" i="9"/>
  <c r="D3636" i="9"/>
  <c r="E3636" i="9"/>
  <c r="F3636" i="9"/>
  <c r="A3637" i="9"/>
  <c r="B3637" i="9"/>
  <c r="C3637" i="9"/>
  <c r="D3637" i="9"/>
  <c r="E3637" i="9"/>
  <c r="F3637" i="9"/>
  <c r="A3638" i="9"/>
  <c r="B3638" i="9"/>
  <c r="C3638" i="9"/>
  <c r="D3638" i="9"/>
  <c r="E3638" i="9"/>
  <c r="F3638" i="9"/>
  <c r="A3639" i="9"/>
  <c r="B3639" i="9"/>
  <c r="C3639" i="9"/>
  <c r="D3639" i="9"/>
  <c r="E3639" i="9"/>
  <c r="F3639" i="9"/>
  <c r="A3640" i="9"/>
  <c r="B3640" i="9"/>
  <c r="C3640" i="9"/>
  <c r="D3640" i="9"/>
  <c r="E3640" i="9"/>
  <c r="F3640" i="9"/>
  <c r="A3641" i="9"/>
  <c r="B3641" i="9"/>
  <c r="C3641" i="9"/>
  <c r="D3641" i="9"/>
  <c r="E3641" i="9"/>
  <c r="F3641" i="9"/>
  <c r="A3642" i="9"/>
  <c r="B3642" i="9"/>
  <c r="C3642" i="9"/>
  <c r="D3642" i="9"/>
  <c r="E3642" i="9"/>
  <c r="F3642" i="9"/>
  <c r="A3643" i="9"/>
  <c r="B3643" i="9"/>
  <c r="C3643" i="9"/>
  <c r="D3643" i="9"/>
  <c r="E3643" i="9"/>
  <c r="F3643" i="9"/>
  <c r="A3644" i="9"/>
  <c r="B3644" i="9"/>
  <c r="C3644" i="9"/>
  <c r="D3644" i="9"/>
  <c r="E3644" i="9"/>
  <c r="F3644" i="9"/>
  <c r="A3645" i="9"/>
  <c r="B3645" i="9"/>
  <c r="C3645" i="9"/>
  <c r="D3645" i="9"/>
  <c r="E3645" i="9"/>
  <c r="F3645" i="9"/>
  <c r="A3646" i="9"/>
  <c r="B3646" i="9"/>
  <c r="C3646" i="9"/>
  <c r="D3646" i="9"/>
  <c r="E3646" i="9"/>
  <c r="F3646" i="9"/>
  <c r="A3647" i="9"/>
  <c r="B3647" i="9"/>
  <c r="C3647" i="9"/>
  <c r="D3647" i="9"/>
  <c r="E3647" i="9"/>
  <c r="F3647" i="9"/>
  <c r="A3648" i="9"/>
  <c r="B3648" i="9"/>
  <c r="C3648" i="9"/>
  <c r="D3648" i="9"/>
  <c r="E3648" i="9"/>
  <c r="F3648" i="9"/>
  <c r="A3649" i="9"/>
  <c r="B3649" i="9"/>
  <c r="C3649" i="9"/>
  <c r="D3649" i="9"/>
  <c r="E3649" i="9"/>
  <c r="F3649" i="9"/>
  <c r="A3650" i="9"/>
  <c r="B3650" i="9"/>
  <c r="C3650" i="9"/>
  <c r="D3650" i="9"/>
  <c r="E3650" i="9"/>
  <c r="F3650" i="9"/>
  <c r="A3651" i="9"/>
  <c r="B3651" i="9"/>
  <c r="C3651" i="9"/>
  <c r="D3651" i="9"/>
  <c r="E3651" i="9"/>
  <c r="F3651" i="9"/>
  <c r="A3652" i="9"/>
  <c r="B3652" i="9"/>
  <c r="C3652" i="9"/>
  <c r="D3652" i="9"/>
  <c r="E3652" i="9"/>
  <c r="F3652" i="9"/>
  <c r="A3653" i="9"/>
  <c r="B3653" i="9"/>
  <c r="C3653" i="9"/>
  <c r="D3653" i="9"/>
  <c r="E3653" i="9"/>
  <c r="F3653" i="9"/>
  <c r="A3654" i="9"/>
  <c r="B3654" i="9"/>
  <c r="C3654" i="9"/>
  <c r="D3654" i="9"/>
  <c r="E3654" i="9"/>
  <c r="F3654" i="9"/>
  <c r="A3655" i="9"/>
  <c r="B3655" i="9"/>
  <c r="C3655" i="9"/>
  <c r="D3655" i="9"/>
  <c r="E3655" i="9"/>
  <c r="F3655" i="9"/>
  <c r="A3656" i="9"/>
  <c r="B3656" i="9"/>
  <c r="C3656" i="9"/>
  <c r="D3656" i="9"/>
  <c r="E3656" i="9"/>
  <c r="F3656" i="9"/>
  <c r="A3657" i="9"/>
  <c r="B3657" i="9"/>
  <c r="C3657" i="9"/>
  <c r="D3657" i="9"/>
  <c r="E3657" i="9"/>
  <c r="F3657" i="9"/>
  <c r="A3658" i="9"/>
  <c r="B3658" i="9"/>
  <c r="C3658" i="9"/>
  <c r="D3658" i="9"/>
  <c r="E3658" i="9"/>
  <c r="F3658" i="9"/>
  <c r="A3659" i="9"/>
  <c r="B3659" i="9"/>
  <c r="C3659" i="9"/>
  <c r="D3659" i="9"/>
  <c r="E3659" i="9"/>
  <c r="F3659" i="9"/>
  <c r="A3660" i="9"/>
  <c r="B3660" i="9"/>
  <c r="C3660" i="9"/>
  <c r="D3660" i="9"/>
  <c r="E3660" i="9"/>
  <c r="F3660" i="9"/>
  <c r="A3661" i="9"/>
  <c r="B3661" i="9"/>
  <c r="C3661" i="9"/>
  <c r="D3661" i="9"/>
  <c r="E3661" i="9"/>
  <c r="F3661" i="9"/>
  <c r="A3662" i="9"/>
  <c r="B3662" i="9"/>
  <c r="C3662" i="9"/>
  <c r="D3662" i="9"/>
  <c r="E3662" i="9"/>
  <c r="F3662" i="9"/>
  <c r="A3663" i="9"/>
  <c r="B3663" i="9"/>
  <c r="C3663" i="9"/>
  <c r="D3663" i="9"/>
  <c r="E3663" i="9"/>
  <c r="F3663" i="9"/>
  <c r="A3664" i="9"/>
  <c r="B3664" i="9"/>
  <c r="C3664" i="9"/>
  <c r="D3664" i="9"/>
  <c r="E3664" i="9"/>
  <c r="F3664" i="9"/>
  <c r="A3665" i="9"/>
  <c r="B3665" i="9"/>
  <c r="C3665" i="9"/>
  <c r="D3665" i="9"/>
  <c r="E3665" i="9"/>
  <c r="F3665" i="9"/>
  <c r="A3666" i="9"/>
  <c r="B3666" i="9"/>
  <c r="C3666" i="9"/>
  <c r="D3666" i="9"/>
  <c r="E3666" i="9"/>
  <c r="F3666" i="9"/>
  <c r="A3667" i="9"/>
  <c r="B3667" i="9"/>
  <c r="C3667" i="9"/>
  <c r="D3667" i="9"/>
  <c r="E3667" i="9"/>
  <c r="F3667" i="9"/>
  <c r="A3668" i="9"/>
  <c r="B3668" i="9"/>
  <c r="C3668" i="9"/>
  <c r="D3668" i="9"/>
  <c r="E3668" i="9"/>
  <c r="F3668" i="9"/>
  <c r="A3669" i="9"/>
  <c r="B3669" i="9"/>
  <c r="C3669" i="9"/>
  <c r="D3669" i="9"/>
  <c r="E3669" i="9"/>
  <c r="F3669" i="9"/>
  <c r="A3670" i="9"/>
  <c r="B3670" i="9"/>
  <c r="C3670" i="9"/>
  <c r="D3670" i="9"/>
  <c r="E3670" i="9"/>
  <c r="F3670" i="9"/>
  <c r="A3671" i="9"/>
  <c r="B3671" i="9"/>
  <c r="C3671" i="9"/>
  <c r="D3671" i="9"/>
  <c r="E3671" i="9"/>
  <c r="F3671" i="9"/>
  <c r="A3672" i="9"/>
  <c r="B3672" i="9"/>
  <c r="C3672" i="9"/>
  <c r="D3672" i="9"/>
  <c r="E3672" i="9"/>
  <c r="F3672" i="9"/>
  <c r="A3673" i="9"/>
  <c r="B3673" i="9"/>
  <c r="C3673" i="9"/>
  <c r="D3673" i="9"/>
  <c r="E3673" i="9"/>
  <c r="F3673" i="9"/>
  <c r="A3674" i="9"/>
  <c r="B3674" i="9"/>
  <c r="C3674" i="9"/>
  <c r="D3674" i="9"/>
  <c r="E3674" i="9"/>
  <c r="F3674" i="9"/>
  <c r="A3675" i="9"/>
  <c r="B3675" i="9"/>
  <c r="C3675" i="9"/>
  <c r="D3675" i="9"/>
  <c r="E3675" i="9"/>
  <c r="F3675" i="9"/>
  <c r="A3676" i="9"/>
  <c r="B3676" i="9"/>
  <c r="C3676" i="9"/>
  <c r="D3676" i="9"/>
  <c r="E3676" i="9"/>
  <c r="F3676" i="9"/>
  <c r="A3677" i="9"/>
  <c r="B3677" i="9"/>
  <c r="C3677" i="9"/>
  <c r="D3677" i="9"/>
  <c r="E3677" i="9"/>
  <c r="F3677" i="9"/>
  <c r="A3678" i="9"/>
  <c r="B3678" i="9"/>
  <c r="C3678" i="9"/>
  <c r="D3678" i="9"/>
  <c r="E3678" i="9"/>
  <c r="F3678" i="9"/>
  <c r="A3679" i="9"/>
  <c r="B3679" i="9"/>
  <c r="C3679" i="9"/>
  <c r="D3679" i="9"/>
  <c r="E3679" i="9"/>
  <c r="F3679" i="9"/>
  <c r="A3680" i="9"/>
  <c r="B3680" i="9"/>
  <c r="C3680" i="9"/>
  <c r="D3680" i="9"/>
  <c r="E3680" i="9"/>
  <c r="F3680" i="9"/>
  <c r="A3681" i="9"/>
  <c r="B3681" i="9"/>
  <c r="C3681" i="9"/>
  <c r="D3681" i="9"/>
  <c r="E3681" i="9"/>
  <c r="F3681" i="9"/>
  <c r="A3682" i="9"/>
  <c r="B3682" i="9"/>
  <c r="C3682" i="9"/>
  <c r="D3682" i="9"/>
  <c r="E3682" i="9"/>
  <c r="F3682" i="9"/>
  <c r="A3683" i="9"/>
  <c r="B3683" i="9"/>
  <c r="C3683" i="9"/>
  <c r="D3683" i="9"/>
  <c r="E3683" i="9"/>
  <c r="F3683" i="9"/>
  <c r="A3684" i="9"/>
  <c r="B3684" i="9"/>
  <c r="C3684" i="9"/>
  <c r="D3684" i="9"/>
  <c r="E3684" i="9"/>
  <c r="F3684" i="9"/>
  <c r="A3685" i="9"/>
  <c r="B3685" i="9"/>
  <c r="C3685" i="9"/>
  <c r="D3685" i="9"/>
  <c r="E3685" i="9"/>
  <c r="F3685" i="9"/>
  <c r="A3686" i="9"/>
  <c r="B3686" i="9"/>
  <c r="C3686" i="9"/>
  <c r="D3686" i="9"/>
  <c r="E3686" i="9"/>
  <c r="F3686" i="9"/>
  <c r="A3687" i="9"/>
  <c r="B3687" i="9"/>
  <c r="C3687" i="9"/>
  <c r="D3687" i="9"/>
  <c r="E3687" i="9"/>
  <c r="F3687" i="9"/>
  <c r="A3688" i="9"/>
  <c r="B3688" i="9"/>
  <c r="C3688" i="9"/>
  <c r="D3688" i="9"/>
  <c r="E3688" i="9"/>
  <c r="F3688" i="9"/>
  <c r="A3689" i="9"/>
  <c r="B3689" i="9"/>
  <c r="C3689" i="9"/>
  <c r="D3689" i="9"/>
  <c r="E3689" i="9"/>
  <c r="F3689" i="9"/>
  <c r="A3690" i="9"/>
  <c r="B3690" i="9"/>
  <c r="C3690" i="9"/>
  <c r="D3690" i="9"/>
  <c r="E3690" i="9"/>
  <c r="F3690" i="9"/>
  <c r="A3691" i="9"/>
  <c r="B3691" i="9"/>
  <c r="C3691" i="9"/>
  <c r="D3691" i="9"/>
  <c r="E3691" i="9"/>
  <c r="F3691" i="9"/>
  <c r="A3692" i="9"/>
  <c r="B3692" i="9"/>
  <c r="C3692" i="9"/>
  <c r="D3692" i="9"/>
  <c r="E3692" i="9"/>
  <c r="F3692" i="9"/>
  <c r="A3693" i="9"/>
  <c r="B3693" i="9"/>
  <c r="C3693" i="9"/>
  <c r="D3693" i="9"/>
  <c r="E3693" i="9"/>
  <c r="F3693" i="9"/>
  <c r="A3694" i="9"/>
  <c r="B3694" i="9"/>
  <c r="C3694" i="9"/>
  <c r="D3694" i="9"/>
  <c r="E3694" i="9"/>
  <c r="F3694" i="9"/>
  <c r="A3695" i="9"/>
  <c r="B3695" i="9"/>
  <c r="C3695" i="9"/>
  <c r="D3695" i="9"/>
  <c r="E3695" i="9"/>
  <c r="F3695" i="9"/>
  <c r="A3696" i="9"/>
  <c r="B3696" i="9"/>
  <c r="C3696" i="9"/>
  <c r="D3696" i="9"/>
  <c r="E3696" i="9"/>
  <c r="F3696" i="9"/>
  <c r="A3697" i="9"/>
  <c r="B3697" i="9"/>
  <c r="C3697" i="9"/>
  <c r="D3697" i="9"/>
  <c r="E3697" i="9"/>
  <c r="F3697" i="9"/>
  <c r="A3698" i="9"/>
  <c r="B3698" i="9"/>
  <c r="C3698" i="9"/>
  <c r="D3698" i="9"/>
  <c r="E3698" i="9"/>
  <c r="F3698" i="9"/>
  <c r="A3699" i="9"/>
  <c r="B3699" i="9"/>
  <c r="C3699" i="9"/>
  <c r="D3699" i="9"/>
  <c r="E3699" i="9"/>
  <c r="F3699" i="9"/>
  <c r="A3700" i="9"/>
  <c r="B3700" i="9"/>
  <c r="C3700" i="9"/>
  <c r="D3700" i="9"/>
  <c r="E3700" i="9"/>
  <c r="F3700" i="9"/>
  <c r="A3701" i="9"/>
  <c r="B3701" i="9"/>
  <c r="C3701" i="9"/>
  <c r="D3701" i="9"/>
  <c r="E3701" i="9"/>
  <c r="F3701" i="9"/>
  <c r="A3702" i="9"/>
  <c r="B3702" i="9"/>
  <c r="C3702" i="9"/>
  <c r="D3702" i="9"/>
  <c r="E3702" i="9"/>
  <c r="F3702" i="9"/>
  <c r="A3703" i="9"/>
  <c r="B3703" i="9"/>
  <c r="C3703" i="9"/>
  <c r="D3703" i="9"/>
  <c r="E3703" i="9"/>
  <c r="F3703" i="9"/>
  <c r="A3704" i="9"/>
  <c r="B3704" i="9"/>
  <c r="C3704" i="9"/>
  <c r="D3704" i="9"/>
  <c r="E3704" i="9"/>
  <c r="F3704" i="9"/>
  <c r="A3705" i="9"/>
  <c r="B3705" i="9"/>
  <c r="C3705" i="9"/>
  <c r="D3705" i="9"/>
  <c r="E3705" i="9"/>
  <c r="F3705" i="9"/>
  <c r="A3706" i="9"/>
  <c r="B3706" i="9"/>
  <c r="C3706" i="9"/>
  <c r="D3706" i="9"/>
  <c r="E3706" i="9"/>
  <c r="F3706" i="9"/>
  <c r="A3707" i="9"/>
  <c r="B3707" i="9"/>
  <c r="C3707" i="9"/>
  <c r="D3707" i="9"/>
  <c r="E3707" i="9"/>
  <c r="F3707" i="9"/>
  <c r="A3708" i="9"/>
  <c r="B3708" i="9"/>
  <c r="C3708" i="9"/>
  <c r="D3708" i="9"/>
  <c r="E3708" i="9"/>
  <c r="F3708" i="9"/>
  <c r="A3709" i="9"/>
  <c r="B3709" i="9"/>
  <c r="C3709" i="9"/>
  <c r="D3709" i="9"/>
  <c r="E3709" i="9"/>
  <c r="F3709" i="9"/>
  <c r="A3710" i="9"/>
  <c r="B3710" i="9"/>
  <c r="C3710" i="9"/>
  <c r="D3710" i="9"/>
  <c r="E3710" i="9"/>
  <c r="F3710" i="9"/>
  <c r="A3711" i="9"/>
  <c r="B3711" i="9"/>
  <c r="C3711" i="9"/>
  <c r="D3711" i="9"/>
  <c r="E3711" i="9"/>
  <c r="F3711" i="9"/>
  <c r="A3712" i="9"/>
  <c r="B3712" i="9"/>
  <c r="C3712" i="9"/>
  <c r="D3712" i="9"/>
  <c r="E3712" i="9"/>
  <c r="F3712" i="9"/>
  <c r="A3713" i="9"/>
  <c r="B3713" i="9"/>
  <c r="C3713" i="9"/>
  <c r="D3713" i="9"/>
  <c r="E3713" i="9"/>
  <c r="F3713" i="9"/>
  <c r="A3714" i="9"/>
  <c r="B3714" i="9"/>
  <c r="C3714" i="9"/>
  <c r="D3714" i="9"/>
  <c r="E3714" i="9"/>
  <c r="F3714" i="9"/>
  <c r="A3715" i="9"/>
  <c r="B3715" i="9"/>
  <c r="C3715" i="9"/>
  <c r="D3715" i="9"/>
  <c r="E3715" i="9"/>
  <c r="F3715" i="9"/>
  <c r="A3716" i="9"/>
  <c r="B3716" i="9"/>
  <c r="C3716" i="9"/>
  <c r="D3716" i="9"/>
  <c r="E3716" i="9"/>
  <c r="F3716" i="9"/>
  <c r="A3717" i="9"/>
  <c r="B3717" i="9"/>
  <c r="C3717" i="9"/>
  <c r="D3717" i="9"/>
  <c r="E3717" i="9"/>
  <c r="F3717" i="9"/>
  <c r="A3718" i="9"/>
  <c r="B3718" i="9"/>
  <c r="C3718" i="9"/>
  <c r="D3718" i="9"/>
  <c r="E3718" i="9"/>
  <c r="F3718" i="9"/>
  <c r="A3719" i="9"/>
  <c r="B3719" i="9"/>
  <c r="C3719" i="9"/>
  <c r="D3719" i="9"/>
  <c r="E3719" i="9"/>
  <c r="F3719" i="9"/>
  <c r="A3720" i="9"/>
  <c r="B3720" i="9"/>
  <c r="C3720" i="9"/>
  <c r="D3720" i="9"/>
  <c r="E3720" i="9"/>
  <c r="F3720" i="9"/>
  <c r="A3721" i="9"/>
  <c r="B3721" i="9"/>
  <c r="C3721" i="9"/>
  <c r="D3721" i="9"/>
  <c r="E3721" i="9"/>
  <c r="F3721" i="9"/>
  <c r="A3722" i="9"/>
  <c r="B3722" i="9"/>
  <c r="C3722" i="9"/>
  <c r="D3722" i="9"/>
  <c r="E3722" i="9"/>
  <c r="F3722" i="9"/>
  <c r="A3723" i="9"/>
  <c r="B3723" i="9"/>
  <c r="C3723" i="9"/>
  <c r="D3723" i="9"/>
  <c r="E3723" i="9"/>
  <c r="F3723" i="9"/>
  <c r="A3724" i="9"/>
  <c r="B3724" i="9"/>
  <c r="C3724" i="9"/>
  <c r="D3724" i="9"/>
  <c r="E3724" i="9"/>
  <c r="F3724" i="9"/>
  <c r="A3725" i="9"/>
  <c r="B3725" i="9"/>
  <c r="C3725" i="9"/>
  <c r="D3725" i="9"/>
  <c r="E3725" i="9"/>
  <c r="F3725" i="9"/>
  <c r="A3726" i="9"/>
  <c r="B3726" i="9"/>
  <c r="C3726" i="9"/>
  <c r="D3726" i="9"/>
  <c r="E3726" i="9"/>
  <c r="F3726" i="9"/>
  <c r="A3727" i="9"/>
  <c r="B3727" i="9"/>
  <c r="C3727" i="9"/>
  <c r="D3727" i="9"/>
  <c r="E3727" i="9"/>
  <c r="F3727" i="9"/>
  <c r="A3728" i="9"/>
  <c r="B3728" i="9"/>
  <c r="C3728" i="9"/>
  <c r="D3728" i="9"/>
  <c r="E3728" i="9"/>
  <c r="F3728" i="9"/>
  <c r="A3729" i="9"/>
  <c r="B3729" i="9"/>
  <c r="C3729" i="9"/>
  <c r="D3729" i="9"/>
  <c r="E3729" i="9"/>
  <c r="F3729" i="9"/>
  <c r="A3730" i="9"/>
  <c r="B3730" i="9"/>
  <c r="C3730" i="9"/>
  <c r="D3730" i="9"/>
  <c r="E3730" i="9"/>
  <c r="F3730" i="9"/>
  <c r="A3731" i="9"/>
  <c r="B3731" i="9"/>
  <c r="C3731" i="9"/>
  <c r="D3731" i="9"/>
  <c r="E3731" i="9"/>
  <c r="F3731" i="9"/>
  <c r="A3732" i="9"/>
  <c r="B3732" i="9"/>
  <c r="C3732" i="9"/>
  <c r="D3732" i="9"/>
  <c r="E3732" i="9"/>
  <c r="F3732" i="9"/>
  <c r="A3733" i="9"/>
  <c r="B3733" i="9"/>
  <c r="C3733" i="9"/>
  <c r="D3733" i="9"/>
  <c r="E3733" i="9"/>
  <c r="F3733" i="9"/>
  <c r="A3734" i="9"/>
  <c r="B3734" i="9"/>
  <c r="C3734" i="9"/>
  <c r="D3734" i="9"/>
  <c r="E3734" i="9"/>
  <c r="F3734" i="9"/>
  <c r="A3735" i="9"/>
  <c r="B3735" i="9"/>
  <c r="C3735" i="9"/>
  <c r="D3735" i="9"/>
  <c r="E3735" i="9"/>
  <c r="F3735" i="9"/>
  <c r="A3736" i="9"/>
  <c r="B3736" i="9"/>
  <c r="C3736" i="9"/>
  <c r="D3736" i="9"/>
  <c r="E3736" i="9"/>
  <c r="F3736" i="9"/>
  <c r="A3737" i="9"/>
  <c r="B3737" i="9"/>
  <c r="C3737" i="9"/>
  <c r="D3737" i="9"/>
  <c r="E3737" i="9"/>
  <c r="F3737" i="9"/>
  <c r="A3738" i="9"/>
  <c r="B3738" i="9"/>
  <c r="C3738" i="9"/>
  <c r="D3738" i="9"/>
  <c r="E3738" i="9"/>
  <c r="F3738" i="9"/>
  <c r="A3739" i="9"/>
  <c r="B3739" i="9"/>
  <c r="C3739" i="9"/>
  <c r="D3739" i="9"/>
  <c r="E3739" i="9"/>
  <c r="F3739" i="9"/>
  <c r="A3740" i="9"/>
  <c r="B3740" i="9"/>
  <c r="C3740" i="9"/>
  <c r="D3740" i="9"/>
  <c r="E3740" i="9"/>
  <c r="F3740" i="9"/>
  <c r="A3741" i="9"/>
  <c r="B3741" i="9"/>
  <c r="C3741" i="9"/>
  <c r="D3741" i="9"/>
  <c r="E3741" i="9"/>
  <c r="F3741" i="9"/>
  <c r="A3742" i="9"/>
  <c r="B3742" i="9"/>
  <c r="C3742" i="9"/>
  <c r="D3742" i="9"/>
  <c r="E3742" i="9"/>
  <c r="F3742" i="9"/>
  <c r="A3743" i="9"/>
  <c r="B3743" i="9"/>
  <c r="C3743" i="9"/>
  <c r="D3743" i="9"/>
  <c r="E3743" i="9"/>
  <c r="F3743" i="9"/>
  <c r="A3744" i="9"/>
  <c r="B3744" i="9"/>
  <c r="C3744" i="9"/>
  <c r="D3744" i="9"/>
  <c r="E3744" i="9"/>
  <c r="F3744" i="9"/>
  <c r="A3745" i="9"/>
  <c r="B3745" i="9"/>
  <c r="C3745" i="9"/>
  <c r="D3745" i="9"/>
  <c r="E3745" i="9"/>
  <c r="F3745" i="9"/>
  <c r="A3746" i="9"/>
  <c r="B3746" i="9"/>
  <c r="C3746" i="9"/>
  <c r="D3746" i="9"/>
  <c r="E3746" i="9"/>
  <c r="F3746" i="9"/>
  <c r="A3747" i="9"/>
  <c r="B3747" i="9"/>
  <c r="C3747" i="9"/>
  <c r="D3747" i="9"/>
  <c r="E3747" i="9"/>
  <c r="F3747" i="9"/>
  <c r="A3748" i="9"/>
  <c r="B3748" i="9"/>
  <c r="C3748" i="9"/>
  <c r="D3748" i="9"/>
  <c r="E3748" i="9"/>
  <c r="F3748" i="9"/>
  <c r="A3749" i="9"/>
  <c r="B3749" i="9"/>
  <c r="C3749" i="9"/>
  <c r="D3749" i="9"/>
  <c r="E3749" i="9"/>
  <c r="F3749" i="9"/>
  <c r="A3750" i="9"/>
  <c r="B3750" i="9"/>
  <c r="C3750" i="9"/>
  <c r="D3750" i="9"/>
  <c r="E3750" i="9"/>
  <c r="F3750" i="9"/>
  <c r="A3751" i="9"/>
  <c r="B3751" i="9"/>
  <c r="C3751" i="9"/>
  <c r="D3751" i="9"/>
  <c r="E3751" i="9"/>
  <c r="F3751" i="9"/>
  <c r="A3752" i="9"/>
  <c r="B3752" i="9"/>
  <c r="C3752" i="9"/>
  <c r="D3752" i="9"/>
  <c r="E3752" i="9"/>
  <c r="F3752" i="9"/>
  <c r="A3753" i="9"/>
  <c r="B3753" i="9"/>
  <c r="C3753" i="9"/>
  <c r="D3753" i="9"/>
  <c r="E3753" i="9"/>
  <c r="F3753" i="9"/>
  <c r="A3754" i="9"/>
  <c r="B3754" i="9"/>
  <c r="C3754" i="9"/>
  <c r="D3754" i="9"/>
  <c r="E3754" i="9"/>
  <c r="F3754" i="9"/>
  <c r="A3755" i="9"/>
  <c r="B3755" i="9"/>
  <c r="C3755" i="9"/>
  <c r="D3755" i="9"/>
  <c r="E3755" i="9"/>
  <c r="F3755" i="9"/>
  <c r="A3756" i="9"/>
  <c r="B3756" i="9"/>
  <c r="C3756" i="9"/>
  <c r="D3756" i="9"/>
  <c r="E3756" i="9"/>
  <c r="F3756" i="9"/>
  <c r="A3757" i="9"/>
  <c r="B3757" i="9"/>
  <c r="C3757" i="9"/>
  <c r="D3757" i="9"/>
  <c r="E3757" i="9"/>
  <c r="F3757" i="9"/>
  <c r="A3758" i="9"/>
  <c r="B3758" i="9"/>
  <c r="C3758" i="9"/>
  <c r="D3758" i="9"/>
  <c r="E3758" i="9"/>
  <c r="F3758" i="9"/>
  <c r="A3759" i="9"/>
  <c r="B3759" i="9"/>
  <c r="C3759" i="9"/>
  <c r="D3759" i="9"/>
  <c r="E3759" i="9"/>
  <c r="F3759" i="9"/>
  <c r="A3760" i="9"/>
  <c r="B3760" i="9"/>
  <c r="C3760" i="9"/>
  <c r="D3760" i="9"/>
  <c r="E3760" i="9"/>
  <c r="F3760" i="9"/>
  <c r="A3761" i="9"/>
  <c r="B3761" i="9"/>
  <c r="C3761" i="9"/>
  <c r="D3761" i="9"/>
  <c r="E3761" i="9"/>
  <c r="F3761" i="9"/>
  <c r="A3762" i="9"/>
  <c r="B3762" i="9"/>
  <c r="C3762" i="9"/>
  <c r="D3762" i="9"/>
  <c r="E3762" i="9"/>
  <c r="F3762" i="9"/>
  <c r="A3763" i="9"/>
  <c r="B3763" i="9"/>
  <c r="C3763" i="9"/>
  <c r="D3763" i="9"/>
  <c r="E3763" i="9"/>
  <c r="F3763" i="9"/>
  <c r="A3764" i="9"/>
  <c r="B3764" i="9"/>
  <c r="C3764" i="9"/>
  <c r="D3764" i="9"/>
  <c r="E3764" i="9"/>
  <c r="F3764" i="9"/>
  <c r="A3765" i="9"/>
  <c r="B3765" i="9"/>
  <c r="C3765" i="9"/>
  <c r="D3765" i="9"/>
  <c r="E3765" i="9"/>
  <c r="F3765" i="9"/>
  <c r="A3766" i="9"/>
  <c r="B3766" i="9"/>
  <c r="C3766" i="9"/>
  <c r="D3766" i="9"/>
  <c r="E3766" i="9"/>
  <c r="F3766" i="9"/>
  <c r="A3767" i="9"/>
  <c r="B3767" i="9"/>
  <c r="C3767" i="9"/>
  <c r="D3767" i="9"/>
  <c r="E3767" i="9"/>
  <c r="F3767" i="9"/>
  <c r="A3768" i="9"/>
  <c r="B3768" i="9"/>
  <c r="C3768" i="9"/>
  <c r="D3768" i="9"/>
  <c r="E3768" i="9"/>
  <c r="F3768" i="9"/>
  <c r="A3769" i="9"/>
  <c r="B3769" i="9"/>
  <c r="C3769" i="9"/>
  <c r="D3769" i="9"/>
  <c r="E3769" i="9"/>
  <c r="F3769" i="9"/>
  <c r="A3770" i="9"/>
  <c r="B3770" i="9"/>
  <c r="C3770" i="9"/>
  <c r="D3770" i="9"/>
  <c r="E3770" i="9"/>
  <c r="F3770" i="9"/>
  <c r="A3771" i="9"/>
  <c r="B3771" i="9"/>
  <c r="C3771" i="9"/>
  <c r="D3771" i="9"/>
  <c r="E3771" i="9"/>
  <c r="F3771" i="9"/>
  <c r="A3772" i="9"/>
  <c r="B3772" i="9"/>
  <c r="C3772" i="9"/>
  <c r="D3772" i="9"/>
  <c r="E3772" i="9"/>
  <c r="F3772" i="9"/>
  <c r="A3773" i="9"/>
  <c r="B3773" i="9"/>
  <c r="C3773" i="9"/>
  <c r="D3773" i="9"/>
  <c r="E3773" i="9"/>
  <c r="F3773" i="9"/>
  <c r="A3774" i="9"/>
  <c r="B3774" i="9"/>
  <c r="C3774" i="9"/>
  <c r="D3774" i="9"/>
  <c r="E3774" i="9"/>
  <c r="F3774" i="9"/>
  <c r="A3775" i="9"/>
  <c r="B3775" i="9"/>
  <c r="C3775" i="9"/>
  <c r="D3775" i="9"/>
  <c r="E3775" i="9"/>
  <c r="F3775" i="9"/>
  <c r="A3776" i="9"/>
  <c r="B3776" i="9"/>
  <c r="C3776" i="9"/>
  <c r="D3776" i="9"/>
  <c r="E3776" i="9"/>
  <c r="F3776" i="9"/>
  <c r="A3777" i="9"/>
  <c r="B3777" i="9"/>
  <c r="C3777" i="9"/>
  <c r="D3777" i="9"/>
  <c r="E3777" i="9"/>
  <c r="F3777" i="9"/>
  <c r="A3778" i="9"/>
  <c r="B3778" i="9"/>
  <c r="C3778" i="9"/>
  <c r="D3778" i="9"/>
  <c r="E3778" i="9"/>
  <c r="F3778" i="9"/>
  <c r="A3779" i="9"/>
  <c r="B3779" i="9"/>
  <c r="C3779" i="9"/>
  <c r="D3779" i="9"/>
  <c r="E3779" i="9"/>
  <c r="F3779" i="9"/>
  <c r="A3780" i="9"/>
  <c r="B3780" i="9"/>
  <c r="C3780" i="9"/>
  <c r="D3780" i="9"/>
  <c r="E3780" i="9"/>
  <c r="F3780" i="9"/>
  <c r="A3781" i="9"/>
  <c r="B3781" i="9"/>
  <c r="C3781" i="9"/>
  <c r="D3781" i="9"/>
  <c r="E3781" i="9"/>
  <c r="F3781" i="9"/>
  <c r="A3782" i="9"/>
  <c r="B3782" i="9"/>
  <c r="C3782" i="9"/>
  <c r="D3782" i="9"/>
  <c r="E3782" i="9"/>
  <c r="F3782" i="9"/>
  <c r="A3783" i="9"/>
  <c r="B3783" i="9"/>
  <c r="C3783" i="9"/>
  <c r="D3783" i="9"/>
  <c r="E3783" i="9"/>
  <c r="F3783" i="9"/>
  <c r="A3784" i="9"/>
  <c r="B3784" i="9"/>
  <c r="C3784" i="9"/>
  <c r="D3784" i="9"/>
  <c r="E3784" i="9"/>
  <c r="F3784" i="9"/>
  <c r="A3785" i="9"/>
  <c r="B3785" i="9"/>
  <c r="C3785" i="9"/>
  <c r="D3785" i="9"/>
  <c r="E3785" i="9"/>
  <c r="F3785" i="9"/>
  <c r="A3786" i="9"/>
  <c r="B3786" i="9"/>
  <c r="C3786" i="9"/>
  <c r="D3786" i="9"/>
  <c r="E3786" i="9"/>
  <c r="F3786" i="9"/>
  <c r="A3787" i="9"/>
  <c r="B3787" i="9"/>
  <c r="C3787" i="9"/>
  <c r="D3787" i="9"/>
  <c r="E3787" i="9"/>
  <c r="F3787" i="9"/>
  <c r="A3788" i="9"/>
  <c r="B3788" i="9"/>
  <c r="C3788" i="9"/>
  <c r="D3788" i="9"/>
  <c r="E3788" i="9"/>
  <c r="F3788" i="9"/>
  <c r="A3789" i="9"/>
  <c r="B3789" i="9"/>
  <c r="C3789" i="9"/>
  <c r="D3789" i="9"/>
  <c r="E3789" i="9"/>
  <c r="F3789" i="9"/>
  <c r="A3790" i="9"/>
  <c r="B3790" i="9"/>
  <c r="C3790" i="9"/>
  <c r="D3790" i="9"/>
  <c r="E3790" i="9"/>
  <c r="F3790" i="9"/>
  <c r="A3791" i="9"/>
  <c r="B3791" i="9"/>
  <c r="C3791" i="9"/>
  <c r="D3791" i="9"/>
  <c r="E3791" i="9"/>
  <c r="F3791" i="9"/>
  <c r="A3792" i="9"/>
  <c r="B3792" i="9"/>
  <c r="C3792" i="9"/>
  <c r="D3792" i="9"/>
  <c r="E3792" i="9"/>
  <c r="F3792" i="9"/>
  <c r="A3793" i="9"/>
  <c r="B3793" i="9"/>
  <c r="C3793" i="9"/>
  <c r="D3793" i="9"/>
  <c r="E3793" i="9"/>
  <c r="F3793" i="9"/>
  <c r="A3794" i="9"/>
  <c r="B3794" i="9"/>
  <c r="C3794" i="9"/>
  <c r="D3794" i="9"/>
  <c r="E3794" i="9"/>
  <c r="F3794" i="9"/>
  <c r="A3795" i="9"/>
  <c r="B3795" i="9"/>
  <c r="C3795" i="9"/>
  <c r="D3795" i="9"/>
  <c r="E3795" i="9"/>
  <c r="F3795" i="9"/>
  <c r="A3796" i="9"/>
  <c r="B3796" i="9"/>
  <c r="C3796" i="9"/>
  <c r="D3796" i="9"/>
  <c r="E3796" i="9"/>
  <c r="F3796" i="9"/>
  <c r="A3797" i="9"/>
  <c r="B3797" i="9"/>
  <c r="C3797" i="9"/>
  <c r="D3797" i="9"/>
  <c r="E3797" i="9"/>
  <c r="F3797" i="9"/>
  <c r="A3798" i="9"/>
  <c r="B3798" i="9"/>
  <c r="C3798" i="9"/>
  <c r="D3798" i="9"/>
  <c r="E3798" i="9"/>
  <c r="F3798" i="9"/>
  <c r="A3799" i="9"/>
  <c r="B3799" i="9"/>
  <c r="C3799" i="9"/>
  <c r="D3799" i="9"/>
  <c r="E3799" i="9"/>
  <c r="F3799" i="9"/>
  <c r="A3800" i="9"/>
  <c r="B3800" i="9"/>
  <c r="C3800" i="9"/>
  <c r="D3800" i="9"/>
  <c r="E3800" i="9"/>
  <c r="F3800" i="9"/>
  <c r="A3801" i="9"/>
  <c r="B3801" i="9"/>
  <c r="C3801" i="9"/>
  <c r="D3801" i="9"/>
  <c r="E3801" i="9"/>
  <c r="F3801" i="9"/>
  <c r="A3802" i="9"/>
  <c r="B3802" i="9"/>
  <c r="C3802" i="9"/>
  <c r="D3802" i="9"/>
  <c r="E3802" i="9"/>
  <c r="F3802" i="9"/>
  <c r="A3803" i="9"/>
  <c r="B3803" i="9"/>
  <c r="C3803" i="9"/>
  <c r="D3803" i="9"/>
  <c r="E3803" i="9"/>
  <c r="F3803" i="9"/>
  <c r="A3804" i="9"/>
  <c r="B3804" i="9"/>
  <c r="C3804" i="9"/>
  <c r="D3804" i="9"/>
  <c r="E3804" i="9"/>
  <c r="F3804" i="9"/>
  <c r="A3805" i="9"/>
  <c r="B3805" i="9"/>
  <c r="C3805" i="9"/>
  <c r="D3805" i="9"/>
  <c r="E3805" i="9"/>
  <c r="F3805" i="9"/>
  <c r="A3806" i="9"/>
  <c r="B3806" i="9"/>
  <c r="C3806" i="9"/>
  <c r="D3806" i="9"/>
  <c r="E3806" i="9"/>
  <c r="F3806" i="9"/>
  <c r="A3807" i="9"/>
  <c r="B3807" i="9"/>
  <c r="C3807" i="9"/>
  <c r="D3807" i="9"/>
  <c r="E3807" i="9"/>
  <c r="F3807" i="9"/>
  <c r="A3808" i="9"/>
  <c r="B3808" i="9"/>
  <c r="C3808" i="9"/>
  <c r="D3808" i="9"/>
  <c r="E3808" i="9"/>
  <c r="F3808" i="9"/>
  <c r="A3809" i="9"/>
  <c r="B3809" i="9"/>
  <c r="C3809" i="9"/>
  <c r="D3809" i="9"/>
  <c r="E3809" i="9"/>
  <c r="F3809" i="9"/>
  <c r="A3810" i="9"/>
  <c r="B3810" i="9"/>
  <c r="C3810" i="9"/>
  <c r="D3810" i="9"/>
  <c r="E3810" i="9"/>
  <c r="F3810" i="9"/>
  <c r="A3811" i="9"/>
  <c r="B3811" i="9"/>
  <c r="C3811" i="9"/>
  <c r="D3811" i="9"/>
  <c r="E3811" i="9"/>
  <c r="F3811" i="9"/>
  <c r="A3812" i="9"/>
  <c r="B3812" i="9"/>
  <c r="C3812" i="9"/>
  <c r="D3812" i="9"/>
  <c r="E3812" i="9"/>
  <c r="F3812" i="9"/>
  <c r="A3813" i="9"/>
  <c r="B3813" i="9"/>
  <c r="C3813" i="9"/>
  <c r="D3813" i="9"/>
  <c r="E3813" i="9"/>
  <c r="F3813" i="9"/>
  <c r="A3814" i="9"/>
  <c r="B3814" i="9"/>
  <c r="C3814" i="9"/>
  <c r="D3814" i="9"/>
  <c r="E3814" i="9"/>
  <c r="F3814" i="9"/>
  <c r="A3815" i="9"/>
  <c r="B3815" i="9"/>
  <c r="C3815" i="9"/>
  <c r="D3815" i="9"/>
  <c r="E3815" i="9"/>
  <c r="F3815" i="9"/>
  <c r="A3816" i="9"/>
  <c r="B3816" i="9"/>
  <c r="C3816" i="9"/>
  <c r="D3816" i="9"/>
  <c r="E3816" i="9"/>
  <c r="F3816" i="9"/>
  <c r="A3817" i="9"/>
  <c r="B3817" i="9"/>
  <c r="C3817" i="9"/>
  <c r="D3817" i="9"/>
  <c r="E3817" i="9"/>
  <c r="F3817" i="9"/>
  <c r="A3818" i="9"/>
  <c r="B3818" i="9"/>
  <c r="C3818" i="9"/>
  <c r="D3818" i="9"/>
  <c r="E3818" i="9"/>
  <c r="F3818" i="9"/>
  <c r="A3819" i="9"/>
  <c r="B3819" i="9"/>
  <c r="C3819" i="9"/>
  <c r="D3819" i="9"/>
  <c r="E3819" i="9"/>
  <c r="F3819" i="9"/>
  <c r="A3820" i="9"/>
  <c r="B3820" i="9"/>
  <c r="C3820" i="9"/>
  <c r="D3820" i="9"/>
  <c r="E3820" i="9"/>
  <c r="F3820" i="9"/>
  <c r="A3821" i="9"/>
  <c r="B3821" i="9"/>
  <c r="C3821" i="9"/>
  <c r="D3821" i="9"/>
  <c r="E3821" i="9"/>
  <c r="F3821" i="9"/>
  <c r="A3822" i="9"/>
  <c r="B3822" i="9"/>
  <c r="C3822" i="9"/>
  <c r="D3822" i="9"/>
  <c r="E3822" i="9"/>
  <c r="F3822" i="9"/>
  <c r="A3823" i="9"/>
  <c r="B3823" i="9"/>
  <c r="C3823" i="9"/>
  <c r="D3823" i="9"/>
  <c r="E3823" i="9"/>
  <c r="F3823" i="9"/>
  <c r="A3824" i="9"/>
  <c r="B3824" i="9"/>
  <c r="C3824" i="9"/>
  <c r="D3824" i="9"/>
  <c r="E3824" i="9"/>
  <c r="F3824" i="9"/>
  <c r="A3825" i="9"/>
  <c r="B3825" i="9"/>
  <c r="C3825" i="9"/>
  <c r="D3825" i="9"/>
  <c r="E3825" i="9"/>
  <c r="F3825" i="9"/>
  <c r="A3826" i="9"/>
  <c r="B3826" i="9"/>
  <c r="C3826" i="9"/>
  <c r="D3826" i="9"/>
  <c r="E3826" i="9"/>
  <c r="F3826" i="9"/>
  <c r="A3827" i="9"/>
  <c r="B3827" i="9"/>
  <c r="C3827" i="9"/>
  <c r="D3827" i="9"/>
  <c r="E3827" i="9"/>
  <c r="F3827" i="9"/>
  <c r="A3828" i="9"/>
  <c r="B3828" i="9"/>
  <c r="C3828" i="9"/>
  <c r="D3828" i="9"/>
  <c r="E3828" i="9"/>
  <c r="F3828" i="9"/>
  <c r="A3829" i="9"/>
  <c r="B3829" i="9"/>
  <c r="C3829" i="9"/>
  <c r="D3829" i="9"/>
  <c r="E3829" i="9"/>
  <c r="F3829" i="9"/>
  <c r="A3830" i="9"/>
  <c r="B3830" i="9"/>
  <c r="C3830" i="9"/>
  <c r="D3830" i="9"/>
  <c r="E3830" i="9"/>
  <c r="F3830" i="9"/>
  <c r="A3831" i="9"/>
  <c r="B3831" i="9"/>
  <c r="C3831" i="9"/>
  <c r="D3831" i="9"/>
  <c r="E3831" i="9"/>
  <c r="F3831" i="9"/>
  <c r="A3832" i="9"/>
  <c r="B3832" i="9"/>
  <c r="C3832" i="9"/>
  <c r="D3832" i="9"/>
  <c r="E3832" i="9"/>
  <c r="F3832" i="9"/>
  <c r="A3833" i="9"/>
  <c r="B3833" i="9"/>
  <c r="C3833" i="9"/>
  <c r="D3833" i="9"/>
  <c r="E3833" i="9"/>
  <c r="F3833" i="9"/>
  <c r="A3834" i="9"/>
  <c r="B3834" i="9"/>
  <c r="C3834" i="9"/>
  <c r="D3834" i="9"/>
  <c r="E3834" i="9"/>
  <c r="F3834" i="9"/>
  <c r="A3835" i="9"/>
  <c r="B3835" i="9"/>
  <c r="C3835" i="9"/>
  <c r="D3835" i="9"/>
  <c r="E3835" i="9"/>
  <c r="F3835" i="9"/>
  <c r="A3836" i="9"/>
  <c r="B3836" i="9"/>
  <c r="C3836" i="9"/>
  <c r="D3836" i="9"/>
  <c r="E3836" i="9"/>
  <c r="F3836" i="9"/>
  <c r="A3837" i="9"/>
  <c r="B3837" i="9"/>
  <c r="C3837" i="9"/>
  <c r="D3837" i="9"/>
  <c r="E3837" i="9"/>
  <c r="F3837" i="9"/>
  <c r="A3838" i="9"/>
  <c r="B3838" i="9"/>
  <c r="C3838" i="9"/>
  <c r="D3838" i="9"/>
  <c r="E3838" i="9"/>
  <c r="F3838" i="9"/>
  <c r="A3839" i="9"/>
  <c r="B3839" i="9"/>
  <c r="C3839" i="9"/>
  <c r="D3839" i="9"/>
  <c r="E3839" i="9"/>
  <c r="F3839" i="9"/>
  <c r="A3840" i="9"/>
  <c r="B3840" i="9"/>
  <c r="C3840" i="9"/>
  <c r="D3840" i="9"/>
  <c r="E3840" i="9"/>
  <c r="F3840" i="9"/>
  <c r="A3841" i="9"/>
  <c r="B3841" i="9"/>
  <c r="C3841" i="9"/>
  <c r="D3841" i="9"/>
  <c r="E3841" i="9"/>
  <c r="F3841" i="9"/>
  <c r="A3842" i="9"/>
  <c r="B3842" i="9"/>
  <c r="C3842" i="9"/>
  <c r="D3842" i="9"/>
  <c r="E3842" i="9"/>
  <c r="F3842" i="9"/>
  <c r="A3843" i="9"/>
  <c r="B3843" i="9"/>
  <c r="C3843" i="9"/>
  <c r="D3843" i="9"/>
  <c r="E3843" i="9"/>
  <c r="F3843" i="9"/>
  <c r="A3844" i="9"/>
  <c r="B3844" i="9"/>
  <c r="C3844" i="9"/>
  <c r="D3844" i="9"/>
  <c r="E3844" i="9"/>
  <c r="F3844" i="9"/>
  <c r="A3845" i="9"/>
  <c r="B3845" i="9"/>
  <c r="C3845" i="9"/>
  <c r="D3845" i="9"/>
  <c r="E3845" i="9"/>
  <c r="F3845" i="9"/>
  <c r="A3846" i="9"/>
  <c r="B3846" i="9"/>
  <c r="C3846" i="9"/>
  <c r="D3846" i="9"/>
  <c r="E3846" i="9"/>
  <c r="F3846" i="9"/>
  <c r="A3847" i="9"/>
  <c r="B3847" i="9"/>
  <c r="C3847" i="9"/>
  <c r="D3847" i="9"/>
  <c r="E3847" i="9"/>
  <c r="F3847" i="9"/>
  <c r="A3848" i="9"/>
  <c r="B3848" i="9"/>
  <c r="C3848" i="9"/>
  <c r="D3848" i="9"/>
  <c r="E3848" i="9"/>
  <c r="F3848" i="9"/>
  <c r="A3849" i="9"/>
  <c r="B3849" i="9"/>
  <c r="C3849" i="9"/>
  <c r="D3849" i="9"/>
  <c r="E3849" i="9"/>
  <c r="F3849" i="9"/>
  <c r="A3850" i="9"/>
  <c r="B3850" i="9"/>
  <c r="C3850" i="9"/>
  <c r="D3850" i="9"/>
  <c r="E3850" i="9"/>
  <c r="F3850" i="9"/>
  <c r="A3851" i="9"/>
  <c r="B3851" i="9"/>
  <c r="C3851" i="9"/>
  <c r="D3851" i="9"/>
  <c r="E3851" i="9"/>
  <c r="F3851" i="9"/>
  <c r="A3852" i="9"/>
  <c r="B3852" i="9"/>
  <c r="C3852" i="9"/>
  <c r="D3852" i="9"/>
  <c r="E3852" i="9"/>
  <c r="F3852" i="9"/>
  <c r="A3853" i="9"/>
  <c r="B3853" i="9"/>
  <c r="C3853" i="9"/>
  <c r="D3853" i="9"/>
  <c r="E3853" i="9"/>
  <c r="F3853" i="9"/>
  <c r="A3854" i="9"/>
  <c r="B3854" i="9"/>
  <c r="C3854" i="9"/>
  <c r="D3854" i="9"/>
  <c r="E3854" i="9"/>
  <c r="F3854" i="9"/>
  <c r="A3855" i="9"/>
  <c r="B3855" i="9"/>
  <c r="C3855" i="9"/>
  <c r="D3855" i="9"/>
  <c r="E3855" i="9"/>
  <c r="F3855" i="9"/>
  <c r="A3856" i="9"/>
  <c r="B3856" i="9"/>
  <c r="C3856" i="9"/>
  <c r="D3856" i="9"/>
  <c r="E3856" i="9"/>
  <c r="F3856" i="9"/>
  <c r="A3857" i="9"/>
  <c r="B3857" i="9"/>
  <c r="C3857" i="9"/>
  <c r="D3857" i="9"/>
  <c r="E3857" i="9"/>
  <c r="F3857" i="9"/>
  <c r="A3858" i="9"/>
  <c r="B3858" i="9"/>
  <c r="C3858" i="9"/>
  <c r="D3858" i="9"/>
  <c r="E3858" i="9"/>
  <c r="F3858" i="9"/>
  <c r="A3859" i="9"/>
  <c r="B3859" i="9"/>
  <c r="C3859" i="9"/>
  <c r="D3859" i="9"/>
  <c r="E3859" i="9"/>
  <c r="F3859" i="9"/>
  <c r="A3860" i="9"/>
  <c r="B3860" i="9"/>
  <c r="C3860" i="9"/>
  <c r="D3860" i="9"/>
  <c r="E3860" i="9"/>
  <c r="F3860" i="9"/>
  <c r="A3861" i="9"/>
  <c r="B3861" i="9"/>
  <c r="C3861" i="9"/>
  <c r="D3861" i="9"/>
  <c r="E3861" i="9"/>
  <c r="F3861" i="9"/>
  <c r="A3862" i="9"/>
  <c r="B3862" i="9"/>
  <c r="C3862" i="9"/>
  <c r="D3862" i="9"/>
  <c r="E3862" i="9"/>
  <c r="F3862" i="9"/>
  <c r="A3863" i="9"/>
  <c r="B3863" i="9"/>
  <c r="C3863" i="9"/>
  <c r="D3863" i="9"/>
  <c r="E3863" i="9"/>
  <c r="F3863" i="9"/>
  <c r="A3864" i="9"/>
  <c r="B3864" i="9"/>
  <c r="C3864" i="9"/>
  <c r="D3864" i="9"/>
  <c r="E3864" i="9"/>
  <c r="F3864" i="9"/>
  <c r="A3865" i="9"/>
  <c r="B3865" i="9"/>
  <c r="C3865" i="9"/>
  <c r="D3865" i="9"/>
  <c r="E3865" i="9"/>
  <c r="F3865" i="9"/>
  <c r="A3866" i="9"/>
  <c r="B3866" i="9"/>
  <c r="C3866" i="9"/>
  <c r="D3866" i="9"/>
  <c r="E3866" i="9"/>
  <c r="F3866" i="9"/>
  <c r="A3867" i="9"/>
  <c r="B3867" i="9"/>
  <c r="C3867" i="9"/>
  <c r="D3867" i="9"/>
  <c r="E3867" i="9"/>
  <c r="F3867" i="9"/>
  <c r="A3868" i="9"/>
  <c r="B3868" i="9"/>
  <c r="C3868" i="9"/>
  <c r="D3868" i="9"/>
  <c r="E3868" i="9"/>
  <c r="F3868" i="9"/>
  <c r="A3869" i="9"/>
  <c r="B3869" i="9"/>
  <c r="C3869" i="9"/>
  <c r="D3869" i="9"/>
  <c r="E3869" i="9"/>
  <c r="F3869" i="9"/>
  <c r="A3870" i="9"/>
  <c r="B3870" i="9"/>
  <c r="C3870" i="9"/>
  <c r="D3870" i="9"/>
  <c r="E3870" i="9"/>
  <c r="F3870" i="9"/>
  <c r="A3871" i="9"/>
  <c r="B3871" i="9"/>
  <c r="C3871" i="9"/>
  <c r="D3871" i="9"/>
  <c r="E3871" i="9"/>
  <c r="F3871" i="9"/>
  <c r="A3872" i="9"/>
  <c r="B3872" i="9"/>
  <c r="C3872" i="9"/>
  <c r="D3872" i="9"/>
  <c r="E3872" i="9"/>
  <c r="F3872" i="9"/>
  <c r="A3873" i="9"/>
  <c r="B3873" i="9"/>
  <c r="C3873" i="9"/>
  <c r="D3873" i="9"/>
  <c r="E3873" i="9"/>
  <c r="F3873" i="9"/>
  <c r="A3874" i="9"/>
  <c r="B3874" i="9"/>
  <c r="C3874" i="9"/>
  <c r="D3874" i="9"/>
  <c r="E3874" i="9"/>
  <c r="F3874" i="9"/>
  <c r="A3875" i="9"/>
  <c r="B3875" i="9"/>
  <c r="C3875" i="9"/>
  <c r="D3875" i="9"/>
  <c r="E3875" i="9"/>
  <c r="F3875" i="9"/>
  <c r="A3876" i="9"/>
  <c r="B3876" i="9"/>
  <c r="C3876" i="9"/>
  <c r="D3876" i="9"/>
  <c r="E3876" i="9"/>
  <c r="F3876" i="9"/>
  <c r="A3877" i="9"/>
  <c r="B3877" i="9"/>
  <c r="C3877" i="9"/>
  <c r="D3877" i="9"/>
  <c r="E3877" i="9"/>
  <c r="F3877" i="9"/>
  <c r="A3878" i="9"/>
  <c r="B3878" i="9"/>
  <c r="C3878" i="9"/>
  <c r="D3878" i="9"/>
  <c r="E3878" i="9"/>
  <c r="F3878" i="9"/>
  <c r="A3879" i="9"/>
  <c r="B3879" i="9"/>
  <c r="C3879" i="9"/>
  <c r="D3879" i="9"/>
  <c r="E3879" i="9"/>
  <c r="F3879" i="9"/>
  <c r="A3880" i="9"/>
  <c r="B3880" i="9"/>
  <c r="C3880" i="9"/>
  <c r="D3880" i="9"/>
  <c r="E3880" i="9"/>
  <c r="F3880" i="9"/>
  <c r="A3881" i="9"/>
  <c r="B3881" i="9"/>
  <c r="C3881" i="9"/>
  <c r="D3881" i="9"/>
  <c r="E3881" i="9"/>
  <c r="F3881" i="9"/>
  <c r="A3882" i="9"/>
  <c r="B3882" i="9"/>
  <c r="C3882" i="9"/>
  <c r="D3882" i="9"/>
  <c r="E3882" i="9"/>
  <c r="F3882" i="9"/>
  <c r="A3883" i="9"/>
  <c r="B3883" i="9"/>
  <c r="C3883" i="9"/>
  <c r="D3883" i="9"/>
  <c r="E3883" i="9"/>
  <c r="F3883" i="9"/>
  <c r="A3884" i="9"/>
  <c r="B3884" i="9"/>
  <c r="C3884" i="9"/>
  <c r="D3884" i="9"/>
  <c r="E3884" i="9"/>
  <c r="F3884" i="9"/>
  <c r="A3885" i="9"/>
  <c r="B3885" i="9"/>
  <c r="C3885" i="9"/>
  <c r="D3885" i="9"/>
  <c r="E3885" i="9"/>
  <c r="F3885" i="9"/>
  <c r="A3886" i="9"/>
  <c r="B3886" i="9"/>
  <c r="C3886" i="9"/>
  <c r="D3886" i="9"/>
  <c r="E3886" i="9"/>
  <c r="F3886" i="9"/>
  <c r="A3887" i="9"/>
  <c r="B3887" i="9"/>
  <c r="C3887" i="9"/>
  <c r="D3887" i="9"/>
  <c r="E3887" i="9"/>
  <c r="F3887" i="9"/>
  <c r="A3888" i="9"/>
  <c r="B3888" i="9"/>
  <c r="C3888" i="9"/>
  <c r="D3888" i="9"/>
  <c r="E3888" i="9"/>
  <c r="F3888" i="9"/>
  <c r="A3889" i="9"/>
  <c r="B3889" i="9"/>
  <c r="C3889" i="9"/>
  <c r="D3889" i="9"/>
  <c r="E3889" i="9"/>
  <c r="F3889" i="9"/>
  <c r="A3890" i="9"/>
  <c r="B3890" i="9"/>
  <c r="C3890" i="9"/>
  <c r="D3890" i="9"/>
  <c r="E3890" i="9"/>
  <c r="F3890" i="9"/>
  <c r="A3891" i="9"/>
  <c r="B3891" i="9"/>
  <c r="C3891" i="9"/>
  <c r="D3891" i="9"/>
  <c r="E3891" i="9"/>
  <c r="F3891" i="9"/>
  <c r="A3892" i="9"/>
  <c r="B3892" i="9"/>
  <c r="C3892" i="9"/>
  <c r="D3892" i="9"/>
  <c r="E3892" i="9"/>
  <c r="F3892" i="9"/>
  <c r="A3893" i="9"/>
  <c r="B3893" i="9"/>
  <c r="C3893" i="9"/>
  <c r="D3893" i="9"/>
  <c r="E3893" i="9"/>
  <c r="F3893" i="9"/>
  <c r="A3894" i="9"/>
  <c r="B3894" i="9"/>
  <c r="C3894" i="9"/>
  <c r="D3894" i="9"/>
  <c r="E3894" i="9"/>
  <c r="F3894" i="9"/>
  <c r="A3895" i="9"/>
  <c r="B3895" i="9"/>
  <c r="C3895" i="9"/>
  <c r="D3895" i="9"/>
  <c r="E3895" i="9"/>
  <c r="F3895" i="9"/>
  <c r="A3896" i="9"/>
  <c r="B3896" i="9"/>
  <c r="C3896" i="9"/>
  <c r="D3896" i="9"/>
  <c r="E3896" i="9"/>
  <c r="F3896" i="9"/>
  <c r="A3897" i="9"/>
  <c r="B3897" i="9"/>
  <c r="C3897" i="9"/>
  <c r="D3897" i="9"/>
  <c r="E3897" i="9"/>
  <c r="F3897" i="9"/>
  <c r="A3898" i="9"/>
  <c r="B3898" i="9"/>
  <c r="C3898" i="9"/>
  <c r="D3898" i="9"/>
  <c r="E3898" i="9"/>
  <c r="F3898" i="9"/>
  <c r="A3899" i="9"/>
  <c r="B3899" i="9"/>
  <c r="C3899" i="9"/>
  <c r="D3899" i="9"/>
  <c r="E3899" i="9"/>
  <c r="F3899" i="9"/>
  <c r="A3900" i="9"/>
  <c r="B3900" i="9"/>
  <c r="C3900" i="9"/>
  <c r="D3900" i="9"/>
  <c r="E3900" i="9"/>
  <c r="F3900" i="9"/>
  <c r="A3901" i="9"/>
  <c r="B3901" i="9"/>
  <c r="C3901" i="9"/>
  <c r="D3901" i="9"/>
  <c r="E3901" i="9"/>
  <c r="F3901" i="9"/>
  <c r="A3902" i="9"/>
  <c r="B3902" i="9"/>
  <c r="C3902" i="9"/>
  <c r="D3902" i="9"/>
  <c r="E3902" i="9"/>
  <c r="F3902" i="9"/>
  <c r="A3903" i="9"/>
  <c r="B3903" i="9"/>
  <c r="C3903" i="9"/>
  <c r="D3903" i="9"/>
  <c r="E3903" i="9"/>
  <c r="F3903" i="9"/>
  <c r="A3904" i="9"/>
  <c r="B3904" i="9"/>
  <c r="C3904" i="9"/>
  <c r="D3904" i="9"/>
  <c r="E3904" i="9"/>
  <c r="F3904" i="9"/>
  <c r="A3905" i="9"/>
  <c r="B3905" i="9"/>
  <c r="C3905" i="9"/>
  <c r="D3905" i="9"/>
  <c r="E3905" i="9"/>
  <c r="F3905" i="9"/>
  <c r="A3906" i="9"/>
  <c r="B3906" i="9"/>
  <c r="C3906" i="9"/>
  <c r="D3906" i="9"/>
  <c r="E3906" i="9"/>
  <c r="F3906" i="9"/>
  <c r="A3907" i="9"/>
  <c r="B3907" i="9"/>
  <c r="C3907" i="9"/>
  <c r="D3907" i="9"/>
  <c r="E3907" i="9"/>
  <c r="F3907" i="9"/>
  <c r="A3908" i="9"/>
  <c r="B3908" i="9"/>
  <c r="C3908" i="9"/>
  <c r="D3908" i="9"/>
  <c r="E3908" i="9"/>
  <c r="F3908" i="9"/>
  <c r="A3909" i="9"/>
  <c r="B3909" i="9"/>
  <c r="C3909" i="9"/>
  <c r="D3909" i="9"/>
  <c r="E3909" i="9"/>
  <c r="F3909" i="9"/>
  <c r="A3910" i="9"/>
  <c r="B3910" i="9"/>
  <c r="C3910" i="9"/>
  <c r="D3910" i="9"/>
  <c r="E3910" i="9"/>
  <c r="F3910" i="9"/>
  <c r="A3911" i="9"/>
  <c r="B3911" i="9"/>
  <c r="C3911" i="9"/>
  <c r="D3911" i="9"/>
  <c r="E3911" i="9"/>
  <c r="F3911" i="9"/>
  <c r="A3912" i="9"/>
  <c r="B3912" i="9"/>
  <c r="C3912" i="9"/>
  <c r="D3912" i="9"/>
  <c r="E3912" i="9"/>
  <c r="F3912" i="9"/>
  <c r="A3913" i="9"/>
  <c r="B3913" i="9"/>
  <c r="C3913" i="9"/>
  <c r="D3913" i="9"/>
  <c r="E3913" i="9"/>
  <c r="F3913" i="9"/>
  <c r="A3914" i="9"/>
  <c r="B3914" i="9"/>
  <c r="C3914" i="9"/>
  <c r="D3914" i="9"/>
  <c r="E3914" i="9"/>
  <c r="F3914" i="9"/>
  <c r="A3915" i="9"/>
  <c r="B3915" i="9"/>
  <c r="C3915" i="9"/>
  <c r="D3915" i="9"/>
  <c r="E3915" i="9"/>
  <c r="F3915" i="9"/>
  <c r="A3916" i="9"/>
  <c r="B3916" i="9"/>
  <c r="C3916" i="9"/>
  <c r="D3916" i="9"/>
  <c r="E3916" i="9"/>
  <c r="F3916" i="9"/>
  <c r="A3917" i="9"/>
  <c r="B3917" i="9"/>
  <c r="C3917" i="9"/>
  <c r="D3917" i="9"/>
  <c r="E3917" i="9"/>
  <c r="F3917" i="9"/>
  <c r="A3918" i="9"/>
  <c r="B3918" i="9"/>
  <c r="C3918" i="9"/>
  <c r="D3918" i="9"/>
  <c r="E3918" i="9"/>
  <c r="F3918" i="9"/>
  <c r="A3919" i="9"/>
  <c r="B3919" i="9"/>
  <c r="C3919" i="9"/>
  <c r="D3919" i="9"/>
  <c r="E3919" i="9"/>
  <c r="F3919" i="9"/>
  <c r="A3920" i="9"/>
  <c r="B3920" i="9"/>
  <c r="C3920" i="9"/>
  <c r="D3920" i="9"/>
  <c r="E3920" i="9"/>
  <c r="F3920" i="9"/>
  <c r="A3921" i="9"/>
  <c r="B3921" i="9"/>
  <c r="C3921" i="9"/>
  <c r="D3921" i="9"/>
  <c r="E3921" i="9"/>
  <c r="F3921" i="9"/>
  <c r="A3922" i="9"/>
  <c r="B3922" i="9"/>
  <c r="C3922" i="9"/>
  <c r="D3922" i="9"/>
  <c r="E3922" i="9"/>
  <c r="F3922" i="9"/>
  <c r="A3923" i="9"/>
  <c r="B3923" i="9"/>
  <c r="C3923" i="9"/>
  <c r="D3923" i="9"/>
  <c r="E3923" i="9"/>
  <c r="F3923" i="9"/>
  <c r="A3924" i="9"/>
  <c r="B3924" i="9"/>
  <c r="C3924" i="9"/>
  <c r="D3924" i="9"/>
  <c r="E3924" i="9"/>
  <c r="F3924" i="9"/>
  <c r="A3925" i="9"/>
  <c r="B3925" i="9"/>
  <c r="C3925" i="9"/>
  <c r="D3925" i="9"/>
  <c r="E3925" i="9"/>
  <c r="F3925" i="9"/>
  <c r="A3926" i="9"/>
  <c r="B3926" i="9"/>
  <c r="C3926" i="9"/>
  <c r="D3926" i="9"/>
  <c r="E3926" i="9"/>
  <c r="F3926" i="9"/>
  <c r="A3927" i="9"/>
  <c r="B3927" i="9"/>
  <c r="C3927" i="9"/>
  <c r="D3927" i="9"/>
  <c r="E3927" i="9"/>
  <c r="F3927" i="9"/>
  <c r="A3928" i="9"/>
  <c r="B3928" i="9"/>
  <c r="C3928" i="9"/>
  <c r="D3928" i="9"/>
  <c r="E3928" i="9"/>
  <c r="F3928" i="9"/>
  <c r="A3929" i="9"/>
  <c r="B3929" i="9"/>
  <c r="C3929" i="9"/>
  <c r="D3929" i="9"/>
  <c r="E3929" i="9"/>
  <c r="F3929" i="9"/>
  <c r="A3930" i="9"/>
  <c r="B3930" i="9"/>
  <c r="C3930" i="9"/>
  <c r="D3930" i="9"/>
  <c r="E3930" i="9"/>
  <c r="F3930" i="9"/>
  <c r="A3931" i="9"/>
  <c r="B3931" i="9"/>
  <c r="C3931" i="9"/>
  <c r="D3931" i="9"/>
  <c r="E3931" i="9"/>
  <c r="F3931" i="9"/>
  <c r="A3932" i="9"/>
  <c r="B3932" i="9"/>
  <c r="C3932" i="9"/>
  <c r="D3932" i="9"/>
  <c r="E3932" i="9"/>
  <c r="F3932" i="9"/>
  <c r="A3933" i="9"/>
  <c r="B3933" i="9"/>
  <c r="C3933" i="9"/>
  <c r="D3933" i="9"/>
  <c r="E3933" i="9"/>
  <c r="F3933" i="9"/>
  <c r="A3934" i="9"/>
  <c r="B3934" i="9"/>
  <c r="C3934" i="9"/>
  <c r="D3934" i="9"/>
  <c r="E3934" i="9"/>
  <c r="F3934" i="9"/>
  <c r="A3935" i="9"/>
  <c r="B3935" i="9"/>
  <c r="C3935" i="9"/>
  <c r="D3935" i="9"/>
  <c r="E3935" i="9"/>
  <c r="F3935" i="9"/>
  <c r="A3936" i="9"/>
  <c r="B3936" i="9"/>
  <c r="C3936" i="9"/>
  <c r="D3936" i="9"/>
  <c r="E3936" i="9"/>
  <c r="F3936" i="9"/>
  <c r="A3937" i="9"/>
  <c r="B3937" i="9"/>
  <c r="C3937" i="9"/>
  <c r="D3937" i="9"/>
  <c r="E3937" i="9"/>
  <c r="F3937" i="9"/>
  <c r="A3938" i="9"/>
  <c r="B3938" i="9"/>
  <c r="C3938" i="9"/>
  <c r="D3938" i="9"/>
  <c r="E3938" i="9"/>
  <c r="F3938" i="9"/>
  <c r="A3939" i="9"/>
  <c r="B3939" i="9"/>
  <c r="C3939" i="9"/>
  <c r="D3939" i="9"/>
  <c r="E3939" i="9"/>
  <c r="F3939" i="9"/>
  <c r="A3940" i="9"/>
  <c r="B3940" i="9"/>
  <c r="C3940" i="9"/>
  <c r="D3940" i="9"/>
  <c r="E3940" i="9"/>
  <c r="F3940" i="9"/>
  <c r="A3941" i="9"/>
  <c r="B3941" i="9"/>
  <c r="C3941" i="9"/>
  <c r="D3941" i="9"/>
  <c r="E3941" i="9"/>
  <c r="F3941" i="9"/>
  <c r="A3942" i="9"/>
  <c r="B3942" i="9"/>
  <c r="C3942" i="9"/>
  <c r="D3942" i="9"/>
  <c r="E3942" i="9"/>
  <c r="F3942" i="9"/>
  <c r="A3943" i="9"/>
  <c r="B3943" i="9"/>
  <c r="C3943" i="9"/>
  <c r="D3943" i="9"/>
  <c r="E3943" i="9"/>
  <c r="F3943" i="9"/>
  <c r="A3944" i="9"/>
  <c r="B3944" i="9"/>
  <c r="C3944" i="9"/>
  <c r="D3944" i="9"/>
  <c r="E3944" i="9"/>
  <c r="F3944" i="9"/>
  <c r="A3945" i="9"/>
  <c r="B3945" i="9"/>
  <c r="C3945" i="9"/>
  <c r="D3945" i="9"/>
  <c r="E3945" i="9"/>
  <c r="F3945" i="9"/>
  <c r="A3946" i="9"/>
  <c r="B3946" i="9"/>
  <c r="C3946" i="9"/>
  <c r="D3946" i="9"/>
  <c r="E3946" i="9"/>
  <c r="F3946" i="9"/>
  <c r="A3947" i="9"/>
  <c r="B3947" i="9"/>
  <c r="C3947" i="9"/>
  <c r="D3947" i="9"/>
  <c r="E3947" i="9"/>
  <c r="F3947" i="9"/>
  <c r="A3948" i="9"/>
  <c r="B3948" i="9"/>
  <c r="C3948" i="9"/>
  <c r="D3948" i="9"/>
  <c r="E3948" i="9"/>
  <c r="F3948" i="9"/>
  <c r="A3949" i="9"/>
  <c r="B3949" i="9"/>
  <c r="C3949" i="9"/>
  <c r="D3949" i="9"/>
  <c r="E3949" i="9"/>
  <c r="F3949" i="9"/>
  <c r="A3950" i="9"/>
  <c r="B3950" i="9"/>
  <c r="C3950" i="9"/>
  <c r="D3950" i="9"/>
  <c r="E3950" i="9"/>
  <c r="F3950" i="9"/>
  <c r="A3951" i="9"/>
  <c r="B3951" i="9"/>
  <c r="C3951" i="9"/>
  <c r="D3951" i="9"/>
  <c r="E3951" i="9"/>
  <c r="F3951" i="9"/>
  <c r="A3952" i="9"/>
  <c r="B3952" i="9"/>
  <c r="C3952" i="9"/>
  <c r="D3952" i="9"/>
  <c r="E3952" i="9"/>
  <c r="F3952" i="9"/>
  <c r="A3953" i="9"/>
  <c r="B3953" i="9"/>
  <c r="C3953" i="9"/>
  <c r="D3953" i="9"/>
  <c r="E3953" i="9"/>
  <c r="F3953" i="9"/>
  <c r="A3954" i="9"/>
  <c r="B3954" i="9"/>
  <c r="C3954" i="9"/>
  <c r="D3954" i="9"/>
  <c r="E3954" i="9"/>
  <c r="F3954" i="9"/>
  <c r="A3955" i="9"/>
  <c r="B3955" i="9"/>
  <c r="C3955" i="9"/>
  <c r="D3955" i="9"/>
  <c r="E3955" i="9"/>
  <c r="F3955" i="9"/>
  <c r="A3956" i="9"/>
  <c r="B3956" i="9"/>
  <c r="C3956" i="9"/>
  <c r="D3956" i="9"/>
  <c r="E3956" i="9"/>
  <c r="F3956" i="9"/>
  <c r="A3957" i="9"/>
  <c r="B3957" i="9"/>
  <c r="C3957" i="9"/>
  <c r="D3957" i="9"/>
  <c r="E3957" i="9"/>
  <c r="F3957" i="9"/>
  <c r="A3958" i="9"/>
  <c r="B3958" i="9"/>
  <c r="C3958" i="9"/>
  <c r="D3958" i="9"/>
  <c r="E3958" i="9"/>
  <c r="F3958" i="9"/>
  <c r="A3959" i="9"/>
  <c r="B3959" i="9"/>
  <c r="C3959" i="9"/>
  <c r="D3959" i="9"/>
  <c r="E3959" i="9"/>
  <c r="F3959" i="9"/>
  <c r="A3960" i="9"/>
  <c r="B3960" i="9"/>
  <c r="C3960" i="9"/>
  <c r="D3960" i="9"/>
  <c r="E3960" i="9"/>
  <c r="F3960" i="9"/>
  <c r="A3961" i="9"/>
  <c r="B3961" i="9"/>
  <c r="C3961" i="9"/>
  <c r="D3961" i="9"/>
  <c r="E3961" i="9"/>
  <c r="F3961" i="9"/>
  <c r="A3962" i="9"/>
  <c r="B3962" i="9"/>
  <c r="C3962" i="9"/>
  <c r="D3962" i="9"/>
  <c r="E3962" i="9"/>
  <c r="F3962" i="9"/>
  <c r="A3963" i="9"/>
  <c r="B3963" i="9"/>
  <c r="C3963" i="9"/>
  <c r="D3963" i="9"/>
  <c r="E3963" i="9"/>
  <c r="F3963" i="9"/>
  <c r="A3964" i="9"/>
  <c r="B3964" i="9"/>
  <c r="C3964" i="9"/>
  <c r="D3964" i="9"/>
  <c r="E3964" i="9"/>
  <c r="F3964" i="9"/>
  <c r="A3965" i="9"/>
  <c r="B3965" i="9"/>
  <c r="C3965" i="9"/>
  <c r="D3965" i="9"/>
  <c r="E3965" i="9"/>
  <c r="F3965" i="9"/>
  <c r="A3966" i="9"/>
  <c r="B3966" i="9"/>
  <c r="C3966" i="9"/>
  <c r="D3966" i="9"/>
  <c r="E3966" i="9"/>
  <c r="F3966" i="9"/>
  <c r="A3967" i="9"/>
  <c r="B3967" i="9"/>
  <c r="C3967" i="9"/>
  <c r="D3967" i="9"/>
  <c r="E3967" i="9"/>
  <c r="F3967" i="9"/>
  <c r="A3968" i="9"/>
  <c r="B3968" i="9"/>
  <c r="C3968" i="9"/>
  <c r="D3968" i="9"/>
  <c r="E3968" i="9"/>
  <c r="F3968" i="9"/>
  <c r="A3969" i="9"/>
  <c r="B3969" i="9"/>
  <c r="C3969" i="9"/>
  <c r="D3969" i="9"/>
  <c r="E3969" i="9"/>
  <c r="F3969" i="9"/>
  <c r="A3970" i="9"/>
  <c r="B3970" i="9"/>
  <c r="C3970" i="9"/>
  <c r="D3970" i="9"/>
  <c r="E3970" i="9"/>
  <c r="F3970" i="9"/>
  <c r="A3971" i="9"/>
  <c r="B3971" i="9"/>
  <c r="C3971" i="9"/>
  <c r="D3971" i="9"/>
  <c r="E3971" i="9"/>
  <c r="F3971" i="9"/>
  <c r="A3972" i="9"/>
  <c r="B3972" i="9"/>
  <c r="C3972" i="9"/>
  <c r="D3972" i="9"/>
  <c r="E3972" i="9"/>
  <c r="F3972" i="9"/>
  <c r="A3973" i="9"/>
  <c r="B3973" i="9"/>
  <c r="C3973" i="9"/>
  <c r="D3973" i="9"/>
  <c r="E3973" i="9"/>
  <c r="F3973" i="9"/>
  <c r="A3974" i="9"/>
  <c r="B3974" i="9"/>
  <c r="C3974" i="9"/>
  <c r="D3974" i="9"/>
  <c r="E3974" i="9"/>
  <c r="F3974" i="9"/>
  <c r="A3975" i="9"/>
  <c r="B3975" i="9"/>
  <c r="C3975" i="9"/>
  <c r="D3975" i="9"/>
  <c r="E3975" i="9"/>
  <c r="F3975" i="9"/>
  <c r="A3976" i="9"/>
  <c r="B3976" i="9"/>
  <c r="C3976" i="9"/>
  <c r="D3976" i="9"/>
  <c r="E3976" i="9"/>
  <c r="F3976" i="9"/>
  <c r="A3977" i="9"/>
  <c r="B3977" i="9"/>
  <c r="C3977" i="9"/>
  <c r="D3977" i="9"/>
  <c r="E3977" i="9"/>
  <c r="F3977" i="9"/>
  <c r="A3978" i="9"/>
  <c r="B3978" i="9"/>
  <c r="C3978" i="9"/>
  <c r="D3978" i="9"/>
  <c r="E3978" i="9"/>
  <c r="F3978" i="9"/>
  <c r="A3979" i="9"/>
  <c r="B3979" i="9"/>
  <c r="C3979" i="9"/>
  <c r="D3979" i="9"/>
  <c r="E3979" i="9"/>
  <c r="F3979" i="9"/>
  <c r="A3980" i="9"/>
  <c r="B3980" i="9"/>
  <c r="C3980" i="9"/>
  <c r="D3980" i="9"/>
  <c r="E3980" i="9"/>
  <c r="F3980" i="9"/>
  <c r="A3981" i="9"/>
  <c r="B3981" i="9"/>
  <c r="C3981" i="9"/>
  <c r="D3981" i="9"/>
  <c r="E3981" i="9"/>
  <c r="F3981" i="9"/>
  <c r="A3982" i="9"/>
  <c r="B3982" i="9"/>
  <c r="C3982" i="9"/>
  <c r="D3982" i="9"/>
  <c r="E3982" i="9"/>
  <c r="F3982" i="9"/>
  <c r="A3983" i="9"/>
  <c r="B3983" i="9"/>
  <c r="C3983" i="9"/>
  <c r="D3983" i="9"/>
  <c r="E3983" i="9"/>
  <c r="F3983" i="9"/>
  <c r="A3984" i="9"/>
  <c r="B3984" i="9"/>
  <c r="C3984" i="9"/>
  <c r="D3984" i="9"/>
  <c r="E3984" i="9"/>
  <c r="F3984" i="9"/>
  <c r="A3985" i="9"/>
  <c r="B3985" i="9"/>
  <c r="C3985" i="9"/>
  <c r="D3985" i="9"/>
  <c r="E3985" i="9"/>
  <c r="F3985" i="9"/>
  <c r="A3986" i="9"/>
  <c r="B3986" i="9"/>
  <c r="C3986" i="9"/>
  <c r="D3986" i="9"/>
  <c r="E3986" i="9"/>
  <c r="F3986" i="9"/>
  <c r="A3987" i="9"/>
  <c r="B3987" i="9"/>
  <c r="C3987" i="9"/>
  <c r="D3987" i="9"/>
  <c r="E3987" i="9"/>
  <c r="F3987" i="9"/>
  <c r="A3988" i="9"/>
  <c r="B3988" i="9"/>
  <c r="C3988" i="9"/>
  <c r="D3988" i="9"/>
  <c r="E3988" i="9"/>
  <c r="F3988" i="9"/>
  <c r="A3989" i="9"/>
  <c r="B3989" i="9"/>
  <c r="C3989" i="9"/>
  <c r="D3989" i="9"/>
  <c r="E3989" i="9"/>
  <c r="F3989" i="9"/>
  <c r="A3990" i="9"/>
  <c r="B3990" i="9"/>
  <c r="C3990" i="9"/>
  <c r="D3990" i="9"/>
  <c r="E3990" i="9"/>
  <c r="F3990" i="9"/>
  <c r="A3991" i="9"/>
  <c r="B3991" i="9"/>
  <c r="C3991" i="9"/>
  <c r="D3991" i="9"/>
  <c r="E3991" i="9"/>
  <c r="F3991" i="9"/>
  <c r="A3992" i="9"/>
  <c r="B3992" i="9"/>
  <c r="C3992" i="9"/>
  <c r="D3992" i="9"/>
  <c r="E3992" i="9"/>
  <c r="F3992" i="9"/>
  <c r="A3993" i="9"/>
  <c r="B3993" i="9"/>
  <c r="C3993" i="9"/>
  <c r="D3993" i="9"/>
  <c r="E3993" i="9"/>
  <c r="F3993" i="9"/>
  <c r="A3994" i="9"/>
  <c r="B3994" i="9"/>
  <c r="C3994" i="9"/>
  <c r="D3994" i="9"/>
  <c r="E3994" i="9"/>
  <c r="F3994" i="9"/>
  <c r="A3995" i="9"/>
  <c r="B3995" i="9"/>
  <c r="C3995" i="9"/>
  <c r="D3995" i="9"/>
  <c r="E3995" i="9"/>
  <c r="F3995" i="9"/>
  <c r="A3996" i="9"/>
  <c r="B3996" i="9"/>
  <c r="C3996" i="9"/>
  <c r="D3996" i="9"/>
  <c r="E3996" i="9"/>
  <c r="F3996" i="9"/>
  <c r="A3997" i="9"/>
  <c r="B3997" i="9"/>
  <c r="C3997" i="9"/>
  <c r="D3997" i="9"/>
  <c r="E3997" i="9"/>
  <c r="F3997" i="9"/>
  <c r="A3998" i="9"/>
  <c r="B3998" i="9"/>
  <c r="C3998" i="9"/>
  <c r="D3998" i="9"/>
  <c r="E3998" i="9"/>
  <c r="F3998" i="9"/>
  <c r="A3999" i="9"/>
  <c r="B3999" i="9"/>
  <c r="C3999" i="9"/>
  <c r="D3999" i="9"/>
  <c r="E3999" i="9"/>
  <c r="F3999" i="9"/>
  <c r="A4000" i="9"/>
  <c r="B4000" i="9"/>
  <c r="C4000" i="9"/>
  <c r="D4000" i="9"/>
  <c r="E4000" i="9"/>
  <c r="F4000" i="9"/>
  <c r="A4001" i="9"/>
  <c r="B4001" i="9"/>
  <c r="C4001" i="9"/>
  <c r="D4001" i="9"/>
  <c r="E4001" i="9"/>
  <c r="F4001" i="9"/>
  <c r="A4002" i="9"/>
  <c r="B4002" i="9"/>
  <c r="C4002" i="9"/>
  <c r="D4002" i="9"/>
  <c r="E4002" i="9"/>
  <c r="F4002" i="9"/>
  <c r="A4003" i="9"/>
  <c r="B4003" i="9"/>
  <c r="C4003" i="9"/>
  <c r="D4003" i="9"/>
  <c r="E4003" i="9"/>
  <c r="F4003" i="9"/>
  <c r="A4004" i="9"/>
  <c r="B4004" i="9"/>
  <c r="C4004" i="9"/>
  <c r="D4004" i="9"/>
  <c r="E4004" i="9"/>
  <c r="F4004" i="9"/>
  <c r="A4005" i="9"/>
  <c r="B4005" i="9"/>
  <c r="C4005" i="9"/>
  <c r="D4005" i="9"/>
  <c r="E4005" i="9"/>
  <c r="F4005" i="9"/>
  <c r="A4006" i="9"/>
  <c r="B4006" i="9"/>
  <c r="C4006" i="9"/>
  <c r="D4006" i="9"/>
  <c r="E4006" i="9"/>
  <c r="F4006" i="9"/>
  <c r="A4007" i="9"/>
  <c r="B4007" i="9"/>
  <c r="C4007" i="9"/>
  <c r="D4007" i="9"/>
  <c r="E4007" i="9"/>
  <c r="F4007" i="9"/>
  <c r="A4008" i="9"/>
  <c r="B4008" i="9"/>
  <c r="C4008" i="9"/>
  <c r="D4008" i="9"/>
  <c r="E4008" i="9"/>
  <c r="F4008" i="9"/>
  <c r="A4009" i="9"/>
  <c r="B4009" i="9"/>
  <c r="C4009" i="9"/>
  <c r="D4009" i="9"/>
  <c r="E4009" i="9"/>
  <c r="F4009" i="9"/>
  <c r="A4010" i="9"/>
  <c r="B4010" i="9"/>
  <c r="C4010" i="9"/>
  <c r="D4010" i="9"/>
  <c r="E4010" i="9"/>
  <c r="F4010" i="9"/>
  <c r="A4011" i="9"/>
  <c r="B4011" i="9"/>
  <c r="C4011" i="9"/>
  <c r="D4011" i="9"/>
  <c r="E4011" i="9"/>
  <c r="F4011" i="9"/>
  <c r="A4012" i="9"/>
  <c r="B4012" i="9"/>
  <c r="C4012" i="9"/>
  <c r="D4012" i="9"/>
  <c r="E4012" i="9"/>
  <c r="F4012" i="9"/>
  <c r="A4013" i="9"/>
  <c r="B4013" i="9"/>
  <c r="C4013" i="9"/>
  <c r="D4013" i="9"/>
  <c r="E4013" i="9"/>
  <c r="F4013" i="9"/>
  <c r="A4014" i="9"/>
  <c r="B4014" i="9"/>
  <c r="C4014" i="9"/>
  <c r="D4014" i="9"/>
  <c r="E4014" i="9"/>
  <c r="F4014" i="9"/>
  <c r="A4015" i="9"/>
  <c r="B4015" i="9"/>
  <c r="C4015" i="9"/>
  <c r="D4015" i="9"/>
  <c r="E4015" i="9"/>
  <c r="F4015" i="9"/>
  <c r="A4016" i="9"/>
  <c r="B4016" i="9"/>
  <c r="C4016" i="9"/>
  <c r="D4016" i="9"/>
  <c r="E4016" i="9"/>
  <c r="F4016" i="9"/>
  <c r="A4017" i="9"/>
  <c r="B4017" i="9"/>
  <c r="C4017" i="9"/>
  <c r="D4017" i="9"/>
  <c r="E4017" i="9"/>
  <c r="F4017" i="9"/>
  <c r="A4018" i="9"/>
  <c r="B4018" i="9"/>
  <c r="C4018" i="9"/>
  <c r="D4018" i="9"/>
  <c r="E4018" i="9"/>
  <c r="F4018" i="9"/>
  <c r="A4019" i="9"/>
  <c r="B4019" i="9"/>
  <c r="C4019" i="9"/>
  <c r="D4019" i="9"/>
  <c r="E4019" i="9"/>
  <c r="F4019" i="9"/>
  <c r="A4020" i="9"/>
  <c r="B4020" i="9"/>
  <c r="C4020" i="9"/>
  <c r="D4020" i="9"/>
  <c r="E4020" i="9"/>
  <c r="F4020" i="9"/>
  <c r="A4021" i="9"/>
  <c r="B4021" i="9"/>
  <c r="C4021" i="9"/>
  <c r="D4021" i="9"/>
  <c r="E4021" i="9"/>
  <c r="F4021" i="9"/>
  <c r="A4022" i="9"/>
  <c r="B4022" i="9"/>
  <c r="C4022" i="9"/>
  <c r="D4022" i="9"/>
  <c r="E4022" i="9"/>
  <c r="F4022" i="9"/>
  <c r="A4023" i="9"/>
  <c r="B4023" i="9"/>
  <c r="C4023" i="9"/>
  <c r="D4023" i="9"/>
  <c r="E4023" i="9"/>
  <c r="F4023" i="9"/>
  <c r="A4024" i="9"/>
  <c r="B4024" i="9"/>
  <c r="C4024" i="9"/>
  <c r="D4024" i="9"/>
  <c r="E4024" i="9"/>
  <c r="F4024" i="9"/>
  <c r="A4025" i="9"/>
  <c r="B4025" i="9"/>
  <c r="C4025" i="9"/>
  <c r="D4025" i="9"/>
  <c r="E4025" i="9"/>
  <c r="F4025" i="9"/>
  <c r="A4026" i="9"/>
  <c r="B4026" i="9"/>
  <c r="C4026" i="9"/>
  <c r="D4026" i="9"/>
  <c r="E4026" i="9"/>
  <c r="F4026" i="9"/>
  <c r="A4027" i="9"/>
  <c r="B4027" i="9"/>
  <c r="C4027" i="9"/>
  <c r="D4027" i="9"/>
  <c r="E4027" i="9"/>
  <c r="F4027" i="9"/>
  <c r="A4028" i="9"/>
  <c r="B4028" i="9"/>
  <c r="C4028" i="9"/>
  <c r="D4028" i="9"/>
  <c r="E4028" i="9"/>
  <c r="F4028" i="9"/>
  <c r="A4029" i="9"/>
  <c r="B4029" i="9"/>
  <c r="C4029" i="9"/>
  <c r="D4029" i="9"/>
  <c r="E4029" i="9"/>
  <c r="F4029" i="9"/>
  <c r="A4030" i="9"/>
  <c r="B4030" i="9"/>
  <c r="C4030" i="9"/>
  <c r="D4030" i="9"/>
  <c r="E4030" i="9"/>
  <c r="F4030" i="9"/>
  <c r="A4031" i="9"/>
  <c r="B4031" i="9"/>
  <c r="C4031" i="9"/>
  <c r="D4031" i="9"/>
  <c r="E4031" i="9"/>
  <c r="F4031" i="9"/>
  <c r="A4032" i="9"/>
  <c r="B4032" i="9"/>
  <c r="C4032" i="9"/>
  <c r="D4032" i="9"/>
  <c r="E4032" i="9"/>
  <c r="F4032" i="9"/>
  <c r="A4033" i="9"/>
  <c r="B4033" i="9"/>
  <c r="C4033" i="9"/>
  <c r="D4033" i="9"/>
  <c r="E4033" i="9"/>
  <c r="F4033" i="9"/>
  <c r="A4034" i="9"/>
  <c r="B4034" i="9"/>
  <c r="C4034" i="9"/>
  <c r="D4034" i="9"/>
  <c r="E4034" i="9"/>
  <c r="F4034" i="9"/>
  <c r="A4035" i="9"/>
  <c r="B4035" i="9"/>
  <c r="C4035" i="9"/>
  <c r="D4035" i="9"/>
  <c r="E4035" i="9"/>
  <c r="F4035" i="9"/>
  <c r="A4036" i="9"/>
  <c r="B4036" i="9"/>
  <c r="C4036" i="9"/>
  <c r="D4036" i="9"/>
  <c r="E4036" i="9"/>
  <c r="F4036" i="9"/>
  <c r="A4037" i="9"/>
  <c r="B4037" i="9"/>
  <c r="C4037" i="9"/>
  <c r="D4037" i="9"/>
  <c r="E4037" i="9"/>
  <c r="F4037" i="9"/>
  <c r="A4038" i="9"/>
  <c r="B4038" i="9"/>
  <c r="C4038" i="9"/>
  <c r="D4038" i="9"/>
  <c r="E4038" i="9"/>
  <c r="F4038" i="9"/>
  <c r="A4039" i="9"/>
  <c r="B4039" i="9"/>
  <c r="C4039" i="9"/>
  <c r="D4039" i="9"/>
  <c r="E4039" i="9"/>
  <c r="F4039" i="9"/>
  <c r="A4040" i="9"/>
  <c r="B4040" i="9"/>
  <c r="C4040" i="9"/>
  <c r="D4040" i="9"/>
  <c r="E4040" i="9"/>
  <c r="F4040" i="9"/>
  <c r="A4041" i="9"/>
  <c r="B4041" i="9"/>
  <c r="C4041" i="9"/>
  <c r="D4041" i="9"/>
  <c r="E4041" i="9"/>
  <c r="F4041" i="9"/>
  <c r="A4042" i="9"/>
  <c r="B4042" i="9"/>
  <c r="C4042" i="9"/>
  <c r="D4042" i="9"/>
  <c r="E4042" i="9"/>
  <c r="F4042" i="9"/>
  <c r="A4043" i="9"/>
  <c r="B4043" i="9"/>
  <c r="C4043" i="9"/>
  <c r="D4043" i="9"/>
  <c r="E4043" i="9"/>
  <c r="F4043" i="9"/>
  <c r="A4044" i="9"/>
  <c r="B4044" i="9"/>
  <c r="C4044" i="9"/>
  <c r="D4044" i="9"/>
  <c r="E4044" i="9"/>
  <c r="F4044" i="9"/>
  <c r="A4045" i="9"/>
  <c r="B4045" i="9"/>
  <c r="C4045" i="9"/>
  <c r="D4045" i="9"/>
  <c r="E4045" i="9"/>
  <c r="F4045" i="9"/>
  <c r="A4046" i="9"/>
  <c r="B4046" i="9"/>
  <c r="C4046" i="9"/>
  <c r="D4046" i="9"/>
  <c r="E4046" i="9"/>
  <c r="F4046" i="9"/>
  <c r="A4047" i="9"/>
  <c r="B4047" i="9"/>
  <c r="C4047" i="9"/>
  <c r="D4047" i="9"/>
  <c r="E4047" i="9"/>
  <c r="F4047" i="9"/>
  <c r="A4048" i="9"/>
  <c r="B4048" i="9"/>
  <c r="C4048" i="9"/>
  <c r="D4048" i="9"/>
  <c r="E4048" i="9"/>
  <c r="F4048" i="9"/>
  <c r="A4049" i="9"/>
  <c r="B4049" i="9"/>
  <c r="C4049" i="9"/>
  <c r="D4049" i="9"/>
  <c r="E4049" i="9"/>
  <c r="F4049" i="9"/>
  <c r="A4050" i="9"/>
  <c r="B4050" i="9"/>
  <c r="C4050" i="9"/>
  <c r="D4050" i="9"/>
  <c r="E4050" i="9"/>
  <c r="F4050" i="9"/>
  <c r="A4051" i="9"/>
  <c r="B4051" i="9"/>
  <c r="C4051" i="9"/>
  <c r="D4051" i="9"/>
  <c r="E4051" i="9"/>
  <c r="F4051" i="9"/>
  <c r="A4052" i="9"/>
  <c r="B4052" i="9"/>
  <c r="C4052" i="9"/>
  <c r="D4052" i="9"/>
  <c r="E4052" i="9"/>
  <c r="F4052" i="9"/>
  <c r="A4053" i="9"/>
  <c r="B4053" i="9"/>
  <c r="C4053" i="9"/>
  <c r="D4053" i="9"/>
  <c r="E4053" i="9"/>
  <c r="F4053" i="9"/>
  <c r="A4054" i="9"/>
  <c r="B4054" i="9"/>
  <c r="C4054" i="9"/>
  <c r="D4054" i="9"/>
  <c r="E4054" i="9"/>
  <c r="F4054" i="9"/>
  <c r="A4055" i="9"/>
  <c r="B4055" i="9"/>
  <c r="C4055" i="9"/>
  <c r="D4055" i="9"/>
  <c r="E4055" i="9"/>
  <c r="F4055" i="9"/>
  <c r="A4056" i="9"/>
  <c r="B4056" i="9"/>
  <c r="C4056" i="9"/>
  <c r="D4056" i="9"/>
  <c r="E4056" i="9"/>
  <c r="F4056" i="9"/>
  <c r="A4057" i="9"/>
  <c r="B4057" i="9"/>
  <c r="C4057" i="9"/>
  <c r="D4057" i="9"/>
  <c r="E4057" i="9"/>
  <c r="F4057" i="9"/>
  <c r="A4058" i="9"/>
  <c r="B4058" i="9"/>
  <c r="C4058" i="9"/>
  <c r="D4058" i="9"/>
  <c r="E4058" i="9"/>
  <c r="F4058" i="9"/>
  <c r="A4059" i="9"/>
  <c r="B4059" i="9"/>
  <c r="C4059" i="9"/>
  <c r="D4059" i="9"/>
  <c r="E4059" i="9"/>
  <c r="F4059" i="9"/>
  <c r="A4060" i="9"/>
  <c r="B4060" i="9"/>
  <c r="C4060" i="9"/>
  <c r="D4060" i="9"/>
  <c r="E4060" i="9"/>
  <c r="F4060" i="9"/>
  <c r="A4061" i="9"/>
  <c r="B4061" i="9"/>
  <c r="C4061" i="9"/>
  <c r="D4061" i="9"/>
  <c r="E4061" i="9"/>
  <c r="F4061" i="9"/>
  <c r="A4062" i="9"/>
  <c r="B4062" i="9"/>
  <c r="C4062" i="9"/>
  <c r="D4062" i="9"/>
  <c r="E4062" i="9"/>
  <c r="F4062" i="9"/>
  <c r="A4063" i="9"/>
  <c r="B4063" i="9"/>
  <c r="C4063" i="9"/>
  <c r="D4063" i="9"/>
  <c r="E4063" i="9"/>
  <c r="F4063" i="9"/>
  <c r="A4064" i="9"/>
  <c r="B4064" i="9"/>
  <c r="C4064" i="9"/>
  <c r="D4064" i="9"/>
  <c r="E4064" i="9"/>
  <c r="F4064" i="9"/>
  <c r="A4065" i="9"/>
  <c r="B4065" i="9"/>
  <c r="C4065" i="9"/>
  <c r="D4065" i="9"/>
  <c r="E4065" i="9"/>
  <c r="F4065" i="9"/>
  <c r="A4066" i="9"/>
  <c r="B4066" i="9"/>
  <c r="C4066" i="9"/>
  <c r="D4066" i="9"/>
  <c r="E4066" i="9"/>
  <c r="F4066" i="9"/>
  <c r="A4067" i="9"/>
  <c r="B4067" i="9"/>
  <c r="C4067" i="9"/>
  <c r="D4067" i="9"/>
  <c r="E4067" i="9"/>
  <c r="F4067" i="9"/>
  <c r="A4068" i="9"/>
  <c r="B4068" i="9"/>
  <c r="C4068" i="9"/>
  <c r="D4068" i="9"/>
  <c r="E4068" i="9"/>
  <c r="F4068" i="9"/>
  <c r="A4069" i="9"/>
  <c r="B4069" i="9"/>
  <c r="C4069" i="9"/>
  <c r="D4069" i="9"/>
  <c r="E4069" i="9"/>
  <c r="F4069" i="9"/>
  <c r="A4070" i="9"/>
  <c r="B4070" i="9"/>
  <c r="C4070" i="9"/>
  <c r="D4070" i="9"/>
  <c r="E4070" i="9"/>
  <c r="F4070" i="9"/>
  <c r="A4071" i="9"/>
  <c r="B4071" i="9"/>
  <c r="C4071" i="9"/>
  <c r="D4071" i="9"/>
  <c r="E4071" i="9"/>
  <c r="F4071" i="9"/>
  <c r="A4072" i="9"/>
  <c r="B4072" i="9"/>
  <c r="C4072" i="9"/>
  <c r="D4072" i="9"/>
  <c r="E4072" i="9"/>
  <c r="F4072" i="9"/>
  <c r="A4073" i="9"/>
  <c r="B4073" i="9"/>
  <c r="C4073" i="9"/>
  <c r="D4073" i="9"/>
  <c r="E4073" i="9"/>
  <c r="F4073" i="9"/>
  <c r="A4074" i="9"/>
  <c r="B4074" i="9"/>
  <c r="C4074" i="9"/>
  <c r="D4074" i="9"/>
  <c r="E4074" i="9"/>
  <c r="F4074" i="9"/>
  <c r="A4075" i="9"/>
  <c r="B4075" i="9"/>
  <c r="C4075" i="9"/>
  <c r="D4075" i="9"/>
  <c r="E4075" i="9"/>
  <c r="F4075" i="9"/>
  <c r="A4076" i="9"/>
  <c r="B4076" i="9"/>
  <c r="C4076" i="9"/>
  <c r="D4076" i="9"/>
  <c r="E4076" i="9"/>
  <c r="F4076" i="9"/>
  <c r="A4077" i="9"/>
  <c r="B4077" i="9"/>
  <c r="C4077" i="9"/>
  <c r="D4077" i="9"/>
  <c r="E4077" i="9"/>
  <c r="F4077" i="9"/>
  <c r="A4078" i="9"/>
  <c r="B4078" i="9"/>
  <c r="C4078" i="9"/>
  <c r="D4078" i="9"/>
  <c r="E4078" i="9"/>
  <c r="F4078" i="9"/>
  <c r="A4079" i="9"/>
  <c r="B4079" i="9"/>
  <c r="C4079" i="9"/>
  <c r="D4079" i="9"/>
  <c r="E4079" i="9"/>
  <c r="F4079" i="9"/>
  <c r="A4080" i="9"/>
  <c r="B4080" i="9"/>
  <c r="C4080" i="9"/>
  <c r="D4080" i="9"/>
  <c r="E4080" i="9"/>
  <c r="F4080" i="9"/>
  <c r="A4081" i="9"/>
  <c r="B4081" i="9"/>
  <c r="C4081" i="9"/>
  <c r="D4081" i="9"/>
  <c r="E4081" i="9"/>
  <c r="F4081" i="9"/>
  <c r="A4082" i="9"/>
  <c r="B4082" i="9"/>
  <c r="C4082" i="9"/>
  <c r="D4082" i="9"/>
  <c r="E4082" i="9"/>
  <c r="F4082" i="9"/>
  <c r="A4083" i="9"/>
  <c r="B4083" i="9"/>
  <c r="C4083" i="9"/>
  <c r="D4083" i="9"/>
  <c r="E4083" i="9"/>
  <c r="F4083" i="9"/>
  <c r="A4084" i="9"/>
  <c r="B4084" i="9"/>
  <c r="C4084" i="9"/>
  <c r="D4084" i="9"/>
  <c r="E4084" i="9"/>
  <c r="F4084" i="9"/>
  <c r="A4085" i="9"/>
  <c r="B4085" i="9"/>
  <c r="C4085" i="9"/>
  <c r="D4085" i="9"/>
  <c r="E4085" i="9"/>
  <c r="F4085" i="9"/>
  <c r="A4086" i="9"/>
  <c r="B4086" i="9"/>
  <c r="C4086" i="9"/>
  <c r="D4086" i="9"/>
  <c r="E4086" i="9"/>
  <c r="F4086" i="9"/>
  <c r="A4087" i="9"/>
  <c r="B4087" i="9"/>
  <c r="C4087" i="9"/>
  <c r="D4087" i="9"/>
  <c r="E4087" i="9"/>
  <c r="F4087" i="9"/>
  <c r="A4088" i="9"/>
  <c r="B4088" i="9"/>
  <c r="C4088" i="9"/>
  <c r="D4088" i="9"/>
  <c r="E4088" i="9"/>
  <c r="F4088" i="9"/>
  <c r="A4089" i="9"/>
  <c r="B4089" i="9"/>
  <c r="C4089" i="9"/>
  <c r="D4089" i="9"/>
  <c r="E4089" i="9"/>
  <c r="F4089" i="9"/>
  <c r="A4090" i="9"/>
  <c r="B4090" i="9"/>
  <c r="C4090" i="9"/>
  <c r="D4090" i="9"/>
  <c r="E4090" i="9"/>
  <c r="F4090" i="9"/>
  <c r="A4091" i="9"/>
  <c r="B4091" i="9"/>
  <c r="C4091" i="9"/>
  <c r="D4091" i="9"/>
  <c r="E4091" i="9"/>
  <c r="F4091" i="9"/>
  <c r="A4092" i="9"/>
  <c r="B4092" i="9"/>
  <c r="C4092" i="9"/>
  <c r="D4092" i="9"/>
  <c r="E4092" i="9"/>
  <c r="F4092" i="9"/>
  <c r="A4093" i="9"/>
  <c r="B4093" i="9"/>
  <c r="C4093" i="9"/>
  <c r="D4093" i="9"/>
  <c r="E4093" i="9"/>
  <c r="F4093" i="9"/>
  <c r="A4094" i="9"/>
  <c r="B4094" i="9"/>
  <c r="C4094" i="9"/>
  <c r="D4094" i="9"/>
  <c r="E4094" i="9"/>
  <c r="F4094" i="9"/>
  <c r="A4095" i="9"/>
  <c r="B4095" i="9"/>
  <c r="C4095" i="9"/>
  <c r="D4095" i="9"/>
  <c r="E4095" i="9"/>
  <c r="F4095" i="9"/>
  <c r="A4096" i="9"/>
  <c r="B4096" i="9"/>
  <c r="C4096" i="9"/>
  <c r="D4096" i="9"/>
  <c r="E4096" i="9"/>
  <c r="F4096" i="9"/>
  <c r="A4097" i="9"/>
  <c r="B4097" i="9"/>
  <c r="C4097" i="9"/>
  <c r="D4097" i="9"/>
  <c r="E4097" i="9"/>
  <c r="F4097" i="9"/>
  <c r="A4098" i="9"/>
  <c r="B4098" i="9"/>
  <c r="C4098" i="9"/>
  <c r="D4098" i="9"/>
  <c r="E4098" i="9"/>
  <c r="F4098" i="9"/>
  <c r="A4099" i="9"/>
  <c r="B4099" i="9"/>
  <c r="C4099" i="9"/>
  <c r="D4099" i="9"/>
  <c r="E4099" i="9"/>
  <c r="F4099" i="9"/>
  <c r="A4100" i="9"/>
  <c r="B4100" i="9"/>
  <c r="C4100" i="9"/>
  <c r="D4100" i="9"/>
  <c r="E4100" i="9"/>
  <c r="F4100" i="9"/>
  <c r="A4101" i="9"/>
  <c r="B4101" i="9"/>
  <c r="C4101" i="9"/>
  <c r="D4101" i="9"/>
  <c r="E4101" i="9"/>
  <c r="F4101" i="9"/>
  <c r="A4102" i="9"/>
  <c r="B4102" i="9"/>
  <c r="C4102" i="9"/>
  <c r="D4102" i="9"/>
  <c r="E4102" i="9"/>
  <c r="F4102" i="9"/>
  <c r="A4103" i="9"/>
  <c r="B4103" i="9"/>
  <c r="C4103" i="9"/>
  <c r="D4103" i="9"/>
  <c r="E4103" i="9"/>
  <c r="F4103" i="9"/>
  <c r="A4104" i="9"/>
  <c r="B4104" i="9"/>
  <c r="C4104" i="9"/>
  <c r="D4104" i="9"/>
  <c r="E4104" i="9"/>
  <c r="F4104" i="9"/>
  <c r="A4105" i="9"/>
  <c r="B4105" i="9"/>
  <c r="C4105" i="9"/>
  <c r="D4105" i="9"/>
  <c r="E4105" i="9"/>
  <c r="F4105" i="9"/>
  <c r="A4106" i="9"/>
  <c r="B4106" i="9"/>
  <c r="C4106" i="9"/>
  <c r="D4106" i="9"/>
  <c r="E4106" i="9"/>
  <c r="F4106" i="9"/>
  <c r="A4107" i="9"/>
  <c r="B4107" i="9"/>
  <c r="C4107" i="9"/>
  <c r="D4107" i="9"/>
  <c r="E4107" i="9"/>
  <c r="F4107" i="9"/>
  <c r="A4108" i="9"/>
  <c r="B4108" i="9"/>
  <c r="C4108" i="9"/>
  <c r="D4108" i="9"/>
  <c r="E4108" i="9"/>
  <c r="F4108" i="9"/>
  <c r="A4109" i="9"/>
  <c r="B4109" i="9"/>
  <c r="C4109" i="9"/>
  <c r="D4109" i="9"/>
  <c r="E4109" i="9"/>
  <c r="F4109" i="9"/>
  <c r="A4110" i="9"/>
  <c r="B4110" i="9"/>
  <c r="C4110" i="9"/>
  <c r="D4110" i="9"/>
  <c r="E4110" i="9"/>
  <c r="F4110" i="9"/>
  <c r="A4111" i="9"/>
  <c r="B4111" i="9"/>
  <c r="C4111" i="9"/>
  <c r="D4111" i="9"/>
  <c r="E4111" i="9"/>
  <c r="F4111" i="9"/>
  <c r="A4112" i="9"/>
  <c r="B4112" i="9"/>
  <c r="C4112" i="9"/>
  <c r="D4112" i="9"/>
  <c r="E4112" i="9"/>
  <c r="F4112" i="9"/>
  <c r="A4113" i="9"/>
  <c r="B4113" i="9"/>
  <c r="C4113" i="9"/>
  <c r="D4113" i="9"/>
  <c r="E4113" i="9"/>
  <c r="F4113" i="9"/>
  <c r="A4114" i="9"/>
  <c r="B4114" i="9"/>
  <c r="C4114" i="9"/>
  <c r="D4114" i="9"/>
  <c r="E4114" i="9"/>
  <c r="F4114" i="9"/>
  <c r="A4115" i="9"/>
  <c r="B4115" i="9"/>
  <c r="C4115" i="9"/>
  <c r="D4115" i="9"/>
  <c r="E4115" i="9"/>
  <c r="F4115" i="9"/>
  <c r="A4116" i="9"/>
  <c r="B4116" i="9"/>
  <c r="C4116" i="9"/>
  <c r="D4116" i="9"/>
  <c r="E4116" i="9"/>
  <c r="F4116" i="9"/>
  <c r="A4117" i="9"/>
  <c r="B4117" i="9"/>
  <c r="C4117" i="9"/>
  <c r="D4117" i="9"/>
  <c r="E4117" i="9"/>
  <c r="F4117" i="9"/>
  <c r="A4118" i="9"/>
  <c r="B4118" i="9"/>
  <c r="C4118" i="9"/>
  <c r="D4118" i="9"/>
  <c r="E4118" i="9"/>
  <c r="F4118" i="9"/>
  <c r="A4119" i="9"/>
  <c r="B4119" i="9"/>
  <c r="C4119" i="9"/>
  <c r="D4119" i="9"/>
  <c r="E4119" i="9"/>
  <c r="F4119" i="9"/>
  <c r="A4120" i="9"/>
  <c r="B4120" i="9"/>
  <c r="C4120" i="9"/>
  <c r="D4120" i="9"/>
  <c r="E4120" i="9"/>
  <c r="F4120" i="9"/>
  <c r="A4121" i="9"/>
  <c r="B4121" i="9"/>
  <c r="C4121" i="9"/>
  <c r="D4121" i="9"/>
  <c r="E4121" i="9"/>
  <c r="F4121" i="9"/>
  <c r="A4122" i="9"/>
  <c r="B4122" i="9"/>
  <c r="C4122" i="9"/>
  <c r="D4122" i="9"/>
  <c r="E4122" i="9"/>
  <c r="F4122" i="9"/>
  <c r="A4123" i="9"/>
  <c r="B4123" i="9"/>
  <c r="C4123" i="9"/>
  <c r="D4123" i="9"/>
  <c r="E4123" i="9"/>
  <c r="F4123" i="9"/>
  <c r="A4124" i="9"/>
  <c r="B4124" i="9"/>
  <c r="C4124" i="9"/>
  <c r="D4124" i="9"/>
  <c r="E4124" i="9"/>
  <c r="F4124" i="9"/>
  <c r="A4125" i="9"/>
  <c r="B4125" i="9"/>
  <c r="C4125" i="9"/>
  <c r="D4125" i="9"/>
  <c r="E4125" i="9"/>
  <c r="F4125" i="9"/>
  <c r="A4126" i="9"/>
  <c r="B4126" i="9"/>
  <c r="C4126" i="9"/>
  <c r="D4126" i="9"/>
  <c r="E4126" i="9"/>
  <c r="F4126" i="9"/>
  <c r="A4127" i="9"/>
  <c r="B4127" i="9"/>
  <c r="C4127" i="9"/>
  <c r="D4127" i="9"/>
  <c r="E4127" i="9"/>
  <c r="F4127" i="9"/>
  <c r="A4128" i="9"/>
  <c r="B4128" i="9"/>
  <c r="C4128" i="9"/>
  <c r="D4128" i="9"/>
  <c r="E4128" i="9"/>
  <c r="F4128" i="9"/>
  <c r="A4129" i="9"/>
  <c r="B4129" i="9"/>
  <c r="C4129" i="9"/>
  <c r="D4129" i="9"/>
  <c r="E4129" i="9"/>
  <c r="F4129" i="9"/>
  <c r="A4130" i="9"/>
  <c r="B4130" i="9"/>
  <c r="C4130" i="9"/>
  <c r="D4130" i="9"/>
  <c r="E4130" i="9"/>
  <c r="F4130" i="9"/>
  <c r="A4131" i="9"/>
  <c r="B4131" i="9"/>
  <c r="C4131" i="9"/>
  <c r="D4131" i="9"/>
  <c r="E4131" i="9"/>
  <c r="F4131" i="9"/>
  <c r="A4132" i="9"/>
  <c r="B4132" i="9"/>
  <c r="C4132" i="9"/>
  <c r="D4132" i="9"/>
  <c r="E4132" i="9"/>
  <c r="F4132" i="9"/>
  <c r="A4133" i="9"/>
  <c r="B4133" i="9"/>
  <c r="C4133" i="9"/>
  <c r="D4133" i="9"/>
  <c r="E4133" i="9"/>
  <c r="F4133" i="9"/>
  <c r="A4134" i="9"/>
  <c r="B4134" i="9"/>
  <c r="C4134" i="9"/>
  <c r="D4134" i="9"/>
  <c r="E4134" i="9"/>
  <c r="F4134" i="9"/>
  <c r="A4135" i="9"/>
  <c r="B4135" i="9"/>
  <c r="C4135" i="9"/>
  <c r="D4135" i="9"/>
  <c r="E4135" i="9"/>
  <c r="F4135" i="9"/>
  <c r="A4136" i="9"/>
  <c r="B4136" i="9"/>
  <c r="C4136" i="9"/>
  <c r="D4136" i="9"/>
  <c r="E4136" i="9"/>
  <c r="F4136" i="9"/>
  <c r="A4137" i="9"/>
  <c r="B4137" i="9"/>
  <c r="C4137" i="9"/>
  <c r="D4137" i="9"/>
  <c r="E4137" i="9"/>
  <c r="F4137" i="9"/>
  <c r="A4138" i="9"/>
  <c r="B4138" i="9"/>
  <c r="C4138" i="9"/>
  <c r="D4138" i="9"/>
  <c r="E4138" i="9"/>
  <c r="F4138" i="9"/>
  <c r="A4139" i="9"/>
  <c r="B4139" i="9"/>
  <c r="C4139" i="9"/>
  <c r="D4139" i="9"/>
  <c r="E4139" i="9"/>
  <c r="F4139" i="9"/>
  <c r="A4140" i="9"/>
  <c r="B4140" i="9"/>
  <c r="C4140" i="9"/>
  <c r="D4140" i="9"/>
  <c r="E4140" i="9"/>
  <c r="F4140" i="9"/>
  <c r="A4141" i="9"/>
  <c r="B4141" i="9"/>
  <c r="C4141" i="9"/>
  <c r="D4141" i="9"/>
  <c r="E4141" i="9"/>
  <c r="F4141" i="9"/>
  <c r="A4142" i="9"/>
  <c r="B4142" i="9"/>
  <c r="C4142" i="9"/>
  <c r="D4142" i="9"/>
  <c r="E4142" i="9"/>
  <c r="F4142" i="9"/>
  <c r="A4143" i="9"/>
  <c r="B4143" i="9"/>
  <c r="C4143" i="9"/>
  <c r="D4143" i="9"/>
  <c r="E4143" i="9"/>
  <c r="F4143" i="9"/>
  <c r="A4144" i="9"/>
  <c r="B4144" i="9"/>
  <c r="C4144" i="9"/>
  <c r="D4144" i="9"/>
  <c r="E4144" i="9"/>
  <c r="F4144" i="9"/>
  <c r="A4145" i="9"/>
  <c r="B4145" i="9"/>
  <c r="C4145" i="9"/>
  <c r="D4145" i="9"/>
  <c r="E4145" i="9"/>
  <c r="F4145" i="9"/>
  <c r="A4146" i="9"/>
  <c r="B4146" i="9"/>
  <c r="C4146" i="9"/>
  <c r="D4146" i="9"/>
  <c r="E4146" i="9"/>
  <c r="F4146" i="9"/>
  <c r="A4147" i="9"/>
  <c r="B4147" i="9"/>
  <c r="C4147" i="9"/>
  <c r="D4147" i="9"/>
  <c r="E4147" i="9"/>
  <c r="F4147" i="9"/>
  <c r="A4148" i="9"/>
  <c r="B4148" i="9"/>
  <c r="C4148" i="9"/>
  <c r="D4148" i="9"/>
  <c r="E4148" i="9"/>
  <c r="F4148" i="9"/>
  <c r="A4149" i="9"/>
  <c r="B4149" i="9"/>
  <c r="C4149" i="9"/>
  <c r="D4149" i="9"/>
  <c r="E4149" i="9"/>
  <c r="F4149" i="9"/>
  <c r="A4150" i="9"/>
  <c r="B4150" i="9"/>
  <c r="C4150" i="9"/>
  <c r="D4150" i="9"/>
  <c r="E4150" i="9"/>
  <c r="F4150" i="9"/>
  <c r="A4151" i="9"/>
  <c r="B4151" i="9"/>
  <c r="C4151" i="9"/>
  <c r="D4151" i="9"/>
  <c r="E4151" i="9"/>
  <c r="F4151" i="9"/>
  <c r="A4152" i="9"/>
  <c r="B4152" i="9"/>
  <c r="C4152" i="9"/>
  <c r="D4152" i="9"/>
  <c r="E4152" i="9"/>
  <c r="F4152" i="9"/>
  <c r="A4153" i="9"/>
  <c r="B4153" i="9"/>
  <c r="C4153" i="9"/>
  <c r="D4153" i="9"/>
  <c r="E4153" i="9"/>
  <c r="F4153" i="9"/>
  <c r="A4154" i="9"/>
  <c r="B4154" i="9"/>
  <c r="C4154" i="9"/>
  <c r="D4154" i="9"/>
  <c r="E4154" i="9"/>
  <c r="F4154" i="9"/>
  <c r="A4155" i="9"/>
  <c r="B4155" i="9"/>
  <c r="C4155" i="9"/>
  <c r="D4155" i="9"/>
  <c r="E4155" i="9"/>
  <c r="F4155" i="9"/>
  <c r="A4156" i="9"/>
  <c r="B4156" i="9"/>
  <c r="C4156" i="9"/>
  <c r="D4156" i="9"/>
  <c r="E4156" i="9"/>
  <c r="F4156" i="9"/>
  <c r="A4157" i="9"/>
  <c r="B4157" i="9"/>
  <c r="C4157" i="9"/>
  <c r="D4157" i="9"/>
  <c r="E4157" i="9"/>
  <c r="F4157" i="9"/>
  <c r="A4158" i="9"/>
  <c r="B4158" i="9"/>
  <c r="C4158" i="9"/>
  <c r="D4158" i="9"/>
  <c r="E4158" i="9"/>
  <c r="F4158" i="9"/>
  <c r="A4159" i="9"/>
  <c r="B4159" i="9"/>
  <c r="C4159" i="9"/>
  <c r="D4159" i="9"/>
  <c r="E4159" i="9"/>
  <c r="F4159" i="9"/>
  <c r="A4160" i="9"/>
  <c r="B4160" i="9"/>
  <c r="C4160" i="9"/>
  <c r="D4160" i="9"/>
  <c r="E4160" i="9"/>
  <c r="F4160" i="9"/>
  <c r="A4161" i="9"/>
  <c r="B4161" i="9"/>
  <c r="C4161" i="9"/>
  <c r="D4161" i="9"/>
  <c r="E4161" i="9"/>
  <c r="F4161" i="9"/>
  <c r="A4162" i="9"/>
  <c r="B4162" i="9"/>
  <c r="C4162" i="9"/>
  <c r="D4162" i="9"/>
  <c r="E4162" i="9"/>
  <c r="F4162" i="9"/>
  <c r="A4163" i="9"/>
  <c r="B4163" i="9"/>
  <c r="C4163" i="9"/>
  <c r="D4163" i="9"/>
  <c r="E4163" i="9"/>
  <c r="F4163" i="9"/>
  <c r="A4164" i="9"/>
  <c r="B4164" i="9"/>
  <c r="C4164" i="9"/>
  <c r="D4164" i="9"/>
  <c r="E4164" i="9"/>
  <c r="F4164" i="9"/>
  <c r="A4165" i="9"/>
  <c r="B4165" i="9"/>
  <c r="C4165" i="9"/>
  <c r="D4165" i="9"/>
  <c r="E4165" i="9"/>
  <c r="F4165" i="9"/>
  <c r="A4166" i="9"/>
  <c r="B4166" i="9"/>
  <c r="C4166" i="9"/>
  <c r="D4166" i="9"/>
  <c r="E4166" i="9"/>
  <c r="F4166" i="9"/>
  <c r="A4167" i="9"/>
  <c r="B4167" i="9"/>
  <c r="C4167" i="9"/>
  <c r="D4167" i="9"/>
  <c r="E4167" i="9"/>
  <c r="F4167" i="9"/>
  <c r="A4168" i="9"/>
  <c r="B4168" i="9"/>
  <c r="C4168" i="9"/>
  <c r="D4168" i="9"/>
  <c r="E4168" i="9"/>
  <c r="F4168" i="9"/>
  <c r="A4169" i="9"/>
  <c r="B4169" i="9"/>
  <c r="C4169" i="9"/>
  <c r="D4169" i="9"/>
  <c r="E4169" i="9"/>
  <c r="F4169" i="9"/>
  <c r="A4170" i="9"/>
  <c r="B4170" i="9"/>
  <c r="C4170" i="9"/>
  <c r="D4170" i="9"/>
  <c r="E4170" i="9"/>
  <c r="F4170" i="9"/>
  <c r="A4171" i="9"/>
  <c r="B4171" i="9"/>
  <c r="C4171" i="9"/>
  <c r="D4171" i="9"/>
  <c r="E4171" i="9"/>
  <c r="F4171" i="9"/>
  <c r="A4172" i="9"/>
  <c r="B4172" i="9"/>
  <c r="C4172" i="9"/>
  <c r="D4172" i="9"/>
  <c r="E4172" i="9"/>
  <c r="F4172" i="9"/>
  <c r="A4173" i="9"/>
  <c r="B4173" i="9"/>
  <c r="C4173" i="9"/>
  <c r="D4173" i="9"/>
  <c r="E4173" i="9"/>
  <c r="F4173" i="9"/>
  <c r="A4174" i="9"/>
  <c r="B4174" i="9"/>
  <c r="C4174" i="9"/>
  <c r="D4174" i="9"/>
  <c r="E4174" i="9"/>
  <c r="F4174" i="9"/>
  <c r="A4175" i="9"/>
  <c r="B4175" i="9"/>
  <c r="C4175" i="9"/>
  <c r="D4175" i="9"/>
  <c r="E4175" i="9"/>
  <c r="F4175" i="9"/>
  <c r="A4176" i="9"/>
  <c r="B4176" i="9"/>
  <c r="C4176" i="9"/>
  <c r="D4176" i="9"/>
  <c r="E4176" i="9"/>
  <c r="F4176" i="9"/>
  <c r="A4177" i="9"/>
  <c r="B4177" i="9"/>
  <c r="C4177" i="9"/>
  <c r="D4177" i="9"/>
  <c r="E4177" i="9"/>
  <c r="F4177" i="9"/>
  <c r="A4178" i="9"/>
  <c r="B4178" i="9"/>
  <c r="C4178" i="9"/>
  <c r="D4178" i="9"/>
  <c r="E4178" i="9"/>
  <c r="F4178" i="9"/>
  <c r="A4179" i="9"/>
  <c r="B4179" i="9"/>
  <c r="C4179" i="9"/>
  <c r="D4179" i="9"/>
  <c r="E4179" i="9"/>
  <c r="F4179" i="9"/>
  <c r="A4180" i="9"/>
  <c r="B4180" i="9"/>
  <c r="C4180" i="9"/>
  <c r="D4180" i="9"/>
  <c r="E4180" i="9"/>
  <c r="F4180" i="9"/>
  <c r="A4181" i="9"/>
  <c r="B4181" i="9"/>
  <c r="C4181" i="9"/>
  <c r="D4181" i="9"/>
  <c r="E4181" i="9"/>
  <c r="F4181" i="9"/>
  <c r="A4182" i="9"/>
  <c r="B4182" i="9"/>
  <c r="C4182" i="9"/>
  <c r="D4182" i="9"/>
  <c r="E4182" i="9"/>
  <c r="F4182" i="9"/>
  <c r="A4183" i="9"/>
  <c r="B4183" i="9"/>
  <c r="C4183" i="9"/>
  <c r="D4183" i="9"/>
  <c r="E4183" i="9"/>
  <c r="F4183" i="9"/>
  <c r="A4184" i="9"/>
  <c r="B4184" i="9"/>
  <c r="C4184" i="9"/>
  <c r="D4184" i="9"/>
  <c r="E4184" i="9"/>
  <c r="F4184" i="9"/>
  <c r="A4185" i="9"/>
  <c r="B4185" i="9"/>
  <c r="C4185" i="9"/>
  <c r="D4185" i="9"/>
  <c r="E4185" i="9"/>
  <c r="F4185" i="9"/>
  <c r="A4186" i="9"/>
  <c r="B4186" i="9"/>
  <c r="C4186" i="9"/>
  <c r="D4186" i="9"/>
  <c r="E4186" i="9"/>
  <c r="F4186" i="9"/>
  <c r="A4187" i="9"/>
  <c r="B4187" i="9"/>
  <c r="C4187" i="9"/>
  <c r="D4187" i="9"/>
  <c r="E4187" i="9"/>
  <c r="F4187" i="9"/>
  <c r="A4188" i="9"/>
  <c r="B4188" i="9"/>
  <c r="C4188" i="9"/>
  <c r="D4188" i="9"/>
  <c r="E4188" i="9"/>
  <c r="F4188" i="9"/>
  <c r="A4189" i="9"/>
  <c r="B4189" i="9"/>
  <c r="C4189" i="9"/>
  <c r="D4189" i="9"/>
  <c r="E4189" i="9"/>
  <c r="F4189" i="9"/>
  <c r="A4190" i="9"/>
  <c r="B4190" i="9"/>
  <c r="C4190" i="9"/>
  <c r="D4190" i="9"/>
  <c r="E4190" i="9"/>
  <c r="F4190" i="9"/>
  <c r="A4191" i="9"/>
  <c r="B4191" i="9"/>
  <c r="C4191" i="9"/>
  <c r="D4191" i="9"/>
  <c r="E4191" i="9"/>
  <c r="F4191" i="9"/>
  <c r="A4192" i="9"/>
  <c r="B4192" i="9"/>
  <c r="C4192" i="9"/>
  <c r="D4192" i="9"/>
  <c r="E4192" i="9"/>
  <c r="F4192" i="9"/>
  <c r="A4193" i="9"/>
  <c r="B4193" i="9"/>
  <c r="C4193" i="9"/>
  <c r="D4193" i="9"/>
  <c r="E4193" i="9"/>
  <c r="F4193" i="9"/>
  <c r="A4194" i="9"/>
  <c r="B4194" i="9"/>
  <c r="C4194" i="9"/>
  <c r="D4194" i="9"/>
  <c r="E4194" i="9"/>
  <c r="F4194" i="9"/>
  <c r="A4195" i="9"/>
  <c r="B4195" i="9"/>
  <c r="C4195" i="9"/>
  <c r="D4195" i="9"/>
  <c r="E4195" i="9"/>
  <c r="F4195" i="9"/>
  <c r="A4196" i="9"/>
  <c r="B4196" i="9"/>
  <c r="C4196" i="9"/>
  <c r="D4196" i="9"/>
  <c r="E4196" i="9"/>
  <c r="F4196" i="9"/>
  <c r="A4197" i="9"/>
  <c r="B4197" i="9"/>
  <c r="C4197" i="9"/>
  <c r="D4197" i="9"/>
  <c r="E4197" i="9"/>
  <c r="F4197" i="9"/>
  <c r="A4198" i="9"/>
  <c r="B4198" i="9"/>
  <c r="C4198" i="9"/>
  <c r="D4198" i="9"/>
  <c r="E4198" i="9"/>
  <c r="F4198" i="9"/>
  <c r="A4199" i="9"/>
  <c r="B4199" i="9"/>
  <c r="C4199" i="9"/>
  <c r="D4199" i="9"/>
  <c r="E4199" i="9"/>
  <c r="F4199" i="9"/>
  <c r="A4200" i="9"/>
  <c r="B4200" i="9"/>
  <c r="C4200" i="9"/>
  <c r="D4200" i="9"/>
  <c r="E4200" i="9"/>
  <c r="F4200" i="9"/>
  <c r="A4201" i="9"/>
  <c r="B4201" i="9"/>
  <c r="C4201" i="9"/>
  <c r="D4201" i="9"/>
  <c r="E4201" i="9"/>
  <c r="F4201" i="9"/>
  <c r="A4202" i="9"/>
  <c r="B4202" i="9"/>
  <c r="C4202" i="9"/>
  <c r="D4202" i="9"/>
  <c r="E4202" i="9"/>
  <c r="F4202" i="9"/>
  <c r="A4203" i="9"/>
  <c r="B4203" i="9"/>
  <c r="C4203" i="9"/>
  <c r="D4203" i="9"/>
  <c r="E4203" i="9"/>
  <c r="F4203" i="9"/>
  <c r="A4204" i="9"/>
  <c r="B4204" i="9"/>
  <c r="C4204" i="9"/>
  <c r="D4204" i="9"/>
  <c r="E4204" i="9"/>
  <c r="F4204" i="9"/>
  <c r="A4205" i="9"/>
  <c r="B4205" i="9"/>
  <c r="C4205" i="9"/>
  <c r="D4205" i="9"/>
  <c r="E4205" i="9"/>
  <c r="F4205" i="9"/>
  <c r="A4206" i="9"/>
  <c r="B4206" i="9"/>
  <c r="C4206" i="9"/>
  <c r="D4206" i="9"/>
  <c r="E4206" i="9"/>
  <c r="F4206" i="9"/>
  <c r="A4207" i="9"/>
  <c r="B4207" i="9"/>
  <c r="C4207" i="9"/>
  <c r="D4207" i="9"/>
  <c r="E4207" i="9"/>
  <c r="F4207" i="9"/>
  <c r="A4208" i="9"/>
  <c r="B4208" i="9"/>
  <c r="C4208" i="9"/>
  <c r="D4208" i="9"/>
  <c r="E4208" i="9"/>
  <c r="F4208" i="9"/>
  <c r="A4209" i="9"/>
  <c r="B4209" i="9"/>
  <c r="C4209" i="9"/>
  <c r="D4209" i="9"/>
  <c r="E4209" i="9"/>
  <c r="F4209" i="9"/>
  <c r="A4210" i="9"/>
  <c r="B4210" i="9"/>
  <c r="C4210" i="9"/>
  <c r="D4210" i="9"/>
  <c r="E4210" i="9"/>
  <c r="F4210" i="9"/>
  <c r="A4211" i="9"/>
  <c r="B4211" i="9"/>
  <c r="C4211" i="9"/>
  <c r="D4211" i="9"/>
  <c r="E4211" i="9"/>
  <c r="F4211" i="9"/>
  <c r="A4212" i="9"/>
  <c r="B4212" i="9"/>
  <c r="C4212" i="9"/>
  <c r="D4212" i="9"/>
  <c r="E4212" i="9"/>
  <c r="F4212" i="9"/>
  <c r="A4213" i="9"/>
  <c r="B4213" i="9"/>
  <c r="C4213" i="9"/>
  <c r="D4213" i="9"/>
  <c r="E4213" i="9"/>
  <c r="F4213" i="9"/>
  <c r="A4214" i="9"/>
  <c r="B4214" i="9"/>
  <c r="C4214" i="9"/>
  <c r="D4214" i="9"/>
  <c r="E4214" i="9"/>
  <c r="F4214" i="9"/>
  <c r="A4215" i="9"/>
  <c r="B4215" i="9"/>
  <c r="C4215" i="9"/>
  <c r="D4215" i="9"/>
  <c r="E4215" i="9"/>
  <c r="F4215" i="9"/>
  <c r="A4216" i="9"/>
  <c r="B4216" i="9"/>
  <c r="C4216" i="9"/>
  <c r="D4216" i="9"/>
  <c r="E4216" i="9"/>
  <c r="F4216" i="9"/>
  <c r="A4217" i="9"/>
  <c r="B4217" i="9"/>
  <c r="C4217" i="9"/>
  <c r="D4217" i="9"/>
  <c r="E4217" i="9"/>
  <c r="F4217" i="9"/>
  <c r="A4218" i="9"/>
  <c r="B4218" i="9"/>
  <c r="C4218" i="9"/>
  <c r="D4218" i="9"/>
  <c r="E4218" i="9"/>
  <c r="F4218" i="9"/>
  <c r="A4219" i="9"/>
  <c r="B4219" i="9"/>
  <c r="C4219" i="9"/>
  <c r="D4219" i="9"/>
  <c r="E4219" i="9"/>
  <c r="F4219" i="9"/>
  <c r="A4220" i="9"/>
  <c r="B4220" i="9"/>
  <c r="C4220" i="9"/>
  <c r="D4220" i="9"/>
  <c r="E4220" i="9"/>
  <c r="F4220" i="9"/>
  <c r="A4221" i="9"/>
  <c r="B4221" i="9"/>
  <c r="C4221" i="9"/>
  <c r="D4221" i="9"/>
  <c r="E4221" i="9"/>
  <c r="F4221" i="9"/>
  <c r="A4222" i="9"/>
  <c r="B4222" i="9"/>
  <c r="C4222" i="9"/>
  <c r="D4222" i="9"/>
  <c r="E4222" i="9"/>
  <c r="F4222" i="9"/>
  <c r="A4223" i="9"/>
  <c r="B4223" i="9"/>
  <c r="C4223" i="9"/>
  <c r="D4223" i="9"/>
  <c r="E4223" i="9"/>
  <c r="F4223" i="9"/>
  <c r="A4224" i="9"/>
  <c r="B4224" i="9"/>
  <c r="C4224" i="9"/>
  <c r="D4224" i="9"/>
  <c r="E4224" i="9"/>
  <c r="F4224" i="9"/>
  <c r="A4225" i="9"/>
  <c r="B4225" i="9"/>
  <c r="C4225" i="9"/>
  <c r="D4225" i="9"/>
  <c r="E4225" i="9"/>
  <c r="F4225" i="9"/>
  <c r="A4226" i="9"/>
  <c r="B4226" i="9"/>
  <c r="C4226" i="9"/>
  <c r="D4226" i="9"/>
  <c r="E4226" i="9"/>
  <c r="F4226" i="9"/>
  <c r="A4227" i="9"/>
  <c r="B4227" i="9"/>
  <c r="C4227" i="9"/>
  <c r="D4227" i="9"/>
  <c r="E4227" i="9"/>
  <c r="F4227" i="9"/>
  <c r="A4228" i="9"/>
  <c r="B4228" i="9"/>
  <c r="C4228" i="9"/>
  <c r="D4228" i="9"/>
  <c r="E4228" i="9"/>
  <c r="F4228" i="9"/>
  <c r="A4229" i="9"/>
  <c r="B4229" i="9"/>
  <c r="C4229" i="9"/>
  <c r="D4229" i="9"/>
  <c r="E4229" i="9"/>
  <c r="F4229" i="9"/>
  <c r="A4230" i="9"/>
  <c r="B4230" i="9"/>
  <c r="C4230" i="9"/>
  <c r="D4230" i="9"/>
  <c r="E4230" i="9"/>
  <c r="F4230" i="9"/>
  <c r="A4231" i="9"/>
  <c r="B4231" i="9"/>
  <c r="C4231" i="9"/>
  <c r="D4231" i="9"/>
  <c r="E4231" i="9"/>
  <c r="F4231" i="9"/>
  <c r="A4232" i="9"/>
  <c r="B4232" i="9"/>
  <c r="C4232" i="9"/>
  <c r="D4232" i="9"/>
  <c r="E4232" i="9"/>
  <c r="F4232" i="9"/>
  <c r="A4233" i="9"/>
  <c r="B4233" i="9"/>
  <c r="C4233" i="9"/>
  <c r="D4233" i="9"/>
  <c r="E4233" i="9"/>
  <c r="F4233" i="9"/>
  <c r="A4234" i="9"/>
  <c r="B4234" i="9"/>
  <c r="C4234" i="9"/>
  <c r="D4234" i="9"/>
  <c r="E4234" i="9"/>
  <c r="F4234" i="9"/>
  <c r="A4235" i="9"/>
  <c r="B4235" i="9"/>
  <c r="C4235" i="9"/>
  <c r="D4235" i="9"/>
  <c r="E4235" i="9"/>
  <c r="F4235" i="9"/>
  <c r="A4236" i="9"/>
  <c r="B4236" i="9"/>
  <c r="C4236" i="9"/>
  <c r="D4236" i="9"/>
  <c r="E4236" i="9"/>
  <c r="F4236" i="9"/>
  <c r="A4237" i="9"/>
  <c r="B4237" i="9"/>
  <c r="C4237" i="9"/>
  <c r="D4237" i="9"/>
  <c r="E4237" i="9"/>
  <c r="F4237" i="9"/>
  <c r="A4238" i="9"/>
  <c r="B4238" i="9"/>
  <c r="C4238" i="9"/>
  <c r="D4238" i="9"/>
  <c r="E4238" i="9"/>
  <c r="F4238" i="9"/>
  <c r="A4239" i="9"/>
  <c r="B4239" i="9"/>
  <c r="C4239" i="9"/>
  <c r="D4239" i="9"/>
  <c r="E4239" i="9"/>
  <c r="F4239" i="9"/>
  <c r="A4240" i="9"/>
  <c r="B4240" i="9"/>
  <c r="C4240" i="9"/>
  <c r="D4240" i="9"/>
  <c r="E4240" i="9"/>
  <c r="F4240" i="9"/>
  <c r="A4241" i="9"/>
  <c r="B4241" i="9"/>
  <c r="C4241" i="9"/>
  <c r="D4241" i="9"/>
  <c r="E4241" i="9"/>
  <c r="F4241" i="9"/>
  <c r="A4242" i="9"/>
  <c r="B4242" i="9"/>
  <c r="C4242" i="9"/>
  <c r="D4242" i="9"/>
  <c r="E4242" i="9"/>
  <c r="F4242" i="9"/>
  <c r="A4243" i="9"/>
  <c r="B4243" i="9"/>
  <c r="C4243" i="9"/>
  <c r="D4243" i="9"/>
  <c r="E4243" i="9"/>
  <c r="F4243" i="9"/>
  <c r="A4244" i="9"/>
  <c r="B4244" i="9"/>
  <c r="C4244" i="9"/>
  <c r="D4244" i="9"/>
  <c r="E4244" i="9"/>
  <c r="F4244" i="9"/>
  <c r="A4245" i="9"/>
  <c r="B4245" i="9"/>
  <c r="C4245" i="9"/>
  <c r="D4245" i="9"/>
  <c r="E4245" i="9"/>
  <c r="F4245" i="9"/>
  <c r="A4246" i="9"/>
  <c r="B4246" i="9"/>
  <c r="C4246" i="9"/>
  <c r="D4246" i="9"/>
  <c r="E4246" i="9"/>
  <c r="F4246" i="9"/>
  <c r="A4247" i="9"/>
  <c r="B4247" i="9"/>
  <c r="C4247" i="9"/>
  <c r="D4247" i="9"/>
  <c r="E4247" i="9"/>
  <c r="F4247" i="9"/>
  <c r="A4248" i="9"/>
  <c r="B4248" i="9"/>
  <c r="C4248" i="9"/>
  <c r="D4248" i="9"/>
  <c r="E4248" i="9"/>
  <c r="F4248" i="9"/>
  <c r="A4249" i="9"/>
  <c r="B4249" i="9"/>
  <c r="C4249" i="9"/>
  <c r="D4249" i="9"/>
  <c r="E4249" i="9"/>
  <c r="F4249" i="9"/>
  <c r="A4250" i="9"/>
  <c r="B4250" i="9"/>
  <c r="C4250" i="9"/>
  <c r="D4250" i="9"/>
  <c r="E4250" i="9"/>
  <c r="F4250" i="9"/>
  <c r="A4251" i="9"/>
  <c r="B4251" i="9"/>
  <c r="C4251" i="9"/>
  <c r="D4251" i="9"/>
  <c r="E4251" i="9"/>
  <c r="F4251" i="9"/>
  <c r="A4252" i="9"/>
  <c r="B4252" i="9"/>
  <c r="C4252" i="9"/>
  <c r="D4252" i="9"/>
  <c r="E4252" i="9"/>
  <c r="F4252" i="9"/>
  <c r="A4253" i="9"/>
  <c r="B4253" i="9"/>
  <c r="C4253" i="9"/>
  <c r="D4253" i="9"/>
  <c r="E4253" i="9"/>
  <c r="F4253" i="9"/>
  <c r="A4254" i="9"/>
  <c r="B4254" i="9"/>
  <c r="C4254" i="9"/>
  <c r="D4254" i="9"/>
  <c r="E4254" i="9"/>
  <c r="F4254" i="9"/>
  <c r="A4255" i="9"/>
  <c r="B4255" i="9"/>
  <c r="C4255" i="9"/>
  <c r="D4255" i="9"/>
  <c r="E4255" i="9"/>
  <c r="F4255" i="9"/>
  <c r="A4256" i="9"/>
  <c r="B4256" i="9"/>
  <c r="C4256" i="9"/>
  <c r="D4256" i="9"/>
  <c r="E4256" i="9"/>
  <c r="F4256" i="9"/>
  <c r="A4257" i="9"/>
  <c r="B4257" i="9"/>
  <c r="C4257" i="9"/>
  <c r="D4257" i="9"/>
  <c r="E4257" i="9"/>
  <c r="F4257" i="9"/>
  <c r="A4258" i="9"/>
  <c r="B4258" i="9"/>
  <c r="C4258" i="9"/>
  <c r="D4258" i="9"/>
  <c r="E4258" i="9"/>
  <c r="F4258" i="9"/>
  <c r="A4259" i="9"/>
  <c r="B4259" i="9"/>
  <c r="C4259" i="9"/>
  <c r="D4259" i="9"/>
  <c r="E4259" i="9"/>
  <c r="F4259" i="9"/>
  <c r="A4260" i="9"/>
  <c r="B4260" i="9"/>
  <c r="C4260" i="9"/>
  <c r="D4260" i="9"/>
  <c r="E4260" i="9"/>
  <c r="F4260" i="9"/>
  <c r="A4261" i="9"/>
  <c r="B4261" i="9"/>
  <c r="C4261" i="9"/>
  <c r="D4261" i="9"/>
  <c r="E4261" i="9"/>
  <c r="F4261" i="9"/>
  <c r="A4262" i="9"/>
  <c r="B4262" i="9"/>
  <c r="C4262" i="9"/>
  <c r="D4262" i="9"/>
  <c r="E4262" i="9"/>
  <c r="F4262" i="9"/>
  <c r="A4263" i="9"/>
  <c r="B4263" i="9"/>
  <c r="C4263" i="9"/>
  <c r="D4263" i="9"/>
  <c r="E4263" i="9"/>
  <c r="F4263" i="9"/>
  <c r="A4264" i="9"/>
  <c r="B4264" i="9"/>
  <c r="C4264" i="9"/>
  <c r="D4264" i="9"/>
  <c r="E4264" i="9"/>
  <c r="F4264" i="9"/>
  <c r="A4265" i="9"/>
  <c r="B4265" i="9"/>
  <c r="C4265" i="9"/>
  <c r="D4265" i="9"/>
  <c r="E4265" i="9"/>
  <c r="F4265" i="9"/>
  <c r="A4266" i="9"/>
  <c r="B4266" i="9"/>
  <c r="C4266" i="9"/>
  <c r="D4266" i="9"/>
  <c r="E4266" i="9"/>
  <c r="F4266" i="9"/>
  <c r="A4267" i="9"/>
  <c r="B4267" i="9"/>
  <c r="C4267" i="9"/>
  <c r="D4267" i="9"/>
  <c r="E4267" i="9"/>
  <c r="F4267" i="9"/>
  <c r="A4268" i="9"/>
  <c r="B4268" i="9"/>
  <c r="C4268" i="9"/>
  <c r="D4268" i="9"/>
  <c r="E4268" i="9"/>
  <c r="F4268" i="9"/>
  <c r="A4269" i="9"/>
  <c r="B4269" i="9"/>
  <c r="C4269" i="9"/>
  <c r="D4269" i="9"/>
  <c r="E4269" i="9"/>
  <c r="F4269" i="9"/>
  <c r="A4270" i="9"/>
  <c r="B4270" i="9"/>
  <c r="C4270" i="9"/>
  <c r="D4270" i="9"/>
  <c r="E4270" i="9"/>
  <c r="F4270" i="9"/>
  <c r="A4271" i="9"/>
  <c r="B4271" i="9"/>
  <c r="C4271" i="9"/>
  <c r="D4271" i="9"/>
  <c r="E4271" i="9"/>
  <c r="F4271" i="9"/>
  <c r="A4272" i="9"/>
  <c r="B4272" i="9"/>
  <c r="C4272" i="9"/>
  <c r="D4272" i="9"/>
  <c r="E4272" i="9"/>
  <c r="F4272" i="9"/>
  <c r="A4273" i="9"/>
  <c r="B4273" i="9"/>
  <c r="C4273" i="9"/>
  <c r="D4273" i="9"/>
  <c r="E4273" i="9"/>
  <c r="F4273" i="9"/>
  <c r="A4274" i="9"/>
  <c r="B4274" i="9"/>
  <c r="C4274" i="9"/>
  <c r="D4274" i="9"/>
  <c r="E4274" i="9"/>
  <c r="F4274" i="9"/>
  <c r="A4275" i="9"/>
  <c r="B4275" i="9"/>
  <c r="C4275" i="9"/>
  <c r="D4275" i="9"/>
  <c r="E4275" i="9"/>
  <c r="F4275" i="9"/>
  <c r="A4276" i="9"/>
  <c r="B4276" i="9"/>
  <c r="C4276" i="9"/>
  <c r="D4276" i="9"/>
  <c r="E4276" i="9"/>
  <c r="F4276" i="9"/>
  <c r="A4277" i="9"/>
  <c r="B4277" i="9"/>
  <c r="C4277" i="9"/>
  <c r="D4277" i="9"/>
  <c r="E4277" i="9"/>
  <c r="F4277" i="9"/>
  <c r="A4278" i="9"/>
  <c r="B4278" i="9"/>
  <c r="C4278" i="9"/>
  <c r="D4278" i="9"/>
  <c r="E4278" i="9"/>
  <c r="F4278" i="9"/>
  <c r="A4279" i="9"/>
  <c r="B4279" i="9"/>
  <c r="C4279" i="9"/>
  <c r="D4279" i="9"/>
  <c r="E4279" i="9"/>
  <c r="F4279" i="9"/>
  <c r="A4280" i="9"/>
  <c r="B4280" i="9"/>
  <c r="C4280" i="9"/>
  <c r="D4280" i="9"/>
  <c r="E4280" i="9"/>
  <c r="F4280" i="9"/>
  <c r="A4281" i="9"/>
  <c r="B4281" i="9"/>
  <c r="C4281" i="9"/>
  <c r="D4281" i="9"/>
  <c r="E4281" i="9"/>
  <c r="F4281" i="9"/>
  <c r="A4282" i="9"/>
  <c r="B4282" i="9"/>
  <c r="C4282" i="9"/>
  <c r="D4282" i="9"/>
  <c r="E4282" i="9"/>
  <c r="F4282" i="9"/>
  <c r="A4283" i="9"/>
  <c r="B4283" i="9"/>
  <c r="C4283" i="9"/>
  <c r="D4283" i="9"/>
  <c r="E4283" i="9"/>
  <c r="F4283" i="9"/>
  <c r="A4284" i="9"/>
  <c r="B4284" i="9"/>
  <c r="C4284" i="9"/>
  <c r="D4284" i="9"/>
  <c r="E4284" i="9"/>
  <c r="F4284" i="9"/>
  <c r="A4285" i="9"/>
  <c r="B4285" i="9"/>
  <c r="C4285" i="9"/>
  <c r="D4285" i="9"/>
  <c r="E4285" i="9"/>
  <c r="F4285" i="9"/>
  <c r="A4286" i="9"/>
  <c r="B4286" i="9"/>
  <c r="C4286" i="9"/>
  <c r="D4286" i="9"/>
  <c r="E4286" i="9"/>
  <c r="F4286" i="9"/>
  <c r="A4287" i="9"/>
  <c r="B4287" i="9"/>
  <c r="C4287" i="9"/>
  <c r="D4287" i="9"/>
  <c r="E4287" i="9"/>
  <c r="F4287" i="9"/>
  <c r="A4288" i="9"/>
  <c r="B4288" i="9"/>
  <c r="C4288" i="9"/>
  <c r="D4288" i="9"/>
  <c r="E4288" i="9"/>
  <c r="F4288" i="9"/>
  <c r="A4289" i="9"/>
  <c r="B4289" i="9"/>
  <c r="C4289" i="9"/>
  <c r="D4289" i="9"/>
  <c r="E4289" i="9"/>
  <c r="F4289" i="9"/>
  <c r="A4290" i="9"/>
  <c r="B4290" i="9"/>
  <c r="C4290" i="9"/>
  <c r="D4290" i="9"/>
  <c r="E4290" i="9"/>
  <c r="F4290" i="9"/>
  <c r="A4291" i="9"/>
  <c r="B4291" i="9"/>
  <c r="C4291" i="9"/>
  <c r="D4291" i="9"/>
  <c r="E4291" i="9"/>
  <c r="F4291" i="9"/>
  <c r="A4292" i="9"/>
  <c r="B4292" i="9"/>
  <c r="C4292" i="9"/>
  <c r="D4292" i="9"/>
  <c r="E4292" i="9"/>
  <c r="F4292" i="9"/>
  <c r="A4293" i="9"/>
  <c r="B4293" i="9"/>
  <c r="C4293" i="9"/>
  <c r="D4293" i="9"/>
  <c r="E4293" i="9"/>
  <c r="F4293" i="9"/>
  <c r="A4294" i="9"/>
  <c r="B4294" i="9"/>
  <c r="C4294" i="9"/>
  <c r="D4294" i="9"/>
  <c r="E4294" i="9"/>
  <c r="F4294" i="9"/>
  <c r="A4295" i="9"/>
  <c r="B4295" i="9"/>
  <c r="C4295" i="9"/>
  <c r="D4295" i="9"/>
  <c r="E4295" i="9"/>
  <c r="F4295" i="9"/>
  <c r="A4296" i="9"/>
  <c r="B4296" i="9"/>
  <c r="C4296" i="9"/>
  <c r="D4296" i="9"/>
  <c r="E4296" i="9"/>
  <c r="F4296" i="9"/>
  <c r="A4297" i="9"/>
  <c r="B4297" i="9"/>
  <c r="C4297" i="9"/>
  <c r="D4297" i="9"/>
  <c r="E4297" i="9"/>
  <c r="F4297" i="9"/>
  <c r="A4298" i="9"/>
  <c r="B4298" i="9"/>
  <c r="C4298" i="9"/>
  <c r="D4298" i="9"/>
  <c r="E4298" i="9"/>
  <c r="F4298" i="9"/>
  <c r="A4299" i="9"/>
  <c r="B4299" i="9"/>
  <c r="C4299" i="9"/>
  <c r="D4299" i="9"/>
  <c r="E4299" i="9"/>
  <c r="F4299" i="9"/>
  <c r="A4300" i="9"/>
  <c r="B4300" i="9"/>
  <c r="C4300" i="9"/>
  <c r="D4300" i="9"/>
  <c r="E4300" i="9"/>
  <c r="F4300" i="9"/>
  <c r="A4301" i="9"/>
  <c r="B4301" i="9"/>
  <c r="C4301" i="9"/>
  <c r="D4301" i="9"/>
  <c r="E4301" i="9"/>
  <c r="F4301" i="9"/>
  <c r="A4302" i="9"/>
  <c r="B4302" i="9"/>
  <c r="C4302" i="9"/>
  <c r="D4302" i="9"/>
  <c r="E4302" i="9"/>
  <c r="F4302" i="9"/>
  <c r="A4303" i="9"/>
  <c r="B4303" i="9"/>
  <c r="C4303" i="9"/>
  <c r="D4303" i="9"/>
  <c r="E4303" i="9"/>
  <c r="F4303" i="9"/>
  <c r="A4304" i="9"/>
  <c r="B4304" i="9"/>
  <c r="C4304" i="9"/>
  <c r="D4304" i="9"/>
  <c r="E4304" i="9"/>
  <c r="F4304" i="9"/>
  <c r="A4305" i="9"/>
  <c r="B4305" i="9"/>
  <c r="C4305" i="9"/>
  <c r="D4305" i="9"/>
  <c r="E4305" i="9"/>
  <c r="F4305" i="9"/>
  <c r="A4306" i="9"/>
  <c r="B4306" i="9"/>
  <c r="C4306" i="9"/>
  <c r="D4306" i="9"/>
  <c r="E4306" i="9"/>
  <c r="F4306" i="9"/>
  <c r="A4307" i="9"/>
  <c r="B4307" i="9"/>
  <c r="C4307" i="9"/>
  <c r="D4307" i="9"/>
  <c r="E4307" i="9"/>
  <c r="F4307" i="9"/>
  <c r="A4308" i="9"/>
  <c r="B4308" i="9"/>
  <c r="C4308" i="9"/>
  <c r="D4308" i="9"/>
  <c r="E4308" i="9"/>
  <c r="F4308" i="9"/>
  <c r="A4309" i="9"/>
  <c r="B4309" i="9"/>
  <c r="C4309" i="9"/>
  <c r="D4309" i="9"/>
  <c r="E4309" i="9"/>
  <c r="F4309" i="9"/>
  <c r="A4310" i="9"/>
  <c r="B4310" i="9"/>
  <c r="C4310" i="9"/>
  <c r="D4310" i="9"/>
  <c r="E4310" i="9"/>
  <c r="F4310" i="9"/>
  <c r="A4311" i="9"/>
  <c r="B4311" i="9"/>
  <c r="C4311" i="9"/>
  <c r="D4311" i="9"/>
  <c r="E4311" i="9"/>
  <c r="F4311" i="9"/>
  <c r="A4312" i="9"/>
  <c r="B4312" i="9"/>
  <c r="C4312" i="9"/>
  <c r="D4312" i="9"/>
  <c r="E4312" i="9"/>
  <c r="F4312" i="9"/>
  <c r="A4313" i="9"/>
  <c r="B4313" i="9"/>
  <c r="C4313" i="9"/>
  <c r="D4313" i="9"/>
  <c r="E4313" i="9"/>
  <c r="F4313" i="9"/>
  <c r="A4314" i="9"/>
  <c r="B4314" i="9"/>
  <c r="C4314" i="9"/>
  <c r="D4314" i="9"/>
  <c r="E4314" i="9"/>
  <c r="F4314" i="9"/>
  <c r="A4315" i="9"/>
  <c r="B4315" i="9"/>
  <c r="C4315" i="9"/>
  <c r="D4315" i="9"/>
  <c r="E4315" i="9"/>
  <c r="F4315" i="9"/>
  <c r="A4316" i="9"/>
  <c r="B4316" i="9"/>
  <c r="C4316" i="9"/>
  <c r="D4316" i="9"/>
  <c r="E4316" i="9"/>
  <c r="F4316" i="9"/>
  <c r="A4317" i="9"/>
  <c r="B4317" i="9"/>
  <c r="C4317" i="9"/>
  <c r="D4317" i="9"/>
  <c r="E4317" i="9"/>
  <c r="F4317" i="9"/>
  <c r="A4318" i="9"/>
  <c r="B4318" i="9"/>
  <c r="C4318" i="9"/>
  <c r="D4318" i="9"/>
  <c r="E4318" i="9"/>
  <c r="F4318" i="9"/>
  <c r="A4319" i="9"/>
  <c r="B4319" i="9"/>
  <c r="C4319" i="9"/>
  <c r="D4319" i="9"/>
  <c r="E4319" i="9"/>
  <c r="F4319" i="9"/>
  <c r="A4320" i="9"/>
  <c r="B4320" i="9"/>
  <c r="C4320" i="9"/>
  <c r="D4320" i="9"/>
  <c r="E4320" i="9"/>
  <c r="F4320" i="9"/>
  <c r="A4321" i="9"/>
  <c r="B4321" i="9"/>
  <c r="C4321" i="9"/>
  <c r="D4321" i="9"/>
  <c r="E4321" i="9"/>
  <c r="F4321" i="9"/>
  <c r="A4322" i="9"/>
  <c r="B4322" i="9"/>
  <c r="C4322" i="9"/>
  <c r="D4322" i="9"/>
  <c r="E4322" i="9"/>
  <c r="F4322" i="9"/>
  <c r="A4323" i="9"/>
  <c r="B4323" i="9"/>
  <c r="C4323" i="9"/>
  <c r="D4323" i="9"/>
  <c r="E4323" i="9"/>
  <c r="F4323" i="9"/>
  <c r="A4324" i="9"/>
  <c r="B4324" i="9"/>
  <c r="C4324" i="9"/>
  <c r="D4324" i="9"/>
  <c r="E4324" i="9"/>
  <c r="F4324" i="9"/>
  <c r="A4325" i="9"/>
  <c r="B4325" i="9"/>
  <c r="C4325" i="9"/>
  <c r="D4325" i="9"/>
  <c r="E4325" i="9"/>
  <c r="F4325" i="9"/>
  <c r="A4326" i="9"/>
  <c r="B4326" i="9"/>
  <c r="C4326" i="9"/>
  <c r="D4326" i="9"/>
  <c r="E4326" i="9"/>
  <c r="F4326" i="9"/>
  <c r="A4327" i="9"/>
  <c r="B4327" i="9"/>
  <c r="C4327" i="9"/>
  <c r="D4327" i="9"/>
  <c r="E4327" i="9"/>
  <c r="F4327" i="9"/>
  <c r="A4328" i="9"/>
  <c r="B4328" i="9"/>
  <c r="C4328" i="9"/>
  <c r="D4328" i="9"/>
  <c r="E4328" i="9"/>
  <c r="F4328" i="9"/>
  <c r="A4329" i="9"/>
  <c r="B4329" i="9"/>
  <c r="C4329" i="9"/>
  <c r="D4329" i="9"/>
  <c r="E4329" i="9"/>
  <c r="F4329" i="9"/>
  <c r="A4330" i="9"/>
  <c r="B4330" i="9"/>
  <c r="C4330" i="9"/>
  <c r="D4330" i="9"/>
  <c r="E4330" i="9"/>
  <c r="F4330" i="9"/>
  <c r="A4331" i="9"/>
  <c r="B4331" i="9"/>
  <c r="C4331" i="9"/>
  <c r="D4331" i="9"/>
  <c r="E4331" i="9"/>
  <c r="F4331" i="9"/>
  <c r="A4332" i="9"/>
  <c r="B4332" i="9"/>
  <c r="C4332" i="9"/>
  <c r="D4332" i="9"/>
  <c r="E4332" i="9"/>
  <c r="F4332" i="9"/>
  <c r="A4333" i="9"/>
  <c r="B4333" i="9"/>
  <c r="C4333" i="9"/>
  <c r="D4333" i="9"/>
  <c r="E4333" i="9"/>
  <c r="F4333" i="9"/>
  <c r="A4334" i="9"/>
  <c r="B4334" i="9"/>
  <c r="C4334" i="9"/>
  <c r="D4334" i="9"/>
  <c r="E4334" i="9"/>
  <c r="F4334" i="9"/>
  <c r="A4335" i="9"/>
  <c r="B4335" i="9"/>
  <c r="C4335" i="9"/>
  <c r="D4335" i="9"/>
  <c r="E4335" i="9"/>
  <c r="F4335" i="9"/>
  <c r="A4336" i="9"/>
  <c r="B4336" i="9"/>
  <c r="C4336" i="9"/>
  <c r="D4336" i="9"/>
  <c r="E4336" i="9"/>
  <c r="F4336" i="9"/>
  <c r="A4337" i="9"/>
  <c r="B4337" i="9"/>
  <c r="C4337" i="9"/>
  <c r="D4337" i="9"/>
  <c r="E4337" i="9"/>
  <c r="F4337" i="9"/>
  <c r="A4338" i="9"/>
  <c r="B4338" i="9"/>
  <c r="C4338" i="9"/>
  <c r="D4338" i="9"/>
  <c r="E4338" i="9"/>
  <c r="F4338" i="9"/>
  <c r="A4339" i="9"/>
  <c r="B4339" i="9"/>
  <c r="C4339" i="9"/>
  <c r="D4339" i="9"/>
  <c r="E4339" i="9"/>
  <c r="F4339" i="9"/>
  <c r="A4340" i="9"/>
  <c r="B4340" i="9"/>
  <c r="C4340" i="9"/>
  <c r="D4340" i="9"/>
  <c r="E4340" i="9"/>
  <c r="F4340" i="9"/>
  <c r="A4341" i="9"/>
  <c r="B4341" i="9"/>
  <c r="C4341" i="9"/>
  <c r="D4341" i="9"/>
  <c r="E4341" i="9"/>
  <c r="F4341" i="9"/>
  <c r="A4342" i="9"/>
  <c r="B4342" i="9"/>
  <c r="C4342" i="9"/>
  <c r="D4342" i="9"/>
  <c r="E4342" i="9"/>
  <c r="F4342" i="9"/>
  <c r="A4343" i="9"/>
  <c r="B4343" i="9"/>
  <c r="C4343" i="9"/>
  <c r="D4343" i="9"/>
  <c r="E4343" i="9"/>
  <c r="F4343" i="9"/>
  <c r="A4344" i="9"/>
  <c r="B4344" i="9"/>
  <c r="C4344" i="9"/>
  <c r="D4344" i="9"/>
  <c r="E4344" i="9"/>
  <c r="F4344" i="9"/>
  <c r="A4345" i="9"/>
  <c r="B4345" i="9"/>
  <c r="C4345" i="9"/>
  <c r="D4345" i="9"/>
  <c r="E4345" i="9"/>
  <c r="F4345" i="9"/>
  <c r="A4346" i="9"/>
  <c r="B4346" i="9"/>
  <c r="C4346" i="9"/>
  <c r="D4346" i="9"/>
  <c r="E4346" i="9"/>
  <c r="F4346" i="9"/>
  <c r="A4347" i="9"/>
  <c r="B4347" i="9"/>
  <c r="C4347" i="9"/>
  <c r="D4347" i="9"/>
  <c r="E4347" i="9"/>
  <c r="F4347" i="9"/>
  <c r="A4348" i="9"/>
  <c r="B4348" i="9"/>
  <c r="C4348" i="9"/>
  <c r="D4348" i="9"/>
  <c r="E4348" i="9"/>
  <c r="F4348" i="9"/>
  <c r="A4349" i="9"/>
  <c r="B4349" i="9"/>
  <c r="C4349" i="9"/>
  <c r="D4349" i="9"/>
  <c r="E4349" i="9"/>
  <c r="F4349" i="9"/>
  <c r="A4350" i="9"/>
  <c r="B4350" i="9"/>
  <c r="C4350" i="9"/>
  <c r="D4350" i="9"/>
  <c r="E4350" i="9"/>
  <c r="F4350" i="9"/>
  <c r="A4351" i="9"/>
  <c r="B4351" i="9"/>
  <c r="C4351" i="9"/>
  <c r="D4351" i="9"/>
  <c r="E4351" i="9"/>
  <c r="F4351" i="9"/>
  <c r="A4352" i="9"/>
  <c r="B4352" i="9"/>
  <c r="C4352" i="9"/>
  <c r="D4352" i="9"/>
  <c r="E4352" i="9"/>
  <c r="F4352" i="9"/>
  <c r="A4353" i="9"/>
  <c r="B4353" i="9"/>
  <c r="C4353" i="9"/>
  <c r="D4353" i="9"/>
  <c r="E4353" i="9"/>
  <c r="F4353" i="9"/>
  <c r="A4354" i="9"/>
  <c r="B4354" i="9"/>
  <c r="C4354" i="9"/>
  <c r="D4354" i="9"/>
  <c r="E4354" i="9"/>
  <c r="F4354" i="9"/>
  <c r="A4355" i="9"/>
  <c r="B4355" i="9"/>
  <c r="C4355" i="9"/>
  <c r="D4355" i="9"/>
  <c r="E4355" i="9"/>
  <c r="F4355" i="9"/>
  <c r="A4356" i="9"/>
  <c r="B4356" i="9"/>
  <c r="C4356" i="9"/>
  <c r="D4356" i="9"/>
  <c r="E4356" i="9"/>
  <c r="F4356" i="9"/>
  <c r="A4357" i="9"/>
  <c r="B4357" i="9"/>
  <c r="C4357" i="9"/>
  <c r="D4357" i="9"/>
  <c r="E4357" i="9"/>
  <c r="F4357" i="9"/>
  <c r="A4358" i="9"/>
  <c r="B4358" i="9"/>
  <c r="C4358" i="9"/>
  <c r="D4358" i="9"/>
  <c r="E4358" i="9"/>
  <c r="F4358" i="9"/>
  <c r="A4359" i="9"/>
  <c r="B4359" i="9"/>
  <c r="C4359" i="9"/>
  <c r="D4359" i="9"/>
  <c r="E4359" i="9"/>
  <c r="F4359" i="9"/>
  <c r="A4360" i="9"/>
  <c r="B4360" i="9"/>
  <c r="C4360" i="9"/>
  <c r="D4360" i="9"/>
  <c r="E4360" i="9"/>
  <c r="F4360" i="9"/>
  <c r="A4361" i="9"/>
  <c r="B4361" i="9"/>
  <c r="C4361" i="9"/>
  <c r="D4361" i="9"/>
  <c r="E4361" i="9"/>
  <c r="F4361" i="9"/>
  <c r="A4362" i="9"/>
  <c r="B4362" i="9"/>
  <c r="C4362" i="9"/>
  <c r="D4362" i="9"/>
  <c r="E4362" i="9"/>
  <c r="F4362" i="9"/>
  <c r="A4363" i="9"/>
  <c r="B4363" i="9"/>
  <c r="C4363" i="9"/>
  <c r="D4363" i="9"/>
  <c r="E4363" i="9"/>
  <c r="F4363" i="9"/>
  <c r="A4364" i="9"/>
  <c r="B4364" i="9"/>
  <c r="C4364" i="9"/>
  <c r="D4364" i="9"/>
  <c r="E4364" i="9"/>
  <c r="F4364" i="9"/>
  <c r="A4365" i="9"/>
  <c r="B4365" i="9"/>
  <c r="C4365" i="9"/>
  <c r="D4365" i="9"/>
  <c r="E4365" i="9"/>
  <c r="F4365" i="9"/>
  <c r="A4366" i="9"/>
  <c r="B4366" i="9"/>
  <c r="C4366" i="9"/>
  <c r="D4366" i="9"/>
  <c r="E4366" i="9"/>
  <c r="F4366" i="9"/>
  <c r="A4367" i="9"/>
  <c r="B4367" i="9"/>
  <c r="C4367" i="9"/>
  <c r="D4367" i="9"/>
  <c r="E4367" i="9"/>
  <c r="F4367" i="9"/>
  <c r="A4368" i="9"/>
  <c r="B4368" i="9"/>
  <c r="C4368" i="9"/>
  <c r="D4368" i="9"/>
  <c r="E4368" i="9"/>
  <c r="F4368" i="9"/>
  <c r="A4369" i="9"/>
  <c r="B4369" i="9"/>
  <c r="C4369" i="9"/>
  <c r="D4369" i="9"/>
  <c r="E4369" i="9"/>
  <c r="F4369" i="9"/>
  <c r="A4370" i="9"/>
  <c r="B4370" i="9"/>
  <c r="C4370" i="9"/>
  <c r="D4370" i="9"/>
  <c r="E4370" i="9"/>
  <c r="F4370" i="9"/>
  <c r="A4371" i="9"/>
  <c r="B4371" i="9"/>
  <c r="C4371" i="9"/>
  <c r="D4371" i="9"/>
  <c r="E4371" i="9"/>
  <c r="F4371" i="9"/>
  <c r="A4372" i="9"/>
  <c r="B4372" i="9"/>
  <c r="C4372" i="9"/>
  <c r="D4372" i="9"/>
  <c r="E4372" i="9"/>
  <c r="F4372" i="9"/>
  <c r="A4373" i="9"/>
  <c r="B4373" i="9"/>
  <c r="C4373" i="9"/>
  <c r="D4373" i="9"/>
  <c r="E4373" i="9"/>
  <c r="F4373" i="9"/>
  <c r="A4374" i="9"/>
  <c r="B4374" i="9"/>
  <c r="C4374" i="9"/>
  <c r="D4374" i="9"/>
  <c r="E4374" i="9"/>
  <c r="F4374" i="9"/>
  <c r="A4375" i="9"/>
  <c r="B4375" i="9"/>
  <c r="C4375" i="9"/>
  <c r="D4375" i="9"/>
  <c r="E4375" i="9"/>
  <c r="F4375" i="9"/>
  <c r="A4376" i="9"/>
  <c r="B4376" i="9"/>
  <c r="C4376" i="9"/>
  <c r="D4376" i="9"/>
  <c r="E4376" i="9"/>
  <c r="F4376" i="9"/>
  <c r="A4377" i="9"/>
  <c r="B4377" i="9"/>
  <c r="C4377" i="9"/>
  <c r="D4377" i="9"/>
  <c r="E4377" i="9"/>
  <c r="F4377" i="9"/>
  <c r="A4378" i="9"/>
  <c r="B4378" i="9"/>
  <c r="C4378" i="9"/>
  <c r="D4378" i="9"/>
  <c r="E4378" i="9"/>
  <c r="F4378" i="9"/>
  <c r="A4379" i="9"/>
  <c r="B4379" i="9"/>
  <c r="C4379" i="9"/>
  <c r="D4379" i="9"/>
  <c r="E4379" i="9"/>
  <c r="F4379" i="9"/>
  <c r="A4380" i="9"/>
  <c r="B4380" i="9"/>
  <c r="C4380" i="9"/>
  <c r="D4380" i="9"/>
  <c r="E4380" i="9"/>
  <c r="F4380" i="9"/>
  <c r="A4381" i="9"/>
  <c r="B4381" i="9"/>
  <c r="C4381" i="9"/>
  <c r="D4381" i="9"/>
  <c r="E4381" i="9"/>
  <c r="F4381" i="9"/>
  <c r="A4382" i="9"/>
  <c r="B4382" i="9"/>
  <c r="C4382" i="9"/>
  <c r="D4382" i="9"/>
  <c r="E4382" i="9"/>
  <c r="F4382" i="9"/>
  <c r="A4383" i="9"/>
  <c r="B4383" i="9"/>
  <c r="C4383" i="9"/>
  <c r="D4383" i="9"/>
  <c r="E4383" i="9"/>
  <c r="F4383" i="9"/>
  <c r="A4384" i="9"/>
  <c r="B4384" i="9"/>
  <c r="C4384" i="9"/>
  <c r="D4384" i="9"/>
  <c r="E4384" i="9"/>
  <c r="F4384" i="9"/>
  <c r="A4385" i="9"/>
  <c r="B4385" i="9"/>
  <c r="C4385" i="9"/>
  <c r="D4385" i="9"/>
  <c r="E4385" i="9"/>
  <c r="F4385" i="9"/>
  <c r="A4386" i="9"/>
  <c r="B4386" i="9"/>
  <c r="C4386" i="9"/>
  <c r="D4386" i="9"/>
  <c r="E4386" i="9"/>
  <c r="F4386" i="9"/>
  <c r="A4387" i="9"/>
  <c r="B4387" i="9"/>
  <c r="C4387" i="9"/>
  <c r="D4387" i="9"/>
  <c r="E4387" i="9"/>
  <c r="F4387" i="9"/>
  <c r="A4388" i="9"/>
  <c r="B4388" i="9"/>
  <c r="C4388" i="9"/>
  <c r="D4388" i="9"/>
  <c r="E4388" i="9"/>
  <c r="F4388" i="9"/>
  <c r="A4389" i="9"/>
  <c r="B4389" i="9"/>
  <c r="C4389" i="9"/>
  <c r="D4389" i="9"/>
  <c r="E4389" i="9"/>
  <c r="F4389" i="9"/>
  <c r="A4390" i="9"/>
  <c r="B4390" i="9"/>
  <c r="C4390" i="9"/>
  <c r="D4390" i="9"/>
  <c r="E4390" i="9"/>
  <c r="F4390" i="9"/>
  <c r="A4391" i="9"/>
  <c r="B4391" i="9"/>
  <c r="C4391" i="9"/>
  <c r="D4391" i="9"/>
  <c r="E4391" i="9"/>
  <c r="F4391" i="9"/>
  <c r="A4392" i="9"/>
  <c r="B4392" i="9"/>
  <c r="C4392" i="9"/>
  <c r="D4392" i="9"/>
  <c r="E4392" i="9"/>
  <c r="F4392" i="9"/>
  <c r="A4393" i="9"/>
  <c r="B4393" i="9"/>
  <c r="C4393" i="9"/>
  <c r="D4393" i="9"/>
  <c r="E4393" i="9"/>
  <c r="F4393" i="9"/>
  <c r="A4394" i="9"/>
  <c r="B4394" i="9"/>
  <c r="C4394" i="9"/>
  <c r="D4394" i="9"/>
  <c r="E4394" i="9"/>
  <c r="F4394" i="9"/>
  <c r="A4395" i="9"/>
  <c r="B4395" i="9"/>
  <c r="C4395" i="9"/>
  <c r="D4395" i="9"/>
  <c r="E4395" i="9"/>
  <c r="F4395" i="9"/>
  <c r="A4396" i="9"/>
  <c r="B4396" i="9"/>
  <c r="C4396" i="9"/>
  <c r="D4396" i="9"/>
  <c r="E4396" i="9"/>
  <c r="F4396" i="9"/>
  <c r="A4397" i="9"/>
  <c r="B4397" i="9"/>
  <c r="C4397" i="9"/>
  <c r="D4397" i="9"/>
  <c r="E4397" i="9"/>
  <c r="F4397" i="9"/>
  <c r="A4398" i="9"/>
  <c r="B4398" i="9"/>
  <c r="C4398" i="9"/>
  <c r="D4398" i="9"/>
  <c r="E4398" i="9"/>
  <c r="F4398" i="9"/>
  <c r="A4399" i="9"/>
  <c r="B4399" i="9"/>
  <c r="C4399" i="9"/>
  <c r="D4399" i="9"/>
  <c r="E4399" i="9"/>
  <c r="F4399" i="9"/>
  <c r="A4400" i="9"/>
  <c r="B4400" i="9"/>
  <c r="C4400" i="9"/>
  <c r="D4400" i="9"/>
  <c r="E4400" i="9"/>
  <c r="F4400" i="9"/>
  <c r="A4401" i="9"/>
  <c r="B4401" i="9"/>
  <c r="C4401" i="9"/>
  <c r="D4401" i="9"/>
  <c r="E4401" i="9"/>
  <c r="F4401" i="9"/>
  <c r="A4402" i="9"/>
  <c r="B4402" i="9"/>
  <c r="C4402" i="9"/>
  <c r="D4402" i="9"/>
  <c r="E4402" i="9"/>
  <c r="F4402" i="9"/>
  <c r="A4403" i="9"/>
  <c r="B4403" i="9"/>
  <c r="C4403" i="9"/>
  <c r="D4403" i="9"/>
  <c r="E4403" i="9"/>
  <c r="F4403" i="9"/>
  <c r="A4404" i="9"/>
  <c r="B4404" i="9"/>
  <c r="C4404" i="9"/>
  <c r="D4404" i="9"/>
  <c r="E4404" i="9"/>
  <c r="F4404" i="9"/>
  <c r="A4405" i="9"/>
  <c r="B4405" i="9"/>
  <c r="C4405" i="9"/>
  <c r="D4405" i="9"/>
  <c r="E4405" i="9"/>
  <c r="F4405" i="9"/>
  <c r="A4406" i="9"/>
  <c r="B4406" i="9"/>
  <c r="C4406" i="9"/>
  <c r="D4406" i="9"/>
  <c r="E4406" i="9"/>
  <c r="F4406" i="9"/>
  <c r="A4407" i="9"/>
  <c r="B4407" i="9"/>
  <c r="C4407" i="9"/>
  <c r="D4407" i="9"/>
  <c r="E4407" i="9"/>
  <c r="F4407" i="9"/>
  <c r="A4408" i="9"/>
  <c r="B4408" i="9"/>
  <c r="C4408" i="9"/>
  <c r="D4408" i="9"/>
  <c r="E4408" i="9"/>
  <c r="F4408" i="9"/>
  <c r="A4409" i="9"/>
  <c r="B4409" i="9"/>
  <c r="C4409" i="9"/>
  <c r="D4409" i="9"/>
  <c r="E4409" i="9"/>
  <c r="F4409" i="9"/>
  <c r="A4410" i="9"/>
  <c r="B4410" i="9"/>
  <c r="C4410" i="9"/>
  <c r="D4410" i="9"/>
  <c r="E4410" i="9"/>
  <c r="F4410" i="9"/>
  <c r="A4411" i="9"/>
  <c r="B4411" i="9"/>
  <c r="C4411" i="9"/>
  <c r="D4411" i="9"/>
  <c r="E4411" i="9"/>
  <c r="F4411" i="9"/>
  <c r="A4412" i="9"/>
  <c r="B4412" i="9"/>
  <c r="C4412" i="9"/>
  <c r="D4412" i="9"/>
  <c r="E4412" i="9"/>
  <c r="F4412" i="9"/>
  <c r="A4413" i="9"/>
  <c r="B4413" i="9"/>
  <c r="C4413" i="9"/>
  <c r="D4413" i="9"/>
  <c r="E4413" i="9"/>
  <c r="F4413" i="9"/>
  <c r="A4414" i="9"/>
  <c r="B4414" i="9"/>
  <c r="C4414" i="9"/>
  <c r="D4414" i="9"/>
  <c r="E4414" i="9"/>
  <c r="F4414" i="9"/>
  <c r="A4415" i="9"/>
  <c r="B4415" i="9"/>
  <c r="C4415" i="9"/>
  <c r="D4415" i="9"/>
  <c r="E4415" i="9"/>
  <c r="F4415" i="9"/>
  <c r="A4416" i="9"/>
  <c r="B4416" i="9"/>
  <c r="C4416" i="9"/>
  <c r="D4416" i="9"/>
  <c r="E4416" i="9"/>
  <c r="F4416" i="9"/>
  <c r="A4417" i="9"/>
  <c r="B4417" i="9"/>
  <c r="C4417" i="9"/>
  <c r="D4417" i="9"/>
  <c r="E4417" i="9"/>
  <c r="F4417" i="9"/>
  <c r="A4418" i="9"/>
  <c r="B4418" i="9"/>
  <c r="C4418" i="9"/>
  <c r="D4418" i="9"/>
  <c r="E4418" i="9"/>
  <c r="F4418" i="9"/>
  <c r="A4419" i="9"/>
  <c r="B4419" i="9"/>
  <c r="C4419" i="9"/>
  <c r="D4419" i="9"/>
  <c r="E4419" i="9"/>
  <c r="F4419" i="9"/>
  <c r="A4420" i="9"/>
  <c r="B4420" i="9"/>
  <c r="C4420" i="9"/>
  <c r="D4420" i="9"/>
  <c r="E4420" i="9"/>
  <c r="F4420" i="9"/>
  <c r="A4421" i="9"/>
  <c r="B4421" i="9"/>
  <c r="C4421" i="9"/>
  <c r="D4421" i="9"/>
  <c r="E4421" i="9"/>
  <c r="F4421" i="9"/>
  <c r="A4422" i="9"/>
  <c r="B4422" i="9"/>
  <c r="C4422" i="9"/>
  <c r="D4422" i="9"/>
  <c r="E4422" i="9"/>
  <c r="F4422" i="9"/>
  <c r="A4423" i="9"/>
  <c r="B4423" i="9"/>
  <c r="C4423" i="9"/>
  <c r="D4423" i="9"/>
  <c r="E4423" i="9"/>
  <c r="F4423" i="9"/>
  <c r="A4424" i="9"/>
  <c r="B4424" i="9"/>
  <c r="C4424" i="9"/>
  <c r="D4424" i="9"/>
  <c r="E4424" i="9"/>
  <c r="F4424" i="9"/>
  <c r="A4425" i="9"/>
  <c r="B4425" i="9"/>
  <c r="C4425" i="9"/>
  <c r="D4425" i="9"/>
  <c r="E4425" i="9"/>
  <c r="F4425" i="9"/>
  <c r="A4426" i="9"/>
  <c r="B4426" i="9"/>
  <c r="C4426" i="9"/>
  <c r="D4426" i="9"/>
  <c r="E4426" i="9"/>
  <c r="F4426" i="9"/>
  <c r="A4427" i="9"/>
  <c r="B4427" i="9"/>
  <c r="C4427" i="9"/>
  <c r="D4427" i="9"/>
  <c r="E4427" i="9"/>
  <c r="F4427" i="9"/>
  <c r="A4428" i="9"/>
  <c r="B4428" i="9"/>
  <c r="C4428" i="9"/>
  <c r="D4428" i="9"/>
  <c r="E4428" i="9"/>
  <c r="F4428" i="9"/>
  <c r="A4429" i="9"/>
  <c r="B4429" i="9"/>
  <c r="C4429" i="9"/>
  <c r="D4429" i="9"/>
  <c r="E4429" i="9"/>
  <c r="F4429" i="9"/>
  <c r="A4430" i="9"/>
  <c r="B4430" i="9"/>
  <c r="C4430" i="9"/>
  <c r="D4430" i="9"/>
  <c r="E4430" i="9"/>
  <c r="F4430" i="9"/>
  <c r="A4431" i="9"/>
  <c r="B4431" i="9"/>
  <c r="C4431" i="9"/>
  <c r="D4431" i="9"/>
  <c r="E4431" i="9"/>
  <c r="F4431" i="9"/>
  <c r="A4432" i="9"/>
  <c r="B4432" i="9"/>
  <c r="C4432" i="9"/>
  <c r="D4432" i="9"/>
  <c r="E4432" i="9"/>
  <c r="F4432" i="9"/>
  <c r="A4433" i="9"/>
  <c r="B4433" i="9"/>
  <c r="C4433" i="9"/>
  <c r="D4433" i="9"/>
  <c r="E4433" i="9"/>
  <c r="F4433" i="9"/>
  <c r="A4434" i="9"/>
  <c r="B4434" i="9"/>
  <c r="C4434" i="9"/>
  <c r="D4434" i="9"/>
  <c r="E4434" i="9"/>
  <c r="F4434" i="9"/>
  <c r="A4435" i="9"/>
  <c r="B4435" i="9"/>
  <c r="C4435" i="9"/>
  <c r="D4435" i="9"/>
  <c r="E4435" i="9"/>
  <c r="F4435" i="9"/>
  <c r="A4436" i="9"/>
  <c r="B4436" i="9"/>
  <c r="C4436" i="9"/>
  <c r="D4436" i="9"/>
  <c r="E4436" i="9"/>
  <c r="F4436" i="9"/>
  <c r="A4437" i="9"/>
  <c r="B4437" i="9"/>
  <c r="C4437" i="9"/>
  <c r="D4437" i="9"/>
  <c r="E4437" i="9"/>
  <c r="F4437" i="9"/>
  <c r="A4438" i="9"/>
  <c r="B4438" i="9"/>
  <c r="C4438" i="9"/>
  <c r="D4438" i="9"/>
  <c r="E4438" i="9"/>
  <c r="F4438" i="9"/>
  <c r="A4439" i="9"/>
  <c r="B4439" i="9"/>
  <c r="C4439" i="9"/>
  <c r="D4439" i="9"/>
  <c r="E4439" i="9"/>
  <c r="F4439" i="9"/>
  <c r="A4440" i="9"/>
  <c r="B4440" i="9"/>
  <c r="C4440" i="9"/>
  <c r="D4440" i="9"/>
  <c r="E4440" i="9"/>
  <c r="F4440" i="9"/>
  <c r="A4441" i="9"/>
  <c r="B4441" i="9"/>
  <c r="C4441" i="9"/>
  <c r="D4441" i="9"/>
  <c r="E4441" i="9"/>
  <c r="F4441" i="9"/>
  <c r="A4442" i="9"/>
  <c r="B4442" i="9"/>
  <c r="C4442" i="9"/>
  <c r="D4442" i="9"/>
  <c r="E4442" i="9"/>
  <c r="F4442" i="9"/>
  <c r="A4443" i="9"/>
  <c r="B4443" i="9"/>
  <c r="C4443" i="9"/>
  <c r="D4443" i="9"/>
  <c r="E4443" i="9"/>
  <c r="F4443" i="9"/>
  <c r="A4444" i="9"/>
  <c r="B4444" i="9"/>
  <c r="C4444" i="9"/>
  <c r="D4444" i="9"/>
  <c r="E4444" i="9"/>
  <c r="F4444" i="9"/>
  <c r="A4445" i="9"/>
  <c r="B4445" i="9"/>
  <c r="C4445" i="9"/>
  <c r="D4445" i="9"/>
  <c r="E4445" i="9"/>
  <c r="F4445" i="9"/>
  <c r="A4446" i="9"/>
  <c r="B4446" i="9"/>
  <c r="C4446" i="9"/>
  <c r="D4446" i="9"/>
  <c r="E4446" i="9"/>
  <c r="F4446" i="9"/>
  <c r="A4447" i="9"/>
  <c r="B4447" i="9"/>
  <c r="C4447" i="9"/>
  <c r="D4447" i="9"/>
  <c r="E4447" i="9"/>
  <c r="F4447" i="9"/>
  <c r="A4448" i="9"/>
  <c r="B4448" i="9"/>
  <c r="C4448" i="9"/>
  <c r="D4448" i="9"/>
  <c r="E4448" i="9"/>
  <c r="F4448" i="9"/>
  <c r="A4449" i="9"/>
  <c r="B4449" i="9"/>
  <c r="C4449" i="9"/>
  <c r="D4449" i="9"/>
  <c r="E4449" i="9"/>
  <c r="F4449" i="9"/>
  <c r="A4450" i="9"/>
  <c r="B4450" i="9"/>
  <c r="C4450" i="9"/>
  <c r="D4450" i="9"/>
  <c r="E4450" i="9"/>
  <c r="F4450" i="9"/>
  <c r="A4451" i="9"/>
  <c r="B4451" i="9"/>
  <c r="C4451" i="9"/>
  <c r="D4451" i="9"/>
  <c r="E4451" i="9"/>
  <c r="F4451" i="9"/>
  <c r="A4452" i="9"/>
  <c r="B4452" i="9"/>
  <c r="C4452" i="9"/>
  <c r="D4452" i="9"/>
  <c r="E4452" i="9"/>
  <c r="F4452" i="9"/>
  <c r="A4453" i="9"/>
  <c r="B4453" i="9"/>
  <c r="C4453" i="9"/>
  <c r="D4453" i="9"/>
  <c r="E4453" i="9"/>
  <c r="F4453" i="9"/>
  <c r="A4454" i="9"/>
  <c r="B4454" i="9"/>
  <c r="C4454" i="9"/>
  <c r="D4454" i="9"/>
  <c r="E4454" i="9"/>
  <c r="F4454" i="9"/>
  <c r="A4455" i="9"/>
  <c r="B4455" i="9"/>
  <c r="C4455" i="9"/>
  <c r="D4455" i="9"/>
  <c r="E4455" i="9"/>
  <c r="F4455" i="9"/>
  <c r="A4456" i="9"/>
  <c r="B4456" i="9"/>
  <c r="C4456" i="9"/>
  <c r="D4456" i="9"/>
  <c r="E4456" i="9"/>
  <c r="F4456" i="9"/>
  <c r="A4457" i="9"/>
  <c r="B4457" i="9"/>
  <c r="C4457" i="9"/>
  <c r="D4457" i="9"/>
  <c r="E4457" i="9"/>
  <c r="F4457" i="9"/>
  <c r="A4458" i="9"/>
  <c r="B4458" i="9"/>
  <c r="C4458" i="9"/>
  <c r="D4458" i="9"/>
  <c r="E4458" i="9"/>
  <c r="F4458" i="9"/>
  <c r="A4459" i="9"/>
  <c r="B4459" i="9"/>
  <c r="C4459" i="9"/>
  <c r="D4459" i="9"/>
  <c r="E4459" i="9"/>
  <c r="F4459" i="9"/>
  <c r="A4460" i="9"/>
  <c r="B4460" i="9"/>
  <c r="C4460" i="9"/>
  <c r="D4460" i="9"/>
  <c r="E4460" i="9"/>
  <c r="F4460" i="9"/>
  <c r="A4461" i="9"/>
  <c r="B4461" i="9"/>
  <c r="C4461" i="9"/>
  <c r="D4461" i="9"/>
  <c r="E4461" i="9"/>
  <c r="F4461" i="9"/>
  <c r="A4462" i="9"/>
  <c r="B4462" i="9"/>
  <c r="C4462" i="9"/>
  <c r="D4462" i="9"/>
  <c r="E4462" i="9"/>
  <c r="F4462" i="9"/>
  <c r="A4463" i="9"/>
  <c r="B4463" i="9"/>
  <c r="C4463" i="9"/>
  <c r="D4463" i="9"/>
  <c r="E4463" i="9"/>
  <c r="F4463" i="9"/>
  <c r="A4464" i="9"/>
  <c r="B4464" i="9"/>
  <c r="C4464" i="9"/>
  <c r="D4464" i="9"/>
  <c r="E4464" i="9"/>
  <c r="F4464" i="9"/>
  <c r="A4465" i="9"/>
  <c r="B4465" i="9"/>
  <c r="C4465" i="9"/>
  <c r="D4465" i="9"/>
  <c r="E4465" i="9"/>
  <c r="F4465" i="9"/>
  <c r="A4466" i="9"/>
  <c r="B4466" i="9"/>
  <c r="C4466" i="9"/>
  <c r="D4466" i="9"/>
  <c r="E4466" i="9"/>
  <c r="F4466" i="9"/>
  <c r="A4467" i="9"/>
  <c r="B4467" i="9"/>
  <c r="C4467" i="9"/>
  <c r="D4467" i="9"/>
  <c r="E4467" i="9"/>
  <c r="F4467" i="9"/>
  <c r="A4468" i="9"/>
  <c r="B4468" i="9"/>
  <c r="C4468" i="9"/>
  <c r="D4468" i="9"/>
  <c r="E4468" i="9"/>
  <c r="F4468" i="9"/>
  <c r="A4469" i="9"/>
  <c r="B4469" i="9"/>
  <c r="C4469" i="9"/>
  <c r="D4469" i="9"/>
  <c r="E4469" i="9"/>
  <c r="F4469" i="9"/>
  <c r="A4470" i="9"/>
  <c r="B4470" i="9"/>
  <c r="C4470" i="9"/>
  <c r="D4470" i="9"/>
  <c r="E4470" i="9"/>
  <c r="F4470" i="9"/>
  <c r="A4471" i="9"/>
  <c r="B4471" i="9"/>
  <c r="C4471" i="9"/>
  <c r="D4471" i="9"/>
  <c r="E4471" i="9"/>
  <c r="F4471" i="9"/>
  <c r="A4472" i="9"/>
  <c r="B4472" i="9"/>
  <c r="C4472" i="9"/>
  <c r="D4472" i="9"/>
  <c r="E4472" i="9"/>
  <c r="F4472" i="9"/>
  <c r="A4473" i="9"/>
  <c r="B4473" i="9"/>
  <c r="C4473" i="9"/>
  <c r="D4473" i="9"/>
  <c r="E4473" i="9"/>
  <c r="F4473" i="9"/>
  <c r="A4474" i="9"/>
  <c r="B4474" i="9"/>
  <c r="C4474" i="9"/>
  <c r="D4474" i="9"/>
  <c r="E4474" i="9"/>
  <c r="F4474" i="9"/>
  <c r="A4475" i="9"/>
  <c r="B4475" i="9"/>
  <c r="C4475" i="9"/>
  <c r="D4475" i="9"/>
  <c r="E4475" i="9"/>
  <c r="F4475" i="9"/>
  <c r="A4476" i="9"/>
  <c r="B4476" i="9"/>
  <c r="C4476" i="9"/>
  <c r="D4476" i="9"/>
  <c r="E4476" i="9"/>
  <c r="F4476" i="9"/>
  <c r="A4477" i="9"/>
  <c r="B4477" i="9"/>
  <c r="C4477" i="9"/>
  <c r="D4477" i="9"/>
  <c r="E4477" i="9"/>
  <c r="F4477" i="9"/>
  <c r="A4478" i="9"/>
  <c r="B4478" i="9"/>
  <c r="C4478" i="9"/>
  <c r="D4478" i="9"/>
  <c r="E4478" i="9"/>
  <c r="F4478" i="9"/>
  <c r="A4479" i="9"/>
  <c r="B4479" i="9"/>
  <c r="C4479" i="9"/>
  <c r="D4479" i="9"/>
  <c r="E4479" i="9"/>
  <c r="F4479" i="9"/>
  <c r="A4480" i="9"/>
  <c r="B4480" i="9"/>
  <c r="C4480" i="9"/>
  <c r="D4480" i="9"/>
  <c r="E4480" i="9"/>
  <c r="F4480" i="9"/>
  <c r="A4481" i="9"/>
  <c r="B4481" i="9"/>
  <c r="C4481" i="9"/>
  <c r="D4481" i="9"/>
  <c r="E4481" i="9"/>
  <c r="F4481" i="9"/>
  <c r="A4482" i="9"/>
  <c r="B4482" i="9"/>
  <c r="C4482" i="9"/>
  <c r="D4482" i="9"/>
  <c r="E4482" i="9"/>
  <c r="F4482" i="9"/>
  <c r="A4483" i="9"/>
  <c r="B4483" i="9"/>
  <c r="C4483" i="9"/>
  <c r="D4483" i="9"/>
  <c r="E4483" i="9"/>
  <c r="F4483" i="9"/>
  <c r="A4484" i="9"/>
  <c r="B4484" i="9"/>
  <c r="C4484" i="9"/>
  <c r="D4484" i="9"/>
  <c r="E4484" i="9"/>
  <c r="F4484" i="9"/>
  <c r="A4485" i="9"/>
  <c r="B4485" i="9"/>
  <c r="C4485" i="9"/>
  <c r="D4485" i="9"/>
  <c r="E4485" i="9"/>
  <c r="F4485" i="9"/>
  <c r="A4486" i="9"/>
  <c r="B4486" i="9"/>
  <c r="C4486" i="9"/>
  <c r="D4486" i="9"/>
  <c r="E4486" i="9"/>
  <c r="F4486" i="9"/>
  <c r="A4487" i="9"/>
  <c r="B4487" i="9"/>
  <c r="C4487" i="9"/>
  <c r="D4487" i="9"/>
  <c r="E4487" i="9"/>
  <c r="F4487" i="9"/>
  <c r="A4488" i="9"/>
  <c r="B4488" i="9"/>
  <c r="C4488" i="9"/>
  <c r="D4488" i="9"/>
  <c r="E4488" i="9"/>
  <c r="F4488" i="9"/>
  <c r="A4489" i="9"/>
  <c r="B4489" i="9"/>
  <c r="C4489" i="9"/>
  <c r="D4489" i="9"/>
  <c r="E4489" i="9"/>
  <c r="F4489" i="9"/>
  <c r="A4490" i="9"/>
  <c r="B4490" i="9"/>
  <c r="C4490" i="9"/>
  <c r="D4490" i="9"/>
  <c r="E4490" i="9"/>
  <c r="F4490" i="9"/>
  <c r="A4491" i="9"/>
  <c r="B4491" i="9"/>
  <c r="C4491" i="9"/>
  <c r="D4491" i="9"/>
  <c r="E4491" i="9"/>
  <c r="F4491" i="9"/>
  <c r="A4492" i="9"/>
  <c r="B4492" i="9"/>
  <c r="C4492" i="9"/>
  <c r="D4492" i="9"/>
  <c r="E4492" i="9"/>
  <c r="F4492" i="9"/>
  <c r="A4493" i="9"/>
  <c r="B4493" i="9"/>
  <c r="C4493" i="9"/>
  <c r="D4493" i="9"/>
  <c r="E4493" i="9"/>
  <c r="F4493" i="9"/>
  <c r="A4494" i="9"/>
  <c r="B4494" i="9"/>
  <c r="C4494" i="9"/>
  <c r="D4494" i="9"/>
  <c r="E4494" i="9"/>
  <c r="F4494" i="9"/>
  <c r="A4495" i="9"/>
  <c r="B4495" i="9"/>
  <c r="C4495" i="9"/>
  <c r="D4495" i="9"/>
  <c r="E4495" i="9"/>
  <c r="F4495" i="9"/>
  <c r="A4496" i="9"/>
  <c r="B4496" i="9"/>
  <c r="C4496" i="9"/>
  <c r="D4496" i="9"/>
  <c r="E4496" i="9"/>
  <c r="F4496" i="9"/>
  <c r="A4497" i="9"/>
  <c r="B4497" i="9"/>
  <c r="C4497" i="9"/>
  <c r="D4497" i="9"/>
  <c r="E4497" i="9"/>
  <c r="F4497" i="9"/>
  <c r="A4498" i="9"/>
  <c r="B4498" i="9"/>
  <c r="C4498" i="9"/>
  <c r="D4498" i="9"/>
  <c r="E4498" i="9"/>
  <c r="F4498" i="9"/>
  <c r="A4499" i="9"/>
  <c r="B4499" i="9"/>
  <c r="C4499" i="9"/>
  <c r="D4499" i="9"/>
  <c r="E4499" i="9"/>
  <c r="F4499" i="9"/>
  <c r="A4500" i="9"/>
  <c r="B4500" i="9"/>
  <c r="C4500" i="9"/>
  <c r="D4500" i="9"/>
  <c r="E4500" i="9"/>
  <c r="F4500" i="9"/>
  <c r="A4501" i="9"/>
  <c r="B4501" i="9"/>
  <c r="C4501" i="9"/>
  <c r="D4501" i="9"/>
  <c r="E4501" i="9"/>
  <c r="F4501" i="9"/>
  <c r="A4502" i="9"/>
  <c r="B4502" i="9"/>
  <c r="C4502" i="9"/>
  <c r="D4502" i="9"/>
  <c r="E4502" i="9"/>
  <c r="F4502" i="9"/>
  <c r="A4503" i="9"/>
  <c r="B4503" i="9"/>
  <c r="C4503" i="9"/>
  <c r="D4503" i="9"/>
  <c r="E4503" i="9"/>
  <c r="F4503" i="9"/>
  <c r="A4504" i="9"/>
  <c r="B4504" i="9"/>
  <c r="C4504" i="9"/>
  <c r="D4504" i="9"/>
  <c r="E4504" i="9"/>
  <c r="F4504" i="9"/>
  <c r="A4505" i="9"/>
  <c r="B4505" i="9"/>
  <c r="C4505" i="9"/>
  <c r="D4505" i="9"/>
  <c r="E4505" i="9"/>
  <c r="F4505" i="9"/>
  <c r="A4506" i="9"/>
  <c r="B4506" i="9"/>
  <c r="C4506" i="9"/>
  <c r="D4506" i="9"/>
  <c r="E4506" i="9"/>
  <c r="F4506" i="9"/>
  <c r="A4507" i="9"/>
  <c r="B4507" i="9"/>
  <c r="C4507" i="9"/>
  <c r="D4507" i="9"/>
  <c r="E4507" i="9"/>
  <c r="F4507" i="9"/>
  <c r="A4508" i="9"/>
  <c r="B4508" i="9"/>
  <c r="C4508" i="9"/>
  <c r="D4508" i="9"/>
  <c r="E4508" i="9"/>
  <c r="F4508" i="9"/>
  <c r="A4509" i="9"/>
  <c r="B4509" i="9"/>
  <c r="C4509" i="9"/>
  <c r="D4509" i="9"/>
  <c r="E4509" i="9"/>
  <c r="F4509" i="9"/>
  <c r="A4510" i="9"/>
  <c r="B4510" i="9"/>
  <c r="C4510" i="9"/>
  <c r="D4510" i="9"/>
  <c r="E4510" i="9"/>
  <c r="F4510" i="9"/>
  <c r="A4511" i="9"/>
  <c r="B4511" i="9"/>
  <c r="C4511" i="9"/>
  <c r="D4511" i="9"/>
  <c r="E4511" i="9"/>
  <c r="F4511" i="9"/>
  <c r="A4512" i="9"/>
  <c r="B4512" i="9"/>
  <c r="C4512" i="9"/>
  <c r="D4512" i="9"/>
  <c r="E4512" i="9"/>
  <c r="F4512" i="9"/>
  <c r="A4513" i="9"/>
  <c r="B4513" i="9"/>
  <c r="C4513" i="9"/>
  <c r="D4513" i="9"/>
  <c r="E4513" i="9"/>
  <c r="F4513" i="9"/>
  <c r="A4514" i="9"/>
  <c r="B4514" i="9"/>
  <c r="C4514" i="9"/>
  <c r="D4514" i="9"/>
  <c r="E4514" i="9"/>
  <c r="F4514" i="9"/>
  <c r="A4515" i="9"/>
  <c r="B4515" i="9"/>
  <c r="C4515" i="9"/>
  <c r="D4515" i="9"/>
  <c r="E4515" i="9"/>
  <c r="F4515" i="9"/>
  <c r="A4516" i="9"/>
  <c r="B4516" i="9"/>
  <c r="C4516" i="9"/>
  <c r="D4516" i="9"/>
  <c r="E4516" i="9"/>
  <c r="F4516" i="9"/>
  <c r="A4517" i="9"/>
  <c r="B4517" i="9"/>
  <c r="C4517" i="9"/>
  <c r="D4517" i="9"/>
  <c r="E4517" i="9"/>
  <c r="F4517" i="9"/>
  <c r="A4518" i="9"/>
  <c r="B4518" i="9"/>
  <c r="C4518" i="9"/>
  <c r="D4518" i="9"/>
  <c r="E4518" i="9"/>
  <c r="F4518" i="9"/>
  <c r="A4519" i="9"/>
  <c r="B4519" i="9"/>
  <c r="C4519" i="9"/>
  <c r="D4519" i="9"/>
  <c r="E4519" i="9"/>
  <c r="F4519" i="9"/>
  <c r="A4520" i="9"/>
  <c r="B4520" i="9"/>
  <c r="C4520" i="9"/>
  <c r="D4520" i="9"/>
  <c r="E4520" i="9"/>
  <c r="F4520" i="9"/>
  <c r="A4521" i="9"/>
  <c r="B4521" i="9"/>
  <c r="C4521" i="9"/>
  <c r="D4521" i="9"/>
  <c r="E4521" i="9"/>
  <c r="F4521" i="9"/>
  <c r="A4522" i="9"/>
  <c r="B4522" i="9"/>
  <c r="C4522" i="9"/>
  <c r="D4522" i="9"/>
  <c r="E4522" i="9"/>
  <c r="F4522" i="9"/>
  <c r="A4523" i="9"/>
  <c r="B4523" i="9"/>
  <c r="C4523" i="9"/>
  <c r="D4523" i="9"/>
  <c r="E4523" i="9"/>
  <c r="F4523" i="9"/>
  <c r="A4524" i="9"/>
  <c r="B4524" i="9"/>
  <c r="C4524" i="9"/>
  <c r="D4524" i="9"/>
  <c r="E4524" i="9"/>
  <c r="F4524" i="9"/>
  <c r="A4525" i="9"/>
  <c r="B4525" i="9"/>
  <c r="C4525" i="9"/>
  <c r="D4525" i="9"/>
  <c r="E4525" i="9"/>
  <c r="F4525" i="9"/>
  <c r="A4526" i="9"/>
  <c r="B4526" i="9"/>
  <c r="C4526" i="9"/>
  <c r="D4526" i="9"/>
  <c r="E4526" i="9"/>
  <c r="F4526" i="9"/>
  <c r="A4527" i="9"/>
  <c r="B4527" i="9"/>
  <c r="C4527" i="9"/>
  <c r="D4527" i="9"/>
  <c r="E4527" i="9"/>
  <c r="F4527" i="9"/>
  <c r="A4528" i="9"/>
  <c r="B4528" i="9"/>
  <c r="C4528" i="9"/>
  <c r="D4528" i="9"/>
  <c r="E4528" i="9"/>
  <c r="F4528" i="9"/>
  <c r="A4529" i="9"/>
  <c r="B4529" i="9"/>
  <c r="C4529" i="9"/>
  <c r="D4529" i="9"/>
  <c r="E4529" i="9"/>
  <c r="F4529" i="9"/>
  <c r="A4530" i="9"/>
  <c r="B4530" i="9"/>
  <c r="C4530" i="9"/>
  <c r="D4530" i="9"/>
  <c r="E4530" i="9"/>
  <c r="F4530" i="9"/>
  <c r="A4531" i="9"/>
  <c r="B4531" i="9"/>
  <c r="C4531" i="9"/>
  <c r="D4531" i="9"/>
  <c r="E4531" i="9"/>
  <c r="F4531" i="9"/>
  <c r="A4532" i="9"/>
  <c r="B4532" i="9"/>
  <c r="C4532" i="9"/>
  <c r="D4532" i="9"/>
  <c r="E4532" i="9"/>
  <c r="F4532" i="9"/>
  <c r="A4533" i="9"/>
  <c r="B4533" i="9"/>
  <c r="C4533" i="9"/>
  <c r="D4533" i="9"/>
  <c r="E4533" i="9"/>
  <c r="F4533" i="9"/>
  <c r="A4534" i="9"/>
  <c r="B4534" i="9"/>
  <c r="C4534" i="9"/>
  <c r="D4534" i="9"/>
  <c r="E4534" i="9"/>
  <c r="F4534" i="9"/>
  <c r="A4535" i="9"/>
  <c r="B4535" i="9"/>
  <c r="C4535" i="9"/>
  <c r="D4535" i="9"/>
  <c r="E4535" i="9"/>
  <c r="F4535" i="9"/>
  <c r="A4536" i="9"/>
  <c r="B4536" i="9"/>
  <c r="C4536" i="9"/>
  <c r="D4536" i="9"/>
  <c r="E4536" i="9"/>
  <c r="F4536" i="9"/>
  <c r="A4537" i="9"/>
  <c r="B4537" i="9"/>
  <c r="C4537" i="9"/>
  <c r="D4537" i="9"/>
  <c r="E4537" i="9"/>
  <c r="F4537" i="9"/>
  <c r="A4538" i="9"/>
  <c r="B4538" i="9"/>
  <c r="C4538" i="9"/>
  <c r="D4538" i="9"/>
  <c r="E4538" i="9"/>
  <c r="F4538" i="9"/>
  <c r="A4539" i="9"/>
  <c r="B4539" i="9"/>
  <c r="C4539" i="9"/>
  <c r="D4539" i="9"/>
  <c r="E4539" i="9"/>
  <c r="F4539" i="9"/>
  <c r="A4540" i="9"/>
  <c r="B4540" i="9"/>
  <c r="C4540" i="9"/>
  <c r="D4540" i="9"/>
  <c r="E4540" i="9"/>
  <c r="F4540" i="9"/>
  <c r="A4541" i="9"/>
  <c r="B4541" i="9"/>
  <c r="C4541" i="9"/>
  <c r="D4541" i="9"/>
  <c r="E4541" i="9"/>
  <c r="F4541" i="9"/>
  <c r="A4542" i="9"/>
  <c r="B4542" i="9"/>
  <c r="C4542" i="9"/>
  <c r="D4542" i="9"/>
  <c r="E4542" i="9"/>
  <c r="F4542" i="9"/>
  <c r="A4543" i="9"/>
  <c r="B4543" i="9"/>
  <c r="C4543" i="9"/>
  <c r="D4543" i="9"/>
  <c r="E4543" i="9"/>
  <c r="F4543" i="9"/>
  <c r="A4544" i="9"/>
  <c r="B4544" i="9"/>
  <c r="C4544" i="9"/>
  <c r="D4544" i="9"/>
  <c r="E4544" i="9"/>
  <c r="F4544" i="9"/>
  <c r="A4545" i="9"/>
  <c r="B4545" i="9"/>
  <c r="C4545" i="9"/>
  <c r="D4545" i="9"/>
  <c r="E4545" i="9"/>
  <c r="F4545" i="9"/>
  <c r="A4546" i="9"/>
  <c r="B4546" i="9"/>
  <c r="C4546" i="9"/>
  <c r="D4546" i="9"/>
  <c r="E4546" i="9"/>
  <c r="F4546" i="9"/>
  <c r="A4547" i="9"/>
  <c r="B4547" i="9"/>
  <c r="C4547" i="9"/>
  <c r="D4547" i="9"/>
  <c r="E4547" i="9"/>
  <c r="F4547" i="9"/>
  <c r="A4548" i="9"/>
  <c r="B4548" i="9"/>
  <c r="C4548" i="9"/>
  <c r="D4548" i="9"/>
  <c r="E4548" i="9"/>
  <c r="F4548" i="9"/>
  <c r="A4549" i="9"/>
  <c r="B4549" i="9"/>
  <c r="C4549" i="9"/>
  <c r="D4549" i="9"/>
  <c r="E4549" i="9"/>
  <c r="F4549" i="9"/>
  <c r="A4550" i="9"/>
  <c r="B4550" i="9"/>
  <c r="C4550" i="9"/>
  <c r="D4550" i="9"/>
  <c r="E4550" i="9"/>
  <c r="F4550" i="9"/>
  <c r="A4551" i="9"/>
  <c r="B4551" i="9"/>
  <c r="C4551" i="9"/>
  <c r="D4551" i="9"/>
  <c r="E4551" i="9"/>
  <c r="F4551" i="9"/>
  <c r="A4552" i="9"/>
  <c r="B4552" i="9"/>
  <c r="C4552" i="9"/>
  <c r="D4552" i="9"/>
  <c r="E4552" i="9"/>
  <c r="F4552" i="9"/>
  <c r="A4553" i="9"/>
  <c r="B4553" i="9"/>
  <c r="C4553" i="9"/>
  <c r="D4553" i="9"/>
  <c r="E4553" i="9"/>
  <c r="F4553" i="9"/>
  <c r="A4554" i="9"/>
  <c r="B4554" i="9"/>
  <c r="C4554" i="9"/>
  <c r="D4554" i="9"/>
  <c r="E4554" i="9"/>
  <c r="F4554" i="9"/>
  <c r="A4555" i="9"/>
  <c r="B4555" i="9"/>
  <c r="C4555" i="9"/>
  <c r="D4555" i="9"/>
  <c r="E4555" i="9"/>
  <c r="F4555" i="9"/>
  <c r="A4556" i="9"/>
  <c r="B4556" i="9"/>
  <c r="C4556" i="9"/>
  <c r="D4556" i="9"/>
  <c r="E4556" i="9"/>
  <c r="F4556" i="9"/>
  <c r="A4557" i="9"/>
  <c r="B4557" i="9"/>
  <c r="C4557" i="9"/>
  <c r="D4557" i="9"/>
  <c r="E4557" i="9"/>
  <c r="F4557" i="9"/>
  <c r="A4558" i="9"/>
  <c r="B4558" i="9"/>
  <c r="C4558" i="9"/>
  <c r="D4558" i="9"/>
  <c r="E4558" i="9"/>
  <c r="F4558" i="9"/>
  <c r="A4559" i="9"/>
  <c r="B4559" i="9"/>
  <c r="C4559" i="9"/>
  <c r="D4559" i="9"/>
  <c r="E4559" i="9"/>
  <c r="F4559" i="9"/>
  <c r="A4560" i="9"/>
  <c r="B4560" i="9"/>
  <c r="C4560" i="9"/>
  <c r="D4560" i="9"/>
  <c r="E4560" i="9"/>
  <c r="F4560" i="9"/>
  <c r="A4561" i="9"/>
  <c r="B4561" i="9"/>
  <c r="C4561" i="9"/>
  <c r="D4561" i="9"/>
  <c r="E4561" i="9"/>
  <c r="F4561" i="9"/>
  <c r="A4562" i="9"/>
  <c r="B4562" i="9"/>
  <c r="C4562" i="9"/>
  <c r="D4562" i="9"/>
  <c r="E4562" i="9"/>
  <c r="F4562" i="9"/>
  <c r="A4563" i="9"/>
  <c r="B4563" i="9"/>
  <c r="C4563" i="9"/>
  <c r="D4563" i="9"/>
  <c r="E4563" i="9"/>
  <c r="F4563" i="9"/>
  <c r="A4564" i="9"/>
  <c r="B4564" i="9"/>
  <c r="C4564" i="9"/>
  <c r="D4564" i="9"/>
  <c r="E4564" i="9"/>
  <c r="F4564" i="9"/>
  <c r="A4565" i="9"/>
  <c r="B4565" i="9"/>
  <c r="C4565" i="9"/>
  <c r="D4565" i="9"/>
  <c r="E4565" i="9"/>
  <c r="F4565" i="9"/>
  <c r="A4566" i="9"/>
  <c r="B4566" i="9"/>
  <c r="C4566" i="9"/>
  <c r="D4566" i="9"/>
  <c r="E4566" i="9"/>
  <c r="F4566" i="9"/>
  <c r="A4567" i="9"/>
  <c r="B4567" i="9"/>
  <c r="C4567" i="9"/>
  <c r="D4567" i="9"/>
  <c r="E4567" i="9"/>
  <c r="F4567" i="9"/>
  <c r="A4568" i="9"/>
  <c r="B4568" i="9"/>
  <c r="C4568" i="9"/>
  <c r="D4568" i="9"/>
  <c r="E4568" i="9"/>
  <c r="F4568" i="9"/>
  <c r="A4569" i="9"/>
  <c r="B4569" i="9"/>
  <c r="C4569" i="9"/>
  <c r="D4569" i="9"/>
  <c r="E4569" i="9"/>
  <c r="F4569" i="9"/>
  <c r="A4570" i="9"/>
  <c r="B4570" i="9"/>
  <c r="C4570" i="9"/>
  <c r="D4570" i="9"/>
  <c r="E4570" i="9"/>
  <c r="F4570" i="9"/>
  <c r="A4571" i="9"/>
  <c r="B4571" i="9"/>
  <c r="C4571" i="9"/>
  <c r="D4571" i="9"/>
  <c r="E4571" i="9"/>
  <c r="F4571" i="9"/>
  <c r="A4572" i="9"/>
  <c r="B4572" i="9"/>
  <c r="C4572" i="9"/>
  <c r="D4572" i="9"/>
  <c r="E4572" i="9"/>
  <c r="F4572" i="9"/>
  <c r="A4573" i="9"/>
  <c r="B4573" i="9"/>
  <c r="C4573" i="9"/>
  <c r="D4573" i="9"/>
  <c r="E4573" i="9"/>
  <c r="F4573" i="9"/>
  <c r="A4574" i="9"/>
  <c r="B4574" i="9"/>
  <c r="C4574" i="9"/>
  <c r="D4574" i="9"/>
  <c r="E4574" i="9"/>
  <c r="F4574" i="9"/>
  <c r="A4575" i="9"/>
  <c r="B4575" i="9"/>
  <c r="C4575" i="9"/>
  <c r="D4575" i="9"/>
  <c r="E4575" i="9"/>
  <c r="F4575" i="9"/>
  <c r="A4576" i="9"/>
  <c r="B4576" i="9"/>
  <c r="C4576" i="9"/>
  <c r="D4576" i="9"/>
  <c r="E4576" i="9"/>
  <c r="F4576" i="9"/>
  <c r="A4577" i="9"/>
  <c r="B4577" i="9"/>
  <c r="C4577" i="9"/>
  <c r="D4577" i="9"/>
  <c r="E4577" i="9"/>
  <c r="F4577" i="9"/>
  <c r="A4578" i="9"/>
  <c r="B4578" i="9"/>
  <c r="C4578" i="9"/>
  <c r="D4578" i="9"/>
  <c r="E4578" i="9"/>
  <c r="F4578" i="9"/>
  <c r="A4579" i="9"/>
  <c r="B4579" i="9"/>
  <c r="C4579" i="9"/>
  <c r="D4579" i="9"/>
  <c r="E4579" i="9"/>
  <c r="F4579" i="9"/>
  <c r="A4580" i="9"/>
  <c r="B4580" i="9"/>
  <c r="C4580" i="9"/>
  <c r="D4580" i="9"/>
  <c r="E4580" i="9"/>
  <c r="F4580" i="9"/>
  <c r="A4581" i="9"/>
  <c r="B4581" i="9"/>
  <c r="C4581" i="9"/>
  <c r="D4581" i="9"/>
  <c r="E4581" i="9"/>
  <c r="F4581" i="9"/>
  <c r="A4582" i="9"/>
  <c r="B4582" i="9"/>
  <c r="C4582" i="9"/>
  <c r="D4582" i="9"/>
  <c r="E4582" i="9"/>
  <c r="F4582" i="9"/>
  <c r="A4583" i="9"/>
  <c r="B4583" i="9"/>
  <c r="C4583" i="9"/>
  <c r="D4583" i="9"/>
  <c r="E4583" i="9"/>
  <c r="F4583" i="9"/>
  <c r="A4584" i="9"/>
  <c r="B4584" i="9"/>
  <c r="C4584" i="9"/>
  <c r="D4584" i="9"/>
  <c r="E4584" i="9"/>
  <c r="F4584" i="9"/>
  <c r="A4585" i="9"/>
  <c r="B4585" i="9"/>
  <c r="C4585" i="9"/>
  <c r="D4585" i="9"/>
  <c r="E4585" i="9"/>
  <c r="F4585" i="9"/>
  <c r="A4586" i="9"/>
  <c r="B4586" i="9"/>
  <c r="C4586" i="9"/>
  <c r="D4586" i="9"/>
  <c r="E4586" i="9"/>
  <c r="F4586" i="9"/>
  <c r="A4587" i="9"/>
  <c r="B4587" i="9"/>
  <c r="C4587" i="9"/>
  <c r="D4587" i="9"/>
  <c r="E4587" i="9"/>
  <c r="F4587" i="9"/>
  <c r="A4588" i="9"/>
  <c r="B4588" i="9"/>
  <c r="C4588" i="9"/>
  <c r="D4588" i="9"/>
  <c r="E4588" i="9"/>
  <c r="F4588" i="9"/>
  <c r="A4589" i="9"/>
  <c r="B4589" i="9"/>
  <c r="C4589" i="9"/>
  <c r="D4589" i="9"/>
  <c r="E4589" i="9"/>
  <c r="F4589" i="9"/>
  <c r="A4590" i="9"/>
  <c r="B4590" i="9"/>
  <c r="C4590" i="9"/>
  <c r="D4590" i="9"/>
  <c r="E4590" i="9"/>
  <c r="F4590" i="9"/>
  <c r="A4591" i="9"/>
  <c r="B4591" i="9"/>
  <c r="C4591" i="9"/>
  <c r="D4591" i="9"/>
  <c r="E4591" i="9"/>
  <c r="F4591" i="9"/>
  <c r="A4592" i="9"/>
  <c r="B4592" i="9"/>
  <c r="C4592" i="9"/>
  <c r="D4592" i="9"/>
  <c r="E4592" i="9"/>
  <c r="F4592" i="9"/>
  <c r="A4593" i="9"/>
  <c r="B4593" i="9"/>
  <c r="C4593" i="9"/>
  <c r="D4593" i="9"/>
  <c r="E4593" i="9"/>
  <c r="F4593" i="9"/>
  <c r="A4594" i="9"/>
  <c r="B4594" i="9"/>
  <c r="C4594" i="9"/>
  <c r="D4594" i="9"/>
  <c r="E4594" i="9"/>
  <c r="F4594" i="9"/>
  <c r="A4595" i="9"/>
  <c r="B4595" i="9"/>
  <c r="C4595" i="9"/>
  <c r="D4595" i="9"/>
  <c r="E4595" i="9"/>
  <c r="F4595" i="9"/>
  <c r="A4596" i="9"/>
  <c r="B4596" i="9"/>
  <c r="C4596" i="9"/>
  <c r="D4596" i="9"/>
  <c r="E4596" i="9"/>
  <c r="F4596" i="9"/>
  <c r="A4597" i="9"/>
  <c r="B4597" i="9"/>
  <c r="C4597" i="9"/>
  <c r="D4597" i="9"/>
  <c r="E4597" i="9"/>
  <c r="F4597" i="9"/>
  <c r="A4598" i="9"/>
  <c r="B4598" i="9"/>
  <c r="C4598" i="9"/>
  <c r="D4598" i="9"/>
  <c r="E4598" i="9"/>
  <c r="F4598" i="9"/>
  <c r="A4599" i="9"/>
  <c r="B4599" i="9"/>
  <c r="C4599" i="9"/>
  <c r="D4599" i="9"/>
  <c r="E4599" i="9"/>
  <c r="F4599" i="9"/>
  <c r="A4600" i="9"/>
  <c r="B4600" i="9"/>
  <c r="C4600" i="9"/>
  <c r="D4600" i="9"/>
  <c r="E4600" i="9"/>
  <c r="F4600" i="9"/>
  <c r="A4601" i="9"/>
  <c r="B4601" i="9"/>
  <c r="C4601" i="9"/>
  <c r="D4601" i="9"/>
  <c r="E4601" i="9"/>
  <c r="F4601" i="9"/>
  <c r="A4602" i="9"/>
  <c r="B4602" i="9"/>
  <c r="C4602" i="9"/>
  <c r="D4602" i="9"/>
  <c r="E4602" i="9"/>
  <c r="F4602" i="9"/>
  <c r="A4603" i="9"/>
  <c r="B4603" i="9"/>
  <c r="C4603" i="9"/>
  <c r="D4603" i="9"/>
  <c r="E4603" i="9"/>
  <c r="F4603" i="9"/>
  <c r="A4604" i="9"/>
  <c r="B4604" i="9"/>
  <c r="C4604" i="9"/>
  <c r="D4604" i="9"/>
  <c r="E4604" i="9"/>
  <c r="F4604" i="9"/>
  <c r="A4605" i="9"/>
  <c r="B4605" i="9"/>
  <c r="C4605" i="9"/>
  <c r="D4605" i="9"/>
  <c r="E4605" i="9"/>
  <c r="F4605" i="9"/>
  <c r="A4606" i="9"/>
  <c r="B4606" i="9"/>
  <c r="C4606" i="9"/>
  <c r="D4606" i="9"/>
  <c r="E4606" i="9"/>
  <c r="F4606" i="9"/>
  <c r="A4607" i="9"/>
  <c r="B4607" i="9"/>
  <c r="C4607" i="9"/>
  <c r="D4607" i="9"/>
  <c r="E4607" i="9"/>
  <c r="F4607" i="9"/>
  <c r="A4608" i="9"/>
  <c r="B4608" i="9"/>
  <c r="C4608" i="9"/>
  <c r="D4608" i="9"/>
  <c r="E4608" i="9"/>
  <c r="F4608" i="9"/>
  <c r="A4609" i="9"/>
  <c r="B4609" i="9"/>
  <c r="C4609" i="9"/>
  <c r="D4609" i="9"/>
  <c r="E4609" i="9"/>
  <c r="F4609" i="9"/>
  <c r="A4610" i="9"/>
  <c r="B4610" i="9"/>
  <c r="C4610" i="9"/>
  <c r="D4610" i="9"/>
  <c r="E4610" i="9"/>
  <c r="F4610" i="9"/>
  <c r="A4611" i="9"/>
  <c r="B4611" i="9"/>
  <c r="C4611" i="9"/>
  <c r="D4611" i="9"/>
  <c r="E4611" i="9"/>
  <c r="F4611" i="9"/>
  <c r="A4612" i="9"/>
  <c r="B4612" i="9"/>
  <c r="C4612" i="9"/>
  <c r="D4612" i="9"/>
  <c r="E4612" i="9"/>
  <c r="F4612" i="9"/>
  <c r="A4613" i="9"/>
  <c r="B4613" i="9"/>
  <c r="C4613" i="9"/>
  <c r="D4613" i="9"/>
  <c r="E4613" i="9"/>
  <c r="F4613" i="9"/>
  <c r="A4614" i="9"/>
  <c r="B4614" i="9"/>
  <c r="C4614" i="9"/>
  <c r="D4614" i="9"/>
  <c r="E4614" i="9"/>
  <c r="F4614" i="9"/>
  <c r="A4615" i="9"/>
  <c r="B4615" i="9"/>
  <c r="C4615" i="9"/>
  <c r="D4615" i="9"/>
  <c r="E4615" i="9"/>
  <c r="F4615" i="9"/>
  <c r="A4616" i="9"/>
  <c r="B4616" i="9"/>
  <c r="C4616" i="9"/>
  <c r="D4616" i="9"/>
  <c r="E4616" i="9"/>
  <c r="F4616" i="9"/>
  <c r="A4617" i="9"/>
  <c r="B4617" i="9"/>
  <c r="C4617" i="9"/>
  <c r="D4617" i="9"/>
  <c r="E4617" i="9"/>
  <c r="F4617" i="9"/>
  <c r="A4618" i="9"/>
  <c r="B4618" i="9"/>
  <c r="C4618" i="9"/>
  <c r="D4618" i="9"/>
  <c r="E4618" i="9"/>
  <c r="F4618" i="9"/>
  <c r="A4619" i="9"/>
  <c r="B4619" i="9"/>
  <c r="C4619" i="9"/>
  <c r="D4619" i="9"/>
  <c r="E4619" i="9"/>
  <c r="F4619" i="9"/>
  <c r="A4620" i="9"/>
  <c r="B4620" i="9"/>
  <c r="C4620" i="9"/>
  <c r="D4620" i="9"/>
  <c r="E4620" i="9"/>
  <c r="F4620" i="9"/>
  <c r="A4621" i="9"/>
  <c r="B4621" i="9"/>
  <c r="C4621" i="9"/>
  <c r="D4621" i="9"/>
  <c r="E4621" i="9"/>
  <c r="F4621" i="9"/>
  <c r="A4622" i="9"/>
  <c r="B4622" i="9"/>
  <c r="C4622" i="9"/>
  <c r="D4622" i="9"/>
  <c r="E4622" i="9"/>
  <c r="F4622" i="9"/>
  <c r="A4623" i="9"/>
  <c r="B4623" i="9"/>
  <c r="C4623" i="9"/>
  <c r="D4623" i="9"/>
  <c r="E4623" i="9"/>
  <c r="F4623" i="9"/>
  <c r="A4624" i="9"/>
  <c r="B4624" i="9"/>
  <c r="C4624" i="9"/>
  <c r="D4624" i="9"/>
  <c r="E4624" i="9"/>
  <c r="F4624" i="9"/>
  <c r="A4625" i="9"/>
  <c r="B4625" i="9"/>
  <c r="C4625" i="9"/>
  <c r="D4625" i="9"/>
  <c r="E4625" i="9"/>
  <c r="F4625" i="9"/>
  <c r="A4626" i="9"/>
  <c r="B4626" i="9"/>
  <c r="C4626" i="9"/>
  <c r="D4626" i="9"/>
  <c r="E4626" i="9"/>
  <c r="F4626" i="9"/>
  <c r="A4627" i="9"/>
  <c r="B4627" i="9"/>
  <c r="C4627" i="9"/>
  <c r="D4627" i="9"/>
  <c r="E4627" i="9"/>
  <c r="F4627" i="9"/>
  <c r="A4628" i="9"/>
  <c r="B4628" i="9"/>
  <c r="C4628" i="9"/>
  <c r="D4628" i="9"/>
  <c r="E4628" i="9"/>
  <c r="F4628" i="9"/>
  <c r="A4629" i="9"/>
  <c r="B4629" i="9"/>
  <c r="C4629" i="9"/>
  <c r="D4629" i="9"/>
  <c r="E4629" i="9"/>
  <c r="F4629" i="9"/>
  <c r="A4630" i="9"/>
  <c r="B4630" i="9"/>
  <c r="C4630" i="9"/>
  <c r="D4630" i="9"/>
  <c r="E4630" i="9"/>
  <c r="F4630" i="9"/>
  <c r="A4631" i="9"/>
  <c r="B4631" i="9"/>
  <c r="C4631" i="9"/>
  <c r="D4631" i="9"/>
  <c r="E4631" i="9"/>
  <c r="F4631" i="9"/>
  <c r="A4632" i="9"/>
  <c r="B4632" i="9"/>
  <c r="C4632" i="9"/>
  <c r="D4632" i="9"/>
  <c r="E4632" i="9"/>
  <c r="F4632" i="9"/>
  <c r="A4633" i="9"/>
  <c r="B4633" i="9"/>
  <c r="C4633" i="9"/>
  <c r="D4633" i="9"/>
  <c r="E4633" i="9"/>
  <c r="F4633" i="9"/>
  <c r="A4634" i="9"/>
  <c r="B4634" i="9"/>
  <c r="C4634" i="9"/>
  <c r="D4634" i="9"/>
  <c r="E4634" i="9"/>
  <c r="F4634" i="9"/>
  <c r="A4635" i="9"/>
  <c r="B4635" i="9"/>
  <c r="C4635" i="9"/>
  <c r="D4635" i="9"/>
  <c r="E4635" i="9"/>
  <c r="F4635" i="9"/>
  <c r="A4636" i="9"/>
  <c r="B4636" i="9"/>
  <c r="C4636" i="9"/>
  <c r="D4636" i="9"/>
  <c r="E4636" i="9"/>
  <c r="F4636" i="9"/>
  <c r="A4637" i="9"/>
  <c r="B4637" i="9"/>
  <c r="C4637" i="9"/>
  <c r="D4637" i="9"/>
  <c r="E4637" i="9"/>
  <c r="F4637" i="9"/>
  <c r="A4638" i="9"/>
  <c r="B4638" i="9"/>
  <c r="C4638" i="9"/>
  <c r="D4638" i="9"/>
  <c r="E4638" i="9"/>
  <c r="F4638" i="9"/>
  <c r="A4639" i="9"/>
  <c r="B4639" i="9"/>
  <c r="C4639" i="9"/>
  <c r="D4639" i="9"/>
  <c r="E4639" i="9"/>
  <c r="F4639" i="9"/>
  <c r="A4640" i="9"/>
  <c r="B4640" i="9"/>
  <c r="C4640" i="9"/>
  <c r="D4640" i="9"/>
  <c r="E4640" i="9"/>
  <c r="F4640" i="9"/>
  <c r="A4641" i="9"/>
  <c r="B4641" i="9"/>
  <c r="C4641" i="9"/>
  <c r="D4641" i="9"/>
  <c r="E4641" i="9"/>
  <c r="F4641" i="9"/>
  <c r="A4642" i="9"/>
  <c r="B4642" i="9"/>
  <c r="C4642" i="9"/>
  <c r="D4642" i="9"/>
  <c r="E4642" i="9"/>
  <c r="F4642" i="9"/>
  <c r="A4643" i="9"/>
  <c r="B4643" i="9"/>
  <c r="C4643" i="9"/>
  <c r="D4643" i="9"/>
  <c r="E4643" i="9"/>
  <c r="F4643" i="9"/>
  <c r="A4644" i="9"/>
  <c r="B4644" i="9"/>
  <c r="C4644" i="9"/>
  <c r="D4644" i="9"/>
  <c r="E4644" i="9"/>
  <c r="F4644" i="9"/>
  <c r="A4645" i="9"/>
  <c r="B4645" i="9"/>
  <c r="C4645" i="9"/>
  <c r="D4645" i="9"/>
  <c r="E4645" i="9"/>
  <c r="F4645" i="9"/>
  <c r="A4646" i="9"/>
  <c r="B4646" i="9"/>
  <c r="C4646" i="9"/>
  <c r="D4646" i="9"/>
  <c r="E4646" i="9"/>
  <c r="F4646" i="9"/>
  <c r="A4647" i="9"/>
  <c r="B4647" i="9"/>
  <c r="C4647" i="9"/>
  <c r="D4647" i="9"/>
  <c r="E4647" i="9"/>
  <c r="F4647" i="9"/>
  <c r="A4648" i="9"/>
  <c r="B4648" i="9"/>
  <c r="C4648" i="9"/>
  <c r="D4648" i="9"/>
  <c r="E4648" i="9"/>
  <c r="F4648" i="9"/>
  <c r="A4649" i="9"/>
  <c r="B4649" i="9"/>
  <c r="C4649" i="9"/>
  <c r="D4649" i="9"/>
  <c r="E4649" i="9"/>
  <c r="F4649" i="9"/>
  <c r="A4650" i="9"/>
  <c r="B4650" i="9"/>
  <c r="C4650" i="9"/>
  <c r="D4650" i="9"/>
  <c r="E4650" i="9"/>
  <c r="F4650" i="9"/>
  <c r="A4651" i="9"/>
  <c r="B4651" i="9"/>
  <c r="C4651" i="9"/>
  <c r="D4651" i="9"/>
  <c r="E4651" i="9"/>
  <c r="F4651" i="9"/>
  <c r="A4652" i="9"/>
  <c r="B4652" i="9"/>
  <c r="C4652" i="9"/>
  <c r="D4652" i="9"/>
  <c r="E4652" i="9"/>
  <c r="F4652" i="9"/>
  <c r="A4653" i="9"/>
  <c r="B4653" i="9"/>
  <c r="C4653" i="9"/>
  <c r="D4653" i="9"/>
  <c r="E4653" i="9"/>
  <c r="F4653" i="9"/>
  <c r="A4654" i="9"/>
  <c r="B4654" i="9"/>
  <c r="C4654" i="9"/>
  <c r="D4654" i="9"/>
  <c r="E4654" i="9"/>
  <c r="F4654" i="9"/>
  <c r="A4655" i="9"/>
  <c r="B4655" i="9"/>
  <c r="C4655" i="9"/>
  <c r="D4655" i="9"/>
  <c r="E4655" i="9"/>
  <c r="F4655" i="9"/>
  <c r="A4656" i="9"/>
  <c r="B4656" i="9"/>
  <c r="C4656" i="9"/>
  <c r="D4656" i="9"/>
  <c r="E4656" i="9"/>
  <c r="F4656" i="9"/>
  <c r="A4657" i="9"/>
  <c r="B4657" i="9"/>
  <c r="C4657" i="9"/>
  <c r="D4657" i="9"/>
  <c r="E4657" i="9"/>
  <c r="F4657" i="9"/>
  <c r="A4658" i="9"/>
  <c r="B4658" i="9"/>
  <c r="C4658" i="9"/>
  <c r="D4658" i="9"/>
  <c r="E4658" i="9"/>
  <c r="F4658" i="9"/>
  <c r="A4659" i="9"/>
  <c r="B4659" i="9"/>
  <c r="C4659" i="9"/>
  <c r="D4659" i="9"/>
  <c r="E4659" i="9"/>
  <c r="F4659" i="9"/>
  <c r="A4660" i="9"/>
  <c r="B4660" i="9"/>
  <c r="C4660" i="9"/>
  <c r="D4660" i="9"/>
  <c r="E4660" i="9"/>
  <c r="F4660" i="9"/>
  <c r="A4661" i="9"/>
  <c r="B4661" i="9"/>
  <c r="C4661" i="9"/>
  <c r="D4661" i="9"/>
  <c r="E4661" i="9"/>
  <c r="F4661" i="9"/>
  <c r="A4662" i="9"/>
  <c r="B4662" i="9"/>
  <c r="C4662" i="9"/>
  <c r="D4662" i="9"/>
  <c r="E4662" i="9"/>
  <c r="F4662" i="9"/>
  <c r="A4663" i="9"/>
  <c r="B4663" i="9"/>
  <c r="C4663" i="9"/>
  <c r="D4663" i="9"/>
  <c r="E4663" i="9"/>
  <c r="F4663" i="9"/>
  <c r="A4664" i="9"/>
  <c r="B4664" i="9"/>
  <c r="C4664" i="9"/>
  <c r="D4664" i="9"/>
  <c r="E4664" i="9"/>
  <c r="F4664" i="9"/>
  <c r="A4665" i="9"/>
  <c r="B4665" i="9"/>
  <c r="C4665" i="9"/>
  <c r="D4665" i="9"/>
  <c r="E4665" i="9"/>
  <c r="F4665" i="9"/>
  <c r="A4666" i="9"/>
  <c r="B4666" i="9"/>
  <c r="C4666" i="9"/>
  <c r="D4666" i="9"/>
  <c r="E4666" i="9"/>
  <c r="F4666" i="9"/>
  <c r="A4667" i="9"/>
  <c r="B4667" i="9"/>
  <c r="C4667" i="9"/>
  <c r="D4667" i="9"/>
  <c r="E4667" i="9"/>
  <c r="F4667" i="9"/>
  <c r="A4668" i="9"/>
  <c r="B4668" i="9"/>
  <c r="C4668" i="9"/>
  <c r="D4668" i="9"/>
  <c r="E4668" i="9"/>
  <c r="F4668" i="9"/>
  <c r="A4669" i="9"/>
  <c r="B4669" i="9"/>
  <c r="C4669" i="9"/>
  <c r="D4669" i="9"/>
  <c r="E4669" i="9"/>
  <c r="F4669" i="9"/>
  <c r="A4670" i="9"/>
  <c r="B4670" i="9"/>
  <c r="C4670" i="9"/>
  <c r="D4670" i="9"/>
  <c r="E4670" i="9"/>
  <c r="F4670" i="9"/>
  <c r="A4671" i="9"/>
  <c r="B4671" i="9"/>
  <c r="C4671" i="9"/>
  <c r="D4671" i="9"/>
  <c r="E4671" i="9"/>
  <c r="F4671" i="9"/>
  <c r="A4672" i="9"/>
  <c r="B4672" i="9"/>
  <c r="C4672" i="9"/>
  <c r="D4672" i="9"/>
  <c r="E4672" i="9"/>
  <c r="F4672" i="9"/>
  <c r="A4673" i="9"/>
  <c r="B4673" i="9"/>
  <c r="C4673" i="9"/>
  <c r="D4673" i="9"/>
  <c r="E4673" i="9"/>
  <c r="F4673" i="9"/>
  <c r="A4674" i="9"/>
  <c r="B4674" i="9"/>
  <c r="C4674" i="9"/>
  <c r="D4674" i="9"/>
  <c r="E4674" i="9"/>
  <c r="F4674" i="9"/>
  <c r="A4675" i="9"/>
  <c r="B4675" i="9"/>
  <c r="C4675" i="9"/>
  <c r="D4675" i="9"/>
  <c r="E4675" i="9"/>
  <c r="F4675" i="9"/>
  <c r="A4676" i="9"/>
  <c r="B4676" i="9"/>
  <c r="C4676" i="9"/>
  <c r="D4676" i="9"/>
  <c r="E4676" i="9"/>
  <c r="F4676" i="9"/>
  <c r="A4677" i="9"/>
  <c r="B4677" i="9"/>
  <c r="C4677" i="9"/>
  <c r="D4677" i="9"/>
  <c r="E4677" i="9"/>
  <c r="F4677" i="9"/>
  <c r="A4678" i="9"/>
  <c r="B4678" i="9"/>
  <c r="C4678" i="9"/>
  <c r="D4678" i="9"/>
  <c r="E4678" i="9"/>
  <c r="F4678" i="9"/>
  <c r="A4679" i="9"/>
  <c r="B4679" i="9"/>
  <c r="C4679" i="9"/>
  <c r="D4679" i="9"/>
  <c r="E4679" i="9"/>
  <c r="F4679" i="9"/>
  <c r="A4680" i="9"/>
  <c r="B4680" i="9"/>
  <c r="C4680" i="9"/>
  <c r="D4680" i="9"/>
  <c r="E4680" i="9"/>
  <c r="F4680" i="9"/>
  <c r="A4681" i="9"/>
  <c r="B4681" i="9"/>
  <c r="C4681" i="9"/>
  <c r="D4681" i="9"/>
  <c r="E4681" i="9"/>
  <c r="F4681" i="9"/>
  <c r="A4682" i="9"/>
  <c r="B4682" i="9"/>
  <c r="C4682" i="9"/>
  <c r="D4682" i="9"/>
  <c r="E4682" i="9"/>
  <c r="F4682" i="9"/>
  <c r="A4683" i="9"/>
  <c r="B4683" i="9"/>
  <c r="C4683" i="9"/>
  <c r="D4683" i="9"/>
  <c r="E4683" i="9"/>
  <c r="F4683" i="9"/>
  <c r="A4684" i="9"/>
  <c r="B4684" i="9"/>
  <c r="C4684" i="9"/>
  <c r="D4684" i="9"/>
  <c r="E4684" i="9"/>
  <c r="F4684" i="9"/>
  <c r="A4685" i="9"/>
  <c r="B4685" i="9"/>
  <c r="C4685" i="9"/>
  <c r="D4685" i="9"/>
  <c r="E4685" i="9"/>
  <c r="F4685" i="9"/>
  <c r="A4686" i="9"/>
  <c r="B4686" i="9"/>
  <c r="C4686" i="9"/>
  <c r="D4686" i="9"/>
  <c r="E4686" i="9"/>
  <c r="F4686" i="9"/>
  <c r="A4687" i="9"/>
  <c r="B4687" i="9"/>
  <c r="C4687" i="9"/>
  <c r="D4687" i="9"/>
  <c r="E4687" i="9"/>
  <c r="F4687" i="9"/>
  <c r="A4688" i="9"/>
  <c r="B4688" i="9"/>
  <c r="C4688" i="9"/>
  <c r="D4688" i="9"/>
  <c r="E4688" i="9"/>
  <c r="F4688" i="9"/>
  <c r="A4689" i="9"/>
  <c r="B4689" i="9"/>
  <c r="C4689" i="9"/>
  <c r="D4689" i="9"/>
  <c r="E4689" i="9"/>
  <c r="F4689" i="9"/>
  <c r="A4690" i="9"/>
  <c r="B4690" i="9"/>
  <c r="C4690" i="9"/>
  <c r="D4690" i="9"/>
  <c r="E4690" i="9"/>
  <c r="F4690" i="9"/>
  <c r="A4691" i="9"/>
  <c r="B4691" i="9"/>
  <c r="C4691" i="9"/>
  <c r="D4691" i="9"/>
  <c r="E4691" i="9"/>
  <c r="F4691" i="9"/>
  <c r="A4692" i="9"/>
  <c r="B4692" i="9"/>
  <c r="C4692" i="9"/>
  <c r="D4692" i="9"/>
  <c r="E4692" i="9"/>
  <c r="F4692" i="9"/>
  <c r="A4693" i="9"/>
  <c r="B4693" i="9"/>
  <c r="C4693" i="9"/>
  <c r="D4693" i="9"/>
  <c r="E4693" i="9"/>
  <c r="F4693" i="9"/>
  <c r="A4694" i="9"/>
  <c r="B4694" i="9"/>
  <c r="C4694" i="9"/>
  <c r="D4694" i="9"/>
  <c r="E4694" i="9"/>
  <c r="F4694" i="9"/>
  <c r="A4695" i="9"/>
  <c r="B4695" i="9"/>
  <c r="C4695" i="9"/>
  <c r="D4695" i="9"/>
  <c r="E4695" i="9"/>
  <c r="F4695" i="9"/>
  <c r="A4696" i="9"/>
  <c r="B4696" i="9"/>
  <c r="C4696" i="9"/>
  <c r="D4696" i="9"/>
  <c r="E4696" i="9"/>
  <c r="F4696" i="9"/>
  <c r="A4697" i="9"/>
  <c r="B4697" i="9"/>
  <c r="C4697" i="9"/>
  <c r="D4697" i="9"/>
  <c r="E4697" i="9"/>
  <c r="F4697" i="9"/>
  <c r="A4698" i="9"/>
  <c r="B4698" i="9"/>
  <c r="C4698" i="9"/>
  <c r="D4698" i="9"/>
  <c r="E4698" i="9"/>
  <c r="F4698" i="9"/>
  <c r="A4699" i="9"/>
  <c r="B4699" i="9"/>
  <c r="C4699" i="9"/>
  <c r="D4699" i="9"/>
  <c r="E4699" i="9"/>
  <c r="F4699" i="9"/>
  <c r="A4700" i="9"/>
  <c r="B4700" i="9"/>
  <c r="C4700" i="9"/>
  <c r="D4700" i="9"/>
  <c r="E4700" i="9"/>
  <c r="F4700" i="9"/>
  <c r="A4701" i="9"/>
  <c r="B4701" i="9"/>
  <c r="C4701" i="9"/>
  <c r="D4701" i="9"/>
  <c r="E4701" i="9"/>
  <c r="F4701" i="9"/>
  <c r="A4702" i="9"/>
  <c r="B4702" i="9"/>
  <c r="C4702" i="9"/>
  <c r="D4702" i="9"/>
  <c r="E4702" i="9"/>
  <c r="F4702" i="9"/>
  <c r="A4703" i="9"/>
  <c r="B4703" i="9"/>
  <c r="C4703" i="9"/>
  <c r="D4703" i="9"/>
  <c r="E4703" i="9"/>
  <c r="F4703" i="9"/>
  <c r="A4704" i="9"/>
  <c r="B4704" i="9"/>
  <c r="C4704" i="9"/>
  <c r="D4704" i="9"/>
  <c r="E4704" i="9"/>
  <c r="F4704" i="9"/>
  <c r="A4705" i="9"/>
  <c r="B4705" i="9"/>
  <c r="C4705" i="9"/>
  <c r="D4705" i="9"/>
  <c r="E4705" i="9"/>
  <c r="F4705" i="9"/>
  <c r="A4706" i="9"/>
  <c r="B4706" i="9"/>
  <c r="C4706" i="9"/>
  <c r="D4706" i="9"/>
  <c r="E4706" i="9"/>
  <c r="F4706" i="9"/>
  <c r="A4707" i="9"/>
  <c r="B4707" i="9"/>
  <c r="C4707" i="9"/>
  <c r="D4707" i="9"/>
  <c r="E4707" i="9"/>
  <c r="F4707" i="9"/>
  <c r="A4708" i="9"/>
  <c r="B4708" i="9"/>
  <c r="C4708" i="9"/>
  <c r="D4708" i="9"/>
  <c r="E4708" i="9"/>
  <c r="F4708" i="9"/>
  <c r="A4709" i="9"/>
  <c r="B4709" i="9"/>
  <c r="C4709" i="9"/>
  <c r="D4709" i="9"/>
  <c r="E4709" i="9"/>
  <c r="F4709" i="9"/>
  <c r="A4710" i="9"/>
  <c r="B4710" i="9"/>
  <c r="C4710" i="9"/>
  <c r="D4710" i="9"/>
  <c r="E4710" i="9"/>
  <c r="F4710" i="9"/>
  <c r="A4711" i="9"/>
  <c r="B4711" i="9"/>
  <c r="C4711" i="9"/>
  <c r="D4711" i="9"/>
  <c r="E4711" i="9"/>
  <c r="F4711" i="9"/>
  <c r="A4712" i="9"/>
  <c r="B4712" i="9"/>
  <c r="C4712" i="9"/>
  <c r="D4712" i="9"/>
  <c r="E4712" i="9"/>
  <c r="F4712" i="9"/>
  <c r="A4713" i="9"/>
  <c r="B4713" i="9"/>
  <c r="C4713" i="9"/>
  <c r="D4713" i="9"/>
  <c r="E4713" i="9"/>
  <c r="F4713" i="9"/>
  <c r="A4714" i="9"/>
  <c r="B4714" i="9"/>
  <c r="C4714" i="9"/>
  <c r="D4714" i="9"/>
  <c r="E4714" i="9"/>
  <c r="F4714" i="9"/>
  <c r="A4715" i="9"/>
  <c r="B4715" i="9"/>
  <c r="C4715" i="9"/>
  <c r="D4715" i="9"/>
  <c r="E4715" i="9"/>
  <c r="F4715" i="9"/>
  <c r="A4716" i="9"/>
  <c r="B4716" i="9"/>
  <c r="C4716" i="9"/>
  <c r="D4716" i="9"/>
  <c r="E4716" i="9"/>
  <c r="F4716" i="9"/>
  <c r="A4717" i="9"/>
  <c r="B4717" i="9"/>
  <c r="C4717" i="9"/>
  <c r="D4717" i="9"/>
  <c r="E4717" i="9"/>
  <c r="F4717" i="9"/>
  <c r="A4718" i="9"/>
  <c r="B4718" i="9"/>
  <c r="C4718" i="9"/>
  <c r="D4718" i="9"/>
  <c r="E4718" i="9"/>
  <c r="F4718" i="9"/>
  <c r="A4719" i="9"/>
  <c r="B4719" i="9"/>
  <c r="C4719" i="9"/>
  <c r="D4719" i="9"/>
  <c r="E4719" i="9"/>
  <c r="F4719" i="9"/>
  <c r="A4720" i="9"/>
  <c r="B4720" i="9"/>
  <c r="C4720" i="9"/>
  <c r="D4720" i="9"/>
  <c r="E4720" i="9"/>
  <c r="F4720" i="9"/>
  <c r="A4721" i="9"/>
  <c r="B4721" i="9"/>
  <c r="C4721" i="9"/>
  <c r="D4721" i="9"/>
  <c r="E4721" i="9"/>
  <c r="F4721" i="9"/>
  <c r="A4722" i="9"/>
  <c r="B4722" i="9"/>
  <c r="C4722" i="9"/>
  <c r="D4722" i="9"/>
  <c r="E4722" i="9"/>
  <c r="F4722" i="9"/>
  <c r="A4723" i="9"/>
  <c r="B4723" i="9"/>
  <c r="C4723" i="9"/>
  <c r="D4723" i="9"/>
  <c r="E4723" i="9"/>
  <c r="F4723" i="9"/>
  <c r="A4724" i="9"/>
  <c r="B4724" i="9"/>
  <c r="C4724" i="9"/>
  <c r="D4724" i="9"/>
  <c r="E4724" i="9"/>
  <c r="F4724" i="9"/>
  <c r="A4725" i="9"/>
  <c r="B4725" i="9"/>
  <c r="C4725" i="9"/>
  <c r="D4725" i="9"/>
  <c r="E4725" i="9"/>
  <c r="F4725" i="9"/>
  <c r="A4726" i="9"/>
  <c r="B4726" i="9"/>
  <c r="C4726" i="9"/>
  <c r="D4726" i="9"/>
  <c r="E4726" i="9"/>
  <c r="F4726" i="9"/>
  <c r="A4727" i="9"/>
  <c r="B4727" i="9"/>
  <c r="C4727" i="9"/>
  <c r="D4727" i="9"/>
  <c r="E4727" i="9"/>
  <c r="F4727" i="9"/>
  <c r="A4728" i="9"/>
  <c r="B4728" i="9"/>
  <c r="C4728" i="9"/>
  <c r="D4728" i="9"/>
  <c r="E4728" i="9"/>
  <c r="F4728" i="9"/>
  <c r="A4729" i="9"/>
  <c r="B4729" i="9"/>
  <c r="C4729" i="9"/>
  <c r="D4729" i="9"/>
  <c r="E4729" i="9"/>
  <c r="F4729" i="9"/>
  <c r="A4730" i="9"/>
  <c r="B4730" i="9"/>
  <c r="C4730" i="9"/>
  <c r="D4730" i="9"/>
  <c r="E4730" i="9"/>
  <c r="F4730" i="9"/>
  <c r="A4731" i="9"/>
  <c r="B4731" i="9"/>
  <c r="C4731" i="9"/>
  <c r="D4731" i="9"/>
  <c r="E4731" i="9"/>
  <c r="F4731" i="9"/>
  <c r="A4732" i="9"/>
  <c r="B4732" i="9"/>
  <c r="C4732" i="9"/>
  <c r="D4732" i="9"/>
  <c r="E4732" i="9"/>
  <c r="F4732" i="9"/>
  <c r="A4733" i="9"/>
  <c r="B4733" i="9"/>
  <c r="C4733" i="9"/>
  <c r="D4733" i="9"/>
  <c r="E4733" i="9"/>
  <c r="F4733" i="9"/>
  <c r="A4734" i="9"/>
  <c r="B4734" i="9"/>
  <c r="C4734" i="9"/>
  <c r="D4734" i="9"/>
  <c r="E4734" i="9"/>
  <c r="F4734" i="9"/>
  <c r="A4735" i="9"/>
  <c r="B4735" i="9"/>
  <c r="C4735" i="9"/>
  <c r="D4735" i="9"/>
  <c r="E4735" i="9"/>
  <c r="F4735" i="9"/>
  <c r="A4736" i="9"/>
  <c r="B4736" i="9"/>
  <c r="C4736" i="9"/>
  <c r="D4736" i="9"/>
  <c r="E4736" i="9"/>
  <c r="F4736" i="9"/>
  <c r="A4737" i="9"/>
  <c r="B4737" i="9"/>
  <c r="C4737" i="9"/>
  <c r="D4737" i="9"/>
  <c r="E4737" i="9"/>
  <c r="F4737" i="9"/>
  <c r="A4738" i="9"/>
  <c r="B4738" i="9"/>
  <c r="C4738" i="9"/>
  <c r="D4738" i="9"/>
  <c r="E4738" i="9"/>
  <c r="F4738" i="9"/>
  <c r="A4739" i="9"/>
  <c r="B4739" i="9"/>
  <c r="C4739" i="9"/>
  <c r="D4739" i="9"/>
  <c r="E4739" i="9"/>
  <c r="F4739" i="9"/>
  <c r="A4740" i="9"/>
  <c r="B4740" i="9"/>
  <c r="C4740" i="9"/>
  <c r="D4740" i="9"/>
  <c r="E4740" i="9"/>
  <c r="F4740" i="9"/>
  <c r="A4741" i="9"/>
  <c r="B4741" i="9"/>
  <c r="C4741" i="9"/>
  <c r="D4741" i="9"/>
  <c r="E4741" i="9"/>
  <c r="F4741" i="9"/>
  <c r="A4742" i="9"/>
  <c r="B4742" i="9"/>
  <c r="C4742" i="9"/>
  <c r="D4742" i="9"/>
  <c r="E4742" i="9"/>
  <c r="F4742" i="9"/>
  <c r="A4743" i="9"/>
  <c r="B4743" i="9"/>
  <c r="C4743" i="9"/>
  <c r="D4743" i="9"/>
  <c r="E4743" i="9"/>
  <c r="F4743" i="9"/>
  <c r="A4744" i="9"/>
  <c r="B4744" i="9"/>
  <c r="C4744" i="9"/>
  <c r="D4744" i="9"/>
  <c r="E4744" i="9"/>
  <c r="F4744" i="9"/>
  <c r="A4745" i="9"/>
  <c r="B4745" i="9"/>
  <c r="C4745" i="9"/>
  <c r="D4745" i="9"/>
  <c r="E4745" i="9"/>
  <c r="F4745" i="9"/>
  <c r="A4746" i="9"/>
  <c r="B4746" i="9"/>
  <c r="C4746" i="9"/>
  <c r="D4746" i="9"/>
  <c r="E4746" i="9"/>
  <c r="F4746" i="9"/>
  <c r="A4747" i="9"/>
  <c r="B4747" i="9"/>
  <c r="C4747" i="9"/>
  <c r="D4747" i="9"/>
  <c r="E4747" i="9"/>
  <c r="F4747" i="9"/>
  <c r="A4748" i="9"/>
  <c r="B4748" i="9"/>
  <c r="C4748" i="9"/>
  <c r="D4748" i="9"/>
  <c r="E4748" i="9"/>
  <c r="F4748" i="9"/>
  <c r="A4749" i="9"/>
  <c r="B4749" i="9"/>
  <c r="C4749" i="9"/>
  <c r="D4749" i="9"/>
  <c r="E4749" i="9"/>
  <c r="F4749" i="9"/>
  <c r="A4750" i="9"/>
  <c r="B4750" i="9"/>
  <c r="C4750" i="9"/>
  <c r="D4750" i="9"/>
  <c r="E4750" i="9"/>
  <c r="F4750" i="9"/>
  <c r="A4751" i="9"/>
  <c r="B4751" i="9"/>
  <c r="C4751" i="9"/>
  <c r="D4751" i="9"/>
  <c r="E4751" i="9"/>
  <c r="F4751" i="9"/>
  <c r="A4752" i="9"/>
  <c r="B4752" i="9"/>
  <c r="C4752" i="9"/>
  <c r="D4752" i="9"/>
  <c r="E4752" i="9"/>
  <c r="F4752" i="9"/>
  <c r="A4753" i="9"/>
  <c r="B4753" i="9"/>
  <c r="C4753" i="9"/>
  <c r="D4753" i="9"/>
  <c r="E4753" i="9"/>
  <c r="F4753" i="9"/>
  <c r="A4754" i="9"/>
  <c r="B4754" i="9"/>
  <c r="C4754" i="9"/>
  <c r="D4754" i="9"/>
  <c r="E4754" i="9"/>
  <c r="F4754" i="9"/>
  <c r="A4755" i="9"/>
  <c r="B4755" i="9"/>
  <c r="C4755" i="9"/>
  <c r="D4755" i="9"/>
  <c r="E4755" i="9"/>
  <c r="F4755" i="9"/>
  <c r="A4756" i="9"/>
  <c r="B4756" i="9"/>
  <c r="C4756" i="9"/>
  <c r="D4756" i="9"/>
  <c r="E4756" i="9"/>
  <c r="F4756" i="9"/>
  <c r="A4757" i="9"/>
  <c r="B4757" i="9"/>
  <c r="C4757" i="9"/>
  <c r="D4757" i="9"/>
  <c r="E4757" i="9"/>
  <c r="F4757" i="9"/>
  <c r="A4758" i="9"/>
  <c r="B4758" i="9"/>
  <c r="C4758" i="9"/>
  <c r="D4758" i="9"/>
  <c r="E4758" i="9"/>
  <c r="F4758" i="9"/>
  <c r="A4759" i="9"/>
  <c r="B4759" i="9"/>
  <c r="C4759" i="9"/>
  <c r="D4759" i="9"/>
  <c r="E4759" i="9"/>
  <c r="F4759" i="9"/>
  <c r="A4760" i="9"/>
  <c r="B4760" i="9"/>
  <c r="C4760" i="9"/>
  <c r="D4760" i="9"/>
  <c r="E4760" i="9"/>
  <c r="F4760" i="9"/>
  <c r="A4761" i="9"/>
  <c r="B4761" i="9"/>
  <c r="C4761" i="9"/>
  <c r="D4761" i="9"/>
  <c r="E4761" i="9"/>
  <c r="F4761" i="9"/>
  <c r="A4762" i="9"/>
  <c r="B4762" i="9"/>
  <c r="C4762" i="9"/>
  <c r="D4762" i="9"/>
  <c r="E4762" i="9"/>
  <c r="F4762" i="9"/>
  <c r="A4763" i="9"/>
  <c r="B4763" i="9"/>
  <c r="C4763" i="9"/>
  <c r="D4763" i="9"/>
  <c r="E4763" i="9"/>
  <c r="F4763" i="9"/>
  <c r="A4764" i="9"/>
  <c r="B4764" i="9"/>
  <c r="C4764" i="9"/>
  <c r="D4764" i="9"/>
  <c r="E4764" i="9"/>
  <c r="F4764" i="9"/>
  <c r="A4765" i="9"/>
  <c r="B4765" i="9"/>
  <c r="C4765" i="9"/>
  <c r="D4765" i="9"/>
  <c r="E4765" i="9"/>
  <c r="F4765" i="9"/>
  <c r="A4766" i="9"/>
  <c r="B4766" i="9"/>
  <c r="C4766" i="9"/>
  <c r="D4766" i="9"/>
  <c r="E4766" i="9"/>
  <c r="F4766" i="9"/>
  <c r="A4767" i="9"/>
  <c r="B4767" i="9"/>
  <c r="C4767" i="9"/>
  <c r="D4767" i="9"/>
  <c r="E4767" i="9"/>
  <c r="F4767" i="9"/>
  <c r="A4768" i="9"/>
  <c r="B4768" i="9"/>
  <c r="C4768" i="9"/>
  <c r="D4768" i="9"/>
  <c r="E4768" i="9"/>
  <c r="F4768" i="9"/>
  <c r="A4769" i="9"/>
  <c r="B4769" i="9"/>
  <c r="C4769" i="9"/>
  <c r="D4769" i="9"/>
  <c r="E4769" i="9"/>
  <c r="F4769" i="9"/>
  <c r="A4770" i="9"/>
  <c r="B4770" i="9"/>
  <c r="C4770" i="9"/>
  <c r="D4770" i="9"/>
  <c r="E4770" i="9"/>
  <c r="F4770" i="9"/>
  <c r="A4771" i="9"/>
  <c r="B4771" i="9"/>
  <c r="C4771" i="9"/>
  <c r="D4771" i="9"/>
  <c r="E4771" i="9"/>
  <c r="F4771" i="9"/>
  <c r="A4772" i="9"/>
  <c r="B4772" i="9"/>
  <c r="C4772" i="9"/>
  <c r="D4772" i="9"/>
  <c r="E4772" i="9"/>
  <c r="F4772" i="9"/>
  <c r="A4773" i="9"/>
  <c r="B4773" i="9"/>
  <c r="C4773" i="9"/>
  <c r="D4773" i="9"/>
  <c r="E4773" i="9"/>
  <c r="F4773" i="9"/>
  <c r="A4774" i="9"/>
  <c r="B4774" i="9"/>
  <c r="C4774" i="9"/>
  <c r="D4774" i="9"/>
  <c r="E4774" i="9"/>
  <c r="F4774" i="9"/>
  <c r="A4775" i="9"/>
  <c r="B4775" i="9"/>
  <c r="C4775" i="9"/>
  <c r="D4775" i="9"/>
  <c r="E4775" i="9"/>
  <c r="F4775" i="9"/>
  <c r="A4776" i="9"/>
  <c r="B4776" i="9"/>
  <c r="C4776" i="9"/>
  <c r="D4776" i="9"/>
  <c r="E4776" i="9"/>
  <c r="F4776" i="9"/>
  <c r="A4777" i="9"/>
  <c r="B4777" i="9"/>
  <c r="C4777" i="9"/>
  <c r="D4777" i="9"/>
  <c r="E4777" i="9"/>
  <c r="F4777" i="9"/>
  <c r="A4778" i="9"/>
  <c r="B4778" i="9"/>
  <c r="C4778" i="9"/>
  <c r="D4778" i="9"/>
  <c r="E4778" i="9"/>
  <c r="F4778" i="9"/>
  <c r="A4779" i="9"/>
  <c r="B4779" i="9"/>
  <c r="C4779" i="9"/>
  <c r="D4779" i="9"/>
  <c r="E4779" i="9"/>
  <c r="F4779" i="9"/>
  <c r="A4780" i="9"/>
  <c r="B4780" i="9"/>
  <c r="C4780" i="9"/>
  <c r="D4780" i="9"/>
  <c r="E4780" i="9"/>
  <c r="F4780" i="9"/>
  <c r="A4781" i="9"/>
  <c r="B4781" i="9"/>
  <c r="C4781" i="9"/>
  <c r="D4781" i="9"/>
  <c r="E4781" i="9"/>
  <c r="F4781" i="9"/>
  <c r="A4782" i="9"/>
  <c r="B4782" i="9"/>
  <c r="C4782" i="9"/>
  <c r="D4782" i="9"/>
  <c r="E4782" i="9"/>
  <c r="F4782" i="9"/>
  <c r="A4783" i="9"/>
  <c r="B4783" i="9"/>
  <c r="C4783" i="9"/>
  <c r="D4783" i="9"/>
  <c r="E4783" i="9"/>
  <c r="F4783" i="9"/>
  <c r="A4784" i="9"/>
  <c r="B4784" i="9"/>
  <c r="C4784" i="9"/>
  <c r="D4784" i="9"/>
  <c r="E4784" i="9"/>
  <c r="F4784" i="9"/>
  <c r="A4785" i="9"/>
  <c r="B4785" i="9"/>
  <c r="C4785" i="9"/>
  <c r="D4785" i="9"/>
  <c r="E4785" i="9"/>
  <c r="F4785" i="9"/>
  <c r="A4786" i="9"/>
  <c r="B4786" i="9"/>
  <c r="C4786" i="9"/>
  <c r="D4786" i="9"/>
  <c r="E4786" i="9"/>
  <c r="F4786" i="9"/>
  <c r="A4787" i="9"/>
  <c r="B4787" i="9"/>
  <c r="C4787" i="9"/>
  <c r="D4787" i="9"/>
  <c r="E4787" i="9"/>
  <c r="F4787" i="9"/>
  <c r="A4788" i="9"/>
  <c r="B4788" i="9"/>
  <c r="C4788" i="9"/>
  <c r="D4788" i="9"/>
  <c r="E4788" i="9"/>
  <c r="F4788" i="9"/>
  <c r="A4789" i="9"/>
  <c r="B4789" i="9"/>
  <c r="C4789" i="9"/>
  <c r="D4789" i="9"/>
  <c r="E4789" i="9"/>
  <c r="F4789" i="9"/>
  <c r="A4790" i="9"/>
  <c r="B4790" i="9"/>
  <c r="C4790" i="9"/>
  <c r="D4790" i="9"/>
  <c r="E4790" i="9"/>
  <c r="F4790" i="9"/>
  <c r="A4791" i="9"/>
  <c r="B4791" i="9"/>
  <c r="C4791" i="9"/>
  <c r="D4791" i="9"/>
  <c r="E4791" i="9"/>
  <c r="F4791" i="9"/>
  <c r="A4792" i="9"/>
  <c r="B4792" i="9"/>
  <c r="C4792" i="9"/>
  <c r="D4792" i="9"/>
  <c r="E4792" i="9"/>
  <c r="F4792" i="9"/>
  <c r="A4793" i="9"/>
  <c r="B4793" i="9"/>
  <c r="C4793" i="9"/>
  <c r="D4793" i="9"/>
  <c r="E4793" i="9"/>
  <c r="F4793" i="9"/>
  <c r="A4794" i="9"/>
  <c r="B4794" i="9"/>
  <c r="C4794" i="9"/>
  <c r="D4794" i="9"/>
  <c r="E4794" i="9"/>
  <c r="F4794" i="9"/>
  <c r="A4795" i="9"/>
  <c r="B4795" i="9"/>
  <c r="C4795" i="9"/>
  <c r="D4795" i="9"/>
  <c r="E4795" i="9"/>
  <c r="F4795" i="9"/>
  <c r="A4796" i="9"/>
  <c r="B4796" i="9"/>
  <c r="C4796" i="9"/>
  <c r="D4796" i="9"/>
  <c r="E4796" i="9"/>
  <c r="F4796" i="9"/>
  <c r="A4797" i="9"/>
  <c r="B4797" i="9"/>
  <c r="C4797" i="9"/>
  <c r="D4797" i="9"/>
  <c r="E4797" i="9"/>
  <c r="F4797" i="9"/>
  <c r="A4798" i="9"/>
  <c r="B4798" i="9"/>
  <c r="C4798" i="9"/>
  <c r="D4798" i="9"/>
  <c r="E4798" i="9"/>
  <c r="F4798" i="9"/>
  <c r="A4799" i="9"/>
  <c r="B4799" i="9"/>
  <c r="C4799" i="9"/>
  <c r="D4799" i="9"/>
  <c r="E4799" i="9"/>
  <c r="F4799" i="9"/>
  <c r="A4800" i="9"/>
  <c r="B4800" i="9"/>
  <c r="C4800" i="9"/>
  <c r="D4800" i="9"/>
  <c r="E4800" i="9"/>
  <c r="F4800" i="9"/>
  <c r="A4801" i="9"/>
  <c r="B4801" i="9"/>
  <c r="C4801" i="9"/>
  <c r="D4801" i="9"/>
  <c r="E4801" i="9"/>
  <c r="F4801" i="9"/>
  <c r="A4802" i="9"/>
  <c r="B4802" i="9"/>
  <c r="C4802" i="9"/>
  <c r="D4802" i="9"/>
  <c r="E4802" i="9"/>
  <c r="F4802" i="9"/>
  <c r="A4803" i="9"/>
  <c r="B4803" i="9"/>
  <c r="C4803" i="9"/>
  <c r="D4803" i="9"/>
  <c r="E4803" i="9"/>
  <c r="F4803" i="9"/>
  <c r="A4804" i="9"/>
  <c r="B4804" i="9"/>
  <c r="C4804" i="9"/>
  <c r="D4804" i="9"/>
  <c r="E4804" i="9"/>
  <c r="F4804" i="9"/>
  <c r="A4805" i="9"/>
  <c r="B4805" i="9"/>
  <c r="C4805" i="9"/>
  <c r="D4805" i="9"/>
  <c r="E4805" i="9"/>
  <c r="F4805" i="9"/>
  <c r="A4806" i="9"/>
  <c r="B4806" i="9"/>
  <c r="C4806" i="9"/>
  <c r="D4806" i="9"/>
  <c r="E4806" i="9"/>
  <c r="F4806" i="9"/>
  <c r="A4807" i="9"/>
  <c r="B4807" i="9"/>
  <c r="C4807" i="9"/>
  <c r="D4807" i="9"/>
  <c r="E4807" i="9"/>
  <c r="F4807" i="9"/>
  <c r="A4808" i="9"/>
  <c r="B4808" i="9"/>
  <c r="C4808" i="9"/>
  <c r="D4808" i="9"/>
  <c r="E4808" i="9"/>
  <c r="F4808" i="9"/>
  <c r="A4809" i="9"/>
  <c r="B4809" i="9"/>
  <c r="C4809" i="9"/>
  <c r="D4809" i="9"/>
  <c r="E4809" i="9"/>
  <c r="F4809" i="9"/>
  <c r="A4810" i="9"/>
  <c r="B4810" i="9"/>
  <c r="C4810" i="9"/>
  <c r="D4810" i="9"/>
  <c r="E4810" i="9"/>
  <c r="F4810" i="9"/>
  <c r="A4811" i="9"/>
  <c r="B4811" i="9"/>
  <c r="C4811" i="9"/>
  <c r="D4811" i="9"/>
  <c r="E4811" i="9"/>
  <c r="F4811" i="9"/>
  <c r="A4812" i="9"/>
  <c r="B4812" i="9"/>
  <c r="C4812" i="9"/>
  <c r="D4812" i="9"/>
  <c r="E4812" i="9"/>
  <c r="F4812" i="9"/>
  <c r="A4813" i="9"/>
  <c r="B4813" i="9"/>
  <c r="C4813" i="9"/>
  <c r="D4813" i="9"/>
  <c r="E4813" i="9"/>
  <c r="F4813" i="9"/>
  <c r="A4814" i="9"/>
  <c r="B4814" i="9"/>
  <c r="C4814" i="9"/>
  <c r="D4814" i="9"/>
  <c r="E4814" i="9"/>
  <c r="F4814" i="9"/>
  <c r="A4815" i="9"/>
  <c r="B4815" i="9"/>
  <c r="C4815" i="9"/>
  <c r="D4815" i="9"/>
  <c r="E4815" i="9"/>
  <c r="F4815" i="9"/>
  <c r="A4816" i="9"/>
  <c r="B4816" i="9"/>
  <c r="C4816" i="9"/>
  <c r="D4816" i="9"/>
  <c r="E4816" i="9"/>
  <c r="F4816" i="9"/>
  <c r="A4817" i="9"/>
  <c r="B4817" i="9"/>
  <c r="C4817" i="9"/>
  <c r="D4817" i="9"/>
  <c r="E4817" i="9"/>
  <c r="F4817" i="9"/>
  <c r="A4818" i="9"/>
  <c r="B4818" i="9"/>
  <c r="C4818" i="9"/>
  <c r="D4818" i="9"/>
  <c r="E4818" i="9"/>
  <c r="F4818" i="9"/>
  <c r="A4819" i="9"/>
  <c r="B4819" i="9"/>
  <c r="C4819" i="9"/>
  <c r="D4819" i="9"/>
  <c r="E4819" i="9"/>
  <c r="F4819" i="9"/>
  <c r="A4820" i="9"/>
  <c r="B4820" i="9"/>
  <c r="C4820" i="9"/>
  <c r="D4820" i="9"/>
  <c r="E4820" i="9"/>
  <c r="F4820" i="9"/>
  <c r="A4821" i="9"/>
  <c r="B4821" i="9"/>
  <c r="C4821" i="9"/>
  <c r="D4821" i="9"/>
  <c r="E4821" i="9"/>
  <c r="F4821" i="9"/>
  <c r="A4822" i="9"/>
  <c r="B4822" i="9"/>
  <c r="C4822" i="9"/>
  <c r="D4822" i="9"/>
  <c r="E4822" i="9"/>
  <c r="F4822" i="9"/>
  <c r="A4823" i="9"/>
  <c r="B4823" i="9"/>
  <c r="C4823" i="9"/>
  <c r="D4823" i="9"/>
  <c r="E4823" i="9"/>
  <c r="F4823" i="9"/>
  <c r="A4824" i="9"/>
  <c r="B4824" i="9"/>
  <c r="C4824" i="9"/>
  <c r="D4824" i="9"/>
  <c r="E4824" i="9"/>
  <c r="F4824" i="9"/>
  <c r="A4825" i="9"/>
  <c r="B4825" i="9"/>
  <c r="C4825" i="9"/>
  <c r="D4825" i="9"/>
  <c r="E4825" i="9"/>
  <c r="F4825" i="9"/>
  <c r="A4826" i="9"/>
  <c r="B4826" i="9"/>
  <c r="C4826" i="9"/>
  <c r="D4826" i="9"/>
  <c r="E4826" i="9"/>
  <c r="F4826" i="9"/>
  <c r="A4827" i="9"/>
  <c r="B4827" i="9"/>
  <c r="C4827" i="9"/>
  <c r="D4827" i="9"/>
  <c r="E4827" i="9"/>
  <c r="F4827" i="9"/>
  <c r="A4828" i="9"/>
  <c r="B4828" i="9"/>
  <c r="C4828" i="9"/>
  <c r="D4828" i="9"/>
  <c r="E4828" i="9"/>
  <c r="F4828" i="9"/>
  <c r="A4829" i="9"/>
  <c r="B4829" i="9"/>
  <c r="C4829" i="9"/>
  <c r="D4829" i="9"/>
  <c r="E4829" i="9"/>
  <c r="F4829" i="9"/>
  <c r="A4830" i="9"/>
  <c r="B4830" i="9"/>
  <c r="C4830" i="9"/>
  <c r="D4830" i="9"/>
  <c r="E4830" i="9"/>
  <c r="F4830" i="9"/>
  <c r="A4831" i="9"/>
  <c r="B4831" i="9"/>
  <c r="C4831" i="9"/>
  <c r="D4831" i="9"/>
  <c r="E4831" i="9"/>
  <c r="F4831" i="9"/>
  <c r="A4832" i="9"/>
  <c r="B4832" i="9"/>
  <c r="C4832" i="9"/>
  <c r="D4832" i="9"/>
  <c r="E4832" i="9"/>
  <c r="F4832" i="9"/>
  <c r="A4833" i="9"/>
  <c r="B4833" i="9"/>
  <c r="C4833" i="9"/>
  <c r="D4833" i="9"/>
  <c r="E4833" i="9"/>
  <c r="F4833" i="9"/>
  <c r="A4834" i="9"/>
  <c r="B4834" i="9"/>
  <c r="C4834" i="9"/>
  <c r="D4834" i="9"/>
  <c r="E4834" i="9"/>
  <c r="F4834" i="9"/>
  <c r="A4835" i="9"/>
  <c r="B4835" i="9"/>
  <c r="C4835" i="9"/>
  <c r="D4835" i="9"/>
  <c r="E4835" i="9"/>
  <c r="F4835" i="9"/>
  <c r="A4836" i="9"/>
  <c r="B4836" i="9"/>
  <c r="C4836" i="9"/>
  <c r="D4836" i="9"/>
  <c r="E4836" i="9"/>
  <c r="F4836" i="9"/>
  <c r="A4837" i="9"/>
  <c r="B4837" i="9"/>
  <c r="C4837" i="9"/>
  <c r="D4837" i="9"/>
  <c r="E4837" i="9"/>
  <c r="F4837" i="9"/>
  <c r="A4838" i="9"/>
  <c r="B4838" i="9"/>
  <c r="C4838" i="9"/>
  <c r="D4838" i="9"/>
  <c r="E4838" i="9"/>
  <c r="F4838" i="9"/>
  <c r="A4839" i="9"/>
  <c r="B4839" i="9"/>
  <c r="C4839" i="9"/>
  <c r="D4839" i="9"/>
  <c r="E4839" i="9"/>
  <c r="F4839" i="9"/>
  <c r="A4840" i="9"/>
  <c r="B4840" i="9"/>
  <c r="C4840" i="9"/>
  <c r="D4840" i="9"/>
  <c r="E4840" i="9"/>
  <c r="F4840" i="9"/>
  <c r="A4841" i="9"/>
  <c r="B4841" i="9"/>
  <c r="C4841" i="9"/>
  <c r="D4841" i="9"/>
  <c r="E4841" i="9"/>
  <c r="F4841" i="9"/>
  <c r="A4842" i="9"/>
  <c r="B4842" i="9"/>
  <c r="C4842" i="9"/>
  <c r="D4842" i="9"/>
  <c r="E4842" i="9"/>
  <c r="F4842" i="9"/>
  <c r="A4843" i="9"/>
  <c r="B4843" i="9"/>
  <c r="C4843" i="9"/>
  <c r="D4843" i="9"/>
  <c r="E4843" i="9"/>
  <c r="F4843" i="9"/>
  <c r="A4844" i="9"/>
  <c r="B4844" i="9"/>
  <c r="C4844" i="9"/>
  <c r="D4844" i="9"/>
  <c r="E4844" i="9"/>
  <c r="F4844" i="9"/>
  <c r="A4845" i="9"/>
  <c r="B4845" i="9"/>
  <c r="C4845" i="9"/>
  <c r="D4845" i="9"/>
  <c r="E4845" i="9"/>
  <c r="F4845" i="9"/>
  <c r="A4846" i="9"/>
  <c r="B4846" i="9"/>
  <c r="C4846" i="9"/>
  <c r="D4846" i="9"/>
  <c r="E4846" i="9"/>
  <c r="F4846" i="9"/>
  <c r="A4847" i="9"/>
  <c r="B4847" i="9"/>
  <c r="C4847" i="9"/>
  <c r="D4847" i="9"/>
  <c r="E4847" i="9"/>
  <c r="F4847" i="9"/>
  <c r="A4848" i="9"/>
  <c r="B4848" i="9"/>
  <c r="C4848" i="9"/>
  <c r="D4848" i="9"/>
  <c r="E4848" i="9"/>
  <c r="F4848" i="9"/>
  <c r="A4849" i="9"/>
  <c r="B4849" i="9"/>
  <c r="C4849" i="9"/>
  <c r="D4849" i="9"/>
  <c r="E4849" i="9"/>
  <c r="F4849" i="9"/>
  <c r="A4850" i="9"/>
  <c r="B4850" i="9"/>
  <c r="C4850" i="9"/>
  <c r="D4850" i="9"/>
  <c r="E4850" i="9"/>
  <c r="F4850" i="9"/>
  <c r="A4851" i="9"/>
  <c r="B4851" i="9"/>
  <c r="C4851" i="9"/>
  <c r="D4851" i="9"/>
  <c r="E4851" i="9"/>
  <c r="F4851" i="9"/>
  <c r="A4852" i="9"/>
  <c r="B4852" i="9"/>
  <c r="C4852" i="9"/>
  <c r="D4852" i="9"/>
  <c r="E4852" i="9"/>
  <c r="F4852" i="9"/>
  <c r="A4853" i="9"/>
  <c r="B4853" i="9"/>
  <c r="C4853" i="9"/>
  <c r="D4853" i="9"/>
  <c r="E4853" i="9"/>
  <c r="F4853" i="9"/>
  <c r="A4854" i="9"/>
  <c r="B4854" i="9"/>
  <c r="C4854" i="9"/>
  <c r="D4854" i="9"/>
  <c r="E4854" i="9"/>
  <c r="F4854" i="9"/>
  <c r="A4855" i="9"/>
  <c r="B4855" i="9"/>
  <c r="C4855" i="9"/>
  <c r="D4855" i="9"/>
  <c r="E4855" i="9"/>
  <c r="F4855" i="9"/>
  <c r="A4856" i="9"/>
  <c r="B4856" i="9"/>
  <c r="C4856" i="9"/>
  <c r="D4856" i="9"/>
  <c r="E4856" i="9"/>
  <c r="F4856" i="9"/>
  <c r="A4857" i="9"/>
  <c r="B4857" i="9"/>
  <c r="C4857" i="9"/>
  <c r="D4857" i="9"/>
  <c r="E4857" i="9"/>
  <c r="F4857" i="9"/>
  <c r="A4858" i="9"/>
  <c r="B4858" i="9"/>
  <c r="C4858" i="9"/>
  <c r="D4858" i="9"/>
  <c r="E4858" i="9"/>
  <c r="F4858" i="9"/>
  <c r="A4859" i="9"/>
  <c r="B4859" i="9"/>
  <c r="C4859" i="9"/>
  <c r="D4859" i="9"/>
  <c r="E4859" i="9"/>
  <c r="F4859" i="9"/>
  <c r="A4860" i="9"/>
  <c r="B4860" i="9"/>
  <c r="C4860" i="9"/>
  <c r="D4860" i="9"/>
  <c r="E4860" i="9"/>
  <c r="F4860" i="9"/>
  <c r="A4861" i="9"/>
  <c r="B4861" i="9"/>
  <c r="C4861" i="9"/>
  <c r="D4861" i="9"/>
  <c r="E4861" i="9"/>
  <c r="F4861" i="9"/>
  <c r="A4862" i="9"/>
  <c r="B4862" i="9"/>
  <c r="C4862" i="9"/>
  <c r="D4862" i="9"/>
  <c r="E4862" i="9"/>
  <c r="F4862" i="9"/>
  <c r="A4863" i="9"/>
  <c r="B4863" i="9"/>
  <c r="C4863" i="9"/>
  <c r="D4863" i="9"/>
  <c r="E4863" i="9"/>
  <c r="F4863" i="9"/>
  <c r="A4864" i="9"/>
  <c r="B4864" i="9"/>
  <c r="C4864" i="9"/>
  <c r="D4864" i="9"/>
  <c r="E4864" i="9"/>
  <c r="F4864" i="9"/>
  <c r="A4865" i="9"/>
  <c r="B4865" i="9"/>
  <c r="C4865" i="9"/>
  <c r="D4865" i="9"/>
  <c r="E4865" i="9"/>
  <c r="F4865" i="9"/>
  <c r="A4866" i="9"/>
  <c r="B4866" i="9"/>
  <c r="C4866" i="9"/>
  <c r="D4866" i="9"/>
  <c r="E4866" i="9"/>
  <c r="F4866" i="9"/>
  <c r="A4867" i="9"/>
  <c r="B4867" i="9"/>
  <c r="C4867" i="9"/>
  <c r="D4867" i="9"/>
  <c r="E4867" i="9"/>
  <c r="F4867" i="9"/>
  <c r="A4868" i="9"/>
  <c r="B4868" i="9"/>
  <c r="C4868" i="9"/>
  <c r="D4868" i="9"/>
  <c r="E4868" i="9"/>
  <c r="F4868" i="9"/>
  <c r="A4869" i="9"/>
  <c r="B4869" i="9"/>
  <c r="C4869" i="9"/>
  <c r="D4869" i="9"/>
  <c r="E4869" i="9"/>
  <c r="F4869" i="9"/>
  <c r="A4870" i="9"/>
  <c r="B4870" i="9"/>
  <c r="C4870" i="9"/>
  <c r="D4870" i="9"/>
  <c r="E4870" i="9"/>
  <c r="F4870" i="9"/>
  <c r="A4871" i="9"/>
  <c r="B4871" i="9"/>
  <c r="C4871" i="9"/>
  <c r="D4871" i="9"/>
  <c r="E4871" i="9"/>
  <c r="F4871" i="9"/>
  <c r="A4872" i="9"/>
  <c r="B4872" i="9"/>
  <c r="C4872" i="9"/>
  <c r="D4872" i="9"/>
  <c r="E4872" i="9"/>
  <c r="F4872" i="9"/>
  <c r="A4873" i="9"/>
  <c r="B4873" i="9"/>
  <c r="C4873" i="9"/>
  <c r="D4873" i="9"/>
  <c r="E4873" i="9"/>
  <c r="F4873" i="9"/>
  <c r="A4874" i="9"/>
  <c r="B4874" i="9"/>
  <c r="C4874" i="9"/>
  <c r="D4874" i="9"/>
  <c r="E4874" i="9"/>
  <c r="F4874" i="9"/>
  <c r="A4875" i="9"/>
  <c r="B4875" i="9"/>
  <c r="C4875" i="9"/>
  <c r="D4875" i="9"/>
  <c r="E4875" i="9"/>
  <c r="F4875" i="9"/>
  <c r="A4876" i="9"/>
  <c r="B4876" i="9"/>
  <c r="C4876" i="9"/>
  <c r="D4876" i="9"/>
  <c r="E4876" i="9"/>
  <c r="F4876" i="9"/>
  <c r="A4877" i="9"/>
  <c r="B4877" i="9"/>
  <c r="C4877" i="9"/>
  <c r="D4877" i="9"/>
  <c r="E4877" i="9"/>
  <c r="F4877" i="9"/>
  <c r="A4878" i="9"/>
  <c r="B4878" i="9"/>
  <c r="C4878" i="9"/>
  <c r="D4878" i="9"/>
  <c r="E4878" i="9"/>
  <c r="F4878" i="9"/>
  <c r="A4879" i="9"/>
  <c r="B4879" i="9"/>
  <c r="C4879" i="9"/>
  <c r="D4879" i="9"/>
  <c r="E4879" i="9"/>
  <c r="F4879" i="9"/>
  <c r="A4880" i="9"/>
  <c r="B4880" i="9"/>
  <c r="C4880" i="9"/>
  <c r="D4880" i="9"/>
  <c r="E4880" i="9"/>
  <c r="F4880" i="9"/>
  <c r="A4881" i="9"/>
  <c r="B4881" i="9"/>
  <c r="C4881" i="9"/>
  <c r="D4881" i="9"/>
  <c r="E4881" i="9"/>
  <c r="F4881" i="9"/>
  <c r="A4882" i="9"/>
  <c r="B4882" i="9"/>
  <c r="C4882" i="9"/>
  <c r="D4882" i="9"/>
  <c r="E4882" i="9"/>
  <c r="F4882" i="9"/>
  <c r="A4883" i="9"/>
  <c r="B4883" i="9"/>
  <c r="C4883" i="9"/>
  <c r="D4883" i="9"/>
  <c r="E4883" i="9"/>
  <c r="F4883" i="9"/>
  <c r="A4884" i="9"/>
  <c r="B4884" i="9"/>
  <c r="C4884" i="9"/>
  <c r="D4884" i="9"/>
  <c r="E4884" i="9"/>
  <c r="F4884" i="9"/>
  <c r="A4885" i="9"/>
  <c r="B4885" i="9"/>
  <c r="C4885" i="9"/>
  <c r="D4885" i="9"/>
  <c r="E4885" i="9"/>
  <c r="F4885" i="9"/>
  <c r="A4886" i="9"/>
  <c r="B4886" i="9"/>
  <c r="C4886" i="9"/>
  <c r="D4886" i="9"/>
  <c r="E4886" i="9"/>
  <c r="F4886" i="9"/>
  <c r="A4887" i="9"/>
  <c r="B4887" i="9"/>
  <c r="C4887" i="9"/>
  <c r="D4887" i="9"/>
  <c r="E4887" i="9"/>
  <c r="F4887" i="9"/>
  <c r="A4888" i="9"/>
  <c r="B4888" i="9"/>
  <c r="C4888" i="9"/>
  <c r="D4888" i="9"/>
  <c r="E4888" i="9"/>
  <c r="F4888" i="9"/>
  <c r="A4889" i="9"/>
  <c r="B4889" i="9"/>
  <c r="C4889" i="9"/>
  <c r="D4889" i="9"/>
  <c r="E4889" i="9"/>
  <c r="F4889" i="9"/>
  <c r="A4890" i="9"/>
  <c r="B4890" i="9"/>
  <c r="C4890" i="9"/>
  <c r="D4890" i="9"/>
  <c r="E4890" i="9"/>
  <c r="F4890" i="9"/>
  <c r="A4891" i="9"/>
  <c r="B4891" i="9"/>
  <c r="C4891" i="9"/>
  <c r="D4891" i="9"/>
  <c r="E4891" i="9"/>
  <c r="F4891" i="9"/>
  <c r="A4892" i="9"/>
  <c r="B4892" i="9"/>
  <c r="C4892" i="9"/>
  <c r="D4892" i="9"/>
  <c r="E4892" i="9"/>
  <c r="F4892" i="9"/>
  <c r="A4893" i="9"/>
  <c r="B4893" i="9"/>
  <c r="C4893" i="9"/>
  <c r="D4893" i="9"/>
  <c r="E4893" i="9"/>
  <c r="F4893" i="9"/>
  <c r="A4894" i="9"/>
  <c r="B4894" i="9"/>
  <c r="C4894" i="9"/>
  <c r="D4894" i="9"/>
  <c r="E4894" i="9"/>
  <c r="F4894" i="9"/>
  <c r="A4895" i="9"/>
  <c r="B4895" i="9"/>
  <c r="C4895" i="9"/>
  <c r="D4895" i="9"/>
  <c r="E4895" i="9"/>
  <c r="F4895" i="9"/>
  <c r="A4896" i="9"/>
  <c r="B4896" i="9"/>
  <c r="C4896" i="9"/>
  <c r="D4896" i="9"/>
  <c r="E4896" i="9"/>
  <c r="F4896" i="9"/>
  <c r="A4897" i="9"/>
  <c r="B4897" i="9"/>
  <c r="C4897" i="9"/>
  <c r="D4897" i="9"/>
  <c r="E4897" i="9"/>
  <c r="F4897" i="9"/>
  <c r="A4898" i="9"/>
  <c r="B4898" i="9"/>
  <c r="C4898" i="9"/>
  <c r="D4898" i="9"/>
  <c r="E4898" i="9"/>
  <c r="F4898" i="9"/>
  <c r="A4899" i="9"/>
  <c r="B4899" i="9"/>
  <c r="C4899" i="9"/>
  <c r="D4899" i="9"/>
  <c r="E4899" i="9"/>
  <c r="F4899" i="9"/>
  <c r="A4900" i="9"/>
  <c r="B4900" i="9"/>
  <c r="C4900" i="9"/>
  <c r="D4900" i="9"/>
  <c r="E4900" i="9"/>
  <c r="F4900" i="9"/>
  <c r="A4901" i="9"/>
  <c r="B4901" i="9"/>
  <c r="C4901" i="9"/>
  <c r="D4901" i="9"/>
  <c r="E4901" i="9"/>
  <c r="F4901" i="9"/>
  <c r="A4902" i="9"/>
  <c r="B4902" i="9"/>
  <c r="C4902" i="9"/>
  <c r="D4902" i="9"/>
  <c r="E4902" i="9"/>
  <c r="F4902" i="9"/>
  <c r="A4903" i="9"/>
  <c r="B4903" i="9"/>
  <c r="C4903" i="9"/>
  <c r="D4903" i="9"/>
  <c r="E4903" i="9"/>
  <c r="F4903" i="9"/>
  <c r="A4904" i="9"/>
  <c r="B4904" i="9"/>
  <c r="C4904" i="9"/>
  <c r="D4904" i="9"/>
  <c r="E4904" i="9"/>
  <c r="F4904" i="9"/>
  <c r="A4905" i="9"/>
  <c r="B4905" i="9"/>
  <c r="C4905" i="9"/>
  <c r="D4905" i="9"/>
  <c r="E4905" i="9"/>
  <c r="F4905" i="9"/>
  <c r="A4906" i="9"/>
  <c r="B4906" i="9"/>
  <c r="C4906" i="9"/>
  <c r="D4906" i="9"/>
  <c r="E4906" i="9"/>
  <c r="F4906" i="9"/>
  <c r="A4907" i="9"/>
  <c r="B4907" i="9"/>
  <c r="C4907" i="9"/>
  <c r="D4907" i="9"/>
  <c r="E4907" i="9"/>
  <c r="F4907" i="9"/>
  <c r="A4908" i="9"/>
  <c r="B4908" i="9"/>
  <c r="C4908" i="9"/>
  <c r="D4908" i="9"/>
  <c r="E4908" i="9"/>
  <c r="F4908" i="9"/>
  <c r="A4909" i="9"/>
  <c r="B4909" i="9"/>
  <c r="C4909" i="9"/>
  <c r="D4909" i="9"/>
  <c r="E4909" i="9"/>
  <c r="F4909" i="9"/>
  <c r="A4910" i="9"/>
  <c r="B4910" i="9"/>
  <c r="C4910" i="9"/>
  <c r="D4910" i="9"/>
  <c r="E4910" i="9"/>
  <c r="F4910" i="9"/>
  <c r="A4911" i="9"/>
  <c r="B4911" i="9"/>
  <c r="C4911" i="9"/>
  <c r="D4911" i="9"/>
  <c r="E4911" i="9"/>
  <c r="F4911" i="9"/>
  <c r="A4912" i="9"/>
  <c r="B4912" i="9"/>
  <c r="C4912" i="9"/>
  <c r="D4912" i="9"/>
  <c r="E4912" i="9"/>
  <c r="F4912" i="9"/>
  <c r="A4913" i="9"/>
  <c r="B4913" i="9"/>
  <c r="C4913" i="9"/>
  <c r="D4913" i="9"/>
  <c r="E4913" i="9"/>
  <c r="F4913" i="9"/>
  <c r="A4914" i="9"/>
  <c r="B4914" i="9"/>
  <c r="C4914" i="9"/>
  <c r="D4914" i="9"/>
  <c r="E4914" i="9"/>
  <c r="F4914" i="9"/>
  <c r="A4915" i="9"/>
  <c r="B4915" i="9"/>
  <c r="C4915" i="9"/>
  <c r="D4915" i="9"/>
  <c r="E4915" i="9"/>
  <c r="F4915" i="9"/>
  <c r="A4916" i="9"/>
  <c r="B4916" i="9"/>
  <c r="C4916" i="9"/>
  <c r="D4916" i="9"/>
  <c r="E4916" i="9"/>
  <c r="F4916" i="9"/>
  <c r="A4917" i="9"/>
  <c r="B4917" i="9"/>
  <c r="C4917" i="9"/>
  <c r="D4917" i="9"/>
  <c r="E4917" i="9"/>
  <c r="F4917" i="9"/>
  <c r="A4918" i="9"/>
  <c r="B4918" i="9"/>
  <c r="C4918" i="9"/>
  <c r="D4918" i="9"/>
  <c r="E4918" i="9"/>
  <c r="F4918" i="9"/>
  <c r="A4919" i="9"/>
  <c r="B4919" i="9"/>
  <c r="C4919" i="9"/>
  <c r="D4919" i="9"/>
  <c r="E4919" i="9"/>
  <c r="F4919" i="9"/>
  <c r="A4920" i="9"/>
  <c r="B4920" i="9"/>
  <c r="C4920" i="9"/>
  <c r="D4920" i="9"/>
  <c r="E4920" i="9"/>
  <c r="F4920" i="9"/>
  <c r="A4921" i="9"/>
  <c r="B4921" i="9"/>
  <c r="C4921" i="9"/>
  <c r="D4921" i="9"/>
  <c r="E4921" i="9"/>
  <c r="F4921" i="9"/>
  <c r="A4922" i="9"/>
  <c r="B4922" i="9"/>
  <c r="C4922" i="9"/>
  <c r="D4922" i="9"/>
  <c r="E4922" i="9"/>
  <c r="F4922" i="9"/>
  <c r="A4923" i="9"/>
  <c r="B4923" i="9"/>
  <c r="C4923" i="9"/>
  <c r="D4923" i="9"/>
  <c r="E4923" i="9"/>
  <c r="F4923" i="9"/>
  <c r="A4924" i="9"/>
  <c r="B4924" i="9"/>
  <c r="C4924" i="9"/>
  <c r="D4924" i="9"/>
  <c r="E4924" i="9"/>
  <c r="F4924" i="9"/>
  <c r="A4925" i="9"/>
  <c r="B4925" i="9"/>
  <c r="C4925" i="9"/>
  <c r="D4925" i="9"/>
  <c r="E4925" i="9"/>
  <c r="F4925" i="9"/>
  <c r="A4926" i="9"/>
  <c r="B4926" i="9"/>
  <c r="C4926" i="9"/>
  <c r="D4926" i="9"/>
  <c r="E4926" i="9"/>
  <c r="F4926" i="9"/>
  <c r="A4927" i="9"/>
  <c r="B4927" i="9"/>
  <c r="C4927" i="9"/>
  <c r="D4927" i="9"/>
  <c r="E4927" i="9"/>
  <c r="F4927" i="9"/>
  <c r="A4928" i="9"/>
  <c r="B4928" i="9"/>
  <c r="C4928" i="9"/>
  <c r="D4928" i="9"/>
  <c r="E4928" i="9"/>
  <c r="F4928" i="9"/>
  <c r="A4929" i="9"/>
  <c r="B4929" i="9"/>
  <c r="C4929" i="9"/>
  <c r="D4929" i="9"/>
  <c r="E4929" i="9"/>
  <c r="F4929" i="9"/>
  <c r="A4930" i="9"/>
  <c r="B4930" i="9"/>
  <c r="C4930" i="9"/>
  <c r="D4930" i="9"/>
  <c r="E4930" i="9"/>
  <c r="F4930" i="9"/>
  <c r="A4931" i="9"/>
  <c r="B4931" i="9"/>
  <c r="C4931" i="9"/>
  <c r="D4931" i="9"/>
  <c r="E4931" i="9"/>
  <c r="F4931" i="9"/>
  <c r="A4932" i="9"/>
  <c r="B4932" i="9"/>
  <c r="C4932" i="9"/>
  <c r="D4932" i="9"/>
  <c r="E4932" i="9"/>
  <c r="F4932" i="9"/>
  <c r="A4933" i="9"/>
  <c r="B4933" i="9"/>
  <c r="C4933" i="9"/>
  <c r="D4933" i="9"/>
  <c r="E4933" i="9"/>
  <c r="F4933" i="9"/>
  <c r="A4934" i="9"/>
  <c r="B4934" i="9"/>
  <c r="C4934" i="9"/>
  <c r="D4934" i="9"/>
  <c r="E4934" i="9"/>
  <c r="F4934" i="9"/>
  <c r="A4935" i="9"/>
  <c r="B4935" i="9"/>
  <c r="C4935" i="9"/>
  <c r="D4935" i="9"/>
  <c r="E4935" i="9"/>
  <c r="F4935" i="9"/>
  <c r="A4936" i="9"/>
  <c r="B4936" i="9"/>
  <c r="C4936" i="9"/>
  <c r="D4936" i="9"/>
  <c r="E4936" i="9"/>
  <c r="F4936" i="9"/>
  <c r="A4937" i="9"/>
  <c r="B4937" i="9"/>
  <c r="C4937" i="9"/>
  <c r="D4937" i="9"/>
  <c r="E4937" i="9"/>
  <c r="F4937" i="9"/>
  <c r="A4938" i="9"/>
  <c r="B4938" i="9"/>
  <c r="C4938" i="9"/>
  <c r="D4938" i="9"/>
  <c r="E4938" i="9"/>
  <c r="F4938" i="9"/>
  <c r="A4939" i="9"/>
  <c r="B4939" i="9"/>
  <c r="C4939" i="9"/>
  <c r="D4939" i="9"/>
  <c r="E4939" i="9"/>
  <c r="F4939" i="9"/>
  <c r="A4940" i="9"/>
  <c r="B4940" i="9"/>
  <c r="C4940" i="9"/>
  <c r="D4940" i="9"/>
  <c r="E4940" i="9"/>
  <c r="F4940" i="9"/>
  <c r="A4941" i="9"/>
  <c r="B4941" i="9"/>
  <c r="C4941" i="9"/>
  <c r="D4941" i="9"/>
  <c r="E4941" i="9"/>
  <c r="F4941" i="9"/>
  <c r="A4942" i="9"/>
  <c r="B4942" i="9"/>
  <c r="C4942" i="9"/>
  <c r="D4942" i="9"/>
  <c r="E4942" i="9"/>
  <c r="F4942" i="9"/>
  <c r="A4943" i="9"/>
  <c r="B4943" i="9"/>
  <c r="C4943" i="9"/>
  <c r="D4943" i="9"/>
  <c r="E4943" i="9"/>
  <c r="F4943" i="9"/>
  <c r="A4944" i="9"/>
  <c r="B4944" i="9"/>
  <c r="C4944" i="9"/>
  <c r="D4944" i="9"/>
  <c r="E4944" i="9"/>
  <c r="F4944" i="9"/>
  <c r="A4945" i="9"/>
  <c r="B4945" i="9"/>
  <c r="C4945" i="9"/>
  <c r="D4945" i="9"/>
  <c r="E4945" i="9"/>
  <c r="F4945" i="9"/>
  <c r="A4946" i="9"/>
  <c r="B4946" i="9"/>
  <c r="C4946" i="9"/>
  <c r="D4946" i="9"/>
  <c r="E4946" i="9"/>
  <c r="F4946" i="9"/>
  <c r="A4947" i="9"/>
  <c r="B4947" i="9"/>
  <c r="C4947" i="9"/>
  <c r="D4947" i="9"/>
  <c r="E4947" i="9"/>
  <c r="F4947" i="9"/>
  <c r="A4948" i="9"/>
  <c r="B4948" i="9"/>
  <c r="C4948" i="9"/>
  <c r="D4948" i="9"/>
  <c r="E4948" i="9"/>
  <c r="F4948" i="9"/>
  <c r="A4949" i="9"/>
  <c r="B4949" i="9"/>
  <c r="C4949" i="9"/>
  <c r="D4949" i="9"/>
  <c r="E4949" i="9"/>
  <c r="F4949" i="9"/>
  <c r="A4950" i="9"/>
  <c r="B4950" i="9"/>
  <c r="C4950" i="9"/>
  <c r="D4950" i="9"/>
  <c r="E4950" i="9"/>
  <c r="F4950" i="9"/>
  <c r="A4951" i="9"/>
  <c r="B4951" i="9"/>
  <c r="C4951" i="9"/>
  <c r="D4951" i="9"/>
  <c r="E4951" i="9"/>
  <c r="F4951" i="9"/>
  <c r="A4952" i="9"/>
  <c r="B4952" i="9"/>
  <c r="C4952" i="9"/>
  <c r="D4952" i="9"/>
  <c r="E4952" i="9"/>
  <c r="F4952" i="9"/>
  <c r="A4953" i="9"/>
  <c r="B4953" i="9"/>
  <c r="C4953" i="9"/>
  <c r="D4953" i="9"/>
  <c r="E4953" i="9"/>
  <c r="F4953" i="9"/>
  <c r="A4954" i="9"/>
  <c r="B4954" i="9"/>
  <c r="C4954" i="9"/>
  <c r="D4954" i="9"/>
  <c r="E4954" i="9"/>
  <c r="F4954" i="9"/>
  <c r="A4955" i="9"/>
  <c r="B4955" i="9"/>
  <c r="C4955" i="9"/>
  <c r="D4955" i="9"/>
  <c r="E4955" i="9"/>
  <c r="F4955" i="9"/>
  <c r="A4956" i="9"/>
  <c r="B4956" i="9"/>
  <c r="C4956" i="9"/>
  <c r="D4956" i="9"/>
  <c r="E4956" i="9"/>
  <c r="F4956" i="9"/>
  <c r="A4957" i="9"/>
  <c r="B4957" i="9"/>
  <c r="C4957" i="9"/>
  <c r="D4957" i="9"/>
  <c r="E4957" i="9"/>
  <c r="F4957" i="9"/>
  <c r="A4958" i="9"/>
  <c r="B4958" i="9"/>
  <c r="C4958" i="9"/>
  <c r="D4958" i="9"/>
  <c r="E4958" i="9"/>
  <c r="F4958" i="9"/>
  <c r="A4959" i="9"/>
  <c r="B4959" i="9"/>
  <c r="C4959" i="9"/>
  <c r="D4959" i="9"/>
  <c r="E4959" i="9"/>
  <c r="F4959" i="9"/>
  <c r="A4960" i="9"/>
  <c r="B4960" i="9"/>
  <c r="C4960" i="9"/>
  <c r="D4960" i="9"/>
  <c r="E4960" i="9"/>
  <c r="F4960" i="9"/>
  <c r="A4961" i="9"/>
  <c r="B4961" i="9"/>
  <c r="C4961" i="9"/>
  <c r="D4961" i="9"/>
  <c r="E4961" i="9"/>
  <c r="F4961" i="9"/>
  <c r="A4962" i="9"/>
  <c r="B4962" i="9"/>
  <c r="C4962" i="9"/>
  <c r="D4962" i="9"/>
  <c r="E4962" i="9"/>
  <c r="F4962" i="9"/>
  <c r="A4963" i="9"/>
  <c r="B4963" i="9"/>
  <c r="C4963" i="9"/>
  <c r="D4963" i="9"/>
  <c r="E4963" i="9"/>
  <c r="F4963" i="9"/>
  <c r="A4964" i="9"/>
  <c r="B4964" i="9"/>
  <c r="C4964" i="9"/>
  <c r="D4964" i="9"/>
  <c r="E4964" i="9"/>
  <c r="F4964" i="9"/>
  <c r="A4965" i="9"/>
  <c r="B4965" i="9"/>
  <c r="C4965" i="9"/>
  <c r="D4965" i="9"/>
  <c r="E4965" i="9"/>
  <c r="F4965" i="9"/>
  <c r="A4966" i="9"/>
  <c r="B4966" i="9"/>
  <c r="C4966" i="9"/>
  <c r="D4966" i="9"/>
  <c r="E4966" i="9"/>
  <c r="F4966" i="9"/>
  <c r="A4967" i="9"/>
  <c r="B4967" i="9"/>
  <c r="C4967" i="9"/>
  <c r="D4967" i="9"/>
  <c r="E4967" i="9"/>
  <c r="F4967" i="9"/>
  <c r="A4968" i="9"/>
  <c r="B4968" i="9"/>
  <c r="C4968" i="9"/>
  <c r="D4968" i="9"/>
  <c r="E4968" i="9"/>
  <c r="F4968" i="9"/>
  <c r="A4969" i="9"/>
  <c r="B4969" i="9"/>
  <c r="C4969" i="9"/>
  <c r="D4969" i="9"/>
  <c r="E4969" i="9"/>
  <c r="F4969" i="9"/>
  <c r="A4970" i="9"/>
  <c r="B4970" i="9"/>
  <c r="C4970" i="9"/>
  <c r="D4970" i="9"/>
  <c r="E4970" i="9"/>
  <c r="F4970" i="9"/>
  <c r="A4971" i="9"/>
  <c r="B4971" i="9"/>
  <c r="C4971" i="9"/>
  <c r="D4971" i="9"/>
  <c r="E4971" i="9"/>
  <c r="F4971" i="9"/>
  <c r="A4972" i="9"/>
  <c r="B4972" i="9"/>
  <c r="C4972" i="9"/>
  <c r="D4972" i="9"/>
  <c r="E4972" i="9"/>
  <c r="F4972" i="9"/>
  <c r="A4973" i="9"/>
  <c r="B4973" i="9"/>
  <c r="C4973" i="9"/>
  <c r="D4973" i="9"/>
  <c r="E4973" i="9"/>
  <c r="F4973" i="9"/>
  <c r="A4974" i="9"/>
  <c r="B4974" i="9"/>
  <c r="C4974" i="9"/>
  <c r="D4974" i="9"/>
  <c r="E4974" i="9"/>
  <c r="F4974" i="9"/>
  <c r="A4975" i="9"/>
  <c r="B4975" i="9"/>
  <c r="C4975" i="9"/>
  <c r="D4975" i="9"/>
  <c r="E4975" i="9"/>
  <c r="F4975" i="9"/>
  <c r="A4976" i="9"/>
  <c r="B4976" i="9"/>
  <c r="C4976" i="9"/>
  <c r="D4976" i="9"/>
  <c r="E4976" i="9"/>
  <c r="F4976" i="9"/>
  <c r="A4977" i="9"/>
  <c r="B4977" i="9"/>
  <c r="C4977" i="9"/>
  <c r="D4977" i="9"/>
  <c r="E4977" i="9"/>
  <c r="F4977" i="9"/>
  <c r="A4978" i="9"/>
  <c r="B4978" i="9"/>
  <c r="C4978" i="9"/>
  <c r="D4978" i="9"/>
  <c r="E4978" i="9"/>
  <c r="F4978" i="9"/>
  <c r="A4979" i="9"/>
  <c r="B4979" i="9"/>
  <c r="C4979" i="9"/>
  <c r="D4979" i="9"/>
  <c r="E4979" i="9"/>
  <c r="F4979" i="9"/>
  <c r="A4980" i="9"/>
  <c r="B4980" i="9"/>
  <c r="C4980" i="9"/>
  <c r="D4980" i="9"/>
  <c r="E4980" i="9"/>
  <c r="F4980" i="9"/>
  <c r="A4981" i="9"/>
  <c r="B4981" i="9"/>
  <c r="C4981" i="9"/>
  <c r="D4981" i="9"/>
  <c r="E4981" i="9"/>
  <c r="F4981" i="9"/>
  <c r="A4982" i="9"/>
  <c r="B4982" i="9"/>
  <c r="C4982" i="9"/>
  <c r="D4982" i="9"/>
  <c r="E4982" i="9"/>
  <c r="F4982" i="9"/>
  <c r="A4983" i="9"/>
  <c r="B4983" i="9"/>
  <c r="C4983" i="9"/>
  <c r="D4983" i="9"/>
  <c r="E4983" i="9"/>
  <c r="F4983" i="9"/>
  <c r="A4984" i="9"/>
  <c r="B4984" i="9"/>
  <c r="C4984" i="9"/>
  <c r="D4984" i="9"/>
  <c r="E4984" i="9"/>
  <c r="F4984" i="9"/>
  <c r="A4985" i="9"/>
  <c r="B4985" i="9"/>
  <c r="C4985" i="9"/>
  <c r="D4985" i="9"/>
  <c r="E4985" i="9"/>
  <c r="F4985" i="9"/>
  <c r="A4986" i="9"/>
  <c r="B4986" i="9"/>
  <c r="C4986" i="9"/>
  <c r="D4986" i="9"/>
  <c r="E4986" i="9"/>
  <c r="F4986" i="9"/>
  <c r="A4987" i="9"/>
  <c r="B4987" i="9"/>
  <c r="C4987" i="9"/>
  <c r="D4987" i="9"/>
  <c r="E4987" i="9"/>
  <c r="F4987" i="9"/>
  <c r="A4988" i="9"/>
  <c r="B4988" i="9"/>
  <c r="C4988" i="9"/>
  <c r="D4988" i="9"/>
  <c r="E4988" i="9"/>
  <c r="F4988" i="9"/>
  <c r="A4989" i="9"/>
  <c r="B4989" i="9"/>
  <c r="C4989" i="9"/>
  <c r="D4989" i="9"/>
  <c r="E4989" i="9"/>
  <c r="F4989" i="9"/>
  <c r="A4990" i="9"/>
  <c r="B4990" i="9"/>
  <c r="C4990" i="9"/>
  <c r="D4990" i="9"/>
  <c r="E4990" i="9"/>
  <c r="F4990" i="9"/>
  <c r="A4991" i="9"/>
  <c r="B4991" i="9"/>
  <c r="C4991" i="9"/>
  <c r="D4991" i="9"/>
  <c r="E4991" i="9"/>
  <c r="F4991" i="9"/>
  <c r="A4992" i="9"/>
  <c r="B4992" i="9"/>
  <c r="C4992" i="9"/>
  <c r="D4992" i="9"/>
  <c r="E4992" i="9"/>
  <c r="F4992" i="9"/>
  <c r="A4993" i="9"/>
  <c r="B4993" i="9"/>
  <c r="C4993" i="9"/>
  <c r="D4993" i="9"/>
  <c r="E4993" i="9"/>
  <c r="F4993" i="9"/>
  <c r="A4994" i="9"/>
  <c r="B4994" i="9"/>
  <c r="C4994" i="9"/>
  <c r="D4994" i="9"/>
  <c r="E4994" i="9"/>
  <c r="F4994" i="9"/>
  <c r="A4995" i="9"/>
  <c r="B4995" i="9"/>
  <c r="C4995" i="9"/>
  <c r="D4995" i="9"/>
  <c r="E4995" i="9"/>
  <c r="F4995" i="9"/>
  <c r="A4996" i="9"/>
  <c r="B4996" i="9"/>
  <c r="C4996" i="9"/>
  <c r="D4996" i="9"/>
  <c r="E4996" i="9"/>
  <c r="F4996" i="9"/>
  <c r="A4997" i="9"/>
  <c r="B4997" i="9"/>
  <c r="C4997" i="9"/>
  <c r="D4997" i="9"/>
  <c r="E4997" i="9"/>
  <c r="F4997" i="9"/>
  <c r="A4998" i="9"/>
  <c r="B4998" i="9"/>
  <c r="C4998" i="9"/>
  <c r="D4998" i="9"/>
  <c r="E4998" i="9"/>
  <c r="F4998" i="9"/>
  <c r="A4999" i="9"/>
  <c r="B4999" i="9"/>
  <c r="C4999" i="9"/>
  <c r="D4999" i="9"/>
  <c r="E4999" i="9"/>
  <c r="F4999" i="9"/>
  <c r="A5000" i="9"/>
  <c r="B5000" i="9"/>
  <c r="C5000" i="9"/>
  <c r="D5000" i="9"/>
  <c r="E5000" i="9"/>
  <c r="F5000" i="9"/>
  <c r="A5001" i="9"/>
  <c r="B5001" i="9"/>
  <c r="C5001" i="9"/>
  <c r="D5001" i="9"/>
  <c r="E5001" i="9"/>
  <c r="F5001" i="9"/>
  <c r="A5002" i="9"/>
  <c r="B5002" i="9"/>
  <c r="C5002" i="9"/>
  <c r="D5002" i="9"/>
  <c r="E5002" i="9"/>
  <c r="F5002" i="9"/>
  <c r="A5003" i="9"/>
  <c r="B5003" i="9"/>
  <c r="C5003" i="9"/>
  <c r="D5003" i="9"/>
  <c r="E5003" i="9"/>
  <c r="F5003" i="9"/>
  <c r="A5004" i="9"/>
  <c r="B5004" i="9"/>
  <c r="C5004" i="9"/>
  <c r="D5004" i="9"/>
  <c r="E5004" i="9"/>
  <c r="F5004" i="9"/>
  <c r="A5005" i="9"/>
  <c r="B5005" i="9"/>
  <c r="C5005" i="9"/>
  <c r="D5005" i="9"/>
  <c r="E5005" i="9"/>
  <c r="F5005" i="9"/>
  <c r="A5006" i="9"/>
  <c r="B5006" i="9"/>
  <c r="C5006" i="9"/>
  <c r="D5006" i="9"/>
  <c r="E5006" i="9"/>
  <c r="F5006" i="9"/>
  <c r="A5007" i="9"/>
  <c r="B5007" i="9"/>
  <c r="C5007" i="9"/>
  <c r="D5007" i="9"/>
  <c r="E5007" i="9"/>
  <c r="F5007" i="9"/>
  <c r="A5008" i="9"/>
  <c r="B5008" i="9"/>
  <c r="C5008" i="9"/>
  <c r="D5008" i="9"/>
  <c r="E5008" i="9"/>
  <c r="F5008" i="9"/>
  <c r="A5009" i="9"/>
  <c r="B5009" i="9"/>
  <c r="C5009" i="9"/>
  <c r="D5009" i="9"/>
  <c r="E5009" i="9"/>
  <c r="F5009" i="9"/>
  <c r="A5010" i="9"/>
  <c r="B5010" i="9"/>
  <c r="C5010" i="9"/>
  <c r="D5010" i="9"/>
  <c r="E5010" i="9"/>
  <c r="F5010" i="9"/>
  <c r="A5011" i="9"/>
  <c r="B5011" i="9"/>
  <c r="C5011" i="9"/>
  <c r="D5011" i="9"/>
  <c r="E5011" i="9"/>
  <c r="F5011" i="9"/>
  <c r="A5012" i="9"/>
  <c r="B5012" i="9"/>
  <c r="C5012" i="9"/>
  <c r="D5012" i="9"/>
  <c r="E5012" i="9"/>
  <c r="F5012" i="9"/>
  <c r="A5013" i="9"/>
  <c r="B5013" i="9"/>
  <c r="C5013" i="9"/>
  <c r="D5013" i="9"/>
  <c r="E5013" i="9"/>
  <c r="F5013" i="9"/>
  <c r="A5014" i="9"/>
  <c r="B5014" i="9"/>
  <c r="C5014" i="9"/>
  <c r="D5014" i="9"/>
  <c r="E5014" i="9"/>
  <c r="F5014" i="9"/>
  <c r="A5015" i="9"/>
  <c r="B5015" i="9"/>
  <c r="C5015" i="9"/>
  <c r="D5015" i="9"/>
  <c r="E5015" i="9"/>
  <c r="F5015" i="9"/>
  <c r="A5016" i="9"/>
  <c r="B5016" i="9"/>
  <c r="C5016" i="9"/>
  <c r="D5016" i="9"/>
  <c r="E5016" i="9"/>
  <c r="F5016" i="9"/>
  <c r="A5017" i="9"/>
  <c r="B5017" i="9"/>
  <c r="C5017" i="9"/>
  <c r="D5017" i="9"/>
  <c r="E5017" i="9"/>
  <c r="F5017" i="9"/>
  <c r="A5018" i="9"/>
  <c r="B5018" i="9"/>
  <c r="C5018" i="9"/>
  <c r="D5018" i="9"/>
  <c r="E5018" i="9"/>
  <c r="F5018" i="9"/>
  <c r="A5019" i="9"/>
  <c r="B5019" i="9"/>
  <c r="C5019" i="9"/>
  <c r="D5019" i="9"/>
  <c r="E5019" i="9"/>
  <c r="F5019" i="9"/>
  <c r="A5020" i="9"/>
  <c r="B5020" i="9"/>
  <c r="C5020" i="9"/>
  <c r="D5020" i="9"/>
  <c r="E5020" i="9"/>
  <c r="F5020" i="9"/>
  <c r="A5021" i="9"/>
  <c r="B5021" i="9"/>
  <c r="C5021" i="9"/>
  <c r="D5021" i="9"/>
  <c r="E5021" i="9"/>
  <c r="F5021" i="9"/>
  <c r="A5022" i="9"/>
  <c r="B5022" i="9"/>
  <c r="C5022" i="9"/>
  <c r="D5022" i="9"/>
  <c r="E5022" i="9"/>
  <c r="F5022" i="9"/>
  <c r="A5023" i="9"/>
  <c r="B5023" i="9"/>
  <c r="C5023" i="9"/>
  <c r="D5023" i="9"/>
  <c r="E5023" i="9"/>
  <c r="F5023" i="9"/>
  <c r="A5024" i="9"/>
  <c r="B5024" i="9"/>
  <c r="C5024" i="9"/>
  <c r="D5024" i="9"/>
  <c r="E5024" i="9"/>
  <c r="F5024" i="9"/>
  <c r="A5025" i="9"/>
  <c r="B5025" i="9"/>
  <c r="C5025" i="9"/>
  <c r="D5025" i="9"/>
  <c r="E5025" i="9"/>
  <c r="F5025" i="9"/>
  <c r="A5026" i="9"/>
  <c r="B5026" i="9"/>
  <c r="C5026" i="9"/>
  <c r="D5026" i="9"/>
  <c r="E5026" i="9"/>
  <c r="F5026" i="9"/>
  <c r="A5027" i="9"/>
  <c r="B5027" i="9"/>
  <c r="C5027" i="9"/>
  <c r="D5027" i="9"/>
  <c r="E5027" i="9"/>
  <c r="F5027" i="9"/>
  <c r="A5028" i="9"/>
  <c r="B5028" i="9"/>
  <c r="C5028" i="9"/>
  <c r="D5028" i="9"/>
  <c r="E5028" i="9"/>
  <c r="F5028" i="9"/>
  <c r="A5029" i="9"/>
  <c r="B5029" i="9"/>
  <c r="C5029" i="9"/>
  <c r="D5029" i="9"/>
  <c r="E5029" i="9"/>
  <c r="F5029" i="9"/>
  <c r="A5030" i="9"/>
  <c r="B5030" i="9"/>
  <c r="C5030" i="9"/>
  <c r="D5030" i="9"/>
  <c r="E5030" i="9"/>
  <c r="F5030" i="9"/>
  <c r="A5031" i="9"/>
  <c r="B5031" i="9"/>
  <c r="C5031" i="9"/>
  <c r="D5031" i="9"/>
  <c r="E5031" i="9"/>
  <c r="F5031" i="9"/>
  <c r="A5032" i="9"/>
  <c r="B5032" i="9"/>
  <c r="C5032" i="9"/>
  <c r="D5032" i="9"/>
  <c r="E5032" i="9"/>
  <c r="F5032" i="9"/>
  <c r="A5033" i="9"/>
  <c r="B5033" i="9"/>
  <c r="C5033" i="9"/>
  <c r="D5033" i="9"/>
  <c r="E5033" i="9"/>
  <c r="F5033" i="9"/>
  <c r="A5034" i="9"/>
  <c r="B5034" i="9"/>
  <c r="C5034" i="9"/>
  <c r="D5034" i="9"/>
  <c r="E5034" i="9"/>
  <c r="F5034" i="9"/>
  <c r="A5035" i="9"/>
  <c r="B5035" i="9"/>
  <c r="C5035" i="9"/>
  <c r="D5035" i="9"/>
  <c r="E5035" i="9"/>
  <c r="F5035" i="9"/>
  <c r="A5036" i="9"/>
  <c r="B5036" i="9"/>
  <c r="C5036" i="9"/>
  <c r="D5036" i="9"/>
  <c r="E5036" i="9"/>
  <c r="F5036" i="9"/>
  <c r="A5037" i="9"/>
  <c r="B5037" i="9"/>
  <c r="C5037" i="9"/>
  <c r="D5037" i="9"/>
  <c r="E5037" i="9"/>
  <c r="F5037" i="9"/>
  <c r="A5038" i="9"/>
  <c r="B5038" i="9"/>
  <c r="C5038" i="9"/>
  <c r="D5038" i="9"/>
  <c r="E5038" i="9"/>
  <c r="F5038" i="9"/>
  <c r="A5039" i="9"/>
  <c r="B5039" i="9"/>
  <c r="C5039" i="9"/>
  <c r="D5039" i="9"/>
  <c r="E5039" i="9"/>
  <c r="F5039" i="9"/>
  <c r="A5040" i="9"/>
  <c r="B5040" i="9"/>
  <c r="C5040" i="9"/>
  <c r="D5040" i="9"/>
  <c r="E5040" i="9"/>
  <c r="F5040" i="9"/>
  <c r="A5041" i="9"/>
  <c r="B5041" i="9"/>
  <c r="C5041" i="9"/>
  <c r="D5041" i="9"/>
  <c r="E5041" i="9"/>
  <c r="F5041" i="9"/>
  <c r="A5042" i="9"/>
  <c r="B5042" i="9"/>
  <c r="C5042" i="9"/>
  <c r="D5042" i="9"/>
  <c r="E5042" i="9"/>
  <c r="F5042" i="9"/>
  <c r="A5043" i="9"/>
  <c r="B5043" i="9"/>
  <c r="C5043" i="9"/>
  <c r="D5043" i="9"/>
  <c r="E5043" i="9"/>
  <c r="F5043" i="9"/>
  <c r="A5044" i="9"/>
  <c r="B5044" i="9"/>
  <c r="C5044" i="9"/>
  <c r="D5044" i="9"/>
  <c r="E5044" i="9"/>
  <c r="F5044" i="9"/>
  <c r="A5045" i="9"/>
  <c r="B5045" i="9"/>
  <c r="C5045" i="9"/>
  <c r="D5045" i="9"/>
  <c r="E5045" i="9"/>
  <c r="F5045" i="9"/>
  <c r="A5046" i="9"/>
  <c r="B5046" i="9"/>
  <c r="C5046" i="9"/>
  <c r="D5046" i="9"/>
  <c r="E5046" i="9"/>
  <c r="F5046" i="9"/>
  <c r="A5047" i="9"/>
  <c r="B5047" i="9"/>
  <c r="C5047" i="9"/>
  <c r="D5047" i="9"/>
  <c r="E5047" i="9"/>
  <c r="F5047" i="9"/>
  <c r="A5048" i="9"/>
  <c r="B5048" i="9"/>
  <c r="C5048" i="9"/>
  <c r="D5048" i="9"/>
  <c r="E5048" i="9"/>
  <c r="F5048" i="9"/>
  <c r="A5049" i="9"/>
  <c r="B5049" i="9"/>
  <c r="C5049" i="9"/>
  <c r="D5049" i="9"/>
  <c r="E5049" i="9"/>
  <c r="F5049" i="9"/>
  <c r="A5050" i="9"/>
  <c r="B5050" i="9"/>
  <c r="C5050" i="9"/>
  <c r="D5050" i="9"/>
  <c r="E5050" i="9"/>
  <c r="F5050" i="9"/>
  <c r="A5051" i="9"/>
  <c r="B5051" i="9"/>
  <c r="C5051" i="9"/>
  <c r="D5051" i="9"/>
  <c r="E5051" i="9"/>
  <c r="F5051" i="9"/>
  <c r="A5052" i="9"/>
  <c r="B5052" i="9"/>
  <c r="C5052" i="9"/>
  <c r="D5052" i="9"/>
  <c r="E5052" i="9"/>
  <c r="F5052" i="9"/>
  <c r="A5053" i="9"/>
  <c r="B5053" i="9"/>
  <c r="C5053" i="9"/>
  <c r="D5053" i="9"/>
  <c r="E5053" i="9"/>
  <c r="F5053" i="9"/>
  <c r="A5054" i="9"/>
  <c r="B5054" i="9"/>
  <c r="C5054" i="9"/>
  <c r="D5054" i="9"/>
  <c r="E5054" i="9"/>
  <c r="F5054" i="9"/>
  <c r="A5055" i="9"/>
  <c r="B5055" i="9"/>
  <c r="C5055" i="9"/>
  <c r="D5055" i="9"/>
  <c r="E5055" i="9"/>
  <c r="F5055" i="9"/>
  <c r="A5056" i="9"/>
  <c r="B5056" i="9"/>
  <c r="C5056" i="9"/>
  <c r="D5056" i="9"/>
  <c r="E5056" i="9"/>
  <c r="F5056" i="9"/>
  <c r="A5057" i="9"/>
  <c r="B5057" i="9"/>
  <c r="C5057" i="9"/>
  <c r="D5057" i="9"/>
  <c r="E5057" i="9"/>
  <c r="F5057" i="9"/>
  <c r="A5058" i="9"/>
  <c r="B5058" i="9"/>
  <c r="C5058" i="9"/>
  <c r="D5058" i="9"/>
  <c r="E5058" i="9"/>
  <c r="F5058" i="9"/>
  <c r="A431" i="9"/>
  <c r="B431" i="9"/>
  <c r="C431" i="9"/>
  <c r="D431" i="9"/>
  <c r="E431" i="9"/>
  <c r="F431" i="9"/>
  <c r="A432" i="9"/>
  <c r="B432" i="9"/>
  <c r="C432" i="9"/>
  <c r="D432" i="9"/>
  <c r="E432" i="9"/>
  <c r="F432" i="9"/>
  <c r="A433" i="9"/>
  <c r="B433" i="9"/>
  <c r="C433" i="9"/>
  <c r="D433" i="9"/>
  <c r="E433" i="9"/>
  <c r="F433" i="9"/>
  <c r="A434" i="9"/>
  <c r="B434" i="9"/>
  <c r="C434" i="9"/>
  <c r="D434" i="9"/>
  <c r="E434" i="9"/>
  <c r="F434" i="9"/>
  <c r="A435" i="9"/>
  <c r="B435" i="9"/>
  <c r="C435" i="9"/>
  <c r="D435" i="9"/>
  <c r="E435" i="9"/>
  <c r="F435" i="9"/>
  <c r="A436" i="9"/>
  <c r="B436" i="9"/>
  <c r="C436" i="9"/>
  <c r="D436" i="9"/>
  <c r="E436" i="9"/>
  <c r="F436" i="9"/>
  <c r="A437" i="9"/>
  <c r="B437" i="9"/>
  <c r="C437" i="9"/>
  <c r="D437" i="9"/>
  <c r="E437" i="9"/>
  <c r="F437" i="9"/>
  <c r="A438" i="9"/>
  <c r="B438" i="9"/>
  <c r="C438" i="9"/>
  <c r="D438" i="9"/>
  <c r="E438" i="9"/>
  <c r="F438" i="9"/>
  <c r="A439" i="9"/>
  <c r="B439" i="9"/>
  <c r="C439" i="9"/>
  <c r="D439" i="9"/>
  <c r="E439" i="9"/>
  <c r="F439" i="9"/>
  <c r="A440" i="9"/>
  <c r="B440" i="9"/>
  <c r="C440" i="9"/>
  <c r="D440" i="9"/>
  <c r="E440" i="9"/>
  <c r="F440" i="9"/>
  <c r="A441" i="9"/>
  <c r="B441" i="9"/>
  <c r="C441" i="9"/>
  <c r="D441" i="9"/>
  <c r="E441" i="9"/>
  <c r="F441" i="9"/>
  <c r="A442" i="9"/>
  <c r="B442" i="9"/>
  <c r="C442" i="9"/>
  <c r="D442" i="9"/>
  <c r="E442" i="9"/>
  <c r="F442" i="9"/>
  <c r="A443" i="9"/>
  <c r="B443" i="9"/>
  <c r="C443" i="9"/>
  <c r="D443" i="9"/>
  <c r="E443" i="9"/>
  <c r="F443" i="9"/>
  <c r="A444" i="9"/>
  <c r="B444" i="9"/>
  <c r="C444" i="9"/>
  <c r="D444" i="9"/>
  <c r="E444" i="9"/>
  <c r="F444" i="9"/>
  <c r="A445" i="9"/>
  <c r="B445" i="9"/>
  <c r="C445" i="9"/>
  <c r="D445" i="9"/>
  <c r="E445" i="9"/>
  <c r="F445" i="9"/>
  <c r="A446" i="9"/>
  <c r="B446" i="9"/>
  <c r="C446" i="9"/>
  <c r="D446" i="9"/>
  <c r="E446" i="9"/>
  <c r="F446" i="9"/>
  <c r="A447" i="9"/>
  <c r="B447" i="9"/>
  <c r="C447" i="9"/>
  <c r="D447" i="9"/>
  <c r="E447" i="9"/>
  <c r="F447" i="9"/>
  <c r="A448" i="9"/>
  <c r="B448" i="9"/>
  <c r="C448" i="9"/>
  <c r="D448" i="9"/>
  <c r="E448" i="9"/>
  <c r="F448" i="9"/>
  <c r="A449" i="9"/>
  <c r="B449" i="9"/>
  <c r="C449" i="9"/>
  <c r="D449" i="9"/>
  <c r="E449" i="9"/>
  <c r="F449" i="9"/>
  <c r="A450" i="9"/>
  <c r="B450" i="9"/>
  <c r="C450" i="9"/>
  <c r="D450" i="9"/>
  <c r="E450" i="9"/>
  <c r="F450" i="9"/>
  <c r="A451" i="9"/>
  <c r="B451" i="9"/>
  <c r="C451" i="9"/>
  <c r="D451" i="9"/>
  <c r="E451" i="9"/>
  <c r="F451" i="9"/>
  <c r="A452" i="9"/>
  <c r="B452" i="9"/>
  <c r="C452" i="9"/>
  <c r="D452" i="9"/>
  <c r="E452" i="9"/>
  <c r="F452" i="9"/>
  <c r="A453" i="9"/>
  <c r="B453" i="9"/>
  <c r="C453" i="9"/>
  <c r="D453" i="9"/>
  <c r="E453" i="9"/>
  <c r="F453" i="9"/>
  <c r="A454" i="9"/>
  <c r="B454" i="9"/>
  <c r="C454" i="9"/>
  <c r="D454" i="9"/>
  <c r="E454" i="9"/>
  <c r="F454" i="9"/>
  <c r="A455" i="9"/>
  <c r="B455" i="9"/>
  <c r="C455" i="9"/>
  <c r="D455" i="9"/>
  <c r="E455" i="9"/>
  <c r="F455" i="9"/>
  <c r="A456" i="9"/>
  <c r="B456" i="9"/>
  <c r="C456" i="9"/>
  <c r="D456" i="9"/>
  <c r="E456" i="9"/>
  <c r="F456" i="9"/>
  <c r="A457" i="9"/>
  <c r="B457" i="9"/>
  <c r="C457" i="9"/>
  <c r="D457" i="9"/>
  <c r="E457" i="9"/>
  <c r="F457" i="9"/>
  <c r="A458" i="9"/>
  <c r="B458" i="9"/>
  <c r="C458" i="9"/>
  <c r="D458" i="9"/>
  <c r="E458" i="9"/>
  <c r="F458" i="9"/>
  <c r="A459" i="9"/>
  <c r="B459" i="9"/>
  <c r="C459" i="9"/>
  <c r="D459" i="9"/>
  <c r="E459" i="9"/>
  <c r="F459" i="9"/>
  <c r="A460" i="9"/>
  <c r="B460" i="9"/>
  <c r="C460" i="9"/>
  <c r="D460" i="9"/>
  <c r="E460" i="9"/>
  <c r="F460" i="9"/>
  <c r="A461" i="9"/>
  <c r="B461" i="9"/>
  <c r="C461" i="9"/>
  <c r="D461" i="9"/>
  <c r="E461" i="9"/>
  <c r="F461" i="9"/>
  <c r="A462" i="9"/>
  <c r="B462" i="9"/>
  <c r="C462" i="9"/>
  <c r="D462" i="9"/>
  <c r="E462" i="9"/>
  <c r="F462" i="9"/>
  <c r="A463" i="9"/>
  <c r="B463" i="9"/>
  <c r="C463" i="9"/>
  <c r="D463" i="9"/>
  <c r="E463" i="9"/>
  <c r="F463" i="9"/>
  <c r="A464" i="9"/>
  <c r="B464" i="9"/>
  <c r="C464" i="9"/>
  <c r="D464" i="9"/>
  <c r="E464" i="9"/>
  <c r="F464" i="9"/>
  <c r="A465" i="9"/>
  <c r="B465" i="9"/>
  <c r="C465" i="9"/>
  <c r="D465" i="9"/>
  <c r="E465" i="9"/>
  <c r="F465" i="9"/>
  <c r="A466" i="9"/>
  <c r="B466" i="9"/>
  <c r="C466" i="9"/>
  <c r="D466" i="9"/>
  <c r="E466" i="9"/>
  <c r="F466" i="9"/>
  <c r="A467" i="9"/>
  <c r="B467" i="9"/>
  <c r="C467" i="9"/>
  <c r="D467" i="9"/>
  <c r="E467" i="9"/>
  <c r="F467" i="9"/>
  <c r="A468" i="9"/>
  <c r="B468" i="9"/>
  <c r="C468" i="9"/>
  <c r="D468" i="9"/>
  <c r="E468" i="9"/>
  <c r="F468" i="9"/>
  <c r="A469" i="9"/>
  <c r="B469" i="9"/>
  <c r="C469" i="9"/>
  <c r="D469" i="9"/>
  <c r="E469" i="9"/>
  <c r="F469" i="9"/>
  <c r="A470" i="9"/>
  <c r="B470" i="9"/>
  <c r="C470" i="9"/>
  <c r="D470" i="9"/>
  <c r="E470" i="9"/>
  <c r="F470" i="9"/>
  <c r="A471" i="9"/>
  <c r="B471" i="9"/>
  <c r="C471" i="9"/>
  <c r="D471" i="9"/>
  <c r="E471" i="9"/>
  <c r="F471" i="9"/>
  <c r="A472" i="9"/>
  <c r="B472" i="9"/>
  <c r="C472" i="9"/>
  <c r="D472" i="9"/>
  <c r="E472" i="9"/>
  <c r="F472" i="9"/>
  <c r="A473" i="9"/>
  <c r="B473" i="9"/>
  <c r="C473" i="9"/>
  <c r="D473" i="9"/>
  <c r="E473" i="9"/>
  <c r="F473" i="9"/>
  <c r="A474" i="9"/>
  <c r="B474" i="9"/>
  <c r="C474" i="9"/>
  <c r="D474" i="9"/>
  <c r="E474" i="9"/>
  <c r="F474" i="9"/>
  <c r="A475" i="9"/>
  <c r="B475" i="9"/>
  <c r="C475" i="9"/>
  <c r="D475" i="9"/>
  <c r="E475" i="9"/>
  <c r="F475" i="9"/>
  <c r="A476" i="9"/>
  <c r="B476" i="9"/>
  <c r="C476" i="9"/>
  <c r="D476" i="9"/>
  <c r="E476" i="9"/>
  <c r="F476" i="9"/>
  <c r="A477" i="9"/>
  <c r="B477" i="9"/>
  <c r="C477" i="9"/>
  <c r="D477" i="9"/>
  <c r="E477" i="9"/>
  <c r="F477" i="9"/>
  <c r="A478" i="9"/>
  <c r="B478" i="9"/>
  <c r="C478" i="9"/>
  <c r="D478" i="9"/>
  <c r="E478" i="9"/>
  <c r="F478" i="9"/>
  <c r="A479" i="9"/>
  <c r="B479" i="9"/>
  <c r="C479" i="9"/>
  <c r="D479" i="9"/>
  <c r="E479" i="9"/>
  <c r="F479" i="9"/>
  <c r="A480" i="9"/>
  <c r="B480" i="9"/>
  <c r="C480" i="9"/>
  <c r="D480" i="9"/>
  <c r="E480" i="9"/>
  <c r="F480" i="9"/>
  <c r="A481" i="9"/>
  <c r="B481" i="9"/>
  <c r="C481" i="9"/>
  <c r="D481" i="9"/>
  <c r="E481" i="9"/>
  <c r="F481" i="9"/>
  <c r="A482" i="9"/>
  <c r="B482" i="9"/>
  <c r="C482" i="9"/>
  <c r="D482" i="9"/>
  <c r="E482" i="9"/>
  <c r="F482" i="9"/>
  <c r="A483" i="9"/>
  <c r="B483" i="9"/>
  <c r="C483" i="9"/>
  <c r="D483" i="9"/>
  <c r="E483" i="9"/>
  <c r="F483" i="9"/>
  <c r="A484" i="9"/>
  <c r="B484" i="9"/>
  <c r="C484" i="9"/>
  <c r="D484" i="9"/>
  <c r="E484" i="9"/>
  <c r="F484" i="9"/>
  <c r="A485" i="9"/>
  <c r="B485" i="9"/>
  <c r="C485" i="9"/>
  <c r="D485" i="9"/>
  <c r="E485" i="9"/>
  <c r="F485" i="9"/>
  <c r="A486" i="9"/>
  <c r="B486" i="9"/>
  <c r="C486" i="9"/>
  <c r="D486" i="9"/>
  <c r="E486" i="9"/>
  <c r="F486" i="9"/>
  <c r="A487" i="9"/>
  <c r="B487" i="9"/>
  <c r="C487" i="9"/>
  <c r="D487" i="9"/>
  <c r="E487" i="9"/>
  <c r="F487" i="9"/>
  <c r="A488" i="9"/>
  <c r="B488" i="9"/>
  <c r="C488" i="9"/>
  <c r="D488" i="9"/>
  <c r="E488" i="9"/>
  <c r="F488" i="9"/>
  <c r="A489" i="9"/>
  <c r="B489" i="9"/>
  <c r="C489" i="9"/>
  <c r="D489" i="9"/>
  <c r="E489" i="9"/>
  <c r="F489" i="9"/>
  <c r="A490" i="9"/>
  <c r="B490" i="9"/>
  <c r="C490" i="9"/>
  <c r="D490" i="9"/>
  <c r="E490" i="9"/>
  <c r="F490" i="9"/>
  <c r="A491" i="9"/>
  <c r="B491" i="9"/>
  <c r="C491" i="9"/>
  <c r="D491" i="9"/>
  <c r="E491" i="9"/>
  <c r="F491" i="9"/>
  <c r="A492" i="9"/>
  <c r="B492" i="9"/>
  <c r="C492" i="9"/>
  <c r="D492" i="9"/>
  <c r="E492" i="9"/>
  <c r="F492" i="9"/>
  <c r="A493" i="9"/>
  <c r="B493" i="9"/>
  <c r="C493" i="9"/>
  <c r="D493" i="9"/>
  <c r="E493" i="9"/>
  <c r="F493" i="9"/>
  <c r="A494" i="9"/>
  <c r="B494" i="9"/>
  <c r="C494" i="9"/>
  <c r="D494" i="9"/>
  <c r="E494" i="9"/>
  <c r="F494" i="9"/>
  <c r="A495" i="9"/>
  <c r="B495" i="9"/>
  <c r="C495" i="9"/>
  <c r="D495" i="9"/>
  <c r="E495" i="9"/>
  <c r="F495" i="9"/>
  <c r="A496" i="9"/>
  <c r="B496" i="9"/>
  <c r="C496" i="9"/>
  <c r="D496" i="9"/>
  <c r="E496" i="9"/>
  <c r="F496" i="9"/>
  <c r="A497" i="9"/>
  <c r="B497" i="9"/>
  <c r="C497" i="9"/>
  <c r="D497" i="9"/>
  <c r="E497" i="9"/>
  <c r="F497" i="9"/>
  <c r="A498" i="9"/>
  <c r="B498" i="9"/>
  <c r="C498" i="9"/>
  <c r="D498" i="9"/>
  <c r="E498" i="9"/>
  <c r="F498" i="9"/>
  <c r="A499" i="9"/>
  <c r="B499" i="9"/>
  <c r="C499" i="9"/>
  <c r="D499" i="9"/>
  <c r="E499" i="9"/>
  <c r="F499" i="9"/>
  <c r="A500" i="9"/>
  <c r="B500" i="9"/>
  <c r="C500" i="9"/>
  <c r="D500" i="9"/>
  <c r="E500" i="9"/>
  <c r="F500" i="9"/>
  <c r="A501" i="9"/>
  <c r="B501" i="9"/>
  <c r="C501" i="9"/>
  <c r="D501" i="9"/>
  <c r="E501" i="9"/>
  <c r="F501" i="9"/>
  <c r="A502" i="9"/>
  <c r="B502" i="9"/>
  <c r="C502" i="9"/>
  <c r="D502" i="9"/>
  <c r="E502" i="9"/>
  <c r="F502" i="9"/>
  <c r="A503" i="9"/>
  <c r="B503" i="9"/>
  <c r="C503" i="9"/>
  <c r="D503" i="9"/>
  <c r="E503" i="9"/>
  <c r="F503" i="9"/>
  <c r="A504" i="9"/>
  <c r="B504" i="9"/>
  <c r="C504" i="9"/>
  <c r="D504" i="9"/>
  <c r="E504" i="9"/>
  <c r="F504" i="9"/>
  <c r="A505" i="9"/>
  <c r="B505" i="9"/>
  <c r="C505" i="9"/>
  <c r="D505" i="9"/>
  <c r="E505" i="9"/>
  <c r="F505" i="9"/>
  <c r="A506" i="9"/>
  <c r="B506" i="9"/>
  <c r="C506" i="9"/>
  <c r="D506" i="9"/>
  <c r="E506" i="9"/>
  <c r="F506" i="9"/>
  <c r="A507" i="9"/>
  <c r="B507" i="9"/>
  <c r="C507" i="9"/>
  <c r="D507" i="9"/>
  <c r="E507" i="9"/>
  <c r="F507" i="9"/>
  <c r="A508" i="9"/>
  <c r="B508" i="9"/>
  <c r="C508" i="9"/>
  <c r="D508" i="9"/>
  <c r="E508" i="9"/>
  <c r="F508" i="9"/>
  <c r="A509" i="9"/>
  <c r="B509" i="9"/>
  <c r="C509" i="9"/>
  <c r="D509" i="9"/>
  <c r="E509" i="9"/>
  <c r="F509" i="9"/>
  <c r="A510" i="9"/>
  <c r="B510" i="9"/>
  <c r="C510" i="9"/>
  <c r="D510" i="9"/>
  <c r="E510" i="9"/>
  <c r="F510" i="9"/>
  <c r="A511" i="9"/>
  <c r="B511" i="9"/>
  <c r="C511" i="9"/>
  <c r="D511" i="9"/>
  <c r="E511" i="9"/>
  <c r="F511" i="9"/>
  <c r="A512" i="9"/>
  <c r="B512" i="9"/>
  <c r="C512" i="9"/>
  <c r="D512" i="9"/>
  <c r="E512" i="9"/>
  <c r="F512" i="9"/>
  <c r="A513" i="9"/>
  <c r="B513" i="9"/>
  <c r="C513" i="9"/>
  <c r="D513" i="9"/>
  <c r="E513" i="9"/>
  <c r="F513" i="9"/>
  <c r="A514" i="9"/>
  <c r="B514" i="9"/>
  <c r="C514" i="9"/>
  <c r="D514" i="9"/>
  <c r="E514" i="9"/>
  <c r="F514" i="9"/>
  <c r="A515" i="9"/>
  <c r="B515" i="9"/>
  <c r="C515" i="9"/>
  <c r="D515" i="9"/>
  <c r="E515" i="9"/>
  <c r="F515" i="9"/>
  <c r="A516" i="9"/>
  <c r="B516" i="9"/>
  <c r="C516" i="9"/>
  <c r="D516" i="9"/>
  <c r="E516" i="9"/>
  <c r="F516" i="9"/>
  <c r="A517" i="9"/>
  <c r="B517" i="9"/>
  <c r="C517" i="9"/>
  <c r="D517" i="9"/>
  <c r="E517" i="9"/>
  <c r="F517" i="9"/>
  <c r="A518" i="9"/>
  <c r="B518" i="9"/>
  <c r="C518" i="9"/>
  <c r="D518" i="9"/>
  <c r="E518" i="9"/>
  <c r="F518" i="9"/>
  <c r="A519" i="9"/>
  <c r="B519" i="9"/>
  <c r="C519" i="9"/>
  <c r="D519" i="9"/>
  <c r="E519" i="9"/>
  <c r="F519" i="9"/>
  <c r="A520" i="9"/>
  <c r="B520" i="9"/>
  <c r="C520" i="9"/>
  <c r="D520" i="9"/>
  <c r="E520" i="9"/>
  <c r="F520" i="9"/>
  <c r="A521" i="9"/>
  <c r="B521" i="9"/>
  <c r="C521" i="9"/>
  <c r="D521" i="9"/>
  <c r="E521" i="9"/>
  <c r="F521" i="9"/>
  <c r="A522" i="9"/>
  <c r="B522" i="9"/>
  <c r="C522" i="9"/>
  <c r="D522" i="9"/>
  <c r="E522" i="9"/>
  <c r="F522" i="9"/>
  <c r="A523" i="9"/>
  <c r="B523" i="9"/>
  <c r="C523" i="9"/>
  <c r="D523" i="9"/>
  <c r="E523" i="9"/>
  <c r="F523" i="9"/>
  <c r="A524" i="9"/>
  <c r="B524" i="9"/>
  <c r="C524" i="9"/>
  <c r="D524" i="9"/>
  <c r="E524" i="9"/>
  <c r="F524" i="9"/>
  <c r="A525" i="9"/>
  <c r="B525" i="9"/>
  <c r="C525" i="9"/>
  <c r="D525" i="9"/>
  <c r="E525" i="9"/>
  <c r="F525" i="9"/>
  <c r="A526" i="9"/>
  <c r="B526" i="9"/>
  <c r="C526" i="9"/>
  <c r="D526" i="9"/>
  <c r="E526" i="9"/>
  <c r="F526" i="9"/>
  <c r="A527" i="9"/>
  <c r="B527" i="9"/>
  <c r="C527" i="9"/>
  <c r="D527" i="9"/>
  <c r="E527" i="9"/>
  <c r="F527" i="9"/>
  <c r="A528" i="9"/>
  <c r="B528" i="9"/>
  <c r="C528" i="9"/>
  <c r="D528" i="9"/>
  <c r="E528" i="9"/>
  <c r="F528" i="9"/>
  <c r="A529" i="9"/>
  <c r="B529" i="9"/>
  <c r="C529" i="9"/>
  <c r="D529" i="9"/>
  <c r="E529" i="9"/>
  <c r="F529" i="9"/>
  <c r="A530" i="9"/>
  <c r="B530" i="9"/>
  <c r="C530" i="9"/>
  <c r="D530" i="9"/>
  <c r="E530" i="9"/>
  <c r="F530" i="9"/>
  <c r="A531" i="9"/>
  <c r="B531" i="9"/>
  <c r="C531" i="9"/>
  <c r="D531" i="9"/>
  <c r="E531" i="9"/>
  <c r="F531" i="9"/>
  <c r="A532" i="9"/>
  <c r="B532" i="9"/>
  <c r="C532" i="9"/>
  <c r="D532" i="9"/>
  <c r="E532" i="9"/>
  <c r="F532" i="9"/>
  <c r="A533" i="9"/>
  <c r="B533" i="9"/>
  <c r="C533" i="9"/>
  <c r="D533" i="9"/>
  <c r="E533" i="9"/>
  <c r="F533" i="9"/>
  <c r="A534" i="9"/>
  <c r="B534" i="9"/>
  <c r="C534" i="9"/>
  <c r="D534" i="9"/>
  <c r="E534" i="9"/>
  <c r="F534" i="9"/>
  <c r="A535" i="9"/>
  <c r="B535" i="9"/>
  <c r="C535" i="9"/>
  <c r="D535" i="9"/>
  <c r="E535" i="9"/>
  <c r="F535" i="9"/>
  <c r="A536" i="9"/>
  <c r="B536" i="9"/>
  <c r="C536" i="9"/>
  <c r="D536" i="9"/>
  <c r="E536" i="9"/>
  <c r="F536" i="9"/>
  <c r="A537" i="9"/>
  <c r="B537" i="9"/>
  <c r="C537" i="9"/>
  <c r="D537" i="9"/>
  <c r="E537" i="9"/>
  <c r="F537" i="9"/>
  <c r="A538" i="9"/>
  <c r="B538" i="9"/>
  <c r="C538" i="9"/>
  <c r="D538" i="9"/>
  <c r="E538" i="9"/>
  <c r="F538" i="9"/>
  <c r="A539" i="9"/>
  <c r="B539" i="9"/>
  <c r="C539" i="9"/>
  <c r="D539" i="9"/>
  <c r="E539" i="9"/>
  <c r="F539" i="9"/>
  <c r="A540" i="9"/>
  <c r="B540" i="9"/>
  <c r="C540" i="9"/>
  <c r="D540" i="9"/>
  <c r="E540" i="9"/>
  <c r="F540" i="9"/>
  <c r="A541" i="9"/>
  <c r="B541" i="9"/>
  <c r="C541" i="9"/>
  <c r="D541" i="9"/>
  <c r="E541" i="9"/>
  <c r="F541" i="9"/>
  <c r="A542" i="9"/>
  <c r="B542" i="9"/>
  <c r="C542" i="9"/>
  <c r="D542" i="9"/>
  <c r="E542" i="9"/>
  <c r="F542" i="9"/>
  <c r="A543" i="9"/>
  <c r="B543" i="9"/>
  <c r="C543" i="9"/>
  <c r="D543" i="9"/>
  <c r="E543" i="9"/>
  <c r="F543" i="9"/>
  <c r="A544" i="9"/>
  <c r="B544" i="9"/>
  <c r="C544" i="9"/>
  <c r="D544" i="9"/>
  <c r="E544" i="9"/>
  <c r="F544" i="9"/>
  <c r="A545" i="9"/>
  <c r="B545" i="9"/>
  <c r="C545" i="9"/>
  <c r="D545" i="9"/>
  <c r="E545" i="9"/>
  <c r="F545" i="9"/>
  <c r="A546" i="9"/>
  <c r="B546" i="9"/>
  <c r="C546" i="9"/>
  <c r="D546" i="9"/>
  <c r="E546" i="9"/>
  <c r="F546" i="9"/>
  <c r="A547" i="9"/>
  <c r="B547" i="9"/>
  <c r="C547" i="9"/>
  <c r="D547" i="9"/>
  <c r="E547" i="9"/>
  <c r="F547" i="9"/>
  <c r="A548" i="9"/>
  <c r="B548" i="9"/>
  <c r="C548" i="9"/>
  <c r="D548" i="9"/>
  <c r="E548" i="9"/>
  <c r="F548" i="9"/>
  <c r="A549" i="9"/>
  <c r="B549" i="9"/>
  <c r="C549" i="9"/>
  <c r="D549" i="9"/>
  <c r="E549" i="9"/>
  <c r="F549" i="9"/>
  <c r="A550" i="9"/>
  <c r="B550" i="9"/>
  <c r="C550" i="9"/>
  <c r="D550" i="9"/>
  <c r="E550" i="9"/>
  <c r="F550" i="9"/>
  <c r="A551" i="9"/>
  <c r="B551" i="9"/>
  <c r="C551" i="9"/>
  <c r="D551" i="9"/>
  <c r="E551" i="9"/>
  <c r="F551" i="9"/>
  <c r="A552" i="9"/>
  <c r="B552" i="9"/>
  <c r="C552" i="9"/>
  <c r="D552" i="9"/>
  <c r="E552" i="9"/>
  <c r="F552" i="9"/>
  <c r="A553" i="9"/>
  <c r="B553" i="9"/>
  <c r="C553" i="9"/>
  <c r="D553" i="9"/>
  <c r="E553" i="9"/>
  <c r="F553" i="9"/>
  <c r="A554" i="9"/>
  <c r="B554" i="9"/>
  <c r="C554" i="9"/>
  <c r="D554" i="9"/>
  <c r="E554" i="9"/>
  <c r="F554" i="9"/>
  <c r="A555" i="9"/>
  <c r="B555" i="9"/>
  <c r="C555" i="9"/>
  <c r="D555" i="9"/>
  <c r="E555" i="9"/>
  <c r="F555" i="9"/>
  <c r="A556" i="9"/>
  <c r="B556" i="9"/>
  <c r="C556" i="9"/>
  <c r="D556" i="9"/>
  <c r="E556" i="9"/>
  <c r="F556" i="9"/>
  <c r="A557" i="9"/>
  <c r="B557" i="9"/>
  <c r="C557" i="9"/>
  <c r="D557" i="9"/>
  <c r="E557" i="9"/>
  <c r="F557" i="9"/>
  <c r="A558" i="9"/>
  <c r="B558" i="9"/>
  <c r="C558" i="9"/>
  <c r="D558" i="9"/>
  <c r="E558" i="9"/>
  <c r="F558" i="9"/>
  <c r="A559" i="9"/>
  <c r="B559" i="9"/>
  <c r="C559" i="9"/>
  <c r="D559" i="9"/>
  <c r="E559" i="9"/>
  <c r="F559" i="9"/>
  <c r="A560" i="9"/>
  <c r="B560" i="9"/>
  <c r="C560" i="9"/>
  <c r="D560" i="9"/>
  <c r="E560" i="9"/>
  <c r="F560" i="9"/>
  <c r="A561" i="9"/>
  <c r="B561" i="9"/>
  <c r="C561" i="9"/>
  <c r="D561" i="9"/>
  <c r="E561" i="9"/>
  <c r="F561" i="9"/>
  <c r="A562" i="9"/>
  <c r="B562" i="9"/>
  <c r="C562" i="9"/>
  <c r="D562" i="9"/>
  <c r="E562" i="9"/>
  <c r="F562" i="9"/>
  <c r="A563" i="9"/>
  <c r="B563" i="9"/>
  <c r="C563" i="9"/>
  <c r="D563" i="9"/>
  <c r="E563" i="9"/>
  <c r="F563" i="9"/>
  <c r="A564" i="9"/>
  <c r="B564" i="9"/>
  <c r="C564" i="9"/>
  <c r="D564" i="9"/>
  <c r="E564" i="9"/>
  <c r="F564" i="9"/>
  <c r="A565" i="9"/>
  <c r="B565" i="9"/>
  <c r="C565" i="9"/>
  <c r="D565" i="9"/>
  <c r="E565" i="9"/>
  <c r="F565" i="9"/>
  <c r="A566" i="9"/>
  <c r="B566" i="9"/>
  <c r="C566" i="9"/>
  <c r="D566" i="9"/>
  <c r="E566" i="9"/>
  <c r="F566" i="9"/>
  <c r="A567" i="9"/>
  <c r="B567" i="9"/>
  <c r="C567" i="9"/>
  <c r="D567" i="9"/>
  <c r="E567" i="9"/>
  <c r="F567" i="9"/>
  <c r="A568" i="9"/>
  <c r="B568" i="9"/>
  <c r="C568" i="9"/>
  <c r="D568" i="9"/>
  <c r="E568" i="9"/>
  <c r="F568" i="9"/>
  <c r="A569" i="9"/>
  <c r="B569" i="9"/>
  <c r="C569" i="9"/>
  <c r="D569" i="9"/>
  <c r="E569" i="9"/>
  <c r="F569" i="9"/>
  <c r="A570" i="9"/>
  <c r="B570" i="9"/>
  <c r="C570" i="9"/>
  <c r="D570" i="9"/>
  <c r="E570" i="9"/>
  <c r="F570" i="9"/>
  <c r="A571" i="9"/>
  <c r="B571" i="9"/>
  <c r="C571" i="9"/>
  <c r="D571" i="9"/>
  <c r="E571" i="9"/>
  <c r="F571" i="9"/>
  <c r="A572" i="9"/>
  <c r="B572" i="9"/>
  <c r="C572" i="9"/>
  <c r="D572" i="9"/>
  <c r="E572" i="9"/>
  <c r="F572" i="9"/>
  <c r="A573" i="9"/>
  <c r="B573" i="9"/>
  <c r="C573" i="9"/>
  <c r="D573" i="9"/>
  <c r="E573" i="9"/>
  <c r="F573" i="9"/>
  <c r="A574" i="9"/>
  <c r="B574" i="9"/>
  <c r="C574" i="9"/>
  <c r="D574" i="9"/>
  <c r="E574" i="9"/>
  <c r="F574" i="9"/>
  <c r="A575" i="9"/>
  <c r="B575" i="9"/>
  <c r="C575" i="9"/>
  <c r="D575" i="9"/>
  <c r="E575" i="9"/>
  <c r="F575" i="9"/>
  <c r="A576" i="9"/>
  <c r="B576" i="9"/>
  <c r="C576" i="9"/>
  <c r="D576" i="9"/>
  <c r="E576" i="9"/>
  <c r="F576" i="9"/>
  <c r="A577" i="9"/>
  <c r="B577" i="9"/>
  <c r="C577" i="9"/>
  <c r="D577" i="9"/>
  <c r="E577" i="9"/>
  <c r="F577" i="9"/>
  <c r="A578" i="9"/>
  <c r="B578" i="9"/>
  <c r="C578" i="9"/>
  <c r="D578" i="9"/>
  <c r="E578" i="9"/>
  <c r="F578" i="9"/>
  <c r="A579" i="9"/>
  <c r="B579" i="9"/>
  <c r="C579" i="9"/>
  <c r="D579" i="9"/>
  <c r="E579" i="9"/>
  <c r="F579" i="9"/>
  <c r="A580" i="9"/>
  <c r="B580" i="9"/>
  <c r="C580" i="9"/>
  <c r="D580" i="9"/>
  <c r="E580" i="9"/>
  <c r="F580" i="9"/>
  <c r="A581" i="9"/>
  <c r="B581" i="9"/>
  <c r="C581" i="9"/>
  <c r="D581" i="9"/>
  <c r="E581" i="9"/>
  <c r="F581" i="9"/>
  <c r="A582" i="9"/>
  <c r="B582" i="9"/>
  <c r="C582" i="9"/>
  <c r="D582" i="9"/>
  <c r="E582" i="9"/>
  <c r="F582" i="9"/>
  <c r="A583" i="9"/>
  <c r="B583" i="9"/>
  <c r="C583" i="9"/>
  <c r="D583" i="9"/>
  <c r="E583" i="9"/>
  <c r="F583" i="9"/>
  <c r="A584" i="9"/>
  <c r="B584" i="9"/>
  <c r="C584" i="9"/>
  <c r="D584" i="9"/>
  <c r="E584" i="9"/>
  <c r="F584" i="9"/>
  <c r="A585" i="9"/>
  <c r="B585" i="9"/>
  <c r="C585" i="9"/>
  <c r="D585" i="9"/>
  <c r="E585" i="9"/>
  <c r="F585" i="9"/>
  <c r="A586" i="9"/>
  <c r="B586" i="9"/>
  <c r="C586" i="9"/>
  <c r="D586" i="9"/>
  <c r="E586" i="9"/>
  <c r="F586" i="9"/>
  <c r="A587" i="9"/>
  <c r="B587" i="9"/>
  <c r="C587" i="9"/>
  <c r="D587" i="9"/>
  <c r="E587" i="9"/>
  <c r="F587" i="9"/>
  <c r="A588" i="9"/>
  <c r="B588" i="9"/>
  <c r="C588" i="9"/>
  <c r="D588" i="9"/>
  <c r="E588" i="9"/>
  <c r="F588" i="9"/>
  <c r="A589" i="9"/>
  <c r="B589" i="9"/>
  <c r="C589" i="9"/>
  <c r="D589" i="9"/>
  <c r="E589" i="9"/>
  <c r="F589" i="9"/>
  <c r="A590" i="9"/>
  <c r="B590" i="9"/>
  <c r="C590" i="9"/>
  <c r="D590" i="9"/>
  <c r="E590" i="9"/>
  <c r="F590" i="9"/>
  <c r="A591" i="9"/>
  <c r="B591" i="9"/>
  <c r="C591" i="9"/>
  <c r="D591" i="9"/>
  <c r="E591" i="9"/>
  <c r="F591" i="9"/>
  <c r="A592" i="9"/>
  <c r="B592" i="9"/>
  <c r="C592" i="9"/>
  <c r="D592" i="9"/>
  <c r="E592" i="9"/>
  <c r="F592" i="9"/>
  <c r="A593" i="9"/>
  <c r="B593" i="9"/>
  <c r="C593" i="9"/>
  <c r="D593" i="9"/>
  <c r="E593" i="9"/>
  <c r="F593" i="9"/>
  <c r="A594" i="9"/>
  <c r="B594" i="9"/>
  <c r="C594" i="9"/>
  <c r="D594" i="9"/>
  <c r="E594" i="9"/>
  <c r="F594" i="9"/>
  <c r="A595" i="9"/>
  <c r="B595" i="9"/>
  <c r="C595" i="9"/>
  <c r="D595" i="9"/>
  <c r="E595" i="9"/>
  <c r="F595" i="9"/>
  <c r="A596" i="9"/>
  <c r="B596" i="9"/>
  <c r="C596" i="9"/>
  <c r="D596" i="9"/>
  <c r="E596" i="9"/>
  <c r="F596" i="9"/>
  <c r="A597" i="9"/>
  <c r="B597" i="9"/>
  <c r="C597" i="9"/>
  <c r="D597" i="9"/>
  <c r="E597" i="9"/>
  <c r="F597" i="9"/>
  <c r="A598" i="9"/>
  <c r="B598" i="9"/>
  <c r="C598" i="9"/>
  <c r="D598" i="9"/>
  <c r="E598" i="9"/>
  <c r="F598" i="9"/>
  <c r="A599" i="9"/>
  <c r="B599" i="9"/>
  <c r="C599" i="9"/>
  <c r="D599" i="9"/>
  <c r="E599" i="9"/>
  <c r="F599" i="9"/>
  <c r="A600" i="9"/>
  <c r="B600" i="9"/>
  <c r="C600" i="9"/>
  <c r="D600" i="9"/>
  <c r="E600" i="9"/>
  <c r="F600" i="9"/>
  <c r="A601" i="9"/>
  <c r="B601" i="9"/>
  <c r="C601" i="9"/>
  <c r="D601" i="9"/>
  <c r="E601" i="9"/>
  <c r="F601" i="9"/>
  <c r="A602" i="9"/>
  <c r="B602" i="9"/>
  <c r="C602" i="9"/>
  <c r="D602" i="9"/>
  <c r="E602" i="9"/>
  <c r="F602" i="9"/>
  <c r="A603" i="9"/>
  <c r="B603" i="9"/>
  <c r="C603" i="9"/>
  <c r="D603" i="9"/>
  <c r="E603" i="9"/>
  <c r="F603" i="9"/>
  <c r="A604" i="9"/>
  <c r="B604" i="9"/>
  <c r="C604" i="9"/>
  <c r="D604" i="9"/>
  <c r="E604" i="9"/>
  <c r="F604" i="9"/>
  <c r="A605" i="9"/>
  <c r="B605" i="9"/>
  <c r="C605" i="9"/>
  <c r="D605" i="9"/>
  <c r="E605" i="9"/>
  <c r="F605" i="9"/>
  <c r="A606" i="9"/>
  <c r="B606" i="9"/>
  <c r="C606" i="9"/>
  <c r="D606" i="9"/>
  <c r="E606" i="9"/>
  <c r="F606" i="9"/>
  <c r="A607" i="9"/>
  <c r="B607" i="9"/>
  <c r="C607" i="9"/>
  <c r="D607" i="9"/>
  <c r="E607" i="9"/>
  <c r="F607" i="9"/>
  <c r="A608" i="9"/>
  <c r="B608" i="9"/>
  <c r="C608" i="9"/>
  <c r="D608" i="9"/>
  <c r="E608" i="9"/>
  <c r="F608" i="9"/>
  <c r="A609" i="9"/>
  <c r="B609" i="9"/>
  <c r="C609" i="9"/>
  <c r="D609" i="9"/>
  <c r="E609" i="9"/>
  <c r="F609" i="9"/>
  <c r="A610" i="9"/>
  <c r="B610" i="9"/>
  <c r="C610" i="9"/>
  <c r="D610" i="9"/>
  <c r="E610" i="9"/>
  <c r="F610" i="9"/>
  <c r="A611" i="9"/>
  <c r="B611" i="9"/>
  <c r="C611" i="9"/>
  <c r="D611" i="9"/>
  <c r="E611" i="9"/>
  <c r="F611" i="9"/>
  <c r="A612" i="9"/>
  <c r="B612" i="9"/>
  <c r="C612" i="9"/>
  <c r="D612" i="9"/>
  <c r="E612" i="9"/>
  <c r="F612" i="9"/>
  <c r="A613" i="9"/>
  <c r="B613" i="9"/>
  <c r="C613" i="9"/>
  <c r="D613" i="9"/>
  <c r="E613" i="9"/>
  <c r="F613" i="9"/>
  <c r="A614" i="9"/>
  <c r="B614" i="9"/>
  <c r="C614" i="9"/>
  <c r="D614" i="9"/>
  <c r="E614" i="9"/>
  <c r="F614" i="9"/>
  <c r="A615" i="9"/>
  <c r="B615" i="9"/>
  <c r="C615" i="9"/>
  <c r="D615" i="9"/>
  <c r="E615" i="9"/>
  <c r="F615" i="9"/>
  <c r="A616" i="9"/>
  <c r="B616" i="9"/>
  <c r="C616" i="9"/>
  <c r="D616" i="9"/>
  <c r="E616" i="9"/>
  <c r="F616" i="9"/>
  <c r="A617" i="9"/>
  <c r="B617" i="9"/>
  <c r="C617" i="9"/>
  <c r="D617" i="9"/>
  <c r="E617" i="9"/>
  <c r="F617" i="9"/>
  <c r="A618" i="9"/>
  <c r="B618" i="9"/>
  <c r="C618" i="9"/>
  <c r="D618" i="9"/>
  <c r="E618" i="9"/>
  <c r="F618" i="9"/>
  <c r="A619" i="9"/>
  <c r="B619" i="9"/>
  <c r="C619" i="9"/>
  <c r="D619" i="9"/>
  <c r="E619" i="9"/>
  <c r="F619" i="9"/>
  <c r="A620" i="9"/>
  <c r="B620" i="9"/>
  <c r="C620" i="9"/>
  <c r="D620" i="9"/>
  <c r="E620" i="9"/>
  <c r="F620" i="9"/>
  <c r="A621" i="9"/>
  <c r="B621" i="9"/>
  <c r="C621" i="9"/>
  <c r="D621" i="9"/>
  <c r="E621" i="9"/>
  <c r="F621" i="9"/>
  <c r="A622" i="9"/>
  <c r="B622" i="9"/>
  <c r="C622" i="9"/>
  <c r="D622" i="9"/>
  <c r="E622" i="9"/>
  <c r="F622" i="9"/>
  <c r="A623" i="9"/>
  <c r="B623" i="9"/>
  <c r="C623" i="9"/>
  <c r="D623" i="9"/>
  <c r="E623" i="9"/>
  <c r="F623" i="9"/>
  <c r="A624" i="9"/>
  <c r="B624" i="9"/>
  <c r="C624" i="9"/>
  <c r="D624" i="9"/>
  <c r="E624" i="9"/>
  <c r="F624" i="9"/>
  <c r="A625" i="9"/>
  <c r="B625" i="9"/>
  <c r="C625" i="9"/>
  <c r="D625" i="9"/>
  <c r="E625" i="9"/>
  <c r="F625" i="9"/>
  <c r="A626" i="9"/>
  <c r="B626" i="9"/>
  <c r="C626" i="9"/>
  <c r="D626" i="9"/>
  <c r="E626" i="9"/>
  <c r="F626" i="9"/>
  <c r="A627" i="9"/>
  <c r="B627" i="9"/>
  <c r="C627" i="9"/>
  <c r="D627" i="9"/>
  <c r="E627" i="9"/>
  <c r="F627" i="9"/>
  <c r="A628" i="9"/>
  <c r="B628" i="9"/>
  <c r="C628" i="9"/>
  <c r="D628" i="9"/>
  <c r="E628" i="9"/>
  <c r="F628" i="9"/>
  <c r="A629" i="9"/>
  <c r="B629" i="9"/>
  <c r="C629" i="9"/>
  <c r="D629" i="9"/>
  <c r="E629" i="9"/>
  <c r="F629" i="9"/>
  <c r="A630" i="9"/>
  <c r="B630" i="9"/>
  <c r="C630" i="9"/>
  <c r="D630" i="9"/>
  <c r="E630" i="9"/>
  <c r="F630" i="9"/>
  <c r="A631" i="9"/>
  <c r="B631" i="9"/>
  <c r="C631" i="9"/>
  <c r="D631" i="9"/>
  <c r="E631" i="9"/>
  <c r="F631" i="9"/>
  <c r="A632" i="9"/>
  <c r="B632" i="9"/>
  <c r="C632" i="9"/>
  <c r="D632" i="9"/>
  <c r="E632" i="9"/>
  <c r="F632" i="9"/>
  <c r="A633" i="9"/>
  <c r="B633" i="9"/>
  <c r="C633" i="9"/>
  <c r="D633" i="9"/>
  <c r="E633" i="9"/>
  <c r="F633" i="9"/>
  <c r="A634" i="9"/>
  <c r="B634" i="9"/>
  <c r="C634" i="9"/>
  <c r="D634" i="9"/>
  <c r="E634" i="9"/>
  <c r="F634" i="9"/>
  <c r="A635" i="9"/>
  <c r="B635" i="9"/>
  <c r="C635" i="9"/>
  <c r="D635" i="9"/>
  <c r="E635" i="9"/>
  <c r="F635" i="9"/>
  <c r="A636" i="9"/>
  <c r="B636" i="9"/>
  <c r="C636" i="9"/>
  <c r="D636" i="9"/>
  <c r="E636" i="9"/>
  <c r="F636" i="9"/>
  <c r="A637" i="9"/>
  <c r="B637" i="9"/>
  <c r="C637" i="9"/>
  <c r="D637" i="9"/>
  <c r="E637" i="9"/>
  <c r="F637" i="9"/>
  <c r="A638" i="9"/>
  <c r="B638" i="9"/>
  <c r="C638" i="9"/>
  <c r="D638" i="9"/>
  <c r="E638" i="9"/>
  <c r="F638" i="9"/>
  <c r="A639" i="9"/>
  <c r="B639" i="9"/>
  <c r="C639" i="9"/>
  <c r="D639" i="9"/>
  <c r="E639" i="9"/>
  <c r="F639" i="9"/>
  <c r="A640" i="9"/>
  <c r="B640" i="9"/>
  <c r="C640" i="9"/>
  <c r="D640" i="9"/>
  <c r="E640" i="9"/>
  <c r="F640" i="9"/>
  <c r="A641" i="9"/>
  <c r="B641" i="9"/>
  <c r="C641" i="9"/>
  <c r="D641" i="9"/>
  <c r="E641" i="9"/>
  <c r="F641" i="9"/>
  <c r="A642" i="9"/>
  <c r="B642" i="9"/>
  <c r="C642" i="9"/>
  <c r="D642" i="9"/>
  <c r="E642" i="9"/>
  <c r="F642" i="9"/>
  <c r="A643" i="9"/>
  <c r="B643" i="9"/>
  <c r="C643" i="9"/>
  <c r="D643" i="9"/>
  <c r="E643" i="9"/>
  <c r="F643" i="9"/>
  <c r="A644" i="9"/>
  <c r="B644" i="9"/>
  <c r="C644" i="9"/>
  <c r="D644" i="9"/>
  <c r="E644" i="9"/>
  <c r="F644" i="9"/>
  <c r="A645" i="9"/>
  <c r="B645" i="9"/>
  <c r="C645" i="9"/>
  <c r="D645" i="9"/>
  <c r="E645" i="9"/>
  <c r="F645" i="9"/>
  <c r="A646" i="9"/>
  <c r="B646" i="9"/>
  <c r="C646" i="9"/>
  <c r="D646" i="9"/>
  <c r="E646" i="9"/>
  <c r="F646" i="9"/>
  <c r="A647" i="9"/>
  <c r="B647" i="9"/>
  <c r="C647" i="9"/>
  <c r="D647" i="9"/>
  <c r="E647" i="9"/>
  <c r="F647" i="9"/>
  <c r="A648" i="9"/>
  <c r="B648" i="9"/>
  <c r="C648" i="9"/>
  <c r="D648" i="9"/>
  <c r="E648" i="9"/>
  <c r="F648" i="9"/>
  <c r="A649" i="9"/>
  <c r="B649" i="9"/>
  <c r="C649" i="9"/>
  <c r="D649" i="9"/>
  <c r="E649" i="9"/>
  <c r="F649" i="9"/>
  <c r="A650" i="9"/>
  <c r="B650" i="9"/>
  <c r="C650" i="9"/>
  <c r="D650" i="9"/>
  <c r="E650" i="9"/>
  <c r="F650" i="9"/>
  <c r="A651" i="9"/>
  <c r="B651" i="9"/>
  <c r="C651" i="9"/>
  <c r="D651" i="9"/>
  <c r="E651" i="9"/>
  <c r="F651" i="9"/>
  <c r="A652" i="9"/>
  <c r="B652" i="9"/>
  <c r="C652" i="9"/>
  <c r="D652" i="9"/>
  <c r="E652" i="9"/>
  <c r="F652" i="9"/>
  <c r="A653" i="9"/>
  <c r="B653" i="9"/>
  <c r="C653" i="9"/>
  <c r="D653" i="9"/>
  <c r="E653" i="9"/>
  <c r="F653" i="9"/>
  <c r="A654" i="9"/>
  <c r="B654" i="9"/>
  <c r="C654" i="9"/>
  <c r="D654" i="9"/>
  <c r="E654" i="9"/>
  <c r="F654" i="9"/>
  <c r="A655" i="9"/>
  <c r="B655" i="9"/>
  <c r="C655" i="9"/>
  <c r="D655" i="9"/>
  <c r="E655" i="9"/>
  <c r="F655" i="9"/>
  <c r="A656" i="9"/>
  <c r="B656" i="9"/>
  <c r="C656" i="9"/>
  <c r="D656" i="9"/>
  <c r="E656" i="9"/>
  <c r="F656" i="9"/>
  <c r="A657" i="9"/>
  <c r="B657" i="9"/>
  <c r="C657" i="9"/>
  <c r="D657" i="9"/>
  <c r="E657" i="9"/>
  <c r="F657" i="9"/>
  <c r="A658" i="9"/>
  <c r="B658" i="9"/>
  <c r="C658" i="9"/>
  <c r="D658" i="9"/>
  <c r="E658" i="9"/>
  <c r="F658" i="9"/>
  <c r="A659" i="9"/>
  <c r="B659" i="9"/>
  <c r="C659" i="9"/>
  <c r="D659" i="9"/>
  <c r="E659" i="9"/>
  <c r="F659" i="9"/>
  <c r="A660" i="9"/>
  <c r="B660" i="9"/>
  <c r="C660" i="9"/>
  <c r="D660" i="9"/>
  <c r="E660" i="9"/>
  <c r="F660" i="9"/>
  <c r="A661" i="9"/>
  <c r="B661" i="9"/>
  <c r="C661" i="9"/>
  <c r="D661" i="9"/>
  <c r="E661" i="9"/>
  <c r="F661" i="9"/>
  <c r="A662" i="9"/>
  <c r="B662" i="9"/>
  <c r="C662" i="9"/>
  <c r="D662" i="9"/>
  <c r="E662" i="9"/>
  <c r="F662" i="9"/>
  <c r="A663" i="9"/>
  <c r="B663" i="9"/>
  <c r="C663" i="9"/>
  <c r="D663" i="9"/>
  <c r="E663" i="9"/>
  <c r="F663" i="9"/>
  <c r="A664" i="9"/>
  <c r="B664" i="9"/>
  <c r="C664" i="9"/>
  <c r="D664" i="9"/>
  <c r="E664" i="9"/>
  <c r="F664" i="9"/>
  <c r="A665" i="9"/>
  <c r="B665" i="9"/>
  <c r="C665" i="9"/>
  <c r="D665" i="9"/>
  <c r="E665" i="9"/>
  <c r="F665" i="9"/>
  <c r="A666" i="9"/>
  <c r="B666" i="9"/>
  <c r="C666" i="9"/>
  <c r="D666" i="9"/>
  <c r="E666" i="9"/>
  <c r="F666" i="9"/>
  <c r="A667" i="9"/>
  <c r="B667" i="9"/>
  <c r="C667" i="9"/>
  <c r="D667" i="9"/>
  <c r="E667" i="9"/>
  <c r="F667" i="9"/>
  <c r="A668" i="9"/>
  <c r="B668" i="9"/>
  <c r="C668" i="9"/>
  <c r="D668" i="9"/>
  <c r="E668" i="9"/>
  <c r="F668" i="9"/>
  <c r="A669" i="9"/>
  <c r="B669" i="9"/>
  <c r="C669" i="9"/>
  <c r="D669" i="9"/>
  <c r="E669" i="9"/>
  <c r="F669" i="9"/>
  <c r="A670" i="9"/>
  <c r="B670" i="9"/>
  <c r="C670" i="9"/>
  <c r="D670" i="9"/>
  <c r="E670" i="9"/>
  <c r="F670" i="9"/>
  <c r="A671" i="9"/>
  <c r="B671" i="9"/>
  <c r="C671" i="9"/>
  <c r="D671" i="9"/>
  <c r="E671" i="9"/>
  <c r="F671" i="9"/>
  <c r="A672" i="9"/>
  <c r="B672" i="9"/>
  <c r="C672" i="9"/>
  <c r="D672" i="9"/>
  <c r="E672" i="9"/>
  <c r="F672" i="9"/>
  <c r="A673" i="9"/>
  <c r="B673" i="9"/>
  <c r="C673" i="9"/>
  <c r="D673" i="9"/>
  <c r="E673" i="9"/>
  <c r="F673" i="9"/>
  <c r="A674" i="9"/>
  <c r="B674" i="9"/>
  <c r="C674" i="9"/>
  <c r="D674" i="9"/>
  <c r="E674" i="9"/>
  <c r="F674" i="9"/>
  <c r="A675" i="9"/>
  <c r="B675" i="9"/>
  <c r="C675" i="9"/>
  <c r="D675" i="9"/>
  <c r="E675" i="9"/>
  <c r="F675" i="9"/>
  <c r="A676" i="9"/>
  <c r="B676" i="9"/>
  <c r="C676" i="9"/>
  <c r="D676" i="9"/>
  <c r="E676" i="9"/>
  <c r="F676" i="9"/>
  <c r="A677" i="9"/>
  <c r="B677" i="9"/>
  <c r="C677" i="9"/>
  <c r="D677" i="9"/>
  <c r="E677" i="9"/>
  <c r="F677" i="9"/>
  <c r="A678" i="9"/>
  <c r="B678" i="9"/>
  <c r="C678" i="9"/>
  <c r="D678" i="9"/>
  <c r="E678" i="9"/>
  <c r="F678" i="9"/>
  <c r="A679" i="9"/>
  <c r="B679" i="9"/>
  <c r="C679" i="9"/>
  <c r="D679" i="9"/>
  <c r="E679" i="9"/>
  <c r="F679" i="9"/>
  <c r="A680" i="9"/>
  <c r="B680" i="9"/>
  <c r="C680" i="9"/>
  <c r="D680" i="9"/>
  <c r="E680" i="9"/>
  <c r="F680" i="9"/>
  <c r="A681" i="9"/>
  <c r="B681" i="9"/>
  <c r="C681" i="9"/>
  <c r="D681" i="9"/>
  <c r="E681" i="9"/>
  <c r="F681" i="9"/>
  <c r="A682" i="9"/>
  <c r="B682" i="9"/>
  <c r="C682" i="9"/>
  <c r="D682" i="9"/>
  <c r="E682" i="9"/>
  <c r="F682" i="9"/>
  <c r="A683" i="9"/>
  <c r="B683" i="9"/>
  <c r="C683" i="9"/>
  <c r="D683" i="9"/>
  <c r="E683" i="9"/>
  <c r="F683" i="9"/>
  <c r="A684" i="9"/>
  <c r="B684" i="9"/>
  <c r="C684" i="9"/>
  <c r="D684" i="9"/>
  <c r="E684" i="9"/>
  <c r="F684" i="9"/>
  <c r="A685" i="9"/>
  <c r="B685" i="9"/>
  <c r="C685" i="9"/>
  <c r="D685" i="9"/>
  <c r="E685" i="9"/>
  <c r="F685" i="9"/>
  <c r="A686" i="9"/>
  <c r="B686" i="9"/>
  <c r="C686" i="9"/>
  <c r="D686" i="9"/>
  <c r="E686" i="9"/>
  <c r="F686" i="9"/>
  <c r="A687" i="9"/>
  <c r="B687" i="9"/>
  <c r="C687" i="9"/>
  <c r="D687" i="9"/>
  <c r="E687" i="9"/>
  <c r="F687" i="9"/>
  <c r="A688" i="9"/>
  <c r="B688" i="9"/>
  <c r="C688" i="9"/>
  <c r="D688" i="9"/>
  <c r="E688" i="9"/>
  <c r="F688" i="9"/>
  <c r="A689" i="9"/>
  <c r="B689" i="9"/>
  <c r="C689" i="9"/>
  <c r="D689" i="9"/>
  <c r="E689" i="9"/>
  <c r="F689" i="9"/>
  <c r="A690" i="9"/>
  <c r="B690" i="9"/>
  <c r="C690" i="9"/>
  <c r="D690" i="9"/>
  <c r="E690" i="9"/>
  <c r="F690" i="9"/>
  <c r="A691" i="9"/>
  <c r="B691" i="9"/>
  <c r="C691" i="9"/>
  <c r="D691" i="9"/>
  <c r="E691" i="9"/>
  <c r="F691" i="9"/>
  <c r="A692" i="9"/>
  <c r="B692" i="9"/>
  <c r="C692" i="9"/>
  <c r="D692" i="9"/>
  <c r="E692" i="9"/>
  <c r="F692" i="9"/>
  <c r="A693" i="9"/>
  <c r="B693" i="9"/>
  <c r="C693" i="9"/>
  <c r="D693" i="9"/>
  <c r="E693" i="9"/>
  <c r="F693" i="9"/>
  <c r="A694" i="9"/>
  <c r="B694" i="9"/>
  <c r="C694" i="9"/>
  <c r="D694" i="9"/>
  <c r="E694" i="9"/>
  <c r="F694" i="9"/>
  <c r="A695" i="9"/>
  <c r="B695" i="9"/>
  <c r="C695" i="9"/>
  <c r="D695" i="9"/>
  <c r="E695" i="9"/>
  <c r="F695" i="9"/>
  <c r="A696" i="9"/>
  <c r="B696" i="9"/>
  <c r="C696" i="9"/>
  <c r="D696" i="9"/>
  <c r="E696" i="9"/>
  <c r="F696" i="9"/>
  <c r="A697" i="9"/>
  <c r="B697" i="9"/>
  <c r="C697" i="9"/>
  <c r="D697" i="9"/>
  <c r="E697" i="9"/>
  <c r="F697" i="9"/>
  <c r="A698" i="9"/>
  <c r="B698" i="9"/>
  <c r="C698" i="9"/>
  <c r="D698" i="9"/>
  <c r="E698" i="9"/>
  <c r="F698" i="9"/>
  <c r="A699" i="9"/>
  <c r="B699" i="9"/>
  <c r="C699" i="9"/>
  <c r="D699" i="9"/>
  <c r="E699" i="9"/>
  <c r="F699" i="9"/>
  <c r="A700" i="9"/>
  <c r="B700" i="9"/>
  <c r="C700" i="9"/>
  <c r="D700" i="9"/>
  <c r="E700" i="9"/>
  <c r="F700" i="9"/>
  <c r="A701" i="9"/>
  <c r="B701" i="9"/>
  <c r="C701" i="9"/>
  <c r="D701" i="9"/>
  <c r="E701" i="9"/>
  <c r="F701" i="9"/>
  <c r="A702" i="9"/>
  <c r="B702" i="9"/>
  <c r="C702" i="9"/>
  <c r="D702" i="9"/>
  <c r="E702" i="9"/>
  <c r="F702" i="9"/>
  <c r="A703" i="9"/>
  <c r="B703" i="9"/>
  <c r="C703" i="9"/>
  <c r="D703" i="9"/>
  <c r="E703" i="9"/>
  <c r="F703" i="9"/>
  <c r="A704" i="9"/>
  <c r="B704" i="9"/>
  <c r="C704" i="9"/>
  <c r="D704" i="9"/>
  <c r="E704" i="9"/>
  <c r="F704" i="9"/>
  <c r="A705" i="9"/>
  <c r="B705" i="9"/>
  <c r="C705" i="9"/>
  <c r="D705" i="9"/>
  <c r="E705" i="9"/>
  <c r="F705" i="9"/>
  <c r="A706" i="9"/>
  <c r="B706" i="9"/>
  <c r="C706" i="9"/>
  <c r="D706" i="9"/>
  <c r="E706" i="9"/>
  <c r="F706" i="9"/>
  <c r="A707" i="9"/>
  <c r="B707" i="9"/>
  <c r="C707" i="9"/>
  <c r="D707" i="9"/>
  <c r="E707" i="9"/>
  <c r="F707" i="9"/>
  <c r="A708" i="9"/>
  <c r="B708" i="9"/>
  <c r="C708" i="9"/>
  <c r="D708" i="9"/>
  <c r="E708" i="9"/>
  <c r="F708" i="9"/>
  <c r="A709" i="9"/>
  <c r="B709" i="9"/>
  <c r="C709" i="9"/>
  <c r="D709" i="9"/>
  <c r="E709" i="9"/>
  <c r="F709" i="9"/>
  <c r="A710" i="9"/>
  <c r="B710" i="9"/>
  <c r="C710" i="9"/>
  <c r="D710" i="9"/>
  <c r="E710" i="9"/>
  <c r="F710" i="9"/>
  <c r="A711" i="9"/>
  <c r="B711" i="9"/>
  <c r="C711" i="9"/>
  <c r="D711" i="9"/>
  <c r="E711" i="9"/>
  <c r="F711" i="9"/>
  <c r="A712" i="9"/>
  <c r="B712" i="9"/>
  <c r="C712" i="9"/>
  <c r="D712" i="9"/>
  <c r="E712" i="9"/>
  <c r="F712" i="9"/>
  <c r="A713" i="9"/>
  <c r="B713" i="9"/>
  <c r="C713" i="9"/>
  <c r="D713" i="9"/>
  <c r="E713" i="9"/>
  <c r="F713" i="9"/>
  <c r="A714" i="9"/>
  <c r="B714" i="9"/>
  <c r="C714" i="9"/>
  <c r="D714" i="9"/>
  <c r="E714" i="9"/>
  <c r="F714" i="9"/>
  <c r="A715" i="9"/>
  <c r="B715" i="9"/>
  <c r="C715" i="9"/>
  <c r="D715" i="9"/>
  <c r="E715" i="9"/>
  <c r="F715" i="9"/>
  <c r="A716" i="9"/>
  <c r="B716" i="9"/>
  <c r="C716" i="9"/>
  <c r="D716" i="9"/>
  <c r="E716" i="9"/>
  <c r="F716" i="9"/>
  <c r="A717" i="9"/>
  <c r="B717" i="9"/>
  <c r="C717" i="9"/>
  <c r="D717" i="9"/>
  <c r="E717" i="9"/>
  <c r="F717" i="9"/>
  <c r="A718" i="9"/>
  <c r="B718" i="9"/>
  <c r="C718" i="9"/>
  <c r="D718" i="9"/>
  <c r="E718" i="9"/>
  <c r="F718" i="9"/>
  <c r="A719" i="9"/>
  <c r="B719" i="9"/>
  <c r="C719" i="9"/>
  <c r="D719" i="9"/>
  <c r="E719" i="9"/>
  <c r="F719" i="9"/>
  <c r="A720" i="9"/>
  <c r="B720" i="9"/>
  <c r="C720" i="9"/>
  <c r="D720" i="9"/>
  <c r="E720" i="9"/>
  <c r="F720" i="9"/>
  <c r="A721" i="9"/>
  <c r="B721" i="9"/>
  <c r="C721" i="9"/>
  <c r="D721" i="9"/>
  <c r="E721" i="9"/>
  <c r="F721" i="9"/>
  <c r="A722" i="9"/>
  <c r="B722" i="9"/>
  <c r="C722" i="9"/>
  <c r="D722" i="9"/>
  <c r="E722" i="9"/>
  <c r="F722" i="9"/>
  <c r="A723" i="9"/>
  <c r="B723" i="9"/>
  <c r="C723" i="9"/>
  <c r="D723" i="9"/>
  <c r="E723" i="9"/>
  <c r="F723" i="9"/>
  <c r="A724" i="9"/>
  <c r="B724" i="9"/>
  <c r="C724" i="9"/>
  <c r="D724" i="9"/>
  <c r="E724" i="9"/>
  <c r="F724" i="9"/>
  <c r="A725" i="9"/>
  <c r="B725" i="9"/>
  <c r="C725" i="9"/>
  <c r="D725" i="9"/>
  <c r="E725" i="9"/>
  <c r="F725" i="9"/>
  <c r="A726" i="9"/>
  <c r="B726" i="9"/>
  <c r="C726" i="9"/>
  <c r="D726" i="9"/>
  <c r="E726" i="9"/>
  <c r="F726" i="9"/>
  <c r="A727" i="9"/>
  <c r="B727" i="9"/>
  <c r="C727" i="9"/>
  <c r="D727" i="9"/>
  <c r="E727" i="9"/>
  <c r="F727" i="9"/>
  <c r="A728" i="9"/>
  <c r="B728" i="9"/>
  <c r="C728" i="9"/>
  <c r="D728" i="9"/>
  <c r="E728" i="9"/>
  <c r="F728" i="9"/>
  <c r="A729" i="9"/>
  <c r="B729" i="9"/>
  <c r="C729" i="9"/>
  <c r="D729" i="9"/>
  <c r="E729" i="9"/>
  <c r="F729" i="9"/>
  <c r="A730" i="9"/>
  <c r="B730" i="9"/>
  <c r="C730" i="9"/>
  <c r="D730" i="9"/>
  <c r="E730" i="9"/>
  <c r="F730" i="9"/>
  <c r="A731" i="9"/>
  <c r="B731" i="9"/>
  <c r="C731" i="9"/>
  <c r="D731" i="9"/>
  <c r="E731" i="9"/>
  <c r="F731" i="9"/>
  <c r="A732" i="9"/>
  <c r="B732" i="9"/>
  <c r="C732" i="9"/>
  <c r="D732" i="9"/>
  <c r="E732" i="9"/>
  <c r="F732" i="9"/>
  <c r="A733" i="9"/>
  <c r="B733" i="9"/>
  <c r="C733" i="9"/>
  <c r="D733" i="9"/>
  <c r="E733" i="9"/>
  <c r="F733" i="9"/>
  <c r="A734" i="9"/>
  <c r="B734" i="9"/>
  <c r="C734" i="9"/>
  <c r="D734" i="9"/>
  <c r="E734" i="9"/>
  <c r="F734" i="9"/>
  <c r="A735" i="9"/>
  <c r="B735" i="9"/>
  <c r="C735" i="9"/>
  <c r="D735" i="9"/>
  <c r="E735" i="9"/>
  <c r="F735" i="9"/>
  <c r="A736" i="9"/>
  <c r="B736" i="9"/>
  <c r="C736" i="9"/>
  <c r="D736" i="9"/>
  <c r="E736" i="9"/>
  <c r="F736" i="9"/>
  <c r="A737" i="9"/>
  <c r="B737" i="9"/>
  <c r="C737" i="9"/>
  <c r="D737" i="9"/>
  <c r="E737" i="9"/>
  <c r="F737" i="9"/>
  <c r="A738" i="9"/>
  <c r="B738" i="9"/>
  <c r="C738" i="9"/>
  <c r="D738" i="9"/>
  <c r="E738" i="9"/>
  <c r="F738" i="9"/>
  <c r="A739" i="9"/>
  <c r="B739" i="9"/>
  <c r="C739" i="9"/>
  <c r="D739" i="9"/>
  <c r="E739" i="9"/>
  <c r="F739" i="9"/>
  <c r="A740" i="9"/>
  <c r="B740" i="9"/>
  <c r="C740" i="9"/>
  <c r="D740" i="9"/>
  <c r="E740" i="9"/>
  <c r="F740" i="9"/>
  <c r="A741" i="9"/>
  <c r="B741" i="9"/>
  <c r="C741" i="9"/>
  <c r="D741" i="9"/>
  <c r="E741" i="9"/>
  <c r="F741" i="9"/>
  <c r="A742" i="9"/>
  <c r="B742" i="9"/>
  <c r="C742" i="9"/>
  <c r="D742" i="9"/>
  <c r="E742" i="9"/>
  <c r="F742" i="9"/>
  <c r="A743" i="9"/>
  <c r="B743" i="9"/>
  <c r="C743" i="9"/>
  <c r="D743" i="9"/>
  <c r="E743" i="9"/>
  <c r="F743" i="9"/>
  <c r="A744" i="9"/>
  <c r="B744" i="9"/>
  <c r="C744" i="9"/>
  <c r="D744" i="9"/>
  <c r="E744" i="9"/>
  <c r="F744" i="9"/>
  <c r="A745" i="9"/>
  <c r="B745" i="9"/>
  <c r="C745" i="9"/>
  <c r="D745" i="9"/>
  <c r="E745" i="9"/>
  <c r="F745" i="9"/>
  <c r="A746" i="9"/>
  <c r="B746" i="9"/>
  <c r="C746" i="9"/>
  <c r="D746" i="9"/>
  <c r="E746" i="9"/>
  <c r="F746" i="9"/>
  <c r="A747" i="9"/>
  <c r="B747" i="9"/>
  <c r="C747" i="9"/>
  <c r="D747" i="9"/>
  <c r="E747" i="9"/>
  <c r="F747" i="9"/>
  <c r="A748" i="9"/>
  <c r="B748" i="9"/>
  <c r="C748" i="9"/>
  <c r="D748" i="9"/>
  <c r="E748" i="9"/>
  <c r="F748" i="9"/>
  <c r="A749" i="9"/>
  <c r="B749" i="9"/>
  <c r="C749" i="9"/>
  <c r="D749" i="9"/>
  <c r="E749" i="9"/>
  <c r="F749" i="9"/>
  <c r="A750" i="9"/>
  <c r="B750" i="9"/>
  <c r="C750" i="9"/>
  <c r="D750" i="9"/>
  <c r="E750" i="9"/>
  <c r="F750" i="9"/>
  <c r="A751" i="9"/>
  <c r="B751" i="9"/>
  <c r="C751" i="9"/>
  <c r="D751" i="9"/>
  <c r="E751" i="9"/>
  <c r="F751" i="9"/>
  <c r="A752" i="9"/>
  <c r="B752" i="9"/>
  <c r="C752" i="9"/>
  <c r="D752" i="9"/>
  <c r="E752" i="9"/>
  <c r="F752" i="9"/>
  <c r="A753" i="9"/>
  <c r="B753" i="9"/>
  <c r="C753" i="9"/>
  <c r="D753" i="9"/>
  <c r="E753" i="9"/>
  <c r="F753" i="9"/>
  <c r="A754" i="9"/>
  <c r="B754" i="9"/>
  <c r="C754" i="9"/>
  <c r="D754" i="9"/>
  <c r="E754" i="9"/>
  <c r="F754" i="9"/>
  <c r="A755" i="9"/>
  <c r="B755" i="9"/>
  <c r="C755" i="9"/>
  <c r="D755" i="9"/>
  <c r="E755" i="9"/>
  <c r="F755" i="9"/>
  <c r="A756" i="9"/>
  <c r="B756" i="9"/>
  <c r="C756" i="9"/>
  <c r="D756" i="9"/>
  <c r="E756" i="9"/>
  <c r="F756" i="9"/>
  <c r="A757" i="9"/>
  <c r="B757" i="9"/>
  <c r="C757" i="9"/>
  <c r="D757" i="9"/>
  <c r="E757" i="9"/>
  <c r="F757" i="9"/>
  <c r="A758" i="9"/>
  <c r="B758" i="9"/>
  <c r="C758" i="9"/>
  <c r="D758" i="9"/>
  <c r="E758" i="9"/>
  <c r="F758" i="9"/>
  <c r="A759" i="9"/>
  <c r="B759" i="9"/>
  <c r="C759" i="9"/>
  <c r="D759" i="9"/>
  <c r="E759" i="9"/>
  <c r="F759" i="9"/>
  <c r="A760" i="9"/>
  <c r="B760" i="9"/>
  <c r="C760" i="9"/>
  <c r="D760" i="9"/>
  <c r="E760" i="9"/>
  <c r="F760" i="9"/>
  <c r="A761" i="9"/>
  <c r="B761" i="9"/>
  <c r="C761" i="9"/>
  <c r="D761" i="9"/>
  <c r="E761" i="9"/>
  <c r="F761" i="9"/>
  <c r="A762" i="9"/>
  <c r="B762" i="9"/>
  <c r="C762" i="9"/>
  <c r="D762" i="9"/>
  <c r="E762" i="9"/>
  <c r="F762" i="9"/>
  <c r="A763" i="9"/>
  <c r="B763" i="9"/>
  <c r="C763" i="9"/>
  <c r="D763" i="9"/>
  <c r="E763" i="9"/>
  <c r="F763" i="9"/>
  <c r="A764" i="9"/>
  <c r="B764" i="9"/>
  <c r="C764" i="9"/>
  <c r="D764" i="9"/>
  <c r="E764" i="9"/>
  <c r="F764" i="9"/>
  <c r="A765" i="9"/>
  <c r="B765" i="9"/>
  <c r="C765" i="9"/>
  <c r="D765" i="9"/>
  <c r="E765" i="9"/>
  <c r="F765" i="9"/>
  <c r="A766" i="9"/>
  <c r="B766" i="9"/>
  <c r="C766" i="9"/>
  <c r="D766" i="9"/>
  <c r="E766" i="9"/>
  <c r="F766" i="9"/>
  <c r="A767" i="9"/>
  <c r="B767" i="9"/>
  <c r="C767" i="9"/>
  <c r="D767" i="9"/>
  <c r="E767" i="9"/>
  <c r="F767" i="9"/>
  <c r="A768" i="9"/>
  <c r="B768" i="9"/>
  <c r="C768" i="9"/>
  <c r="D768" i="9"/>
  <c r="E768" i="9"/>
  <c r="F768" i="9"/>
  <c r="A769" i="9"/>
  <c r="B769" i="9"/>
  <c r="C769" i="9"/>
  <c r="D769" i="9"/>
  <c r="E769" i="9"/>
  <c r="F769" i="9"/>
  <c r="A770" i="9"/>
  <c r="B770" i="9"/>
  <c r="C770" i="9"/>
  <c r="D770" i="9"/>
  <c r="E770" i="9"/>
  <c r="F770" i="9"/>
  <c r="A771" i="9"/>
  <c r="B771" i="9"/>
  <c r="C771" i="9"/>
  <c r="D771" i="9"/>
  <c r="E771" i="9"/>
  <c r="F771" i="9"/>
  <c r="A772" i="9"/>
  <c r="B772" i="9"/>
  <c r="C772" i="9"/>
  <c r="D772" i="9"/>
  <c r="E772" i="9"/>
  <c r="F772" i="9"/>
  <c r="A773" i="9"/>
  <c r="B773" i="9"/>
  <c r="C773" i="9"/>
  <c r="D773" i="9"/>
  <c r="E773" i="9"/>
  <c r="F773" i="9"/>
  <c r="A774" i="9"/>
  <c r="B774" i="9"/>
  <c r="C774" i="9"/>
  <c r="D774" i="9"/>
  <c r="E774" i="9"/>
  <c r="F774" i="9"/>
  <c r="A775" i="9"/>
  <c r="B775" i="9"/>
  <c r="C775" i="9"/>
  <c r="D775" i="9"/>
  <c r="E775" i="9"/>
  <c r="F775" i="9"/>
  <c r="A776" i="9"/>
  <c r="B776" i="9"/>
  <c r="C776" i="9"/>
  <c r="D776" i="9"/>
  <c r="E776" i="9"/>
  <c r="F776" i="9"/>
  <c r="A777" i="9"/>
  <c r="B777" i="9"/>
  <c r="C777" i="9"/>
  <c r="D777" i="9"/>
  <c r="E777" i="9"/>
  <c r="F777" i="9"/>
  <c r="A778" i="9"/>
  <c r="B778" i="9"/>
  <c r="C778" i="9"/>
  <c r="D778" i="9"/>
  <c r="E778" i="9"/>
  <c r="F778" i="9"/>
  <c r="A779" i="9"/>
  <c r="B779" i="9"/>
  <c r="C779" i="9"/>
  <c r="D779" i="9"/>
  <c r="E779" i="9"/>
  <c r="F779" i="9"/>
  <c r="A780" i="9"/>
  <c r="B780" i="9"/>
  <c r="C780" i="9"/>
  <c r="D780" i="9"/>
  <c r="E780" i="9"/>
  <c r="F780" i="9"/>
  <c r="A781" i="9"/>
  <c r="B781" i="9"/>
  <c r="C781" i="9"/>
  <c r="D781" i="9"/>
  <c r="E781" i="9"/>
  <c r="F781" i="9"/>
  <c r="A782" i="9"/>
  <c r="B782" i="9"/>
  <c r="C782" i="9"/>
  <c r="D782" i="9"/>
  <c r="E782" i="9"/>
  <c r="F782" i="9"/>
  <c r="A783" i="9"/>
  <c r="B783" i="9"/>
  <c r="C783" i="9"/>
  <c r="D783" i="9"/>
  <c r="E783" i="9"/>
  <c r="F783" i="9"/>
  <c r="A784" i="9"/>
  <c r="B784" i="9"/>
  <c r="C784" i="9"/>
  <c r="D784" i="9"/>
  <c r="E784" i="9"/>
  <c r="F784" i="9"/>
  <c r="A785" i="9"/>
  <c r="B785" i="9"/>
  <c r="C785" i="9"/>
  <c r="D785" i="9"/>
  <c r="E785" i="9"/>
  <c r="F785" i="9"/>
  <c r="A786" i="9"/>
  <c r="B786" i="9"/>
  <c r="C786" i="9"/>
  <c r="D786" i="9"/>
  <c r="E786" i="9"/>
  <c r="F786" i="9"/>
  <c r="A787" i="9"/>
  <c r="B787" i="9"/>
  <c r="C787" i="9"/>
  <c r="D787" i="9"/>
  <c r="E787" i="9"/>
  <c r="F787" i="9"/>
  <c r="A788" i="9"/>
  <c r="B788" i="9"/>
  <c r="C788" i="9"/>
  <c r="D788" i="9"/>
  <c r="E788" i="9"/>
  <c r="F788" i="9"/>
  <c r="A789" i="9"/>
  <c r="B789" i="9"/>
  <c r="C789" i="9"/>
  <c r="D789" i="9"/>
  <c r="E789" i="9"/>
  <c r="F789" i="9"/>
  <c r="A790" i="9"/>
  <c r="B790" i="9"/>
  <c r="C790" i="9"/>
  <c r="D790" i="9"/>
  <c r="E790" i="9"/>
  <c r="F790" i="9"/>
  <c r="A791" i="9"/>
  <c r="B791" i="9"/>
  <c r="C791" i="9"/>
  <c r="D791" i="9"/>
  <c r="E791" i="9"/>
  <c r="F791" i="9"/>
  <c r="A792" i="9"/>
  <c r="B792" i="9"/>
  <c r="C792" i="9"/>
  <c r="D792" i="9"/>
  <c r="E792" i="9"/>
  <c r="F792" i="9"/>
  <c r="A793" i="9"/>
  <c r="B793" i="9"/>
  <c r="C793" i="9"/>
  <c r="D793" i="9"/>
  <c r="E793" i="9"/>
  <c r="F793" i="9"/>
  <c r="A794" i="9"/>
  <c r="B794" i="9"/>
  <c r="C794" i="9"/>
  <c r="D794" i="9"/>
  <c r="E794" i="9"/>
  <c r="F794" i="9"/>
  <c r="A795" i="9"/>
  <c r="B795" i="9"/>
  <c r="C795" i="9"/>
  <c r="D795" i="9"/>
  <c r="E795" i="9"/>
  <c r="F795" i="9"/>
  <c r="A796" i="9"/>
  <c r="B796" i="9"/>
  <c r="C796" i="9"/>
  <c r="D796" i="9"/>
  <c r="E796" i="9"/>
  <c r="F796" i="9"/>
  <c r="A797" i="9"/>
  <c r="B797" i="9"/>
  <c r="C797" i="9"/>
  <c r="D797" i="9"/>
  <c r="E797" i="9"/>
  <c r="F797" i="9"/>
  <c r="A798" i="9"/>
  <c r="B798" i="9"/>
  <c r="C798" i="9"/>
  <c r="D798" i="9"/>
  <c r="E798" i="9"/>
  <c r="F798" i="9"/>
  <c r="A799" i="9"/>
  <c r="B799" i="9"/>
  <c r="C799" i="9"/>
  <c r="D799" i="9"/>
  <c r="E799" i="9"/>
  <c r="F799" i="9"/>
  <c r="A800" i="9"/>
  <c r="B800" i="9"/>
  <c r="C800" i="9"/>
  <c r="D800" i="9"/>
  <c r="E800" i="9"/>
  <c r="F800" i="9"/>
  <c r="A801" i="9"/>
  <c r="B801" i="9"/>
  <c r="C801" i="9"/>
  <c r="D801" i="9"/>
  <c r="E801" i="9"/>
  <c r="F801" i="9"/>
  <c r="A802" i="9"/>
  <c r="B802" i="9"/>
  <c r="C802" i="9"/>
  <c r="D802" i="9"/>
  <c r="E802" i="9"/>
  <c r="F802" i="9"/>
  <c r="A803" i="9"/>
  <c r="B803" i="9"/>
  <c r="C803" i="9"/>
  <c r="D803" i="9"/>
  <c r="E803" i="9"/>
  <c r="F803" i="9"/>
  <c r="A804" i="9"/>
  <c r="B804" i="9"/>
  <c r="C804" i="9"/>
  <c r="D804" i="9"/>
  <c r="E804" i="9"/>
  <c r="F804" i="9"/>
  <c r="A805" i="9"/>
  <c r="B805" i="9"/>
  <c r="C805" i="9"/>
  <c r="D805" i="9"/>
  <c r="E805" i="9"/>
  <c r="F805" i="9"/>
  <c r="A806" i="9"/>
  <c r="B806" i="9"/>
  <c r="C806" i="9"/>
  <c r="D806" i="9"/>
  <c r="E806" i="9"/>
  <c r="F806" i="9"/>
  <c r="A807" i="9"/>
  <c r="B807" i="9"/>
  <c r="C807" i="9"/>
  <c r="D807" i="9"/>
  <c r="E807" i="9"/>
  <c r="F807" i="9"/>
  <c r="A808" i="9"/>
  <c r="B808" i="9"/>
  <c r="C808" i="9"/>
  <c r="D808" i="9"/>
  <c r="E808" i="9"/>
  <c r="F808" i="9"/>
  <c r="A809" i="9"/>
  <c r="B809" i="9"/>
  <c r="C809" i="9"/>
  <c r="D809" i="9"/>
  <c r="E809" i="9"/>
  <c r="F809" i="9"/>
  <c r="A810" i="9"/>
  <c r="B810" i="9"/>
  <c r="C810" i="9"/>
  <c r="D810" i="9"/>
  <c r="E810" i="9"/>
  <c r="F810" i="9"/>
  <c r="A811" i="9"/>
  <c r="B811" i="9"/>
  <c r="C811" i="9"/>
  <c r="D811" i="9"/>
  <c r="E811" i="9"/>
  <c r="F811" i="9"/>
  <c r="A812" i="9"/>
  <c r="B812" i="9"/>
  <c r="C812" i="9"/>
  <c r="D812" i="9"/>
  <c r="E812" i="9"/>
  <c r="F812" i="9"/>
  <c r="A813" i="9"/>
  <c r="B813" i="9"/>
  <c r="C813" i="9"/>
  <c r="D813" i="9"/>
  <c r="E813" i="9"/>
  <c r="F813" i="9"/>
  <c r="A814" i="9"/>
  <c r="B814" i="9"/>
  <c r="C814" i="9"/>
  <c r="D814" i="9"/>
  <c r="E814" i="9"/>
  <c r="F814" i="9"/>
  <c r="A815" i="9"/>
  <c r="B815" i="9"/>
  <c r="C815" i="9"/>
  <c r="D815" i="9"/>
  <c r="E815" i="9"/>
  <c r="F815" i="9"/>
  <c r="A816" i="9"/>
  <c r="B816" i="9"/>
  <c r="C816" i="9"/>
  <c r="D816" i="9"/>
  <c r="E816" i="9"/>
  <c r="F816" i="9"/>
  <c r="A817" i="9"/>
  <c r="B817" i="9"/>
  <c r="C817" i="9"/>
  <c r="D817" i="9"/>
  <c r="E817" i="9"/>
  <c r="F817" i="9"/>
  <c r="A818" i="9"/>
  <c r="B818" i="9"/>
  <c r="C818" i="9"/>
  <c r="D818" i="9"/>
  <c r="E818" i="9"/>
  <c r="F818" i="9"/>
  <c r="A819" i="9"/>
  <c r="B819" i="9"/>
  <c r="C819" i="9"/>
  <c r="D819" i="9"/>
  <c r="E819" i="9"/>
  <c r="F819" i="9"/>
  <c r="A820" i="9"/>
  <c r="B820" i="9"/>
  <c r="C820" i="9"/>
  <c r="D820" i="9"/>
  <c r="E820" i="9"/>
  <c r="F820" i="9"/>
  <c r="A821" i="9"/>
  <c r="B821" i="9"/>
  <c r="C821" i="9"/>
  <c r="D821" i="9"/>
  <c r="E821" i="9"/>
  <c r="F821" i="9"/>
  <c r="A822" i="9"/>
  <c r="B822" i="9"/>
  <c r="C822" i="9"/>
  <c r="D822" i="9"/>
  <c r="E822" i="9"/>
  <c r="F822" i="9"/>
  <c r="A823" i="9"/>
  <c r="B823" i="9"/>
  <c r="C823" i="9"/>
  <c r="D823" i="9"/>
  <c r="E823" i="9"/>
  <c r="F823" i="9"/>
  <c r="A824" i="9"/>
  <c r="B824" i="9"/>
  <c r="C824" i="9"/>
  <c r="D824" i="9"/>
  <c r="E824" i="9"/>
  <c r="F824" i="9"/>
  <c r="A825" i="9"/>
  <c r="B825" i="9"/>
  <c r="C825" i="9"/>
  <c r="D825" i="9"/>
  <c r="E825" i="9"/>
  <c r="F825" i="9"/>
  <c r="A826" i="9"/>
  <c r="B826" i="9"/>
  <c r="C826" i="9"/>
  <c r="D826" i="9"/>
  <c r="E826" i="9"/>
  <c r="F826" i="9"/>
  <c r="A827" i="9"/>
  <c r="B827" i="9"/>
  <c r="C827" i="9"/>
  <c r="D827" i="9"/>
  <c r="E827" i="9"/>
  <c r="F827" i="9"/>
  <c r="A828" i="9"/>
  <c r="B828" i="9"/>
  <c r="C828" i="9"/>
  <c r="D828" i="9"/>
  <c r="E828" i="9"/>
  <c r="F828" i="9"/>
  <c r="A829" i="9"/>
  <c r="B829" i="9"/>
  <c r="C829" i="9"/>
  <c r="D829" i="9"/>
  <c r="E829" i="9"/>
  <c r="F829" i="9"/>
  <c r="A830" i="9"/>
  <c r="B830" i="9"/>
  <c r="C830" i="9"/>
  <c r="D830" i="9"/>
  <c r="E830" i="9"/>
  <c r="F830" i="9"/>
  <c r="A831" i="9"/>
  <c r="B831" i="9"/>
  <c r="C831" i="9"/>
  <c r="D831" i="9"/>
  <c r="E831" i="9"/>
  <c r="F831" i="9"/>
  <c r="A832" i="9"/>
  <c r="B832" i="9"/>
  <c r="C832" i="9"/>
  <c r="D832" i="9"/>
  <c r="E832" i="9"/>
  <c r="F832" i="9"/>
  <c r="A833" i="9"/>
  <c r="B833" i="9"/>
  <c r="C833" i="9"/>
  <c r="D833" i="9"/>
  <c r="E833" i="9"/>
  <c r="F833" i="9"/>
  <c r="A834" i="9"/>
  <c r="B834" i="9"/>
  <c r="C834" i="9"/>
  <c r="D834" i="9"/>
  <c r="E834" i="9"/>
  <c r="F834" i="9"/>
  <c r="A835" i="9"/>
  <c r="B835" i="9"/>
  <c r="C835" i="9"/>
  <c r="D835" i="9"/>
  <c r="E835" i="9"/>
  <c r="F835" i="9"/>
  <c r="A836" i="9"/>
  <c r="B836" i="9"/>
  <c r="C836" i="9"/>
  <c r="D836" i="9"/>
  <c r="E836" i="9"/>
  <c r="F836" i="9"/>
  <c r="A837" i="9"/>
  <c r="B837" i="9"/>
  <c r="C837" i="9"/>
  <c r="D837" i="9"/>
  <c r="E837" i="9"/>
  <c r="F837" i="9"/>
  <c r="A838" i="9"/>
  <c r="B838" i="9"/>
  <c r="C838" i="9"/>
  <c r="D838" i="9"/>
  <c r="E838" i="9"/>
  <c r="F838" i="9"/>
  <c r="A839" i="9"/>
  <c r="B839" i="9"/>
  <c r="C839" i="9"/>
  <c r="D839" i="9"/>
  <c r="E839" i="9"/>
  <c r="F839" i="9"/>
  <c r="A840" i="9"/>
  <c r="B840" i="9"/>
  <c r="C840" i="9"/>
  <c r="D840" i="9"/>
  <c r="E840" i="9"/>
  <c r="F840" i="9"/>
  <c r="A841" i="9"/>
  <c r="B841" i="9"/>
  <c r="C841" i="9"/>
  <c r="D841" i="9"/>
  <c r="E841" i="9"/>
  <c r="F841" i="9"/>
  <c r="A842" i="9"/>
  <c r="B842" i="9"/>
  <c r="C842" i="9"/>
  <c r="D842" i="9"/>
  <c r="E842" i="9"/>
  <c r="F842" i="9"/>
  <c r="A843" i="9"/>
  <c r="B843" i="9"/>
  <c r="C843" i="9"/>
  <c r="D843" i="9"/>
  <c r="E843" i="9"/>
  <c r="F843" i="9"/>
  <c r="A844" i="9"/>
  <c r="B844" i="9"/>
  <c r="C844" i="9"/>
  <c r="D844" i="9"/>
  <c r="E844" i="9"/>
  <c r="F844" i="9"/>
  <c r="A845" i="9"/>
  <c r="B845" i="9"/>
  <c r="C845" i="9"/>
  <c r="D845" i="9"/>
  <c r="E845" i="9"/>
  <c r="F845" i="9"/>
  <c r="A846" i="9"/>
  <c r="B846" i="9"/>
  <c r="C846" i="9"/>
  <c r="D846" i="9"/>
  <c r="E846" i="9"/>
  <c r="F846" i="9"/>
  <c r="A847" i="9"/>
  <c r="B847" i="9"/>
  <c r="C847" i="9"/>
  <c r="D847" i="9"/>
  <c r="E847" i="9"/>
  <c r="F847" i="9"/>
  <c r="A848" i="9"/>
  <c r="B848" i="9"/>
  <c r="C848" i="9"/>
  <c r="D848" i="9"/>
  <c r="E848" i="9"/>
  <c r="F848" i="9"/>
  <c r="A849" i="9"/>
  <c r="B849" i="9"/>
  <c r="C849" i="9"/>
  <c r="D849" i="9"/>
  <c r="E849" i="9"/>
  <c r="F849" i="9"/>
  <c r="A850" i="9"/>
  <c r="B850" i="9"/>
  <c r="C850" i="9"/>
  <c r="D850" i="9"/>
  <c r="E850" i="9"/>
  <c r="F850" i="9"/>
  <c r="A851" i="9"/>
  <c r="B851" i="9"/>
  <c r="C851" i="9"/>
  <c r="D851" i="9"/>
  <c r="E851" i="9"/>
  <c r="F851" i="9"/>
  <c r="A852" i="9"/>
  <c r="B852" i="9"/>
  <c r="C852" i="9"/>
  <c r="D852" i="9"/>
  <c r="E852" i="9"/>
  <c r="F852" i="9"/>
  <c r="A853" i="9"/>
  <c r="B853" i="9"/>
  <c r="C853" i="9"/>
  <c r="D853" i="9"/>
  <c r="E853" i="9"/>
  <c r="F853" i="9"/>
  <c r="A854" i="9"/>
  <c r="B854" i="9"/>
  <c r="C854" i="9"/>
  <c r="D854" i="9"/>
  <c r="E854" i="9"/>
  <c r="F854" i="9"/>
  <c r="A855" i="9"/>
  <c r="B855" i="9"/>
  <c r="C855" i="9"/>
  <c r="D855" i="9"/>
  <c r="E855" i="9"/>
  <c r="F855" i="9"/>
  <c r="A856" i="9"/>
  <c r="B856" i="9"/>
  <c r="C856" i="9"/>
  <c r="D856" i="9"/>
  <c r="E856" i="9"/>
  <c r="F856" i="9"/>
  <c r="A857" i="9"/>
  <c r="B857" i="9"/>
  <c r="C857" i="9"/>
  <c r="D857" i="9"/>
  <c r="E857" i="9"/>
  <c r="F857" i="9"/>
  <c r="A858" i="9"/>
  <c r="B858" i="9"/>
  <c r="C858" i="9"/>
  <c r="D858" i="9"/>
  <c r="E858" i="9"/>
  <c r="F858" i="9"/>
  <c r="A859" i="9"/>
  <c r="B859" i="9"/>
  <c r="C859" i="9"/>
  <c r="D859" i="9"/>
  <c r="E859" i="9"/>
  <c r="F859" i="9"/>
  <c r="A860" i="9"/>
  <c r="B860" i="9"/>
  <c r="C860" i="9"/>
  <c r="D860" i="9"/>
  <c r="E860" i="9"/>
  <c r="F860" i="9"/>
  <c r="A861" i="9"/>
  <c r="B861" i="9"/>
  <c r="C861" i="9"/>
  <c r="D861" i="9"/>
  <c r="E861" i="9"/>
  <c r="F861" i="9"/>
  <c r="A862" i="9"/>
  <c r="B862" i="9"/>
  <c r="C862" i="9"/>
  <c r="D862" i="9"/>
  <c r="E862" i="9"/>
  <c r="F862" i="9"/>
  <c r="A863" i="9"/>
  <c r="B863" i="9"/>
  <c r="C863" i="9"/>
  <c r="D863" i="9"/>
  <c r="E863" i="9"/>
  <c r="F863" i="9"/>
  <c r="A864" i="9"/>
  <c r="B864" i="9"/>
  <c r="C864" i="9"/>
  <c r="D864" i="9"/>
  <c r="E864" i="9"/>
  <c r="F864" i="9"/>
  <c r="A865" i="9"/>
  <c r="B865" i="9"/>
  <c r="C865" i="9"/>
  <c r="D865" i="9"/>
  <c r="E865" i="9"/>
  <c r="F865" i="9"/>
  <c r="A866" i="9"/>
  <c r="B866" i="9"/>
  <c r="C866" i="9"/>
  <c r="D866" i="9"/>
  <c r="E866" i="9"/>
  <c r="F866" i="9"/>
  <c r="A867" i="9"/>
  <c r="B867" i="9"/>
  <c r="C867" i="9"/>
  <c r="D867" i="9"/>
  <c r="E867" i="9"/>
  <c r="F867" i="9"/>
  <c r="A868" i="9"/>
  <c r="B868" i="9"/>
  <c r="C868" i="9"/>
  <c r="D868" i="9"/>
  <c r="E868" i="9"/>
  <c r="F868" i="9"/>
  <c r="A869" i="9"/>
  <c r="B869" i="9"/>
  <c r="C869" i="9"/>
  <c r="D869" i="9"/>
  <c r="E869" i="9"/>
  <c r="F869" i="9"/>
  <c r="A870" i="9"/>
  <c r="B870" i="9"/>
  <c r="C870" i="9"/>
  <c r="D870" i="9"/>
  <c r="E870" i="9"/>
  <c r="F870" i="9"/>
  <c r="A871" i="9"/>
  <c r="B871" i="9"/>
  <c r="C871" i="9"/>
  <c r="D871" i="9"/>
  <c r="E871" i="9"/>
  <c r="F871" i="9"/>
  <c r="A872" i="9"/>
  <c r="B872" i="9"/>
  <c r="C872" i="9"/>
  <c r="D872" i="9"/>
  <c r="E872" i="9"/>
  <c r="F872" i="9"/>
  <c r="A873" i="9"/>
  <c r="B873" i="9"/>
  <c r="C873" i="9"/>
  <c r="D873" i="9"/>
  <c r="E873" i="9"/>
  <c r="F873" i="9"/>
  <c r="A874" i="9"/>
  <c r="B874" i="9"/>
  <c r="C874" i="9"/>
  <c r="D874" i="9"/>
  <c r="E874" i="9"/>
  <c r="F874" i="9"/>
  <c r="A875" i="9"/>
  <c r="B875" i="9"/>
  <c r="C875" i="9"/>
  <c r="D875" i="9"/>
  <c r="E875" i="9"/>
  <c r="F875" i="9"/>
  <c r="A876" i="9"/>
  <c r="B876" i="9"/>
  <c r="C876" i="9"/>
  <c r="D876" i="9"/>
  <c r="E876" i="9"/>
  <c r="F876" i="9"/>
  <c r="A877" i="9"/>
  <c r="B877" i="9"/>
  <c r="C877" i="9"/>
  <c r="D877" i="9"/>
  <c r="E877" i="9"/>
  <c r="F877" i="9"/>
  <c r="A878" i="9"/>
  <c r="B878" i="9"/>
  <c r="C878" i="9"/>
  <c r="D878" i="9"/>
  <c r="E878" i="9"/>
  <c r="F878" i="9"/>
  <c r="A879" i="9"/>
  <c r="B879" i="9"/>
  <c r="C879" i="9"/>
  <c r="D879" i="9"/>
  <c r="E879" i="9"/>
  <c r="F879" i="9"/>
  <c r="A880" i="9"/>
  <c r="B880" i="9"/>
  <c r="C880" i="9"/>
  <c r="D880" i="9"/>
  <c r="E880" i="9"/>
  <c r="F880" i="9"/>
  <c r="A881" i="9"/>
  <c r="B881" i="9"/>
  <c r="C881" i="9"/>
  <c r="D881" i="9"/>
  <c r="E881" i="9"/>
  <c r="F881" i="9"/>
  <c r="A882" i="9"/>
  <c r="B882" i="9"/>
  <c r="C882" i="9"/>
  <c r="D882" i="9"/>
  <c r="E882" i="9"/>
  <c r="F882" i="9"/>
  <c r="A883" i="9"/>
  <c r="B883" i="9"/>
  <c r="C883" i="9"/>
  <c r="D883" i="9"/>
  <c r="E883" i="9"/>
  <c r="F883" i="9"/>
  <c r="A884" i="9"/>
  <c r="B884" i="9"/>
  <c r="C884" i="9"/>
  <c r="D884" i="9"/>
  <c r="E884" i="9"/>
  <c r="F884" i="9"/>
  <c r="A885" i="9"/>
  <c r="B885" i="9"/>
  <c r="C885" i="9"/>
  <c r="D885" i="9"/>
  <c r="E885" i="9"/>
  <c r="F885" i="9"/>
  <c r="A886" i="9"/>
  <c r="B886" i="9"/>
  <c r="C886" i="9"/>
  <c r="D886" i="9"/>
  <c r="E886" i="9"/>
  <c r="F886" i="9"/>
  <c r="A887" i="9"/>
  <c r="B887" i="9"/>
  <c r="C887" i="9"/>
  <c r="D887" i="9"/>
  <c r="E887" i="9"/>
  <c r="F887" i="9"/>
  <c r="A888" i="9"/>
  <c r="B888" i="9"/>
  <c r="C888" i="9"/>
  <c r="D888" i="9"/>
  <c r="E888" i="9"/>
  <c r="F888" i="9"/>
  <c r="A889" i="9"/>
  <c r="B889" i="9"/>
  <c r="C889" i="9"/>
  <c r="D889" i="9"/>
  <c r="E889" i="9"/>
  <c r="F889" i="9"/>
  <c r="A890" i="9"/>
  <c r="B890" i="9"/>
  <c r="C890" i="9"/>
  <c r="D890" i="9"/>
  <c r="E890" i="9"/>
  <c r="F890" i="9"/>
  <c r="A891" i="9"/>
  <c r="B891" i="9"/>
  <c r="C891" i="9"/>
  <c r="D891" i="9"/>
  <c r="E891" i="9"/>
  <c r="F891" i="9"/>
  <c r="A892" i="9"/>
  <c r="B892" i="9"/>
  <c r="C892" i="9"/>
  <c r="D892" i="9"/>
  <c r="E892" i="9"/>
  <c r="F892" i="9"/>
  <c r="A893" i="9"/>
  <c r="B893" i="9"/>
  <c r="C893" i="9"/>
  <c r="D893" i="9"/>
  <c r="E893" i="9"/>
  <c r="F893" i="9"/>
  <c r="A894" i="9"/>
  <c r="B894" i="9"/>
  <c r="C894" i="9"/>
  <c r="D894" i="9"/>
  <c r="E894" i="9"/>
  <c r="F894" i="9"/>
  <c r="A895" i="9"/>
  <c r="B895" i="9"/>
  <c r="C895" i="9"/>
  <c r="D895" i="9"/>
  <c r="E895" i="9"/>
  <c r="F895" i="9"/>
  <c r="A896" i="9"/>
  <c r="B896" i="9"/>
  <c r="C896" i="9"/>
  <c r="D896" i="9"/>
  <c r="E896" i="9"/>
  <c r="F896" i="9"/>
  <c r="A897" i="9"/>
  <c r="B897" i="9"/>
  <c r="C897" i="9"/>
  <c r="D897" i="9"/>
  <c r="E897" i="9"/>
  <c r="F897" i="9"/>
  <c r="A898" i="9"/>
  <c r="B898" i="9"/>
  <c r="C898" i="9"/>
  <c r="D898" i="9"/>
  <c r="E898" i="9"/>
  <c r="F898" i="9"/>
  <c r="A899" i="9"/>
  <c r="B899" i="9"/>
  <c r="C899" i="9"/>
  <c r="D899" i="9"/>
  <c r="E899" i="9"/>
  <c r="F899" i="9"/>
  <c r="A900" i="9"/>
  <c r="B900" i="9"/>
  <c r="C900" i="9"/>
  <c r="D900" i="9"/>
  <c r="E900" i="9"/>
  <c r="F900" i="9"/>
  <c r="A901" i="9"/>
  <c r="B901" i="9"/>
  <c r="C901" i="9"/>
  <c r="D901" i="9"/>
  <c r="E901" i="9"/>
  <c r="F901" i="9"/>
  <c r="A902" i="9"/>
  <c r="B902" i="9"/>
  <c r="C902" i="9"/>
  <c r="D902" i="9"/>
  <c r="E902" i="9"/>
  <c r="F902" i="9"/>
  <c r="A903" i="9"/>
  <c r="B903" i="9"/>
  <c r="C903" i="9"/>
  <c r="D903" i="9"/>
  <c r="E903" i="9"/>
  <c r="F903" i="9"/>
  <c r="A904" i="9"/>
  <c r="B904" i="9"/>
  <c r="C904" i="9"/>
  <c r="D904" i="9"/>
  <c r="E904" i="9"/>
  <c r="F904" i="9"/>
  <c r="A905" i="9"/>
  <c r="B905" i="9"/>
  <c r="C905" i="9"/>
  <c r="D905" i="9"/>
  <c r="E905" i="9"/>
  <c r="F905" i="9"/>
  <c r="A906" i="9"/>
  <c r="B906" i="9"/>
  <c r="C906" i="9"/>
  <c r="D906" i="9"/>
  <c r="E906" i="9"/>
  <c r="F906" i="9"/>
  <c r="A907" i="9"/>
  <c r="B907" i="9"/>
  <c r="C907" i="9"/>
  <c r="D907" i="9"/>
  <c r="E907" i="9"/>
  <c r="F907" i="9"/>
  <c r="A908" i="9"/>
  <c r="B908" i="9"/>
  <c r="C908" i="9"/>
  <c r="D908" i="9"/>
  <c r="E908" i="9"/>
  <c r="F908" i="9"/>
  <c r="A909" i="9"/>
  <c r="B909" i="9"/>
  <c r="C909" i="9"/>
  <c r="D909" i="9"/>
  <c r="E909" i="9"/>
  <c r="F909" i="9"/>
  <c r="A910" i="9"/>
  <c r="B910" i="9"/>
  <c r="C910" i="9"/>
  <c r="D910" i="9"/>
  <c r="E910" i="9"/>
  <c r="F910" i="9"/>
  <c r="A911" i="9"/>
  <c r="B911" i="9"/>
  <c r="C911" i="9"/>
  <c r="D911" i="9"/>
  <c r="E911" i="9"/>
  <c r="F911" i="9"/>
  <c r="A912" i="9"/>
  <c r="B912" i="9"/>
  <c r="C912" i="9"/>
  <c r="D912" i="9"/>
  <c r="E912" i="9"/>
  <c r="F912" i="9"/>
  <c r="A913" i="9"/>
  <c r="B913" i="9"/>
  <c r="C913" i="9"/>
  <c r="D913" i="9"/>
  <c r="E913" i="9"/>
  <c r="F913" i="9"/>
  <c r="A914" i="9"/>
  <c r="B914" i="9"/>
  <c r="C914" i="9"/>
  <c r="D914" i="9"/>
  <c r="E914" i="9"/>
  <c r="F914" i="9"/>
  <c r="A915" i="9"/>
  <c r="B915" i="9"/>
  <c r="C915" i="9"/>
  <c r="D915" i="9"/>
  <c r="E915" i="9"/>
  <c r="F915" i="9"/>
  <c r="A916" i="9"/>
  <c r="B916" i="9"/>
  <c r="C916" i="9"/>
  <c r="D916" i="9"/>
  <c r="E916" i="9"/>
  <c r="F916" i="9"/>
  <c r="A917" i="9"/>
  <c r="B917" i="9"/>
  <c r="C917" i="9"/>
  <c r="D917" i="9"/>
  <c r="E917" i="9"/>
  <c r="F917" i="9"/>
  <c r="A918" i="9"/>
  <c r="B918" i="9"/>
  <c r="C918" i="9"/>
  <c r="D918" i="9"/>
  <c r="E918" i="9"/>
  <c r="F918" i="9"/>
  <c r="A919" i="9"/>
  <c r="B919" i="9"/>
  <c r="C919" i="9"/>
  <c r="D919" i="9"/>
  <c r="E919" i="9"/>
  <c r="F919" i="9"/>
  <c r="A920" i="9"/>
  <c r="B920" i="9"/>
  <c r="C920" i="9"/>
  <c r="D920" i="9"/>
  <c r="E920" i="9"/>
  <c r="F920" i="9"/>
  <c r="A921" i="9"/>
  <c r="B921" i="9"/>
  <c r="C921" i="9"/>
  <c r="D921" i="9"/>
  <c r="E921" i="9"/>
  <c r="F921" i="9"/>
  <c r="A922" i="9"/>
  <c r="B922" i="9"/>
  <c r="C922" i="9"/>
  <c r="D922" i="9"/>
  <c r="E922" i="9"/>
  <c r="F922" i="9"/>
  <c r="A923" i="9"/>
  <c r="B923" i="9"/>
  <c r="C923" i="9"/>
  <c r="D923" i="9"/>
  <c r="E923" i="9"/>
  <c r="F923" i="9"/>
  <c r="A924" i="9"/>
  <c r="B924" i="9"/>
  <c r="C924" i="9"/>
  <c r="D924" i="9"/>
  <c r="E924" i="9"/>
  <c r="F924" i="9"/>
  <c r="A925" i="9"/>
  <c r="B925" i="9"/>
  <c r="C925" i="9"/>
  <c r="D925" i="9"/>
  <c r="E925" i="9"/>
  <c r="F925" i="9"/>
  <c r="A926" i="9"/>
  <c r="B926" i="9"/>
  <c r="C926" i="9"/>
  <c r="D926" i="9"/>
  <c r="E926" i="9"/>
  <c r="F926" i="9"/>
  <c r="A927" i="9"/>
  <c r="B927" i="9"/>
  <c r="C927" i="9"/>
  <c r="D927" i="9"/>
  <c r="E927" i="9"/>
  <c r="F927" i="9"/>
  <c r="A928" i="9"/>
  <c r="B928" i="9"/>
  <c r="C928" i="9"/>
  <c r="D928" i="9"/>
  <c r="E928" i="9"/>
  <c r="F928" i="9"/>
  <c r="A929" i="9"/>
  <c r="B929" i="9"/>
  <c r="C929" i="9"/>
  <c r="D929" i="9"/>
  <c r="E929" i="9"/>
  <c r="F929" i="9"/>
  <c r="A930" i="9"/>
  <c r="B930" i="9"/>
  <c r="C930" i="9"/>
  <c r="D930" i="9"/>
  <c r="E930" i="9"/>
  <c r="F930" i="9"/>
  <c r="A931" i="9"/>
  <c r="B931" i="9"/>
  <c r="C931" i="9"/>
  <c r="D931" i="9"/>
  <c r="E931" i="9"/>
  <c r="F931" i="9"/>
  <c r="A932" i="9"/>
  <c r="B932" i="9"/>
  <c r="C932" i="9"/>
  <c r="D932" i="9"/>
  <c r="E932" i="9"/>
  <c r="F932" i="9"/>
  <c r="A933" i="9"/>
  <c r="B933" i="9"/>
  <c r="C933" i="9"/>
  <c r="D933" i="9"/>
  <c r="E933" i="9"/>
  <c r="F933" i="9"/>
  <c r="A934" i="9"/>
  <c r="B934" i="9"/>
  <c r="C934" i="9"/>
  <c r="D934" i="9"/>
  <c r="E934" i="9"/>
  <c r="F934" i="9"/>
  <c r="A935" i="9"/>
  <c r="B935" i="9"/>
  <c r="C935" i="9"/>
  <c r="D935" i="9"/>
  <c r="E935" i="9"/>
  <c r="F935" i="9"/>
  <c r="A936" i="9"/>
  <c r="B936" i="9"/>
  <c r="C936" i="9"/>
  <c r="D936" i="9"/>
  <c r="E936" i="9"/>
  <c r="F936" i="9"/>
  <c r="A937" i="9"/>
  <c r="B937" i="9"/>
  <c r="C937" i="9"/>
  <c r="D937" i="9"/>
  <c r="E937" i="9"/>
  <c r="F937" i="9"/>
  <c r="A938" i="9"/>
  <c r="B938" i="9"/>
  <c r="C938" i="9"/>
  <c r="D938" i="9"/>
  <c r="E938" i="9"/>
  <c r="F938" i="9"/>
  <c r="A939" i="9"/>
  <c r="B939" i="9"/>
  <c r="C939" i="9"/>
  <c r="D939" i="9"/>
  <c r="E939" i="9"/>
  <c r="F939" i="9"/>
  <c r="A940" i="9"/>
  <c r="B940" i="9"/>
  <c r="C940" i="9"/>
  <c r="D940" i="9"/>
  <c r="E940" i="9"/>
  <c r="F940" i="9"/>
  <c r="A941" i="9"/>
  <c r="B941" i="9"/>
  <c r="C941" i="9"/>
  <c r="D941" i="9"/>
  <c r="E941" i="9"/>
  <c r="F941" i="9"/>
  <c r="A942" i="9"/>
  <c r="B942" i="9"/>
  <c r="C942" i="9"/>
  <c r="D942" i="9"/>
  <c r="E942" i="9"/>
  <c r="F942" i="9"/>
  <c r="A943" i="9"/>
  <c r="B943" i="9"/>
  <c r="C943" i="9"/>
  <c r="D943" i="9"/>
  <c r="E943" i="9"/>
  <c r="F943" i="9"/>
  <c r="A944" i="9"/>
  <c r="B944" i="9"/>
  <c r="C944" i="9"/>
  <c r="D944" i="9"/>
  <c r="E944" i="9"/>
  <c r="F944" i="9"/>
  <c r="A945" i="9"/>
  <c r="B945" i="9"/>
  <c r="C945" i="9"/>
  <c r="D945" i="9"/>
  <c r="E945" i="9"/>
  <c r="F945" i="9"/>
  <c r="A946" i="9"/>
  <c r="B946" i="9"/>
  <c r="C946" i="9"/>
  <c r="D946" i="9"/>
  <c r="E946" i="9"/>
  <c r="F946" i="9"/>
  <c r="A947" i="9"/>
  <c r="B947" i="9"/>
  <c r="C947" i="9"/>
  <c r="D947" i="9"/>
  <c r="E947" i="9"/>
  <c r="F947" i="9"/>
  <c r="A948" i="9"/>
  <c r="B948" i="9"/>
  <c r="C948" i="9"/>
  <c r="D948" i="9"/>
  <c r="E948" i="9"/>
  <c r="F948" i="9"/>
  <c r="A949" i="9"/>
  <c r="B949" i="9"/>
  <c r="C949" i="9"/>
  <c r="D949" i="9"/>
  <c r="E949" i="9"/>
  <c r="F949" i="9"/>
  <c r="A950" i="9"/>
  <c r="B950" i="9"/>
  <c r="C950" i="9"/>
  <c r="D950" i="9"/>
  <c r="E950" i="9"/>
  <c r="F950" i="9"/>
  <c r="A951" i="9"/>
  <c r="B951" i="9"/>
  <c r="C951" i="9"/>
  <c r="D951" i="9"/>
  <c r="E951" i="9"/>
  <c r="F951" i="9"/>
  <c r="A952" i="9"/>
  <c r="B952" i="9"/>
  <c r="C952" i="9"/>
  <c r="D952" i="9"/>
  <c r="E952" i="9"/>
  <c r="F952" i="9"/>
  <c r="A953" i="9"/>
  <c r="B953" i="9"/>
  <c r="C953" i="9"/>
  <c r="D953" i="9"/>
  <c r="E953" i="9"/>
  <c r="F953" i="9"/>
  <c r="A954" i="9"/>
  <c r="B954" i="9"/>
  <c r="C954" i="9"/>
  <c r="D954" i="9"/>
  <c r="E954" i="9"/>
  <c r="F954" i="9"/>
  <c r="A955" i="9"/>
  <c r="B955" i="9"/>
  <c r="C955" i="9"/>
  <c r="D955" i="9"/>
  <c r="E955" i="9"/>
  <c r="F955" i="9"/>
  <c r="A956" i="9"/>
  <c r="B956" i="9"/>
  <c r="C956" i="9"/>
  <c r="D956" i="9"/>
  <c r="E956" i="9"/>
  <c r="F956" i="9"/>
  <c r="A957" i="9"/>
  <c r="B957" i="9"/>
  <c r="C957" i="9"/>
  <c r="D957" i="9"/>
  <c r="E957" i="9"/>
  <c r="F957" i="9"/>
  <c r="A958" i="9"/>
  <c r="B958" i="9"/>
  <c r="C958" i="9"/>
  <c r="D958" i="9"/>
  <c r="E958" i="9"/>
  <c r="F958" i="9"/>
  <c r="A959" i="9"/>
  <c r="B959" i="9"/>
  <c r="C959" i="9"/>
  <c r="D959" i="9"/>
  <c r="E959" i="9"/>
  <c r="F959" i="9"/>
  <c r="A960" i="9"/>
  <c r="B960" i="9"/>
  <c r="C960" i="9"/>
  <c r="D960" i="9"/>
  <c r="E960" i="9"/>
  <c r="F960" i="9"/>
  <c r="A961" i="9"/>
  <c r="B961" i="9"/>
  <c r="C961" i="9"/>
  <c r="D961" i="9"/>
  <c r="E961" i="9"/>
  <c r="F961" i="9"/>
  <c r="A962" i="9"/>
  <c r="B962" i="9"/>
  <c r="C962" i="9"/>
  <c r="D962" i="9"/>
  <c r="E962" i="9"/>
  <c r="F962" i="9"/>
  <c r="A963" i="9"/>
  <c r="B963" i="9"/>
  <c r="C963" i="9"/>
  <c r="D963" i="9"/>
  <c r="E963" i="9"/>
  <c r="F963" i="9"/>
  <c r="A964" i="9"/>
  <c r="B964" i="9"/>
  <c r="C964" i="9"/>
  <c r="D964" i="9"/>
  <c r="E964" i="9"/>
  <c r="F964" i="9"/>
  <c r="A965" i="9"/>
  <c r="B965" i="9"/>
  <c r="C965" i="9"/>
  <c r="D965" i="9"/>
  <c r="E965" i="9"/>
  <c r="F965" i="9"/>
  <c r="A966" i="9"/>
  <c r="B966" i="9"/>
  <c r="C966" i="9"/>
  <c r="D966" i="9"/>
  <c r="E966" i="9"/>
  <c r="F966" i="9"/>
  <c r="A967" i="9"/>
  <c r="B967" i="9"/>
  <c r="C967" i="9"/>
  <c r="D967" i="9"/>
  <c r="E967" i="9"/>
  <c r="F967" i="9"/>
  <c r="A968" i="9"/>
  <c r="B968" i="9"/>
  <c r="C968" i="9"/>
  <c r="D968" i="9"/>
  <c r="E968" i="9"/>
  <c r="F968" i="9"/>
  <c r="A969" i="9"/>
  <c r="B969" i="9"/>
  <c r="C969" i="9"/>
  <c r="D969" i="9"/>
  <c r="E969" i="9"/>
  <c r="F969" i="9"/>
  <c r="A970" i="9"/>
  <c r="B970" i="9"/>
  <c r="C970" i="9"/>
  <c r="D970" i="9"/>
  <c r="E970" i="9"/>
  <c r="F970" i="9"/>
  <c r="A971" i="9"/>
  <c r="B971" i="9"/>
  <c r="C971" i="9"/>
  <c r="D971" i="9"/>
  <c r="E971" i="9"/>
  <c r="F971" i="9"/>
  <c r="A972" i="9"/>
  <c r="B972" i="9"/>
  <c r="C972" i="9"/>
  <c r="D972" i="9"/>
  <c r="E972" i="9"/>
  <c r="F972" i="9"/>
  <c r="A973" i="9"/>
  <c r="B973" i="9"/>
  <c r="C973" i="9"/>
  <c r="D973" i="9"/>
  <c r="E973" i="9"/>
  <c r="F973" i="9"/>
  <c r="A974" i="9"/>
  <c r="B974" i="9"/>
  <c r="C974" i="9"/>
  <c r="D974" i="9"/>
  <c r="E974" i="9"/>
  <c r="F974" i="9"/>
  <c r="A975" i="9"/>
  <c r="B975" i="9"/>
  <c r="C975" i="9"/>
  <c r="D975" i="9"/>
  <c r="E975" i="9"/>
  <c r="F975" i="9"/>
  <c r="A976" i="9"/>
  <c r="B976" i="9"/>
  <c r="C976" i="9"/>
  <c r="D976" i="9"/>
  <c r="E976" i="9"/>
  <c r="F976" i="9"/>
  <c r="A977" i="9"/>
  <c r="B977" i="9"/>
  <c r="C977" i="9"/>
  <c r="D977" i="9"/>
  <c r="E977" i="9"/>
  <c r="F977" i="9"/>
  <c r="A978" i="9"/>
  <c r="B978" i="9"/>
  <c r="C978" i="9"/>
  <c r="D978" i="9"/>
  <c r="E978" i="9"/>
  <c r="F978" i="9"/>
  <c r="A979" i="9"/>
  <c r="B979" i="9"/>
  <c r="C979" i="9"/>
  <c r="D979" i="9"/>
  <c r="E979" i="9"/>
  <c r="F979" i="9"/>
  <c r="A980" i="9"/>
  <c r="B980" i="9"/>
  <c r="C980" i="9"/>
  <c r="D980" i="9"/>
  <c r="E980" i="9"/>
  <c r="F980" i="9"/>
  <c r="A981" i="9"/>
  <c r="B981" i="9"/>
  <c r="C981" i="9"/>
  <c r="D981" i="9"/>
  <c r="E981" i="9"/>
  <c r="F981" i="9"/>
  <c r="A982" i="9"/>
  <c r="B982" i="9"/>
  <c r="C982" i="9"/>
  <c r="D982" i="9"/>
  <c r="E982" i="9"/>
  <c r="F982" i="9"/>
  <c r="A983" i="9"/>
  <c r="B983" i="9"/>
  <c r="C983" i="9"/>
  <c r="D983" i="9"/>
  <c r="E983" i="9"/>
  <c r="F983" i="9"/>
  <c r="A984" i="9"/>
  <c r="B984" i="9"/>
  <c r="C984" i="9"/>
  <c r="D984" i="9"/>
  <c r="E984" i="9"/>
  <c r="F984" i="9"/>
  <c r="A985" i="9"/>
  <c r="B985" i="9"/>
  <c r="C985" i="9"/>
  <c r="D985" i="9"/>
  <c r="E985" i="9"/>
  <c r="F985" i="9"/>
  <c r="A986" i="9"/>
  <c r="B986" i="9"/>
  <c r="C986" i="9"/>
  <c r="D986" i="9"/>
  <c r="E986" i="9"/>
  <c r="F986" i="9"/>
  <c r="A987" i="9"/>
  <c r="B987" i="9"/>
  <c r="C987" i="9"/>
  <c r="D987" i="9"/>
  <c r="E987" i="9"/>
  <c r="F987" i="9"/>
  <c r="A988" i="9"/>
  <c r="B988" i="9"/>
  <c r="C988" i="9"/>
  <c r="D988" i="9"/>
  <c r="E988" i="9"/>
  <c r="F988" i="9"/>
  <c r="A989" i="9"/>
  <c r="B989" i="9"/>
  <c r="C989" i="9"/>
  <c r="D989" i="9"/>
  <c r="E989" i="9"/>
  <c r="F989" i="9"/>
  <c r="A990" i="9"/>
  <c r="B990" i="9"/>
  <c r="C990" i="9"/>
  <c r="D990" i="9"/>
  <c r="E990" i="9"/>
  <c r="F990" i="9"/>
  <c r="A991" i="9"/>
  <c r="B991" i="9"/>
  <c r="C991" i="9"/>
  <c r="D991" i="9"/>
  <c r="E991" i="9"/>
  <c r="F991" i="9"/>
  <c r="A992" i="9"/>
  <c r="B992" i="9"/>
  <c r="C992" i="9"/>
  <c r="D992" i="9"/>
  <c r="E992" i="9"/>
  <c r="F992" i="9"/>
  <c r="A993" i="9"/>
  <c r="B993" i="9"/>
  <c r="C993" i="9"/>
  <c r="D993" i="9"/>
  <c r="E993" i="9"/>
  <c r="F993" i="9"/>
  <c r="A994" i="9"/>
  <c r="B994" i="9"/>
  <c r="C994" i="9"/>
  <c r="D994" i="9"/>
  <c r="E994" i="9"/>
  <c r="F994" i="9"/>
  <c r="A995" i="9"/>
  <c r="B995" i="9"/>
  <c r="C995" i="9"/>
  <c r="D995" i="9"/>
  <c r="E995" i="9"/>
  <c r="F995" i="9"/>
  <c r="A996" i="9"/>
  <c r="B996" i="9"/>
  <c r="C996" i="9"/>
  <c r="D996" i="9"/>
  <c r="E996" i="9"/>
  <c r="F996" i="9"/>
  <c r="A997" i="9"/>
  <c r="B997" i="9"/>
  <c r="C997" i="9"/>
  <c r="D997" i="9"/>
  <c r="E997" i="9"/>
  <c r="F997" i="9"/>
  <c r="A998" i="9"/>
  <c r="B998" i="9"/>
  <c r="C998" i="9"/>
  <c r="D998" i="9"/>
  <c r="E998" i="9"/>
  <c r="F998" i="9"/>
  <c r="A999" i="9"/>
  <c r="B999" i="9"/>
  <c r="C999" i="9"/>
  <c r="D999" i="9"/>
  <c r="E999" i="9"/>
  <c r="F999" i="9"/>
  <c r="A1000" i="9"/>
  <c r="B1000" i="9"/>
  <c r="C1000" i="9"/>
  <c r="D1000" i="9"/>
  <c r="E1000" i="9"/>
  <c r="F1000" i="9"/>
  <c r="A1001" i="9"/>
  <c r="B1001" i="9"/>
  <c r="C1001" i="9"/>
  <c r="D1001" i="9"/>
  <c r="E1001" i="9"/>
  <c r="F1001" i="9"/>
  <c r="A1002" i="9"/>
  <c r="B1002" i="9"/>
  <c r="C1002" i="9"/>
  <c r="D1002" i="9"/>
  <c r="E1002" i="9"/>
  <c r="F1002" i="9"/>
  <c r="A1003" i="9"/>
  <c r="B1003" i="9"/>
  <c r="C1003" i="9"/>
  <c r="D1003" i="9"/>
  <c r="E1003" i="9"/>
  <c r="F1003" i="9"/>
  <c r="A1004" i="9"/>
  <c r="B1004" i="9"/>
  <c r="C1004" i="9"/>
  <c r="D1004" i="9"/>
  <c r="E1004" i="9"/>
  <c r="F1004" i="9"/>
  <c r="A1005" i="9"/>
  <c r="B1005" i="9"/>
  <c r="C1005" i="9"/>
  <c r="D1005" i="9"/>
  <c r="E1005" i="9"/>
  <c r="F1005" i="9"/>
  <c r="A1006" i="9"/>
  <c r="B1006" i="9"/>
  <c r="C1006" i="9"/>
  <c r="D1006" i="9"/>
  <c r="E1006" i="9"/>
  <c r="F1006" i="9"/>
  <c r="A1007" i="9"/>
  <c r="B1007" i="9"/>
  <c r="C1007" i="9"/>
  <c r="D1007" i="9"/>
  <c r="E1007" i="9"/>
  <c r="F1007" i="9"/>
  <c r="A1008" i="9"/>
  <c r="B1008" i="9"/>
  <c r="C1008" i="9"/>
  <c r="D1008" i="9"/>
  <c r="E1008" i="9"/>
  <c r="F1008" i="9"/>
  <c r="A1009" i="9"/>
  <c r="B1009" i="9"/>
  <c r="C1009" i="9"/>
  <c r="D1009" i="9"/>
  <c r="E1009" i="9"/>
  <c r="F1009" i="9"/>
  <c r="A1010" i="9"/>
  <c r="B1010" i="9"/>
  <c r="C1010" i="9"/>
  <c r="D1010" i="9"/>
  <c r="E1010" i="9"/>
  <c r="F1010" i="9"/>
  <c r="A1011" i="9"/>
  <c r="B1011" i="9"/>
  <c r="C1011" i="9"/>
  <c r="D1011" i="9"/>
  <c r="E1011" i="9"/>
  <c r="F1011" i="9"/>
  <c r="A1012" i="9"/>
  <c r="B1012" i="9"/>
  <c r="C1012" i="9"/>
  <c r="D1012" i="9"/>
  <c r="E1012" i="9"/>
  <c r="F1012" i="9"/>
  <c r="A1013" i="9"/>
  <c r="B1013" i="9"/>
  <c r="C1013" i="9"/>
  <c r="D1013" i="9"/>
  <c r="E1013" i="9"/>
  <c r="F1013" i="9"/>
  <c r="A1014" i="9"/>
  <c r="B1014" i="9"/>
  <c r="C1014" i="9"/>
  <c r="D1014" i="9"/>
  <c r="E1014" i="9"/>
  <c r="F1014" i="9"/>
  <c r="A1015" i="9"/>
  <c r="B1015" i="9"/>
  <c r="C1015" i="9"/>
  <c r="D1015" i="9"/>
  <c r="E1015" i="9"/>
  <c r="F1015" i="9"/>
  <c r="A1016" i="9"/>
  <c r="B1016" i="9"/>
  <c r="C1016" i="9"/>
  <c r="D1016" i="9"/>
  <c r="E1016" i="9"/>
  <c r="F1016" i="9"/>
  <c r="A1017" i="9"/>
  <c r="B1017" i="9"/>
  <c r="C1017" i="9"/>
  <c r="D1017" i="9"/>
  <c r="E1017" i="9"/>
  <c r="F1017" i="9"/>
  <c r="A1018" i="9"/>
  <c r="B1018" i="9"/>
  <c r="C1018" i="9"/>
  <c r="D1018" i="9"/>
  <c r="E1018" i="9"/>
  <c r="F1018" i="9"/>
  <c r="A1019" i="9"/>
  <c r="B1019" i="9"/>
  <c r="C1019" i="9"/>
  <c r="D1019" i="9"/>
  <c r="E1019" i="9"/>
  <c r="F1019" i="9"/>
  <c r="A1020" i="9"/>
  <c r="B1020" i="9"/>
  <c r="C1020" i="9"/>
  <c r="D1020" i="9"/>
  <c r="E1020" i="9"/>
  <c r="F1020" i="9"/>
  <c r="A1021" i="9"/>
  <c r="B1021" i="9"/>
  <c r="C1021" i="9"/>
  <c r="D1021" i="9"/>
  <c r="E1021" i="9"/>
  <c r="F1021" i="9"/>
  <c r="A1022" i="9"/>
  <c r="B1022" i="9"/>
  <c r="C1022" i="9"/>
  <c r="D1022" i="9"/>
  <c r="E1022" i="9"/>
  <c r="F1022" i="9"/>
  <c r="A1023" i="9"/>
  <c r="B1023" i="9"/>
  <c r="C1023" i="9"/>
  <c r="D1023" i="9"/>
  <c r="E1023" i="9"/>
  <c r="F1023" i="9"/>
  <c r="A1024" i="9"/>
  <c r="B1024" i="9"/>
  <c r="C1024" i="9"/>
  <c r="D1024" i="9"/>
  <c r="E1024" i="9"/>
  <c r="F1024" i="9"/>
  <c r="A1025" i="9"/>
  <c r="B1025" i="9"/>
  <c r="C1025" i="9"/>
  <c r="D1025" i="9"/>
  <c r="E1025" i="9"/>
  <c r="F1025" i="9"/>
  <c r="A1026" i="9"/>
  <c r="B1026" i="9"/>
  <c r="C1026" i="9"/>
  <c r="D1026" i="9"/>
  <c r="E1026" i="9"/>
  <c r="F1026" i="9"/>
  <c r="A1027" i="9"/>
  <c r="B1027" i="9"/>
  <c r="C1027" i="9"/>
  <c r="D1027" i="9"/>
  <c r="E1027" i="9"/>
  <c r="F1027" i="9"/>
  <c r="A1028" i="9"/>
  <c r="B1028" i="9"/>
  <c r="C1028" i="9"/>
  <c r="D1028" i="9"/>
  <c r="E1028" i="9"/>
  <c r="F1028" i="9"/>
  <c r="A1029" i="9"/>
  <c r="B1029" i="9"/>
  <c r="C1029" i="9"/>
  <c r="D1029" i="9"/>
  <c r="E1029" i="9"/>
  <c r="F1029" i="9"/>
  <c r="A1030" i="9"/>
  <c r="B1030" i="9"/>
  <c r="C1030" i="9"/>
  <c r="D1030" i="9"/>
  <c r="E1030" i="9"/>
  <c r="F1030" i="9"/>
  <c r="A1031" i="9"/>
  <c r="B1031" i="9"/>
  <c r="C1031" i="9"/>
  <c r="D1031" i="9"/>
  <c r="E1031" i="9"/>
  <c r="F1031" i="9"/>
  <c r="A1032" i="9"/>
  <c r="B1032" i="9"/>
  <c r="C1032" i="9"/>
  <c r="D1032" i="9"/>
  <c r="E1032" i="9"/>
  <c r="F1032" i="9"/>
  <c r="A1033" i="9"/>
  <c r="B1033" i="9"/>
  <c r="C1033" i="9"/>
  <c r="D1033" i="9"/>
  <c r="E1033" i="9"/>
  <c r="F1033" i="9"/>
  <c r="A1034" i="9"/>
  <c r="B1034" i="9"/>
  <c r="C1034" i="9"/>
  <c r="D1034" i="9"/>
  <c r="E1034" i="9"/>
  <c r="F1034" i="9"/>
  <c r="A1035" i="9"/>
  <c r="B1035" i="9"/>
  <c r="C1035" i="9"/>
  <c r="D1035" i="9"/>
  <c r="E1035" i="9"/>
  <c r="F1035" i="9"/>
  <c r="A1036" i="9"/>
  <c r="B1036" i="9"/>
  <c r="C1036" i="9"/>
  <c r="D1036" i="9"/>
  <c r="E1036" i="9"/>
  <c r="F1036" i="9"/>
  <c r="A1037" i="9"/>
  <c r="B1037" i="9"/>
  <c r="C1037" i="9"/>
  <c r="D1037" i="9"/>
  <c r="E1037" i="9"/>
  <c r="F1037" i="9"/>
  <c r="A1038" i="9"/>
  <c r="B1038" i="9"/>
  <c r="C1038" i="9"/>
  <c r="D1038" i="9"/>
  <c r="E1038" i="9"/>
  <c r="F1038" i="9"/>
  <c r="A1039" i="9"/>
  <c r="B1039" i="9"/>
  <c r="C1039" i="9"/>
  <c r="D1039" i="9"/>
  <c r="E1039" i="9"/>
  <c r="F1039" i="9"/>
  <c r="A1040" i="9"/>
  <c r="B1040" i="9"/>
  <c r="C1040" i="9"/>
  <c r="D1040" i="9"/>
  <c r="E1040" i="9"/>
  <c r="F1040" i="9"/>
  <c r="A1041" i="9"/>
  <c r="B1041" i="9"/>
  <c r="C1041" i="9"/>
  <c r="D1041" i="9"/>
  <c r="E1041" i="9"/>
  <c r="F1041" i="9"/>
  <c r="A1042" i="9"/>
  <c r="B1042" i="9"/>
  <c r="C1042" i="9"/>
  <c r="D1042" i="9"/>
  <c r="E1042" i="9"/>
  <c r="F1042" i="9"/>
  <c r="A1043" i="9"/>
  <c r="B1043" i="9"/>
  <c r="C1043" i="9"/>
  <c r="D1043" i="9"/>
  <c r="E1043" i="9"/>
  <c r="F1043" i="9"/>
  <c r="A1044" i="9"/>
  <c r="B1044" i="9"/>
  <c r="C1044" i="9"/>
  <c r="D1044" i="9"/>
  <c r="E1044" i="9"/>
  <c r="F1044" i="9"/>
  <c r="A1045" i="9"/>
  <c r="B1045" i="9"/>
  <c r="C1045" i="9"/>
  <c r="D1045" i="9"/>
  <c r="E1045" i="9"/>
  <c r="F1045" i="9"/>
  <c r="A1046" i="9"/>
  <c r="B1046" i="9"/>
  <c r="C1046" i="9"/>
  <c r="D1046" i="9"/>
  <c r="E1046" i="9"/>
  <c r="F1046" i="9"/>
  <c r="A1047" i="9"/>
  <c r="B1047" i="9"/>
  <c r="C1047" i="9"/>
  <c r="D1047" i="9"/>
  <c r="E1047" i="9"/>
  <c r="F1047" i="9"/>
  <c r="A1048" i="9"/>
  <c r="B1048" i="9"/>
  <c r="C1048" i="9"/>
  <c r="D1048" i="9"/>
  <c r="E1048" i="9"/>
  <c r="F1048" i="9"/>
  <c r="A1049" i="9"/>
  <c r="B1049" i="9"/>
  <c r="C1049" i="9"/>
  <c r="D1049" i="9"/>
  <c r="E1049" i="9"/>
  <c r="F1049" i="9"/>
  <c r="A1050" i="9"/>
  <c r="B1050" i="9"/>
  <c r="C1050" i="9"/>
  <c r="D1050" i="9"/>
  <c r="E1050" i="9"/>
  <c r="F1050" i="9"/>
  <c r="A1051" i="9"/>
  <c r="B1051" i="9"/>
  <c r="C1051" i="9"/>
  <c r="D1051" i="9"/>
  <c r="E1051" i="9"/>
  <c r="F1051" i="9"/>
  <c r="A1052" i="9"/>
  <c r="B1052" i="9"/>
  <c r="C1052" i="9"/>
  <c r="D1052" i="9"/>
  <c r="E1052" i="9"/>
  <c r="F1052" i="9"/>
  <c r="A1053" i="9"/>
  <c r="B1053" i="9"/>
  <c r="C1053" i="9"/>
  <c r="D1053" i="9"/>
  <c r="E1053" i="9"/>
  <c r="F1053" i="9"/>
  <c r="A1054" i="9"/>
  <c r="B1054" i="9"/>
  <c r="C1054" i="9"/>
  <c r="D1054" i="9"/>
  <c r="E1054" i="9"/>
  <c r="F1054" i="9"/>
  <c r="A1055" i="9"/>
  <c r="B1055" i="9"/>
  <c r="C1055" i="9"/>
  <c r="D1055" i="9"/>
  <c r="E1055" i="9"/>
  <c r="F1055" i="9"/>
  <c r="A1056" i="9"/>
  <c r="B1056" i="9"/>
  <c r="C1056" i="9"/>
  <c r="D1056" i="9"/>
  <c r="E1056" i="9"/>
  <c r="F1056" i="9"/>
  <c r="A1057" i="9"/>
  <c r="B1057" i="9"/>
  <c r="C1057" i="9"/>
  <c r="D1057" i="9"/>
  <c r="E1057" i="9"/>
  <c r="F1057" i="9"/>
  <c r="A1058" i="9"/>
  <c r="B1058" i="9"/>
  <c r="C1058" i="9"/>
  <c r="D1058" i="9"/>
  <c r="E1058" i="9"/>
  <c r="F1058" i="9"/>
  <c r="A1059" i="9"/>
  <c r="B1059" i="9"/>
  <c r="C1059" i="9"/>
  <c r="D1059" i="9"/>
  <c r="E1059" i="9"/>
  <c r="F1059" i="9"/>
  <c r="A1060" i="9"/>
  <c r="B1060" i="9"/>
  <c r="C1060" i="9"/>
  <c r="D1060" i="9"/>
  <c r="E1060" i="9"/>
  <c r="F1060" i="9"/>
  <c r="A1061" i="9"/>
  <c r="B1061" i="9"/>
  <c r="C1061" i="9"/>
  <c r="D1061" i="9"/>
  <c r="E1061" i="9"/>
  <c r="F1061" i="9"/>
  <c r="A1062" i="9"/>
  <c r="B1062" i="9"/>
  <c r="C1062" i="9"/>
  <c r="D1062" i="9"/>
  <c r="E1062" i="9"/>
  <c r="F1062" i="9"/>
  <c r="A1063" i="9"/>
  <c r="B1063" i="9"/>
  <c r="C1063" i="9"/>
  <c r="D1063" i="9"/>
  <c r="E1063" i="9"/>
  <c r="F1063" i="9"/>
  <c r="A1064" i="9"/>
  <c r="B1064" i="9"/>
  <c r="C1064" i="9"/>
  <c r="D1064" i="9"/>
  <c r="E1064" i="9"/>
  <c r="F1064" i="9"/>
  <c r="A1065" i="9"/>
  <c r="B1065" i="9"/>
  <c r="C1065" i="9"/>
  <c r="D1065" i="9"/>
  <c r="E1065" i="9"/>
  <c r="F1065" i="9"/>
  <c r="A1066" i="9"/>
  <c r="B1066" i="9"/>
  <c r="C1066" i="9"/>
  <c r="D1066" i="9"/>
  <c r="E1066" i="9"/>
  <c r="F1066" i="9"/>
  <c r="A1067" i="9"/>
  <c r="B1067" i="9"/>
  <c r="C1067" i="9"/>
  <c r="D1067" i="9"/>
  <c r="E1067" i="9"/>
  <c r="F1067" i="9"/>
  <c r="A1068" i="9"/>
  <c r="B1068" i="9"/>
  <c r="C1068" i="9"/>
  <c r="D1068" i="9"/>
  <c r="E1068" i="9"/>
  <c r="F1068" i="9"/>
  <c r="A1069" i="9"/>
  <c r="B1069" i="9"/>
  <c r="C1069" i="9"/>
  <c r="D1069" i="9"/>
  <c r="E1069" i="9"/>
  <c r="F1069" i="9"/>
  <c r="A1070" i="9"/>
  <c r="B1070" i="9"/>
  <c r="C1070" i="9"/>
  <c r="D1070" i="9"/>
  <c r="E1070" i="9"/>
  <c r="F1070" i="9"/>
  <c r="A1071" i="9"/>
  <c r="B1071" i="9"/>
  <c r="C1071" i="9"/>
  <c r="D1071" i="9"/>
  <c r="E1071" i="9"/>
  <c r="F1071" i="9"/>
  <c r="A1072" i="9"/>
  <c r="B1072" i="9"/>
  <c r="C1072" i="9"/>
  <c r="D1072" i="9"/>
  <c r="E1072" i="9"/>
  <c r="F1072" i="9"/>
  <c r="A1073" i="9"/>
  <c r="B1073" i="9"/>
  <c r="C1073" i="9"/>
  <c r="D1073" i="9"/>
  <c r="E1073" i="9"/>
  <c r="F1073" i="9"/>
  <c r="A1074" i="9"/>
  <c r="B1074" i="9"/>
  <c r="C1074" i="9"/>
  <c r="D1074" i="9"/>
  <c r="E1074" i="9"/>
  <c r="F1074" i="9"/>
  <c r="A1075" i="9"/>
  <c r="B1075" i="9"/>
  <c r="C1075" i="9"/>
  <c r="D1075" i="9"/>
  <c r="E1075" i="9"/>
  <c r="F1075" i="9"/>
  <c r="A1076" i="9"/>
  <c r="B1076" i="9"/>
  <c r="C1076" i="9"/>
  <c r="D1076" i="9"/>
  <c r="E1076" i="9"/>
  <c r="F1076" i="9"/>
  <c r="A1077" i="9"/>
  <c r="B1077" i="9"/>
  <c r="C1077" i="9"/>
  <c r="D1077" i="9"/>
  <c r="E1077" i="9"/>
  <c r="F1077" i="9"/>
  <c r="A1078" i="9"/>
  <c r="B1078" i="9"/>
  <c r="C1078" i="9"/>
  <c r="D1078" i="9"/>
  <c r="E1078" i="9"/>
  <c r="F1078" i="9"/>
  <c r="A1079" i="9"/>
  <c r="B1079" i="9"/>
  <c r="C1079" i="9"/>
  <c r="D1079" i="9"/>
  <c r="E1079" i="9"/>
  <c r="F1079" i="9"/>
  <c r="A1080" i="9"/>
  <c r="B1080" i="9"/>
  <c r="C1080" i="9"/>
  <c r="D1080" i="9"/>
  <c r="E1080" i="9"/>
  <c r="F1080" i="9"/>
  <c r="A1081" i="9"/>
  <c r="B1081" i="9"/>
  <c r="C1081" i="9"/>
  <c r="D1081" i="9"/>
  <c r="E1081" i="9"/>
  <c r="F1081" i="9"/>
  <c r="A1082" i="9"/>
  <c r="B1082" i="9"/>
  <c r="C1082" i="9"/>
  <c r="D1082" i="9"/>
  <c r="E1082" i="9"/>
  <c r="F1082" i="9"/>
  <c r="A1083" i="9"/>
  <c r="B1083" i="9"/>
  <c r="C1083" i="9"/>
  <c r="D1083" i="9"/>
  <c r="E1083" i="9"/>
  <c r="F1083" i="9"/>
  <c r="A1084" i="9"/>
  <c r="B1084" i="9"/>
  <c r="C1084" i="9"/>
  <c r="D1084" i="9"/>
  <c r="E1084" i="9"/>
  <c r="F1084" i="9"/>
  <c r="A1085" i="9"/>
  <c r="B1085" i="9"/>
  <c r="C1085" i="9"/>
  <c r="D1085" i="9"/>
  <c r="E1085" i="9"/>
  <c r="F1085" i="9"/>
  <c r="A1086" i="9"/>
  <c r="B1086" i="9"/>
  <c r="C1086" i="9"/>
  <c r="D1086" i="9"/>
  <c r="E1086" i="9"/>
  <c r="F1086" i="9"/>
  <c r="A1087" i="9"/>
  <c r="B1087" i="9"/>
  <c r="C1087" i="9"/>
  <c r="D1087" i="9"/>
  <c r="E1087" i="9"/>
  <c r="F1087" i="9"/>
  <c r="A1088" i="9"/>
  <c r="B1088" i="9"/>
  <c r="C1088" i="9"/>
  <c r="D1088" i="9"/>
  <c r="E1088" i="9"/>
  <c r="F1088" i="9"/>
  <c r="A1089" i="9"/>
  <c r="B1089" i="9"/>
  <c r="C1089" i="9"/>
  <c r="D1089" i="9"/>
  <c r="E1089" i="9"/>
  <c r="F1089" i="9"/>
  <c r="A1090" i="9"/>
  <c r="B1090" i="9"/>
  <c r="C1090" i="9"/>
  <c r="D1090" i="9"/>
  <c r="E1090" i="9"/>
  <c r="F1090" i="9"/>
  <c r="A1091" i="9"/>
  <c r="B1091" i="9"/>
  <c r="C1091" i="9"/>
  <c r="D1091" i="9"/>
  <c r="E1091" i="9"/>
  <c r="F1091" i="9"/>
  <c r="A1092" i="9"/>
  <c r="B1092" i="9"/>
  <c r="C1092" i="9"/>
  <c r="D1092" i="9"/>
  <c r="E1092" i="9"/>
  <c r="F1092" i="9"/>
  <c r="A1093" i="9"/>
  <c r="B1093" i="9"/>
  <c r="C1093" i="9"/>
  <c r="D1093" i="9"/>
  <c r="E1093" i="9"/>
  <c r="F1093" i="9"/>
  <c r="A1094" i="9"/>
  <c r="B1094" i="9"/>
  <c r="C1094" i="9"/>
  <c r="D1094" i="9"/>
  <c r="E1094" i="9"/>
  <c r="F1094" i="9"/>
  <c r="A1095" i="9"/>
  <c r="B1095" i="9"/>
  <c r="C1095" i="9"/>
  <c r="D1095" i="9"/>
  <c r="E1095" i="9"/>
  <c r="F1095" i="9"/>
  <c r="A1096" i="9"/>
  <c r="B1096" i="9"/>
  <c r="C1096" i="9"/>
  <c r="D1096" i="9"/>
  <c r="E1096" i="9"/>
  <c r="F1096" i="9"/>
  <c r="A1097" i="9"/>
  <c r="B1097" i="9"/>
  <c r="C1097" i="9"/>
  <c r="D1097" i="9"/>
  <c r="E1097" i="9"/>
  <c r="F1097" i="9"/>
  <c r="A1098" i="9"/>
  <c r="B1098" i="9"/>
  <c r="C1098" i="9"/>
  <c r="D1098" i="9"/>
  <c r="E1098" i="9"/>
  <c r="F1098" i="9"/>
  <c r="A1099" i="9"/>
  <c r="B1099" i="9"/>
  <c r="C1099" i="9"/>
  <c r="D1099" i="9"/>
  <c r="E1099" i="9"/>
  <c r="F1099" i="9"/>
  <c r="A1100" i="9"/>
  <c r="B1100" i="9"/>
  <c r="C1100" i="9"/>
  <c r="D1100" i="9"/>
  <c r="E1100" i="9"/>
  <c r="F1100" i="9"/>
  <c r="A1101" i="9"/>
  <c r="B1101" i="9"/>
  <c r="C1101" i="9"/>
  <c r="D1101" i="9"/>
  <c r="E1101" i="9"/>
  <c r="F1101" i="9"/>
  <c r="A1102" i="9"/>
  <c r="B1102" i="9"/>
  <c r="C1102" i="9"/>
  <c r="D1102" i="9"/>
  <c r="E1102" i="9"/>
  <c r="F1102" i="9"/>
  <c r="A1103" i="9"/>
  <c r="B1103" i="9"/>
  <c r="C1103" i="9"/>
  <c r="D1103" i="9"/>
  <c r="E1103" i="9"/>
  <c r="F1103" i="9"/>
  <c r="A1104" i="9"/>
  <c r="B1104" i="9"/>
  <c r="C1104" i="9"/>
  <c r="D1104" i="9"/>
  <c r="E1104" i="9"/>
  <c r="F1104" i="9"/>
  <c r="A1105" i="9"/>
  <c r="B1105" i="9"/>
  <c r="C1105" i="9"/>
  <c r="D1105" i="9"/>
  <c r="E1105" i="9"/>
  <c r="F1105" i="9"/>
  <c r="A1106" i="9"/>
  <c r="B1106" i="9"/>
  <c r="C1106" i="9"/>
  <c r="D1106" i="9"/>
  <c r="E1106" i="9"/>
  <c r="F1106" i="9"/>
  <c r="A1107" i="9"/>
  <c r="B1107" i="9"/>
  <c r="C1107" i="9"/>
  <c r="D1107" i="9"/>
  <c r="E1107" i="9"/>
  <c r="F1107" i="9"/>
  <c r="A1108" i="9"/>
  <c r="B1108" i="9"/>
  <c r="C1108" i="9"/>
  <c r="D1108" i="9"/>
  <c r="E1108" i="9"/>
  <c r="F1108" i="9"/>
  <c r="A1109" i="9"/>
  <c r="B1109" i="9"/>
  <c r="C1109" i="9"/>
  <c r="D1109" i="9"/>
  <c r="E1109" i="9"/>
  <c r="F1109" i="9"/>
  <c r="A1110" i="9"/>
  <c r="B1110" i="9"/>
  <c r="C1110" i="9"/>
  <c r="D1110" i="9"/>
  <c r="E1110" i="9"/>
  <c r="F1110" i="9"/>
  <c r="A1111" i="9"/>
  <c r="B1111" i="9"/>
  <c r="C1111" i="9"/>
  <c r="D1111" i="9"/>
  <c r="E1111" i="9"/>
  <c r="F1111" i="9"/>
  <c r="A1112" i="9"/>
  <c r="B1112" i="9"/>
  <c r="C1112" i="9"/>
  <c r="D1112" i="9"/>
  <c r="E1112" i="9"/>
  <c r="F1112" i="9"/>
  <c r="A1113" i="9"/>
  <c r="B1113" i="9"/>
  <c r="C1113" i="9"/>
  <c r="D1113" i="9"/>
  <c r="E1113" i="9"/>
  <c r="F1113" i="9"/>
  <c r="A1114" i="9"/>
  <c r="B1114" i="9"/>
  <c r="C1114" i="9"/>
  <c r="D1114" i="9"/>
  <c r="E1114" i="9"/>
  <c r="F1114" i="9"/>
  <c r="A1115" i="9"/>
  <c r="B1115" i="9"/>
  <c r="C1115" i="9"/>
  <c r="D1115" i="9"/>
  <c r="E1115" i="9"/>
  <c r="F1115" i="9"/>
  <c r="A1116" i="9"/>
  <c r="B1116" i="9"/>
  <c r="C1116" i="9"/>
  <c r="D1116" i="9"/>
  <c r="E1116" i="9"/>
  <c r="F1116" i="9"/>
  <c r="A1117" i="9"/>
  <c r="B1117" i="9"/>
  <c r="C1117" i="9"/>
  <c r="D1117" i="9"/>
  <c r="E1117" i="9"/>
  <c r="F1117" i="9"/>
  <c r="A1118" i="9"/>
  <c r="B1118" i="9"/>
  <c r="C1118" i="9"/>
  <c r="D1118" i="9"/>
  <c r="E1118" i="9"/>
  <c r="F1118" i="9"/>
  <c r="A1119" i="9"/>
  <c r="B1119" i="9"/>
  <c r="C1119" i="9"/>
  <c r="D1119" i="9"/>
  <c r="E1119" i="9"/>
  <c r="F1119" i="9"/>
  <c r="A1120" i="9"/>
  <c r="B1120" i="9"/>
  <c r="C1120" i="9"/>
  <c r="D1120" i="9"/>
  <c r="E1120" i="9"/>
  <c r="F1120" i="9"/>
  <c r="A1121" i="9"/>
  <c r="B1121" i="9"/>
  <c r="C1121" i="9"/>
  <c r="D1121" i="9"/>
  <c r="E1121" i="9"/>
  <c r="F1121" i="9"/>
  <c r="A1122" i="9"/>
  <c r="B1122" i="9"/>
  <c r="C1122" i="9"/>
  <c r="D1122" i="9"/>
  <c r="E1122" i="9"/>
  <c r="F1122" i="9"/>
  <c r="A1123" i="9"/>
  <c r="B1123" i="9"/>
  <c r="C1123" i="9"/>
  <c r="D1123" i="9"/>
  <c r="E1123" i="9"/>
  <c r="F1123" i="9"/>
  <c r="A1124" i="9"/>
  <c r="B1124" i="9"/>
  <c r="C1124" i="9"/>
  <c r="D1124" i="9"/>
  <c r="E1124" i="9"/>
  <c r="F1124" i="9"/>
  <c r="A1125" i="9"/>
  <c r="B1125" i="9"/>
  <c r="C1125" i="9"/>
  <c r="D1125" i="9"/>
  <c r="E1125" i="9"/>
  <c r="F1125" i="9"/>
  <c r="A1126" i="9"/>
  <c r="B1126" i="9"/>
  <c r="C1126" i="9"/>
  <c r="D1126" i="9"/>
  <c r="E1126" i="9"/>
  <c r="F1126" i="9"/>
  <c r="A1127" i="9"/>
  <c r="B1127" i="9"/>
  <c r="C1127" i="9"/>
  <c r="D1127" i="9"/>
  <c r="E1127" i="9"/>
  <c r="F1127" i="9"/>
  <c r="A1128" i="9"/>
  <c r="B1128" i="9"/>
  <c r="C1128" i="9"/>
  <c r="D1128" i="9"/>
  <c r="E1128" i="9"/>
  <c r="F1128" i="9"/>
  <c r="A1129" i="9"/>
  <c r="B1129" i="9"/>
  <c r="C1129" i="9"/>
  <c r="D1129" i="9"/>
  <c r="E1129" i="9"/>
  <c r="F1129" i="9"/>
  <c r="A1130" i="9"/>
  <c r="B1130" i="9"/>
  <c r="C1130" i="9"/>
  <c r="D1130" i="9"/>
  <c r="E1130" i="9"/>
  <c r="F1130" i="9"/>
  <c r="A1131" i="9"/>
  <c r="B1131" i="9"/>
  <c r="C1131" i="9"/>
  <c r="D1131" i="9"/>
  <c r="E1131" i="9"/>
  <c r="F1131" i="9"/>
  <c r="A1132" i="9"/>
  <c r="B1132" i="9"/>
  <c r="C1132" i="9"/>
  <c r="D1132" i="9"/>
  <c r="E1132" i="9"/>
  <c r="F1132" i="9"/>
  <c r="A1133" i="9"/>
  <c r="B1133" i="9"/>
  <c r="C1133" i="9"/>
  <c r="D1133" i="9"/>
  <c r="E1133" i="9"/>
  <c r="F1133" i="9"/>
  <c r="A1134" i="9"/>
  <c r="B1134" i="9"/>
  <c r="C1134" i="9"/>
  <c r="D1134" i="9"/>
  <c r="E1134" i="9"/>
  <c r="F1134" i="9"/>
  <c r="A1135" i="9"/>
  <c r="B1135" i="9"/>
  <c r="C1135" i="9"/>
  <c r="D1135" i="9"/>
  <c r="E1135" i="9"/>
  <c r="F1135" i="9"/>
  <c r="A1136" i="9"/>
  <c r="B1136" i="9"/>
  <c r="C1136" i="9"/>
  <c r="D1136" i="9"/>
  <c r="E1136" i="9"/>
  <c r="F1136" i="9"/>
  <c r="A1137" i="9"/>
  <c r="B1137" i="9"/>
  <c r="C1137" i="9"/>
  <c r="D1137" i="9"/>
  <c r="E1137" i="9"/>
  <c r="F1137" i="9"/>
  <c r="A1138" i="9"/>
  <c r="B1138" i="9"/>
  <c r="C1138" i="9"/>
  <c r="D1138" i="9"/>
  <c r="E1138" i="9"/>
  <c r="F1138" i="9"/>
  <c r="A1139" i="9"/>
  <c r="B1139" i="9"/>
  <c r="C1139" i="9"/>
  <c r="D1139" i="9"/>
  <c r="E1139" i="9"/>
  <c r="F1139" i="9"/>
  <c r="A1140" i="9"/>
  <c r="B1140" i="9"/>
  <c r="C1140" i="9"/>
  <c r="D1140" i="9"/>
  <c r="E1140" i="9"/>
  <c r="F1140" i="9"/>
  <c r="A1141" i="9"/>
  <c r="B1141" i="9"/>
  <c r="C1141" i="9"/>
  <c r="D1141" i="9"/>
  <c r="E1141" i="9"/>
  <c r="F1141" i="9"/>
  <c r="A1142" i="9"/>
  <c r="B1142" i="9"/>
  <c r="C1142" i="9"/>
  <c r="D1142" i="9"/>
  <c r="E1142" i="9"/>
  <c r="F1142" i="9"/>
  <c r="A1143" i="9"/>
  <c r="B1143" i="9"/>
  <c r="C1143" i="9"/>
  <c r="D1143" i="9"/>
  <c r="E1143" i="9"/>
  <c r="F1143" i="9"/>
  <c r="A1144" i="9"/>
  <c r="B1144" i="9"/>
  <c r="C1144" i="9"/>
  <c r="D1144" i="9"/>
  <c r="E1144" i="9"/>
  <c r="F1144" i="9"/>
  <c r="A1145" i="9"/>
  <c r="B1145" i="9"/>
  <c r="C1145" i="9"/>
  <c r="D1145" i="9"/>
  <c r="E1145" i="9"/>
  <c r="F1145" i="9"/>
  <c r="A1146" i="9"/>
  <c r="B1146" i="9"/>
  <c r="C1146" i="9"/>
  <c r="D1146" i="9"/>
  <c r="E1146" i="9"/>
  <c r="F1146" i="9"/>
  <c r="A1147" i="9"/>
  <c r="B1147" i="9"/>
  <c r="C1147" i="9"/>
  <c r="D1147" i="9"/>
  <c r="E1147" i="9"/>
  <c r="F1147" i="9"/>
  <c r="A1148" i="9"/>
  <c r="B1148" i="9"/>
  <c r="C1148" i="9"/>
  <c r="D1148" i="9"/>
  <c r="E1148" i="9"/>
  <c r="F1148" i="9"/>
  <c r="A1149" i="9"/>
  <c r="B1149" i="9"/>
  <c r="C1149" i="9"/>
  <c r="D1149" i="9"/>
  <c r="E1149" i="9"/>
  <c r="F1149" i="9"/>
  <c r="A1150" i="9"/>
  <c r="B1150" i="9"/>
  <c r="C1150" i="9"/>
  <c r="D1150" i="9"/>
  <c r="E1150" i="9"/>
  <c r="F1150" i="9"/>
  <c r="A1151" i="9"/>
  <c r="B1151" i="9"/>
  <c r="C1151" i="9"/>
  <c r="D1151" i="9"/>
  <c r="E1151" i="9"/>
  <c r="F1151" i="9"/>
  <c r="A1152" i="9"/>
  <c r="B1152" i="9"/>
  <c r="C1152" i="9"/>
  <c r="D1152" i="9"/>
  <c r="E1152" i="9"/>
  <c r="F1152" i="9"/>
  <c r="A1153" i="9"/>
  <c r="B1153" i="9"/>
  <c r="C1153" i="9"/>
  <c r="D1153" i="9"/>
  <c r="E1153" i="9"/>
  <c r="F1153" i="9"/>
  <c r="A1154" i="9"/>
  <c r="B1154" i="9"/>
  <c r="C1154" i="9"/>
  <c r="D1154" i="9"/>
  <c r="E1154" i="9"/>
  <c r="F1154" i="9"/>
  <c r="A1155" i="9"/>
  <c r="B1155" i="9"/>
  <c r="C1155" i="9"/>
  <c r="D1155" i="9"/>
  <c r="E1155" i="9"/>
  <c r="F1155" i="9"/>
  <c r="A1156" i="9"/>
  <c r="B1156" i="9"/>
  <c r="C1156" i="9"/>
  <c r="D1156" i="9"/>
  <c r="E1156" i="9"/>
  <c r="F1156" i="9"/>
  <c r="A1157" i="9"/>
  <c r="B1157" i="9"/>
  <c r="C1157" i="9"/>
  <c r="D1157" i="9"/>
  <c r="E1157" i="9"/>
  <c r="F1157" i="9"/>
  <c r="A1158" i="9"/>
  <c r="B1158" i="9"/>
  <c r="C1158" i="9"/>
  <c r="D1158" i="9"/>
  <c r="E1158" i="9"/>
  <c r="F1158" i="9"/>
  <c r="A1159" i="9"/>
  <c r="B1159" i="9"/>
  <c r="C1159" i="9"/>
  <c r="D1159" i="9"/>
  <c r="E1159" i="9"/>
  <c r="F1159" i="9"/>
  <c r="A1160" i="9"/>
  <c r="B1160" i="9"/>
  <c r="C1160" i="9"/>
  <c r="D1160" i="9"/>
  <c r="E1160" i="9"/>
  <c r="F1160" i="9"/>
  <c r="A1161" i="9"/>
  <c r="B1161" i="9"/>
  <c r="C1161" i="9"/>
  <c r="D1161" i="9"/>
  <c r="E1161" i="9"/>
  <c r="F1161" i="9"/>
  <c r="A1162" i="9"/>
  <c r="B1162" i="9"/>
  <c r="C1162" i="9"/>
  <c r="D1162" i="9"/>
  <c r="E1162" i="9"/>
  <c r="F1162" i="9"/>
  <c r="A1163" i="9"/>
  <c r="B1163" i="9"/>
  <c r="C1163" i="9"/>
  <c r="D1163" i="9"/>
  <c r="E1163" i="9"/>
  <c r="F1163" i="9"/>
  <c r="A1164" i="9"/>
  <c r="B1164" i="9"/>
  <c r="C1164" i="9"/>
  <c r="D1164" i="9"/>
  <c r="E1164" i="9"/>
  <c r="F1164" i="9"/>
  <c r="A1165" i="9"/>
  <c r="B1165" i="9"/>
  <c r="C1165" i="9"/>
  <c r="D1165" i="9"/>
  <c r="E1165" i="9"/>
  <c r="F1165" i="9"/>
  <c r="A1166" i="9"/>
  <c r="B1166" i="9"/>
  <c r="C1166" i="9"/>
  <c r="D1166" i="9"/>
  <c r="E1166" i="9"/>
  <c r="F1166" i="9"/>
  <c r="A1167" i="9"/>
  <c r="B1167" i="9"/>
  <c r="C1167" i="9"/>
  <c r="D1167" i="9"/>
  <c r="E1167" i="9"/>
  <c r="F1167" i="9"/>
  <c r="A1168" i="9"/>
  <c r="B1168" i="9"/>
  <c r="C1168" i="9"/>
  <c r="D1168" i="9"/>
  <c r="E1168" i="9"/>
  <c r="F1168" i="9"/>
  <c r="A1169" i="9"/>
  <c r="B1169" i="9"/>
  <c r="C1169" i="9"/>
  <c r="D1169" i="9"/>
  <c r="E1169" i="9"/>
  <c r="F1169" i="9"/>
  <c r="A1170" i="9"/>
  <c r="B1170" i="9"/>
  <c r="C1170" i="9"/>
  <c r="D1170" i="9"/>
  <c r="E1170" i="9"/>
  <c r="F1170" i="9"/>
  <c r="A1171" i="9"/>
  <c r="B1171" i="9"/>
  <c r="C1171" i="9"/>
  <c r="D1171" i="9"/>
  <c r="E1171" i="9"/>
  <c r="F1171" i="9"/>
  <c r="A1172" i="9"/>
  <c r="B1172" i="9"/>
  <c r="C1172" i="9"/>
  <c r="D1172" i="9"/>
  <c r="E1172" i="9"/>
  <c r="F1172" i="9"/>
  <c r="A1173" i="9"/>
  <c r="B1173" i="9"/>
  <c r="C1173" i="9"/>
  <c r="D1173" i="9"/>
  <c r="E1173" i="9"/>
  <c r="F1173" i="9"/>
  <c r="A1174" i="9"/>
  <c r="B1174" i="9"/>
  <c r="C1174" i="9"/>
  <c r="D1174" i="9"/>
  <c r="E1174" i="9"/>
  <c r="F1174" i="9"/>
  <c r="A1175" i="9"/>
  <c r="B1175" i="9"/>
  <c r="C1175" i="9"/>
  <c r="D1175" i="9"/>
  <c r="E1175" i="9"/>
  <c r="F1175" i="9"/>
  <c r="A1176" i="9"/>
  <c r="B1176" i="9"/>
  <c r="C1176" i="9"/>
  <c r="D1176" i="9"/>
  <c r="E1176" i="9"/>
  <c r="F1176" i="9"/>
  <c r="A1177" i="9"/>
  <c r="B1177" i="9"/>
  <c r="C1177" i="9"/>
  <c r="D1177" i="9"/>
  <c r="E1177" i="9"/>
  <c r="F1177" i="9"/>
  <c r="A1178" i="9"/>
  <c r="B1178" i="9"/>
  <c r="C1178" i="9"/>
  <c r="D1178" i="9"/>
  <c r="E1178" i="9"/>
  <c r="F1178" i="9"/>
  <c r="A1179" i="9"/>
  <c r="B1179" i="9"/>
  <c r="C1179" i="9"/>
  <c r="D1179" i="9"/>
  <c r="E1179" i="9"/>
  <c r="F1179" i="9"/>
  <c r="A1180" i="9"/>
  <c r="B1180" i="9"/>
  <c r="C1180" i="9"/>
  <c r="D1180" i="9"/>
  <c r="E1180" i="9"/>
  <c r="F1180" i="9"/>
  <c r="A1181" i="9"/>
  <c r="B1181" i="9"/>
  <c r="C1181" i="9"/>
  <c r="D1181" i="9"/>
  <c r="E1181" i="9"/>
  <c r="F1181" i="9"/>
  <c r="A1182" i="9"/>
  <c r="B1182" i="9"/>
  <c r="C1182" i="9"/>
  <c r="D1182" i="9"/>
  <c r="E1182" i="9"/>
  <c r="F1182" i="9"/>
  <c r="A1183" i="9"/>
  <c r="B1183" i="9"/>
  <c r="C1183" i="9"/>
  <c r="D1183" i="9"/>
  <c r="E1183" i="9"/>
  <c r="F1183" i="9"/>
  <c r="A1184" i="9"/>
  <c r="B1184" i="9"/>
  <c r="C1184" i="9"/>
  <c r="D1184" i="9"/>
  <c r="E1184" i="9"/>
  <c r="F1184" i="9"/>
  <c r="A1185" i="9"/>
  <c r="B1185" i="9"/>
  <c r="C1185" i="9"/>
  <c r="D1185" i="9"/>
  <c r="E1185" i="9"/>
  <c r="F1185" i="9"/>
  <c r="A1186" i="9"/>
  <c r="B1186" i="9"/>
  <c r="C1186" i="9"/>
  <c r="D1186" i="9"/>
  <c r="E1186" i="9"/>
  <c r="F1186" i="9"/>
  <c r="A1187" i="9"/>
  <c r="B1187" i="9"/>
  <c r="C1187" i="9"/>
  <c r="D1187" i="9"/>
  <c r="E1187" i="9"/>
  <c r="F1187" i="9"/>
  <c r="A1188" i="9"/>
  <c r="B1188" i="9"/>
  <c r="C1188" i="9"/>
  <c r="D1188" i="9"/>
  <c r="E1188" i="9"/>
  <c r="F1188" i="9"/>
  <c r="A1189" i="9"/>
  <c r="B1189" i="9"/>
  <c r="C1189" i="9"/>
  <c r="D1189" i="9"/>
  <c r="E1189" i="9"/>
  <c r="F1189" i="9"/>
  <c r="A1190" i="9"/>
  <c r="B1190" i="9"/>
  <c r="C1190" i="9"/>
  <c r="D1190" i="9"/>
  <c r="E1190" i="9"/>
  <c r="F1190" i="9"/>
  <c r="A1191" i="9"/>
  <c r="B1191" i="9"/>
  <c r="C1191" i="9"/>
  <c r="D1191" i="9"/>
  <c r="E1191" i="9"/>
  <c r="F1191" i="9"/>
  <c r="A1192" i="9"/>
  <c r="B1192" i="9"/>
  <c r="C1192" i="9"/>
  <c r="D1192" i="9"/>
  <c r="E1192" i="9"/>
  <c r="F1192" i="9"/>
  <c r="A1193" i="9"/>
  <c r="B1193" i="9"/>
  <c r="C1193" i="9"/>
  <c r="D1193" i="9"/>
  <c r="E1193" i="9"/>
  <c r="F1193" i="9"/>
  <c r="A1194" i="9"/>
  <c r="B1194" i="9"/>
  <c r="C1194" i="9"/>
  <c r="D1194" i="9"/>
  <c r="E1194" i="9"/>
  <c r="F1194" i="9"/>
  <c r="A1195" i="9"/>
  <c r="B1195" i="9"/>
  <c r="C1195" i="9"/>
  <c r="D1195" i="9"/>
  <c r="E1195" i="9"/>
  <c r="F1195" i="9"/>
  <c r="A1196" i="9"/>
  <c r="B1196" i="9"/>
  <c r="C1196" i="9"/>
  <c r="D1196" i="9"/>
  <c r="E1196" i="9"/>
  <c r="F1196" i="9"/>
  <c r="A1197" i="9"/>
  <c r="B1197" i="9"/>
  <c r="C1197" i="9"/>
  <c r="D1197" i="9"/>
  <c r="E1197" i="9"/>
  <c r="F1197" i="9"/>
  <c r="A1198" i="9"/>
  <c r="B1198" i="9"/>
  <c r="C1198" i="9"/>
  <c r="D1198" i="9"/>
  <c r="E1198" i="9"/>
  <c r="F1198" i="9"/>
  <c r="A1199" i="9"/>
  <c r="B1199" i="9"/>
  <c r="C1199" i="9"/>
  <c r="D1199" i="9"/>
  <c r="E1199" i="9"/>
  <c r="F1199" i="9"/>
  <c r="A1200" i="9"/>
  <c r="B1200" i="9"/>
  <c r="C1200" i="9"/>
  <c r="D1200" i="9"/>
  <c r="E1200" i="9"/>
  <c r="F1200" i="9"/>
  <c r="A1201" i="9"/>
  <c r="B1201" i="9"/>
  <c r="C1201" i="9"/>
  <c r="D1201" i="9"/>
  <c r="E1201" i="9"/>
  <c r="F1201" i="9"/>
  <c r="A1202" i="9"/>
  <c r="B1202" i="9"/>
  <c r="C1202" i="9"/>
  <c r="D1202" i="9"/>
  <c r="E1202" i="9"/>
  <c r="F1202" i="9"/>
  <c r="A1203" i="9"/>
  <c r="B1203" i="9"/>
  <c r="C1203" i="9"/>
  <c r="D1203" i="9"/>
  <c r="E1203" i="9"/>
  <c r="F1203" i="9"/>
  <c r="A1204" i="9"/>
  <c r="B1204" i="9"/>
  <c r="C1204" i="9"/>
  <c r="D1204" i="9"/>
  <c r="E1204" i="9"/>
  <c r="F1204" i="9"/>
  <c r="A1205" i="9"/>
  <c r="B1205" i="9"/>
  <c r="C1205" i="9"/>
  <c r="D1205" i="9"/>
  <c r="E1205" i="9"/>
  <c r="F1205" i="9"/>
  <c r="A1206" i="9"/>
  <c r="B1206" i="9"/>
  <c r="C1206" i="9"/>
  <c r="D1206" i="9"/>
  <c r="E1206" i="9"/>
  <c r="F1206" i="9"/>
  <c r="A1207" i="9"/>
  <c r="B1207" i="9"/>
  <c r="C1207" i="9"/>
  <c r="D1207" i="9"/>
  <c r="E1207" i="9"/>
  <c r="F1207" i="9"/>
  <c r="A1208" i="9"/>
  <c r="B1208" i="9"/>
  <c r="C1208" i="9"/>
  <c r="D1208" i="9"/>
  <c r="E1208" i="9"/>
  <c r="F1208" i="9"/>
  <c r="A1209" i="9"/>
  <c r="B1209" i="9"/>
  <c r="C1209" i="9"/>
  <c r="D1209" i="9"/>
  <c r="E1209" i="9"/>
  <c r="F1209" i="9"/>
  <c r="A1210" i="9"/>
  <c r="B1210" i="9"/>
  <c r="C1210" i="9"/>
  <c r="D1210" i="9"/>
  <c r="E1210" i="9"/>
  <c r="F1210" i="9"/>
  <c r="A1211" i="9"/>
  <c r="B1211" i="9"/>
  <c r="C1211" i="9"/>
  <c r="D1211" i="9"/>
  <c r="E1211" i="9"/>
  <c r="F1211" i="9"/>
  <c r="A1212" i="9"/>
  <c r="B1212" i="9"/>
  <c r="C1212" i="9"/>
  <c r="D1212" i="9"/>
  <c r="E1212" i="9"/>
  <c r="F1212" i="9"/>
  <c r="A1213" i="9"/>
  <c r="B1213" i="9"/>
  <c r="C1213" i="9"/>
  <c r="D1213" i="9"/>
  <c r="E1213" i="9"/>
  <c r="F1213" i="9"/>
  <c r="A1214" i="9"/>
  <c r="B1214" i="9"/>
  <c r="C1214" i="9"/>
  <c r="D1214" i="9"/>
  <c r="E1214" i="9"/>
  <c r="F1214" i="9"/>
  <c r="A1215" i="9"/>
  <c r="B1215" i="9"/>
  <c r="C1215" i="9"/>
  <c r="D1215" i="9"/>
  <c r="E1215" i="9"/>
  <c r="F1215" i="9"/>
  <c r="A1216" i="9"/>
  <c r="B1216" i="9"/>
  <c r="C1216" i="9"/>
  <c r="D1216" i="9"/>
  <c r="E1216" i="9"/>
  <c r="F1216" i="9"/>
  <c r="A1217" i="9"/>
  <c r="B1217" i="9"/>
  <c r="C1217" i="9"/>
  <c r="D1217" i="9"/>
  <c r="E1217" i="9"/>
  <c r="F1217" i="9"/>
  <c r="A1218" i="9"/>
  <c r="B1218" i="9"/>
  <c r="C1218" i="9"/>
  <c r="D1218" i="9"/>
  <c r="E1218" i="9"/>
  <c r="F1218" i="9"/>
  <c r="A1219" i="9"/>
  <c r="B1219" i="9"/>
  <c r="C1219" i="9"/>
  <c r="D1219" i="9"/>
  <c r="E1219" i="9"/>
  <c r="F1219" i="9"/>
  <c r="A1220" i="9"/>
  <c r="B1220" i="9"/>
  <c r="C1220" i="9"/>
  <c r="D1220" i="9"/>
  <c r="E1220" i="9"/>
  <c r="F1220" i="9"/>
  <c r="A1221" i="9"/>
  <c r="B1221" i="9"/>
  <c r="C1221" i="9"/>
  <c r="D1221" i="9"/>
  <c r="E1221" i="9"/>
  <c r="F1221" i="9"/>
  <c r="A1222" i="9"/>
  <c r="B1222" i="9"/>
  <c r="C1222" i="9"/>
  <c r="D1222" i="9"/>
  <c r="E1222" i="9"/>
  <c r="F1222" i="9"/>
  <c r="A1223" i="9"/>
  <c r="B1223" i="9"/>
  <c r="C1223" i="9"/>
  <c r="D1223" i="9"/>
  <c r="E1223" i="9"/>
  <c r="F1223" i="9"/>
  <c r="A1224" i="9"/>
  <c r="B1224" i="9"/>
  <c r="C1224" i="9"/>
  <c r="D1224" i="9"/>
  <c r="E1224" i="9"/>
  <c r="F1224" i="9"/>
  <c r="A1225" i="9"/>
  <c r="B1225" i="9"/>
  <c r="C1225" i="9"/>
  <c r="D1225" i="9"/>
  <c r="E1225" i="9"/>
  <c r="F1225" i="9"/>
  <c r="A1226" i="9"/>
  <c r="B1226" i="9"/>
  <c r="C1226" i="9"/>
  <c r="D1226" i="9"/>
  <c r="E1226" i="9"/>
  <c r="F1226" i="9"/>
  <c r="A1227" i="9"/>
  <c r="B1227" i="9"/>
  <c r="C1227" i="9"/>
  <c r="D1227" i="9"/>
  <c r="E1227" i="9"/>
  <c r="F1227" i="9"/>
  <c r="A1228" i="9"/>
  <c r="B1228" i="9"/>
  <c r="C1228" i="9"/>
  <c r="D1228" i="9"/>
  <c r="E1228" i="9"/>
  <c r="F1228" i="9"/>
  <c r="A1229" i="9"/>
  <c r="B1229" i="9"/>
  <c r="C1229" i="9"/>
  <c r="D1229" i="9"/>
  <c r="E1229" i="9"/>
  <c r="F1229" i="9"/>
  <c r="A1230" i="9"/>
  <c r="B1230" i="9"/>
  <c r="C1230" i="9"/>
  <c r="D1230" i="9"/>
  <c r="E1230" i="9"/>
  <c r="F1230" i="9"/>
  <c r="A1231" i="9"/>
  <c r="B1231" i="9"/>
  <c r="C1231" i="9"/>
  <c r="D1231" i="9"/>
  <c r="E1231" i="9"/>
  <c r="F1231" i="9"/>
  <c r="A1232" i="9"/>
  <c r="B1232" i="9"/>
  <c r="C1232" i="9"/>
  <c r="D1232" i="9"/>
  <c r="E1232" i="9"/>
  <c r="F1232" i="9"/>
  <c r="A1233" i="9"/>
  <c r="B1233" i="9"/>
  <c r="C1233" i="9"/>
  <c r="D1233" i="9"/>
  <c r="E1233" i="9"/>
  <c r="F1233" i="9"/>
  <c r="A1234" i="9"/>
  <c r="B1234" i="9"/>
  <c r="C1234" i="9"/>
  <c r="D1234" i="9"/>
  <c r="E1234" i="9"/>
  <c r="F1234" i="9"/>
  <c r="A1235" i="9"/>
  <c r="B1235" i="9"/>
  <c r="C1235" i="9"/>
  <c r="D1235" i="9"/>
  <c r="E1235" i="9"/>
  <c r="F1235" i="9"/>
  <c r="A1236" i="9"/>
  <c r="B1236" i="9"/>
  <c r="C1236" i="9"/>
  <c r="D1236" i="9"/>
  <c r="E1236" i="9"/>
  <c r="F1236" i="9"/>
  <c r="A1237" i="9"/>
  <c r="B1237" i="9"/>
  <c r="C1237" i="9"/>
  <c r="D1237" i="9"/>
  <c r="E1237" i="9"/>
  <c r="F1237" i="9"/>
  <c r="A1238" i="9"/>
  <c r="B1238" i="9"/>
  <c r="C1238" i="9"/>
  <c r="D1238" i="9"/>
  <c r="E1238" i="9"/>
  <c r="F1238" i="9"/>
  <c r="A1239" i="9"/>
  <c r="B1239" i="9"/>
  <c r="C1239" i="9"/>
  <c r="D1239" i="9"/>
  <c r="E1239" i="9"/>
  <c r="F1239" i="9"/>
  <c r="A1240" i="9"/>
  <c r="B1240" i="9"/>
  <c r="C1240" i="9"/>
  <c r="D1240" i="9"/>
  <c r="E1240" i="9"/>
  <c r="F1240" i="9"/>
  <c r="A1241" i="9"/>
  <c r="B1241" i="9"/>
  <c r="C1241" i="9"/>
  <c r="D1241" i="9"/>
  <c r="E1241" i="9"/>
  <c r="F1241" i="9"/>
  <c r="A1242" i="9"/>
  <c r="B1242" i="9"/>
  <c r="C1242" i="9"/>
  <c r="D1242" i="9"/>
  <c r="E1242" i="9"/>
  <c r="F1242" i="9"/>
  <c r="A1243" i="9"/>
  <c r="B1243" i="9"/>
  <c r="C1243" i="9"/>
  <c r="D1243" i="9"/>
  <c r="E1243" i="9"/>
  <c r="F1243" i="9"/>
  <c r="A1244" i="9"/>
  <c r="B1244" i="9"/>
  <c r="C1244" i="9"/>
  <c r="D1244" i="9"/>
  <c r="E1244" i="9"/>
  <c r="F1244" i="9"/>
  <c r="A1245" i="9"/>
  <c r="B1245" i="9"/>
  <c r="C1245" i="9"/>
  <c r="D1245" i="9"/>
  <c r="E1245" i="9"/>
  <c r="F1245" i="9"/>
  <c r="A1246" i="9"/>
  <c r="B1246" i="9"/>
  <c r="C1246" i="9"/>
  <c r="D1246" i="9"/>
  <c r="E1246" i="9"/>
  <c r="F1246" i="9"/>
  <c r="A1247" i="9"/>
  <c r="B1247" i="9"/>
  <c r="C1247" i="9"/>
  <c r="D1247" i="9"/>
  <c r="E1247" i="9"/>
  <c r="F1247" i="9"/>
  <c r="A1248" i="9"/>
  <c r="B1248" i="9"/>
  <c r="C1248" i="9"/>
  <c r="D1248" i="9"/>
  <c r="E1248" i="9"/>
  <c r="F1248" i="9"/>
  <c r="A1249" i="9"/>
  <c r="B1249" i="9"/>
  <c r="C1249" i="9"/>
  <c r="D1249" i="9"/>
  <c r="E1249" i="9"/>
  <c r="F1249" i="9"/>
  <c r="A1250" i="9"/>
  <c r="B1250" i="9"/>
  <c r="C1250" i="9"/>
  <c r="D1250" i="9"/>
  <c r="E1250" i="9"/>
  <c r="F1250" i="9"/>
  <c r="A1251" i="9"/>
  <c r="B1251" i="9"/>
  <c r="C1251" i="9"/>
  <c r="D1251" i="9"/>
  <c r="E1251" i="9"/>
  <c r="F1251" i="9"/>
  <c r="A1252" i="9"/>
  <c r="B1252" i="9"/>
  <c r="C1252" i="9"/>
  <c r="D1252" i="9"/>
  <c r="E1252" i="9"/>
  <c r="F1252" i="9"/>
  <c r="A1253" i="9"/>
  <c r="B1253" i="9"/>
  <c r="C1253" i="9"/>
  <c r="D1253" i="9"/>
  <c r="E1253" i="9"/>
  <c r="F1253" i="9"/>
  <c r="A1254" i="9"/>
  <c r="B1254" i="9"/>
  <c r="C1254" i="9"/>
  <c r="D1254" i="9"/>
  <c r="E1254" i="9"/>
  <c r="F1254" i="9"/>
  <c r="A1255" i="9"/>
  <c r="B1255" i="9"/>
  <c r="C1255" i="9"/>
  <c r="D1255" i="9"/>
  <c r="E1255" i="9"/>
  <c r="F1255" i="9"/>
  <c r="A1256" i="9"/>
  <c r="B1256" i="9"/>
  <c r="C1256" i="9"/>
  <c r="D1256" i="9"/>
  <c r="E1256" i="9"/>
  <c r="F1256" i="9"/>
  <c r="A1257" i="9"/>
  <c r="B1257" i="9"/>
  <c r="C1257" i="9"/>
  <c r="D1257" i="9"/>
  <c r="E1257" i="9"/>
  <c r="F1257" i="9"/>
  <c r="A1258" i="9"/>
  <c r="B1258" i="9"/>
  <c r="C1258" i="9"/>
  <c r="D1258" i="9"/>
  <c r="E1258" i="9"/>
  <c r="F1258" i="9"/>
  <c r="A1259" i="9"/>
  <c r="B1259" i="9"/>
  <c r="C1259" i="9"/>
  <c r="D1259" i="9"/>
  <c r="E1259" i="9"/>
  <c r="F1259" i="9"/>
  <c r="A1260" i="9"/>
  <c r="B1260" i="9"/>
  <c r="C1260" i="9"/>
  <c r="D1260" i="9"/>
  <c r="E1260" i="9"/>
  <c r="F1260" i="9"/>
  <c r="A1261" i="9"/>
  <c r="B1261" i="9"/>
  <c r="C1261" i="9"/>
  <c r="D1261" i="9"/>
  <c r="E1261" i="9"/>
  <c r="F1261" i="9"/>
  <c r="A1262" i="9"/>
  <c r="B1262" i="9"/>
  <c r="C1262" i="9"/>
  <c r="D1262" i="9"/>
  <c r="E1262" i="9"/>
  <c r="F1262" i="9"/>
  <c r="A1263" i="9"/>
  <c r="B1263" i="9"/>
  <c r="C1263" i="9"/>
  <c r="D1263" i="9"/>
  <c r="E1263" i="9"/>
  <c r="F1263" i="9"/>
  <c r="A1264" i="9"/>
  <c r="B1264" i="9"/>
  <c r="C1264" i="9"/>
  <c r="D1264" i="9"/>
  <c r="E1264" i="9"/>
  <c r="F1264" i="9"/>
  <c r="A1265" i="9"/>
  <c r="B1265" i="9"/>
  <c r="C1265" i="9"/>
  <c r="D1265" i="9"/>
  <c r="E1265" i="9"/>
  <c r="F1265" i="9"/>
  <c r="A1266" i="9"/>
  <c r="B1266" i="9"/>
  <c r="C1266" i="9"/>
  <c r="D1266" i="9"/>
  <c r="E1266" i="9"/>
  <c r="F1266" i="9"/>
  <c r="A1267" i="9"/>
  <c r="B1267" i="9"/>
  <c r="C1267" i="9"/>
  <c r="D1267" i="9"/>
  <c r="E1267" i="9"/>
  <c r="F1267" i="9"/>
  <c r="A1268" i="9"/>
  <c r="B1268" i="9"/>
  <c r="C1268" i="9"/>
  <c r="D1268" i="9"/>
  <c r="E1268" i="9"/>
  <c r="F1268" i="9"/>
  <c r="A1269" i="9"/>
  <c r="B1269" i="9"/>
  <c r="C1269" i="9"/>
  <c r="D1269" i="9"/>
  <c r="E1269" i="9"/>
  <c r="F1269" i="9"/>
  <c r="A1270" i="9"/>
  <c r="B1270" i="9"/>
  <c r="C1270" i="9"/>
  <c r="D1270" i="9"/>
  <c r="E1270" i="9"/>
  <c r="F1270" i="9"/>
  <c r="A1271" i="9"/>
  <c r="B1271" i="9"/>
  <c r="C1271" i="9"/>
  <c r="D1271" i="9"/>
  <c r="E1271" i="9"/>
  <c r="F1271" i="9"/>
  <c r="A1272" i="9"/>
  <c r="B1272" i="9"/>
  <c r="C1272" i="9"/>
  <c r="D1272" i="9"/>
  <c r="E1272" i="9"/>
  <c r="F1272" i="9"/>
  <c r="A1273" i="9"/>
  <c r="B1273" i="9"/>
  <c r="C1273" i="9"/>
  <c r="D1273" i="9"/>
  <c r="E1273" i="9"/>
  <c r="F1273" i="9"/>
  <c r="A1274" i="9"/>
  <c r="B1274" i="9"/>
  <c r="C1274" i="9"/>
  <c r="D1274" i="9"/>
  <c r="E1274" i="9"/>
  <c r="F1274" i="9"/>
  <c r="A1275" i="9"/>
  <c r="B1275" i="9"/>
  <c r="C1275" i="9"/>
  <c r="D1275" i="9"/>
  <c r="E1275" i="9"/>
  <c r="F1275" i="9"/>
  <c r="A1276" i="9"/>
  <c r="B1276" i="9"/>
  <c r="C1276" i="9"/>
  <c r="D1276" i="9"/>
  <c r="E1276" i="9"/>
  <c r="F1276" i="9"/>
  <c r="A1277" i="9"/>
  <c r="B1277" i="9"/>
  <c r="C1277" i="9"/>
  <c r="D1277" i="9"/>
  <c r="E1277" i="9"/>
  <c r="F1277" i="9"/>
  <c r="A1278" i="9"/>
  <c r="B1278" i="9"/>
  <c r="C1278" i="9"/>
  <c r="D1278" i="9"/>
  <c r="E1278" i="9"/>
  <c r="F1278" i="9"/>
  <c r="A1279" i="9"/>
  <c r="B1279" i="9"/>
  <c r="C1279" i="9"/>
  <c r="D1279" i="9"/>
  <c r="E1279" i="9"/>
  <c r="F1279" i="9"/>
  <c r="A1280" i="9"/>
  <c r="B1280" i="9"/>
  <c r="C1280" i="9"/>
  <c r="D1280" i="9"/>
  <c r="E1280" i="9"/>
  <c r="F1280" i="9"/>
  <c r="A1281" i="9"/>
  <c r="B1281" i="9"/>
  <c r="C1281" i="9"/>
  <c r="D1281" i="9"/>
  <c r="E1281" i="9"/>
  <c r="F1281" i="9"/>
  <c r="A1282" i="9"/>
  <c r="B1282" i="9"/>
  <c r="C1282" i="9"/>
  <c r="D1282" i="9"/>
  <c r="E1282" i="9"/>
  <c r="F1282" i="9"/>
  <c r="A1283" i="9"/>
  <c r="B1283" i="9"/>
  <c r="C1283" i="9"/>
  <c r="D1283" i="9"/>
  <c r="E1283" i="9"/>
  <c r="F1283" i="9"/>
  <c r="A1284" i="9"/>
  <c r="B1284" i="9"/>
  <c r="C1284" i="9"/>
  <c r="D1284" i="9"/>
  <c r="E1284" i="9"/>
  <c r="F1284" i="9"/>
  <c r="A1285" i="9"/>
  <c r="B1285" i="9"/>
  <c r="C1285" i="9"/>
  <c r="D1285" i="9"/>
  <c r="E1285" i="9"/>
  <c r="F1285" i="9"/>
  <c r="A1286" i="9"/>
  <c r="B1286" i="9"/>
  <c r="C1286" i="9"/>
  <c r="D1286" i="9"/>
  <c r="E1286" i="9"/>
  <c r="F1286" i="9"/>
  <c r="A1287" i="9"/>
  <c r="B1287" i="9"/>
  <c r="C1287" i="9"/>
  <c r="D1287" i="9"/>
  <c r="E1287" i="9"/>
  <c r="F1287" i="9"/>
  <c r="A1288" i="9"/>
  <c r="B1288" i="9"/>
  <c r="C1288" i="9"/>
  <c r="D1288" i="9"/>
  <c r="E1288" i="9"/>
  <c r="F1288" i="9"/>
  <c r="A1289" i="9"/>
  <c r="B1289" i="9"/>
  <c r="C1289" i="9"/>
  <c r="D1289" i="9"/>
  <c r="E1289" i="9"/>
  <c r="F1289" i="9"/>
  <c r="A1290" i="9"/>
  <c r="B1290" i="9"/>
  <c r="C1290" i="9"/>
  <c r="D1290" i="9"/>
  <c r="E1290" i="9"/>
  <c r="F1290" i="9"/>
  <c r="A1291" i="9"/>
  <c r="B1291" i="9"/>
  <c r="C1291" i="9"/>
  <c r="D1291" i="9"/>
  <c r="E1291" i="9"/>
  <c r="F1291" i="9"/>
  <c r="A1292" i="9"/>
  <c r="B1292" i="9"/>
  <c r="C1292" i="9"/>
  <c r="D1292" i="9"/>
  <c r="E1292" i="9"/>
  <c r="F1292" i="9"/>
  <c r="A1293" i="9"/>
  <c r="B1293" i="9"/>
  <c r="C1293" i="9"/>
  <c r="D1293" i="9"/>
  <c r="E1293" i="9"/>
  <c r="F1293" i="9"/>
  <c r="A1294" i="9"/>
  <c r="B1294" i="9"/>
  <c r="C1294" i="9"/>
  <c r="D1294" i="9"/>
  <c r="E1294" i="9"/>
  <c r="F1294" i="9"/>
  <c r="A1295" i="9"/>
  <c r="B1295" i="9"/>
  <c r="C1295" i="9"/>
  <c r="D1295" i="9"/>
  <c r="E1295" i="9"/>
  <c r="F1295" i="9"/>
  <c r="A1296" i="9"/>
  <c r="B1296" i="9"/>
  <c r="C1296" i="9"/>
  <c r="D1296" i="9"/>
  <c r="E1296" i="9"/>
  <c r="F1296" i="9"/>
  <c r="A1297" i="9"/>
  <c r="B1297" i="9"/>
  <c r="C1297" i="9"/>
  <c r="D1297" i="9"/>
  <c r="E1297" i="9"/>
  <c r="F1297" i="9"/>
  <c r="A1298" i="9"/>
  <c r="B1298" i="9"/>
  <c r="C1298" i="9"/>
  <c r="D1298" i="9"/>
  <c r="E1298" i="9"/>
  <c r="F1298" i="9"/>
  <c r="A1299" i="9"/>
  <c r="B1299" i="9"/>
  <c r="C1299" i="9"/>
  <c r="D1299" i="9"/>
  <c r="E1299" i="9"/>
  <c r="F1299" i="9"/>
  <c r="A1300" i="9"/>
  <c r="B1300" i="9"/>
  <c r="C1300" i="9"/>
  <c r="D1300" i="9"/>
  <c r="E1300" i="9"/>
  <c r="F1300" i="9"/>
  <c r="A1301" i="9"/>
  <c r="B1301" i="9"/>
  <c r="C1301" i="9"/>
  <c r="D1301" i="9"/>
  <c r="E1301" i="9"/>
  <c r="F1301" i="9"/>
  <c r="A1302" i="9"/>
  <c r="B1302" i="9"/>
  <c r="C1302" i="9"/>
  <c r="D1302" i="9"/>
  <c r="E1302" i="9"/>
  <c r="F1302" i="9"/>
  <c r="A1303" i="9"/>
  <c r="B1303" i="9"/>
  <c r="C1303" i="9"/>
  <c r="D1303" i="9"/>
  <c r="E1303" i="9"/>
  <c r="F1303" i="9"/>
  <c r="A1304" i="9"/>
  <c r="B1304" i="9"/>
  <c r="C1304" i="9"/>
  <c r="D1304" i="9"/>
  <c r="E1304" i="9"/>
  <c r="F1304" i="9"/>
  <c r="A1305" i="9"/>
  <c r="B1305" i="9"/>
  <c r="C1305" i="9"/>
  <c r="D1305" i="9"/>
  <c r="E1305" i="9"/>
  <c r="F1305" i="9"/>
  <c r="A1306" i="9"/>
  <c r="B1306" i="9"/>
  <c r="C1306" i="9"/>
  <c r="D1306" i="9"/>
  <c r="E1306" i="9"/>
  <c r="F1306" i="9"/>
  <c r="A1307" i="9"/>
  <c r="B1307" i="9"/>
  <c r="C1307" i="9"/>
  <c r="D1307" i="9"/>
  <c r="E1307" i="9"/>
  <c r="F1307" i="9"/>
  <c r="A1308" i="9"/>
  <c r="B1308" i="9"/>
  <c r="C1308" i="9"/>
  <c r="D1308" i="9"/>
  <c r="E1308" i="9"/>
  <c r="F1308" i="9"/>
  <c r="A1309" i="9"/>
  <c r="B1309" i="9"/>
  <c r="C1309" i="9"/>
  <c r="D1309" i="9"/>
  <c r="E1309" i="9"/>
  <c r="F1309" i="9"/>
  <c r="A1310" i="9"/>
  <c r="B1310" i="9"/>
  <c r="C1310" i="9"/>
  <c r="D1310" i="9"/>
  <c r="E1310" i="9"/>
  <c r="F1310" i="9"/>
  <c r="A1311" i="9"/>
  <c r="B1311" i="9"/>
  <c r="C1311" i="9"/>
  <c r="D1311" i="9"/>
  <c r="E1311" i="9"/>
  <c r="F1311" i="9"/>
  <c r="A1312" i="9"/>
  <c r="B1312" i="9"/>
  <c r="C1312" i="9"/>
  <c r="D1312" i="9"/>
  <c r="E1312" i="9"/>
  <c r="F1312" i="9"/>
  <c r="A1313" i="9"/>
  <c r="B1313" i="9"/>
  <c r="C1313" i="9"/>
  <c r="D1313" i="9"/>
  <c r="E1313" i="9"/>
  <c r="F1313" i="9"/>
  <c r="A1314" i="9"/>
  <c r="B1314" i="9"/>
  <c r="C1314" i="9"/>
  <c r="D1314" i="9"/>
  <c r="E1314" i="9"/>
  <c r="F1314" i="9"/>
  <c r="A1315" i="9"/>
  <c r="B1315" i="9"/>
  <c r="C1315" i="9"/>
  <c r="D1315" i="9"/>
  <c r="E1315" i="9"/>
  <c r="F1315" i="9"/>
  <c r="A1316" i="9"/>
  <c r="B1316" i="9"/>
  <c r="C1316" i="9"/>
  <c r="D1316" i="9"/>
  <c r="E1316" i="9"/>
  <c r="F1316" i="9"/>
  <c r="A1317" i="9"/>
  <c r="B1317" i="9"/>
  <c r="C1317" i="9"/>
  <c r="D1317" i="9"/>
  <c r="E1317" i="9"/>
  <c r="F1317" i="9"/>
  <c r="A1318" i="9"/>
  <c r="B1318" i="9"/>
  <c r="C1318" i="9"/>
  <c r="D1318" i="9"/>
  <c r="E1318" i="9"/>
  <c r="F1318" i="9"/>
  <c r="A1319" i="9"/>
  <c r="B1319" i="9"/>
  <c r="C1319" i="9"/>
  <c r="D1319" i="9"/>
  <c r="E1319" i="9"/>
  <c r="F1319" i="9"/>
  <c r="A1320" i="9"/>
  <c r="B1320" i="9"/>
  <c r="C1320" i="9"/>
  <c r="D1320" i="9"/>
  <c r="E1320" i="9"/>
  <c r="F1320" i="9"/>
  <c r="A1321" i="9"/>
  <c r="B1321" i="9"/>
  <c r="C1321" i="9"/>
  <c r="D1321" i="9"/>
  <c r="E1321" i="9"/>
  <c r="F1321" i="9"/>
  <c r="A1322" i="9"/>
  <c r="B1322" i="9"/>
  <c r="C1322" i="9"/>
  <c r="D1322" i="9"/>
  <c r="E1322" i="9"/>
  <c r="F1322" i="9"/>
  <c r="A1323" i="9"/>
  <c r="B1323" i="9"/>
  <c r="C1323" i="9"/>
  <c r="D1323" i="9"/>
  <c r="E1323" i="9"/>
  <c r="F1323" i="9"/>
  <c r="A1324" i="9"/>
  <c r="B1324" i="9"/>
  <c r="C1324" i="9"/>
  <c r="D1324" i="9"/>
  <c r="E1324" i="9"/>
  <c r="F1324" i="9"/>
  <c r="A1325" i="9"/>
  <c r="B1325" i="9"/>
  <c r="C1325" i="9"/>
  <c r="D1325" i="9"/>
  <c r="E1325" i="9"/>
  <c r="F1325" i="9"/>
  <c r="A1326" i="9"/>
  <c r="B1326" i="9"/>
  <c r="C1326" i="9"/>
  <c r="D1326" i="9"/>
  <c r="E1326" i="9"/>
  <c r="F1326" i="9"/>
  <c r="A1327" i="9"/>
  <c r="B1327" i="9"/>
  <c r="C1327" i="9"/>
  <c r="D1327" i="9"/>
  <c r="E1327" i="9"/>
  <c r="F1327" i="9"/>
  <c r="A1328" i="9"/>
  <c r="B1328" i="9"/>
  <c r="C1328" i="9"/>
  <c r="D1328" i="9"/>
  <c r="E1328" i="9"/>
  <c r="F1328" i="9"/>
  <c r="A1329" i="9"/>
  <c r="B1329" i="9"/>
  <c r="C1329" i="9"/>
  <c r="D1329" i="9"/>
  <c r="E1329" i="9"/>
  <c r="F1329" i="9"/>
  <c r="A1330" i="9"/>
  <c r="B1330" i="9"/>
  <c r="C1330" i="9"/>
  <c r="D1330" i="9"/>
  <c r="E1330" i="9"/>
  <c r="F1330" i="9"/>
  <c r="A1331" i="9"/>
  <c r="B1331" i="9"/>
  <c r="C1331" i="9"/>
  <c r="D1331" i="9"/>
  <c r="E1331" i="9"/>
  <c r="F1331" i="9"/>
  <c r="A1332" i="9"/>
  <c r="B1332" i="9"/>
  <c r="C1332" i="9"/>
  <c r="D1332" i="9"/>
  <c r="E1332" i="9"/>
  <c r="F1332" i="9"/>
  <c r="A1333" i="9"/>
  <c r="B1333" i="9"/>
  <c r="C1333" i="9"/>
  <c r="D1333" i="9"/>
  <c r="E1333" i="9"/>
  <c r="F1333" i="9"/>
  <c r="A1334" i="9"/>
  <c r="B1334" i="9"/>
  <c r="C1334" i="9"/>
  <c r="D1334" i="9"/>
  <c r="E1334" i="9"/>
  <c r="F1334" i="9"/>
  <c r="A1335" i="9"/>
  <c r="B1335" i="9"/>
  <c r="C1335" i="9"/>
  <c r="D1335" i="9"/>
  <c r="E1335" i="9"/>
  <c r="F1335" i="9"/>
  <c r="A1336" i="9"/>
  <c r="B1336" i="9"/>
  <c r="C1336" i="9"/>
  <c r="D1336" i="9"/>
  <c r="E1336" i="9"/>
  <c r="F1336" i="9"/>
  <c r="A1337" i="9"/>
  <c r="B1337" i="9"/>
  <c r="C1337" i="9"/>
  <c r="D1337" i="9"/>
  <c r="E1337" i="9"/>
  <c r="F1337" i="9"/>
  <c r="A1338" i="9"/>
  <c r="B1338" i="9"/>
  <c r="C1338" i="9"/>
  <c r="D1338" i="9"/>
  <c r="E1338" i="9"/>
  <c r="F1338" i="9"/>
  <c r="A1339" i="9"/>
  <c r="B1339" i="9"/>
  <c r="C1339" i="9"/>
  <c r="D1339" i="9"/>
  <c r="E1339" i="9"/>
  <c r="F1339" i="9"/>
  <c r="A1340" i="9"/>
  <c r="B1340" i="9"/>
  <c r="C1340" i="9"/>
  <c r="D1340" i="9"/>
  <c r="E1340" i="9"/>
  <c r="F1340" i="9"/>
  <c r="A1341" i="9"/>
  <c r="B1341" i="9"/>
  <c r="C1341" i="9"/>
  <c r="D1341" i="9"/>
  <c r="E1341" i="9"/>
  <c r="F1341" i="9"/>
  <c r="A1342" i="9"/>
  <c r="B1342" i="9"/>
  <c r="C1342" i="9"/>
  <c r="D1342" i="9"/>
  <c r="E1342" i="9"/>
  <c r="F1342" i="9"/>
  <c r="A1343" i="9"/>
  <c r="B1343" i="9"/>
  <c r="C1343" i="9"/>
  <c r="D1343" i="9"/>
  <c r="E1343" i="9"/>
  <c r="F1343" i="9"/>
  <c r="A1344" i="9"/>
  <c r="B1344" i="9"/>
  <c r="C1344" i="9"/>
  <c r="D1344" i="9"/>
  <c r="E1344" i="9"/>
  <c r="F1344" i="9"/>
  <c r="A1345" i="9"/>
  <c r="B1345" i="9"/>
  <c r="C1345" i="9"/>
  <c r="D1345" i="9"/>
  <c r="E1345" i="9"/>
  <c r="F1345" i="9"/>
  <c r="A1346" i="9"/>
  <c r="B1346" i="9"/>
  <c r="C1346" i="9"/>
  <c r="D1346" i="9"/>
  <c r="E1346" i="9"/>
  <c r="F1346" i="9"/>
  <c r="A1347" i="9"/>
  <c r="B1347" i="9"/>
  <c r="C1347" i="9"/>
  <c r="D1347" i="9"/>
  <c r="E1347" i="9"/>
  <c r="F1347" i="9"/>
  <c r="A1348" i="9"/>
  <c r="B1348" i="9"/>
  <c r="C1348" i="9"/>
  <c r="D1348" i="9"/>
  <c r="E1348" i="9"/>
  <c r="F1348" i="9"/>
  <c r="A1349" i="9"/>
  <c r="B1349" i="9"/>
  <c r="C1349" i="9"/>
  <c r="D1349" i="9"/>
  <c r="E1349" i="9"/>
  <c r="F1349" i="9"/>
  <c r="A1350" i="9"/>
  <c r="B1350" i="9"/>
  <c r="C1350" i="9"/>
  <c r="D1350" i="9"/>
  <c r="E1350" i="9"/>
  <c r="F1350" i="9"/>
  <c r="A1351" i="9"/>
  <c r="B1351" i="9"/>
  <c r="C1351" i="9"/>
  <c r="D1351" i="9"/>
  <c r="E1351" i="9"/>
  <c r="F1351" i="9"/>
  <c r="A1352" i="9"/>
  <c r="B1352" i="9"/>
  <c r="C1352" i="9"/>
  <c r="D1352" i="9"/>
  <c r="E1352" i="9"/>
  <c r="F1352" i="9"/>
  <c r="A1353" i="9"/>
  <c r="B1353" i="9"/>
  <c r="C1353" i="9"/>
  <c r="D1353" i="9"/>
  <c r="E1353" i="9"/>
  <c r="F1353" i="9"/>
  <c r="A1354" i="9"/>
  <c r="B1354" i="9"/>
  <c r="C1354" i="9"/>
  <c r="D1354" i="9"/>
  <c r="E1354" i="9"/>
  <c r="F1354" i="9"/>
  <c r="A1355" i="9"/>
  <c r="B1355" i="9"/>
  <c r="C1355" i="9"/>
  <c r="D1355" i="9"/>
  <c r="E1355" i="9"/>
  <c r="F1355" i="9"/>
  <c r="A1356" i="9"/>
  <c r="B1356" i="9"/>
  <c r="C1356" i="9"/>
  <c r="D1356" i="9"/>
  <c r="E1356" i="9"/>
  <c r="F1356" i="9"/>
  <c r="A1357" i="9"/>
  <c r="B1357" i="9"/>
  <c r="C1357" i="9"/>
  <c r="D1357" i="9"/>
  <c r="E1357" i="9"/>
  <c r="F1357" i="9"/>
  <c r="A1358" i="9"/>
  <c r="B1358" i="9"/>
  <c r="C1358" i="9"/>
  <c r="D1358" i="9"/>
  <c r="E1358" i="9"/>
  <c r="F1358" i="9"/>
  <c r="A1359" i="9"/>
  <c r="B1359" i="9"/>
  <c r="C1359" i="9"/>
  <c r="D1359" i="9"/>
  <c r="E1359" i="9"/>
  <c r="F1359" i="9"/>
  <c r="A1360" i="9"/>
  <c r="B1360" i="9"/>
  <c r="C1360" i="9"/>
  <c r="D1360" i="9"/>
  <c r="E1360" i="9"/>
  <c r="F1360" i="9"/>
  <c r="A1361" i="9"/>
  <c r="B1361" i="9"/>
  <c r="C1361" i="9"/>
  <c r="D1361" i="9"/>
  <c r="E1361" i="9"/>
  <c r="F1361" i="9"/>
  <c r="A1362" i="9"/>
  <c r="B1362" i="9"/>
  <c r="C1362" i="9"/>
  <c r="D1362" i="9"/>
  <c r="E1362" i="9"/>
  <c r="F1362" i="9"/>
  <c r="A1363" i="9"/>
  <c r="B1363" i="9"/>
  <c r="C1363" i="9"/>
  <c r="D1363" i="9"/>
  <c r="E1363" i="9"/>
  <c r="F1363" i="9"/>
  <c r="A1364" i="9"/>
  <c r="B1364" i="9"/>
  <c r="C1364" i="9"/>
  <c r="D1364" i="9"/>
  <c r="E1364" i="9"/>
  <c r="F1364" i="9"/>
  <c r="A1365" i="9"/>
  <c r="B1365" i="9"/>
  <c r="C1365" i="9"/>
  <c r="D1365" i="9"/>
  <c r="E1365" i="9"/>
  <c r="F1365" i="9"/>
  <c r="A1366" i="9"/>
  <c r="B1366" i="9"/>
  <c r="C1366" i="9"/>
  <c r="D1366" i="9"/>
  <c r="E1366" i="9"/>
  <c r="F1366" i="9"/>
  <c r="A1367" i="9"/>
  <c r="B1367" i="9"/>
  <c r="C1367" i="9"/>
  <c r="D1367" i="9"/>
  <c r="E1367" i="9"/>
  <c r="F1367" i="9"/>
  <c r="A1368" i="9"/>
  <c r="B1368" i="9"/>
  <c r="C1368" i="9"/>
  <c r="D1368" i="9"/>
  <c r="E1368" i="9"/>
  <c r="F1368" i="9"/>
  <c r="A1369" i="9"/>
  <c r="B1369" i="9"/>
  <c r="C1369" i="9"/>
  <c r="D1369" i="9"/>
  <c r="E1369" i="9"/>
  <c r="F1369" i="9"/>
  <c r="A1370" i="9"/>
  <c r="B1370" i="9"/>
  <c r="C1370" i="9"/>
  <c r="D1370" i="9"/>
  <c r="E1370" i="9"/>
  <c r="F1370" i="9"/>
  <c r="A1371" i="9"/>
  <c r="B1371" i="9"/>
  <c r="C1371" i="9"/>
  <c r="D1371" i="9"/>
  <c r="E1371" i="9"/>
  <c r="F1371" i="9"/>
  <c r="A1372" i="9"/>
  <c r="B1372" i="9"/>
  <c r="C1372" i="9"/>
  <c r="D1372" i="9"/>
  <c r="E1372" i="9"/>
  <c r="F1372" i="9"/>
  <c r="A1373" i="9"/>
  <c r="B1373" i="9"/>
  <c r="C1373" i="9"/>
  <c r="D1373" i="9"/>
  <c r="E1373" i="9"/>
  <c r="F1373" i="9"/>
  <c r="A1374" i="9"/>
  <c r="B1374" i="9"/>
  <c r="C1374" i="9"/>
  <c r="D1374" i="9"/>
  <c r="E1374" i="9"/>
  <c r="F1374" i="9"/>
  <c r="A1375" i="9"/>
  <c r="B1375" i="9"/>
  <c r="C1375" i="9"/>
  <c r="D1375" i="9"/>
  <c r="E1375" i="9"/>
  <c r="F1375" i="9"/>
  <c r="A1376" i="9"/>
  <c r="B1376" i="9"/>
  <c r="C1376" i="9"/>
  <c r="D1376" i="9"/>
  <c r="E1376" i="9"/>
  <c r="F1376" i="9"/>
  <c r="A1377" i="9"/>
  <c r="B1377" i="9"/>
  <c r="C1377" i="9"/>
  <c r="D1377" i="9"/>
  <c r="E1377" i="9"/>
  <c r="F1377" i="9"/>
  <c r="A1378" i="9"/>
  <c r="B1378" i="9"/>
  <c r="C1378" i="9"/>
  <c r="D1378" i="9"/>
  <c r="E1378" i="9"/>
  <c r="F1378" i="9"/>
  <c r="A1379" i="9"/>
  <c r="B1379" i="9"/>
  <c r="C1379" i="9"/>
  <c r="D1379" i="9"/>
  <c r="E1379" i="9"/>
  <c r="F1379" i="9"/>
  <c r="A1380" i="9"/>
  <c r="B1380" i="9"/>
  <c r="C1380" i="9"/>
  <c r="D1380" i="9"/>
  <c r="E1380" i="9"/>
  <c r="F1380" i="9"/>
  <c r="A1381" i="9"/>
  <c r="B1381" i="9"/>
  <c r="C1381" i="9"/>
  <c r="D1381" i="9"/>
  <c r="E1381" i="9"/>
  <c r="F1381" i="9"/>
  <c r="A1382" i="9"/>
  <c r="B1382" i="9"/>
  <c r="C1382" i="9"/>
  <c r="D1382" i="9"/>
  <c r="E1382" i="9"/>
  <c r="F1382" i="9"/>
  <c r="A1383" i="9"/>
  <c r="B1383" i="9"/>
  <c r="C1383" i="9"/>
  <c r="D1383" i="9"/>
  <c r="E1383" i="9"/>
  <c r="F1383" i="9"/>
  <c r="A1384" i="9"/>
  <c r="B1384" i="9"/>
  <c r="C1384" i="9"/>
  <c r="D1384" i="9"/>
  <c r="E1384" i="9"/>
  <c r="F1384" i="9"/>
  <c r="A1385" i="9"/>
  <c r="B1385" i="9"/>
  <c r="C1385" i="9"/>
  <c r="D1385" i="9"/>
  <c r="E1385" i="9"/>
  <c r="F1385" i="9"/>
  <c r="A1386" i="9"/>
  <c r="B1386" i="9"/>
  <c r="C1386" i="9"/>
  <c r="D1386" i="9"/>
  <c r="E1386" i="9"/>
  <c r="F1386" i="9"/>
  <c r="A1387" i="9"/>
  <c r="B1387" i="9"/>
  <c r="C1387" i="9"/>
  <c r="D1387" i="9"/>
  <c r="E1387" i="9"/>
  <c r="F1387" i="9"/>
  <c r="A1388" i="9"/>
  <c r="B1388" i="9"/>
  <c r="C1388" i="9"/>
  <c r="D1388" i="9"/>
  <c r="E1388" i="9"/>
  <c r="F1388" i="9"/>
  <c r="A1389" i="9"/>
  <c r="B1389" i="9"/>
  <c r="C1389" i="9"/>
  <c r="D1389" i="9"/>
  <c r="E1389" i="9"/>
  <c r="F1389" i="9"/>
  <c r="A1390" i="9"/>
  <c r="B1390" i="9"/>
  <c r="C1390" i="9"/>
  <c r="D1390" i="9"/>
  <c r="E1390" i="9"/>
  <c r="F1390" i="9"/>
  <c r="A1391" i="9"/>
  <c r="B1391" i="9"/>
  <c r="C1391" i="9"/>
  <c r="D1391" i="9"/>
  <c r="E1391" i="9"/>
  <c r="F1391" i="9"/>
  <c r="A1392" i="9"/>
  <c r="B1392" i="9"/>
  <c r="C1392" i="9"/>
  <c r="D1392" i="9"/>
  <c r="E1392" i="9"/>
  <c r="F1392" i="9"/>
  <c r="A1393" i="9"/>
  <c r="B1393" i="9"/>
  <c r="C1393" i="9"/>
  <c r="D1393" i="9"/>
  <c r="E1393" i="9"/>
  <c r="F1393" i="9"/>
  <c r="A1394" i="9"/>
  <c r="B1394" i="9"/>
  <c r="C1394" i="9"/>
  <c r="D1394" i="9"/>
  <c r="E1394" i="9"/>
  <c r="F1394" i="9"/>
  <c r="A1395" i="9"/>
  <c r="B1395" i="9"/>
  <c r="C1395" i="9"/>
  <c r="D1395" i="9"/>
  <c r="E1395" i="9"/>
  <c r="F1395" i="9"/>
  <c r="A1396" i="9"/>
  <c r="B1396" i="9"/>
  <c r="C1396" i="9"/>
  <c r="D1396" i="9"/>
  <c r="E1396" i="9"/>
  <c r="F1396" i="9"/>
  <c r="A1397" i="9"/>
  <c r="B1397" i="9"/>
  <c r="C1397" i="9"/>
  <c r="D1397" i="9"/>
  <c r="E1397" i="9"/>
  <c r="F1397" i="9"/>
  <c r="A1398" i="9"/>
  <c r="B1398" i="9"/>
  <c r="C1398" i="9"/>
  <c r="D1398" i="9"/>
  <c r="E1398" i="9"/>
  <c r="F1398" i="9"/>
  <c r="A1399" i="9"/>
  <c r="B1399" i="9"/>
  <c r="C1399" i="9"/>
  <c r="D1399" i="9"/>
  <c r="E1399" i="9"/>
  <c r="F1399" i="9"/>
  <c r="A1400" i="9"/>
  <c r="B1400" i="9"/>
  <c r="C1400" i="9"/>
  <c r="D1400" i="9"/>
  <c r="E1400" i="9"/>
  <c r="F1400" i="9"/>
  <c r="A1401" i="9"/>
  <c r="B1401" i="9"/>
  <c r="C1401" i="9"/>
  <c r="D1401" i="9"/>
  <c r="E1401" i="9"/>
  <c r="F1401" i="9"/>
  <c r="A1402" i="9"/>
  <c r="B1402" i="9"/>
  <c r="C1402" i="9"/>
  <c r="D1402" i="9"/>
  <c r="E1402" i="9"/>
  <c r="F1402" i="9"/>
  <c r="A1403" i="9"/>
  <c r="B1403" i="9"/>
  <c r="C1403" i="9"/>
  <c r="D1403" i="9"/>
  <c r="E1403" i="9"/>
  <c r="F1403" i="9"/>
  <c r="A1404" i="9"/>
  <c r="B1404" i="9"/>
  <c r="C1404" i="9"/>
  <c r="D1404" i="9"/>
  <c r="E1404" i="9"/>
  <c r="F1404" i="9"/>
  <c r="A1405" i="9"/>
  <c r="B1405" i="9"/>
  <c r="C1405" i="9"/>
  <c r="D1405" i="9"/>
  <c r="E1405" i="9"/>
  <c r="F1405" i="9"/>
  <c r="A1406" i="9"/>
  <c r="B1406" i="9"/>
  <c r="C1406" i="9"/>
  <c r="D1406" i="9"/>
  <c r="E1406" i="9"/>
  <c r="F1406" i="9"/>
  <c r="A1407" i="9"/>
  <c r="B1407" i="9"/>
  <c r="C1407" i="9"/>
  <c r="D1407" i="9"/>
  <c r="E1407" i="9"/>
  <c r="F1407" i="9"/>
  <c r="A1408" i="9"/>
  <c r="B1408" i="9"/>
  <c r="C1408" i="9"/>
  <c r="D1408" i="9"/>
  <c r="E1408" i="9"/>
  <c r="F1408" i="9"/>
  <c r="A1409" i="9"/>
  <c r="B1409" i="9"/>
  <c r="C1409" i="9"/>
  <c r="D1409" i="9"/>
  <c r="E1409" i="9"/>
  <c r="F1409" i="9"/>
  <c r="A1410" i="9"/>
  <c r="B1410" i="9"/>
  <c r="C1410" i="9"/>
  <c r="D1410" i="9"/>
  <c r="E1410" i="9"/>
  <c r="F1410" i="9"/>
  <c r="A1411" i="9"/>
  <c r="B1411" i="9"/>
  <c r="C1411" i="9"/>
  <c r="D1411" i="9"/>
  <c r="E1411" i="9"/>
  <c r="F1411" i="9"/>
  <c r="A1412" i="9"/>
  <c r="B1412" i="9"/>
  <c r="C1412" i="9"/>
  <c r="D1412" i="9"/>
  <c r="E1412" i="9"/>
  <c r="F1412" i="9"/>
  <c r="A1413" i="9"/>
  <c r="B1413" i="9"/>
  <c r="C1413" i="9"/>
  <c r="D1413" i="9"/>
  <c r="E1413" i="9"/>
  <c r="F1413" i="9"/>
  <c r="A1414" i="9"/>
  <c r="B1414" i="9"/>
  <c r="C1414" i="9"/>
  <c r="D1414" i="9"/>
  <c r="E1414" i="9"/>
  <c r="F1414" i="9"/>
  <c r="A1415" i="9"/>
  <c r="B1415" i="9"/>
  <c r="C1415" i="9"/>
  <c r="D1415" i="9"/>
  <c r="E1415" i="9"/>
  <c r="F1415" i="9"/>
  <c r="A1416" i="9"/>
  <c r="B1416" i="9"/>
  <c r="C1416" i="9"/>
  <c r="D1416" i="9"/>
  <c r="E1416" i="9"/>
  <c r="F1416" i="9"/>
  <c r="A1417" i="9"/>
  <c r="B1417" i="9"/>
  <c r="C1417" i="9"/>
  <c r="D1417" i="9"/>
  <c r="E1417" i="9"/>
  <c r="F1417" i="9"/>
  <c r="A1418" i="9"/>
  <c r="B1418" i="9"/>
  <c r="C1418" i="9"/>
  <c r="D1418" i="9"/>
  <c r="E1418" i="9"/>
  <c r="F1418" i="9"/>
  <c r="A1419" i="9"/>
  <c r="B1419" i="9"/>
  <c r="C1419" i="9"/>
  <c r="D1419" i="9"/>
  <c r="E1419" i="9"/>
  <c r="F1419" i="9"/>
  <c r="A1420" i="9"/>
  <c r="B1420" i="9"/>
  <c r="C1420" i="9"/>
  <c r="D1420" i="9"/>
  <c r="E1420" i="9"/>
  <c r="F1420" i="9"/>
  <c r="A1421" i="9"/>
  <c r="B1421" i="9"/>
  <c r="C1421" i="9"/>
  <c r="D1421" i="9"/>
  <c r="E1421" i="9"/>
  <c r="F1421" i="9"/>
  <c r="A1422" i="9"/>
  <c r="B1422" i="9"/>
  <c r="C1422" i="9"/>
  <c r="D1422" i="9"/>
  <c r="E1422" i="9"/>
  <c r="F1422" i="9"/>
  <c r="A1423" i="9"/>
  <c r="B1423" i="9"/>
  <c r="C1423" i="9"/>
  <c r="D1423" i="9"/>
  <c r="E1423" i="9"/>
  <c r="F1423" i="9"/>
  <c r="A1424" i="9"/>
  <c r="B1424" i="9"/>
  <c r="C1424" i="9"/>
  <c r="D1424" i="9"/>
  <c r="E1424" i="9"/>
  <c r="F1424" i="9"/>
  <c r="A1425" i="9"/>
  <c r="B1425" i="9"/>
  <c r="C1425" i="9"/>
  <c r="D1425" i="9"/>
  <c r="E1425" i="9"/>
  <c r="F1425" i="9"/>
  <c r="A1426" i="9"/>
  <c r="B1426" i="9"/>
  <c r="C1426" i="9"/>
  <c r="D1426" i="9"/>
  <c r="E1426" i="9"/>
  <c r="F1426" i="9"/>
  <c r="A1427" i="9"/>
  <c r="B1427" i="9"/>
  <c r="C1427" i="9"/>
  <c r="D1427" i="9"/>
  <c r="E1427" i="9"/>
  <c r="F1427" i="9"/>
  <c r="A1428" i="9"/>
  <c r="B1428" i="9"/>
  <c r="C1428" i="9"/>
  <c r="D1428" i="9"/>
  <c r="E1428" i="9"/>
  <c r="F1428" i="9"/>
  <c r="A1429" i="9"/>
  <c r="B1429" i="9"/>
  <c r="C1429" i="9"/>
  <c r="D1429" i="9"/>
  <c r="E1429" i="9"/>
  <c r="F1429" i="9"/>
  <c r="A1430" i="9"/>
  <c r="B1430" i="9"/>
  <c r="C1430" i="9"/>
  <c r="D1430" i="9"/>
  <c r="E1430" i="9"/>
  <c r="F1430" i="9"/>
  <c r="A1431" i="9"/>
  <c r="B1431" i="9"/>
  <c r="C1431" i="9"/>
  <c r="D1431" i="9"/>
  <c r="E1431" i="9"/>
  <c r="F1431" i="9"/>
  <c r="A1432" i="9"/>
  <c r="B1432" i="9"/>
  <c r="C1432" i="9"/>
  <c r="D1432" i="9"/>
  <c r="E1432" i="9"/>
  <c r="F1432" i="9"/>
  <c r="A1433" i="9"/>
  <c r="B1433" i="9"/>
  <c r="C1433" i="9"/>
  <c r="D1433" i="9"/>
  <c r="E1433" i="9"/>
  <c r="F1433" i="9"/>
  <c r="A1434" i="9"/>
  <c r="B1434" i="9"/>
  <c r="C1434" i="9"/>
  <c r="D1434" i="9"/>
  <c r="E1434" i="9"/>
  <c r="F1434" i="9"/>
  <c r="A1435" i="9"/>
  <c r="B1435" i="9"/>
  <c r="C1435" i="9"/>
  <c r="D1435" i="9"/>
  <c r="E1435" i="9"/>
  <c r="F1435" i="9"/>
  <c r="A1436" i="9"/>
  <c r="B1436" i="9"/>
  <c r="C1436" i="9"/>
  <c r="D1436" i="9"/>
  <c r="E1436" i="9"/>
  <c r="F1436" i="9"/>
  <c r="A1437" i="9"/>
  <c r="B1437" i="9"/>
  <c r="C1437" i="9"/>
  <c r="D1437" i="9"/>
  <c r="E1437" i="9"/>
  <c r="F1437" i="9"/>
  <c r="A1438" i="9"/>
  <c r="B1438" i="9"/>
  <c r="C1438" i="9"/>
  <c r="D1438" i="9"/>
  <c r="E1438" i="9"/>
  <c r="F1438" i="9"/>
  <c r="A1439" i="9"/>
  <c r="B1439" i="9"/>
  <c r="C1439" i="9"/>
  <c r="D1439" i="9"/>
  <c r="E1439" i="9"/>
  <c r="F1439" i="9"/>
  <c r="A1440" i="9"/>
  <c r="B1440" i="9"/>
  <c r="C1440" i="9"/>
  <c r="D1440" i="9"/>
  <c r="E1440" i="9"/>
  <c r="F1440" i="9"/>
  <c r="A1441" i="9"/>
  <c r="B1441" i="9"/>
  <c r="C1441" i="9"/>
  <c r="D1441" i="9"/>
  <c r="E1441" i="9"/>
  <c r="F1441" i="9"/>
  <c r="A1442" i="9"/>
  <c r="B1442" i="9"/>
  <c r="C1442" i="9"/>
  <c r="D1442" i="9"/>
  <c r="E1442" i="9"/>
  <c r="F1442" i="9"/>
  <c r="A1443" i="9"/>
  <c r="B1443" i="9"/>
  <c r="C1443" i="9"/>
  <c r="D1443" i="9"/>
  <c r="E1443" i="9"/>
  <c r="F1443" i="9"/>
  <c r="A1444" i="9"/>
  <c r="B1444" i="9"/>
  <c r="C1444" i="9"/>
  <c r="D1444" i="9"/>
  <c r="E1444" i="9"/>
  <c r="F1444" i="9"/>
  <c r="A1445" i="9"/>
  <c r="B1445" i="9"/>
  <c r="C1445" i="9"/>
  <c r="D1445" i="9"/>
  <c r="E1445" i="9"/>
  <c r="F1445" i="9"/>
  <c r="A1446" i="9"/>
  <c r="B1446" i="9"/>
  <c r="C1446" i="9"/>
  <c r="D1446" i="9"/>
  <c r="E1446" i="9"/>
  <c r="F1446" i="9"/>
  <c r="A1447" i="9"/>
  <c r="B1447" i="9"/>
  <c r="C1447" i="9"/>
  <c r="D1447" i="9"/>
  <c r="E1447" i="9"/>
  <c r="F1447" i="9"/>
  <c r="A1448" i="9"/>
  <c r="B1448" i="9"/>
  <c r="C1448" i="9"/>
  <c r="D1448" i="9"/>
  <c r="E1448" i="9"/>
  <c r="F1448" i="9"/>
  <c r="A1449" i="9"/>
  <c r="B1449" i="9"/>
  <c r="C1449" i="9"/>
  <c r="D1449" i="9"/>
  <c r="E1449" i="9"/>
  <c r="F1449" i="9"/>
  <c r="A1450" i="9"/>
  <c r="B1450" i="9"/>
  <c r="C1450" i="9"/>
  <c r="D1450" i="9"/>
  <c r="E1450" i="9"/>
  <c r="F1450" i="9"/>
  <c r="A1451" i="9"/>
  <c r="B1451" i="9"/>
  <c r="C1451" i="9"/>
  <c r="D1451" i="9"/>
  <c r="E1451" i="9"/>
  <c r="F1451" i="9"/>
  <c r="A1452" i="9"/>
  <c r="B1452" i="9"/>
  <c r="C1452" i="9"/>
  <c r="D1452" i="9"/>
  <c r="E1452" i="9"/>
  <c r="F1452" i="9"/>
  <c r="A1453" i="9"/>
  <c r="B1453" i="9"/>
  <c r="C1453" i="9"/>
  <c r="D1453" i="9"/>
  <c r="E1453" i="9"/>
  <c r="F1453" i="9"/>
  <c r="A1454" i="9"/>
  <c r="B1454" i="9"/>
  <c r="C1454" i="9"/>
  <c r="D1454" i="9"/>
  <c r="E1454" i="9"/>
  <c r="F1454" i="9"/>
  <c r="A1455" i="9"/>
  <c r="B1455" i="9"/>
  <c r="C1455" i="9"/>
  <c r="D1455" i="9"/>
  <c r="E1455" i="9"/>
  <c r="F1455" i="9"/>
  <c r="A1456" i="9"/>
  <c r="B1456" i="9"/>
  <c r="C1456" i="9"/>
  <c r="D1456" i="9"/>
  <c r="E1456" i="9"/>
  <c r="F1456" i="9"/>
  <c r="A1457" i="9"/>
  <c r="B1457" i="9"/>
  <c r="C1457" i="9"/>
  <c r="D1457" i="9"/>
  <c r="E1457" i="9"/>
  <c r="F1457" i="9"/>
  <c r="A1458" i="9"/>
  <c r="B1458" i="9"/>
  <c r="C1458" i="9"/>
  <c r="D1458" i="9"/>
  <c r="E1458" i="9"/>
  <c r="F1458" i="9"/>
  <c r="A1459" i="9"/>
  <c r="B1459" i="9"/>
  <c r="C1459" i="9"/>
  <c r="D1459" i="9"/>
  <c r="E1459" i="9"/>
  <c r="F1459" i="9"/>
  <c r="A1460" i="9"/>
  <c r="B1460" i="9"/>
  <c r="C1460" i="9"/>
  <c r="D1460" i="9"/>
  <c r="E1460" i="9"/>
  <c r="F1460" i="9"/>
  <c r="A1461" i="9"/>
  <c r="B1461" i="9"/>
  <c r="C1461" i="9"/>
  <c r="D1461" i="9"/>
  <c r="E1461" i="9"/>
  <c r="F1461" i="9"/>
  <c r="A1462" i="9"/>
  <c r="B1462" i="9"/>
  <c r="C1462" i="9"/>
  <c r="D1462" i="9"/>
  <c r="E1462" i="9"/>
  <c r="F1462" i="9"/>
  <c r="A1463" i="9"/>
  <c r="B1463" i="9"/>
  <c r="C1463" i="9"/>
  <c r="D1463" i="9"/>
  <c r="E1463" i="9"/>
  <c r="F1463" i="9"/>
  <c r="A1464" i="9"/>
  <c r="B1464" i="9"/>
  <c r="C1464" i="9"/>
  <c r="D1464" i="9"/>
  <c r="E1464" i="9"/>
  <c r="F1464" i="9"/>
  <c r="A1465" i="9"/>
  <c r="B1465" i="9"/>
  <c r="C1465" i="9"/>
  <c r="D1465" i="9"/>
  <c r="E1465" i="9"/>
  <c r="F1465" i="9"/>
  <c r="A1466" i="9"/>
  <c r="B1466" i="9"/>
  <c r="C1466" i="9"/>
  <c r="D1466" i="9"/>
  <c r="E1466" i="9"/>
  <c r="F1466" i="9"/>
  <c r="A1467" i="9"/>
  <c r="B1467" i="9"/>
  <c r="C1467" i="9"/>
  <c r="D1467" i="9"/>
  <c r="E1467" i="9"/>
  <c r="F1467" i="9"/>
  <c r="A1468" i="9"/>
  <c r="B1468" i="9"/>
  <c r="C1468" i="9"/>
  <c r="D1468" i="9"/>
  <c r="E1468" i="9"/>
  <c r="F1468" i="9"/>
  <c r="A1469" i="9"/>
  <c r="B1469" i="9"/>
  <c r="C1469" i="9"/>
  <c r="D1469" i="9"/>
  <c r="E1469" i="9"/>
  <c r="F1469" i="9"/>
  <c r="A1470" i="9"/>
  <c r="B1470" i="9"/>
  <c r="C1470" i="9"/>
  <c r="D1470" i="9"/>
  <c r="E1470" i="9"/>
  <c r="F1470" i="9"/>
  <c r="A1471" i="9"/>
  <c r="B1471" i="9"/>
  <c r="C1471" i="9"/>
  <c r="D1471" i="9"/>
  <c r="E1471" i="9"/>
  <c r="F1471" i="9"/>
  <c r="A1472" i="9"/>
  <c r="B1472" i="9"/>
  <c r="C1472" i="9"/>
  <c r="D1472" i="9"/>
  <c r="E1472" i="9"/>
  <c r="F1472" i="9"/>
  <c r="A1473" i="9"/>
  <c r="B1473" i="9"/>
  <c r="C1473" i="9"/>
  <c r="D1473" i="9"/>
  <c r="E1473" i="9"/>
  <c r="F1473" i="9"/>
  <c r="A1474" i="9"/>
  <c r="B1474" i="9"/>
  <c r="C1474" i="9"/>
  <c r="D1474" i="9"/>
  <c r="E1474" i="9"/>
  <c r="F1474" i="9"/>
  <c r="A1475" i="9"/>
  <c r="B1475" i="9"/>
  <c r="C1475" i="9"/>
  <c r="D1475" i="9"/>
  <c r="E1475" i="9"/>
  <c r="F1475" i="9"/>
  <c r="A1476" i="9"/>
  <c r="B1476" i="9"/>
  <c r="C1476" i="9"/>
  <c r="D1476" i="9"/>
  <c r="E1476" i="9"/>
  <c r="F1476" i="9"/>
  <c r="A1477" i="9"/>
  <c r="B1477" i="9"/>
  <c r="C1477" i="9"/>
  <c r="D1477" i="9"/>
  <c r="E1477" i="9"/>
  <c r="F1477" i="9"/>
  <c r="A1478" i="9"/>
  <c r="B1478" i="9"/>
  <c r="C1478" i="9"/>
  <c r="D1478" i="9"/>
  <c r="E1478" i="9"/>
  <c r="F1478" i="9"/>
  <c r="A1479" i="9"/>
  <c r="B1479" i="9"/>
  <c r="C1479" i="9"/>
  <c r="D1479" i="9"/>
  <c r="E1479" i="9"/>
  <c r="F1479" i="9"/>
  <c r="A1480" i="9"/>
  <c r="B1480" i="9"/>
  <c r="C1480" i="9"/>
  <c r="D1480" i="9"/>
  <c r="E1480" i="9"/>
  <c r="F1480" i="9"/>
  <c r="A1481" i="9"/>
  <c r="B1481" i="9"/>
  <c r="C1481" i="9"/>
  <c r="D1481" i="9"/>
  <c r="E1481" i="9"/>
  <c r="F1481" i="9"/>
  <c r="A1482" i="9"/>
  <c r="B1482" i="9"/>
  <c r="C1482" i="9"/>
  <c r="D1482" i="9"/>
  <c r="E1482" i="9"/>
  <c r="F1482" i="9"/>
  <c r="A1483" i="9"/>
  <c r="B1483" i="9"/>
  <c r="C1483" i="9"/>
  <c r="D1483" i="9"/>
  <c r="E1483" i="9"/>
  <c r="F1483" i="9"/>
  <c r="A1484" i="9"/>
  <c r="B1484" i="9"/>
  <c r="C1484" i="9"/>
  <c r="D1484" i="9"/>
  <c r="E1484" i="9"/>
  <c r="F1484" i="9"/>
  <c r="A1485" i="9"/>
  <c r="B1485" i="9"/>
  <c r="C1485" i="9"/>
  <c r="D1485" i="9"/>
  <c r="E1485" i="9"/>
  <c r="F1485" i="9"/>
  <c r="A1486" i="9"/>
  <c r="B1486" i="9"/>
  <c r="C1486" i="9"/>
  <c r="D1486" i="9"/>
  <c r="E1486" i="9"/>
  <c r="F1486" i="9"/>
  <c r="A1487" i="9"/>
  <c r="B1487" i="9"/>
  <c r="C1487" i="9"/>
  <c r="D1487" i="9"/>
  <c r="E1487" i="9"/>
  <c r="F1487" i="9"/>
  <c r="A1488" i="9"/>
  <c r="B1488" i="9"/>
  <c r="C1488" i="9"/>
  <c r="D1488" i="9"/>
  <c r="E1488" i="9"/>
  <c r="F1488" i="9"/>
  <c r="A1489" i="9"/>
  <c r="B1489" i="9"/>
  <c r="C1489" i="9"/>
  <c r="D1489" i="9"/>
  <c r="E1489" i="9"/>
  <c r="F1489" i="9"/>
  <c r="A1490" i="9"/>
  <c r="B1490" i="9"/>
  <c r="C1490" i="9"/>
  <c r="D1490" i="9"/>
  <c r="E1490" i="9"/>
  <c r="F1490" i="9"/>
  <c r="A1491" i="9"/>
  <c r="B1491" i="9"/>
  <c r="C1491" i="9"/>
  <c r="D1491" i="9"/>
  <c r="E1491" i="9"/>
  <c r="F1491" i="9"/>
  <c r="A1492" i="9"/>
  <c r="B1492" i="9"/>
  <c r="C1492" i="9"/>
  <c r="D1492" i="9"/>
  <c r="E1492" i="9"/>
  <c r="F1492" i="9"/>
  <c r="A1493" i="9"/>
  <c r="B1493" i="9"/>
  <c r="C1493" i="9"/>
  <c r="D1493" i="9"/>
  <c r="E1493" i="9"/>
  <c r="F1493" i="9"/>
  <c r="A1494" i="9"/>
  <c r="B1494" i="9"/>
  <c r="C1494" i="9"/>
  <c r="D1494" i="9"/>
  <c r="E1494" i="9"/>
  <c r="F1494" i="9"/>
  <c r="A1495" i="9"/>
  <c r="B1495" i="9"/>
  <c r="C1495" i="9"/>
  <c r="D1495" i="9"/>
  <c r="E1495" i="9"/>
  <c r="F1495" i="9"/>
  <c r="A1496" i="9"/>
  <c r="B1496" i="9"/>
  <c r="C1496" i="9"/>
  <c r="D1496" i="9"/>
  <c r="E1496" i="9"/>
  <c r="F1496" i="9"/>
  <c r="A1497" i="9"/>
  <c r="B1497" i="9"/>
  <c r="C1497" i="9"/>
  <c r="D1497" i="9"/>
  <c r="E1497" i="9"/>
  <c r="F1497" i="9"/>
  <c r="A1498" i="9"/>
  <c r="B1498" i="9"/>
  <c r="C1498" i="9"/>
  <c r="D1498" i="9"/>
  <c r="E1498" i="9"/>
  <c r="F1498" i="9"/>
  <c r="A1499" i="9"/>
  <c r="B1499" i="9"/>
  <c r="C1499" i="9"/>
  <c r="D1499" i="9"/>
  <c r="E1499" i="9"/>
  <c r="F1499" i="9"/>
  <c r="A1500" i="9"/>
  <c r="B1500" i="9"/>
  <c r="C1500" i="9"/>
  <c r="D1500" i="9"/>
  <c r="E1500" i="9"/>
  <c r="F1500" i="9"/>
  <c r="A1501" i="9"/>
  <c r="B1501" i="9"/>
  <c r="C1501" i="9"/>
  <c r="D1501" i="9"/>
  <c r="E1501" i="9"/>
  <c r="F1501" i="9"/>
  <c r="A1502" i="9"/>
  <c r="B1502" i="9"/>
  <c r="C1502" i="9"/>
  <c r="D1502" i="9"/>
  <c r="E1502" i="9"/>
  <c r="F1502" i="9"/>
  <c r="A1503" i="9"/>
  <c r="B1503" i="9"/>
  <c r="C1503" i="9"/>
  <c r="D1503" i="9"/>
  <c r="E1503" i="9"/>
  <c r="F1503" i="9"/>
  <c r="A1504" i="9"/>
  <c r="B1504" i="9"/>
  <c r="C1504" i="9"/>
  <c r="D1504" i="9"/>
  <c r="E1504" i="9"/>
  <c r="F1504" i="9"/>
  <c r="A1505" i="9"/>
  <c r="B1505" i="9"/>
  <c r="C1505" i="9"/>
  <c r="D1505" i="9"/>
  <c r="E1505" i="9"/>
  <c r="F1505" i="9"/>
  <c r="A1506" i="9"/>
  <c r="B1506" i="9"/>
  <c r="C1506" i="9"/>
  <c r="D1506" i="9"/>
  <c r="E1506" i="9"/>
  <c r="F1506" i="9"/>
  <c r="A1507" i="9"/>
  <c r="B1507" i="9"/>
  <c r="C1507" i="9"/>
  <c r="D1507" i="9"/>
  <c r="E1507" i="9"/>
  <c r="F1507" i="9"/>
  <c r="A1508" i="9"/>
  <c r="B1508" i="9"/>
  <c r="C1508" i="9"/>
  <c r="D1508" i="9"/>
  <c r="E1508" i="9"/>
  <c r="F1508" i="9"/>
  <c r="A1509" i="9"/>
  <c r="B1509" i="9"/>
  <c r="C1509" i="9"/>
  <c r="D1509" i="9"/>
  <c r="E1509" i="9"/>
  <c r="F1509" i="9"/>
  <c r="A1510" i="9"/>
  <c r="B1510" i="9"/>
  <c r="C1510" i="9"/>
  <c r="D1510" i="9"/>
  <c r="E1510" i="9"/>
  <c r="F1510" i="9"/>
  <c r="A1511" i="9"/>
  <c r="B1511" i="9"/>
  <c r="C1511" i="9"/>
  <c r="D1511" i="9"/>
  <c r="E1511" i="9"/>
  <c r="F1511" i="9"/>
  <c r="A1512" i="9"/>
  <c r="B1512" i="9"/>
  <c r="C1512" i="9"/>
  <c r="D1512" i="9"/>
  <c r="E1512" i="9"/>
  <c r="F1512" i="9"/>
  <c r="A1513" i="9"/>
  <c r="B1513" i="9"/>
  <c r="C1513" i="9"/>
  <c r="D1513" i="9"/>
  <c r="E1513" i="9"/>
  <c r="F1513" i="9"/>
  <c r="A1514" i="9"/>
  <c r="B1514" i="9"/>
  <c r="C1514" i="9"/>
  <c r="D1514" i="9"/>
  <c r="E1514" i="9"/>
  <c r="F1514" i="9"/>
  <c r="A1515" i="9"/>
  <c r="B1515" i="9"/>
  <c r="C1515" i="9"/>
  <c r="D1515" i="9"/>
  <c r="E1515" i="9"/>
  <c r="F1515" i="9"/>
  <c r="A1516" i="9"/>
  <c r="B1516" i="9"/>
  <c r="C1516" i="9"/>
  <c r="D1516" i="9"/>
  <c r="E1516" i="9"/>
  <c r="F1516" i="9"/>
  <c r="A1517" i="9"/>
  <c r="B1517" i="9"/>
  <c r="C1517" i="9"/>
  <c r="D1517" i="9"/>
  <c r="E1517" i="9"/>
  <c r="F1517" i="9"/>
  <c r="A1518" i="9"/>
  <c r="B1518" i="9"/>
  <c r="C1518" i="9"/>
  <c r="D1518" i="9"/>
  <c r="E1518" i="9"/>
  <c r="F1518" i="9"/>
  <c r="A1519" i="9"/>
  <c r="B1519" i="9"/>
  <c r="C1519" i="9"/>
  <c r="D1519" i="9"/>
  <c r="E1519" i="9"/>
  <c r="F1519" i="9"/>
  <c r="A1520" i="9"/>
  <c r="B1520" i="9"/>
  <c r="C1520" i="9"/>
  <c r="D1520" i="9"/>
  <c r="E1520" i="9"/>
  <c r="F1520" i="9"/>
  <c r="A1521" i="9"/>
  <c r="B1521" i="9"/>
  <c r="C1521" i="9"/>
  <c r="D1521" i="9"/>
  <c r="E1521" i="9"/>
  <c r="F1521" i="9"/>
  <c r="A1522" i="9"/>
  <c r="B1522" i="9"/>
  <c r="C1522" i="9"/>
  <c r="D1522" i="9"/>
  <c r="E1522" i="9"/>
  <c r="F1522" i="9"/>
  <c r="A1523" i="9"/>
  <c r="B1523" i="9"/>
  <c r="C1523" i="9"/>
  <c r="D1523" i="9"/>
  <c r="E1523" i="9"/>
  <c r="F1523" i="9"/>
  <c r="A1524" i="9"/>
  <c r="B1524" i="9"/>
  <c r="C1524" i="9"/>
  <c r="D1524" i="9"/>
  <c r="E1524" i="9"/>
  <c r="F1524" i="9"/>
  <c r="A1525" i="9"/>
  <c r="B1525" i="9"/>
  <c r="C1525" i="9"/>
  <c r="D1525" i="9"/>
  <c r="E1525" i="9"/>
  <c r="F1525" i="9"/>
  <c r="A1526" i="9"/>
  <c r="B1526" i="9"/>
  <c r="C1526" i="9"/>
  <c r="D1526" i="9"/>
  <c r="E1526" i="9"/>
  <c r="F1526" i="9"/>
  <c r="A1527" i="9"/>
  <c r="B1527" i="9"/>
  <c r="C1527" i="9"/>
  <c r="D1527" i="9"/>
  <c r="E1527" i="9"/>
  <c r="F1527" i="9"/>
  <c r="A1528" i="9"/>
  <c r="B1528" i="9"/>
  <c r="C1528" i="9"/>
  <c r="D1528" i="9"/>
  <c r="E1528" i="9"/>
  <c r="F1528" i="9"/>
  <c r="A1529" i="9"/>
  <c r="B1529" i="9"/>
  <c r="C1529" i="9"/>
  <c r="D1529" i="9"/>
  <c r="E1529" i="9"/>
  <c r="F1529" i="9"/>
  <c r="A1530" i="9"/>
  <c r="B1530" i="9"/>
  <c r="C1530" i="9"/>
  <c r="D1530" i="9"/>
  <c r="E1530" i="9"/>
  <c r="F1530" i="9"/>
  <c r="A1531" i="9"/>
  <c r="B1531" i="9"/>
  <c r="C1531" i="9"/>
  <c r="D1531" i="9"/>
  <c r="E1531" i="9"/>
  <c r="F1531" i="9"/>
  <c r="A1532" i="9"/>
  <c r="B1532" i="9"/>
  <c r="C1532" i="9"/>
  <c r="D1532" i="9"/>
  <c r="E1532" i="9"/>
  <c r="F1532" i="9"/>
  <c r="A1533" i="9"/>
  <c r="B1533" i="9"/>
  <c r="C1533" i="9"/>
  <c r="D1533" i="9"/>
  <c r="E1533" i="9"/>
  <c r="F1533" i="9"/>
  <c r="A1534" i="9"/>
  <c r="B1534" i="9"/>
  <c r="C1534" i="9"/>
  <c r="D1534" i="9"/>
  <c r="E1534" i="9"/>
  <c r="F1534" i="9"/>
  <c r="A1535" i="9"/>
  <c r="B1535" i="9"/>
  <c r="C1535" i="9"/>
  <c r="D1535" i="9"/>
  <c r="E1535" i="9"/>
  <c r="F1535" i="9"/>
  <c r="A1536" i="9"/>
  <c r="B1536" i="9"/>
  <c r="C1536" i="9"/>
  <c r="D1536" i="9"/>
  <c r="E1536" i="9"/>
  <c r="F1536" i="9"/>
  <c r="A1537" i="9"/>
  <c r="B1537" i="9"/>
  <c r="C1537" i="9"/>
  <c r="D1537" i="9"/>
  <c r="E1537" i="9"/>
  <c r="F1537" i="9"/>
  <c r="A1538" i="9"/>
  <c r="B1538" i="9"/>
  <c r="C1538" i="9"/>
  <c r="D1538" i="9"/>
  <c r="E1538" i="9"/>
  <c r="F1538" i="9"/>
  <c r="A1539" i="9"/>
  <c r="B1539" i="9"/>
  <c r="C1539" i="9"/>
  <c r="D1539" i="9"/>
  <c r="E1539" i="9"/>
  <c r="F1539" i="9"/>
  <c r="A1540" i="9"/>
  <c r="B1540" i="9"/>
  <c r="C1540" i="9"/>
  <c r="D1540" i="9"/>
  <c r="E1540" i="9"/>
  <c r="F1540" i="9"/>
  <c r="A1541" i="9"/>
  <c r="B1541" i="9"/>
  <c r="C1541" i="9"/>
  <c r="D1541" i="9"/>
  <c r="E1541" i="9"/>
  <c r="F1541" i="9"/>
  <c r="A1542" i="9"/>
  <c r="B1542" i="9"/>
  <c r="C1542" i="9"/>
  <c r="D1542" i="9"/>
  <c r="E1542" i="9"/>
  <c r="F1542" i="9"/>
  <c r="A1543" i="9"/>
  <c r="B1543" i="9"/>
  <c r="C1543" i="9"/>
  <c r="D1543" i="9"/>
  <c r="E1543" i="9"/>
  <c r="F1543" i="9"/>
  <c r="A1544" i="9"/>
  <c r="B1544" i="9"/>
  <c r="C1544" i="9"/>
  <c r="D1544" i="9"/>
  <c r="E1544" i="9"/>
  <c r="F1544" i="9"/>
  <c r="A1545" i="9"/>
  <c r="B1545" i="9"/>
  <c r="C1545" i="9"/>
  <c r="D1545" i="9"/>
  <c r="E1545" i="9"/>
  <c r="F1545" i="9"/>
  <c r="A1546" i="9"/>
  <c r="B1546" i="9"/>
  <c r="C1546" i="9"/>
  <c r="D1546" i="9"/>
  <c r="E1546" i="9"/>
  <c r="F1546" i="9"/>
  <c r="A1547" i="9"/>
  <c r="B1547" i="9"/>
  <c r="C1547" i="9"/>
  <c r="D1547" i="9"/>
  <c r="E1547" i="9"/>
  <c r="F1547" i="9"/>
  <c r="A1548" i="9"/>
  <c r="B1548" i="9"/>
  <c r="C1548" i="9"/>
  <c r="D1548" i="9"/>
  <c r="E1548" i="9"/>
  <c r="F1548" i="9"/>
  <c r="A1549" i="9"/>
  <c r="B1549" i="9"/>
  <c r="C1549" i="9"/>
  <c r="D1549" i="9"/>
  <c r="E1549" i="9"/>
  <c r="F1549" i="9"/>
  <c r="A1550" i="9"/>
  <c r="B1550" i="9"/>
  <c r="C1550" i="9"/>
  <c r="D1550" i="9"/>
  <c r="E1550" i="9"/>
  <c r="F1550" i="9"/>
  <c r="A1551" i="9"/>
  <c r="B1551" i="9"/>
  <c r="C1551" i="9"/>
  <c r="D1551" i="9"/>
  <c r="E1551" i="9"/>
  <c r="F1551" i="9"/>
  <c r="A1552" i="9"/>
  <c r="B1552" i="9"/>
  <c r="C1552" i="9"/>
  <c r="D1552" i="9"/>
  <c r="E1552" i="9"/>
  <c r="F1552" i="9"/>
  <c r="A1553" i="9"/>
  <c r="B1553" i="9"/>
  <c r="C1553" i="9"/>
  <c r="D1553" i="9"/>
  <c r="E1553" i="9"/>
  <c r="F1553" i="9"/>
  <c r="A1554" i="9"/>
  <c r="B1554" i="9"/>
  <c r="C1554" i="9"/>
  <c r="D1554" i="9"/>
  <c r="E1554" i="9"/>
  <c r="F1554" i="9"/>
  <c r="A1555" i="9"/>
  <c r="B1555" i="9"/>
  <c r="C1555" i="9"/>
  <c r="D1555" i="9"/>
  <c r="E1555" i="9"/>
  <c r="F1555" i="9"/>
  <c r="A1556" i="9"/>
  <c r="B1556" i="9"/>
  <c r="C1556" i="9"/>
  <c r="D1556" i="9"/>
  <c r="E1556" i="9"/>
  <c r="F1556" i="9"/>
  <c r="A1557" i="9"/>
  <c r="B1557" i="9"/>
  <c r="C1557" i="9"/>
  <c r="D1557" i="9"/>
  <c r="E1557" i="9"/>
  <c r="F1557" i="9"/>
  <c r="A1558" i="9"/>
  <c r="B1558" i="9"/>
  <c r="C1558" i="9"/>
  <c r="D1558" i="9"/>
  <c r="E1558" i="9"/>
  <c r="F1558" i="9"/>
  <c r="A1559" i="9"/>
  <c r="B1559" i="9"/>
  <c r="C1559" i="9"/>
  <c r="D1559" i="9"/>
  <c r="E1559" i="9"/>
  <c r="F1559" i="9"/>
  <c r="A1560" i="9"/>
  <c r="B1560" i="9"/>
  <c r="C1560" i="9"/>
  <c r="D1560" i="9"/>
  <c r="E1560" i="9"/>
  <c r="F1560" i="9"/>
  <c r="A1561" i="9"/>
  <c r="B1561" i="9"/>
  <c r="C1561" i="9"/>
  <c r="D1561" i="9"/>
  <c r="E1561" i="9"/>
  <c r="F1561" i="9"/>
  <c r="A1562" i="9"/>
  <c r="B1562" i="9"/>
  <c r="C1562" i="9"/>
  <c r="D1562" i="9"/>
  <c r="E1562" i="9"/>
  <c r="F1562" i="9"/>
  <c r="A1563" i="9"/>
  <c r="B1563" i="9"/>
  <c r="C1563" i="9"/>
  <c r="D1563" i="9"/>
  <c r="E1563" i="9"/>
  <c r="F1563" i="9"/>
  <c r="A1564" i="9"/>
  <c r="B1564" i="9"/>
  <c r="C1564" i="9"/>
  <c r="D1564" i="9"/>
  <c r="E1564" i="9"/>
  <c r="F1564" i="9"/>
  <c r="A1565" i="9"/>
  <c r="B1565" i="9"/>
  <c r="C1565" i="9"/>
  <c r="D1565" i="9"/>
  <c r="E1565" i="9"/>
  <c r="F1565" i="9"/>
  <c r="A1566" i="9"/>
  <c r="B1566" i="9"/>
  <c r="C1566" i="9"/>
  <c r="D1566" i="9"/>
  <c r="E1566" i="9"/>
  <c r="F1566" i="9"/>
  <c r="A1567" i="9"/>
  <c r="B1567" i="9"/>
  <c r="C1567" i="9"/>
  <c r="D1567" i="9"/>
  <c r="E1567" i="9"/>
  <c r="F1567" i="9"/>
  <c r="A1568" i="9"/>
  <c r="B1568" i="9"/>
  <c r="C1568" i="9"/>
  <c r="D1568" i="9"/>
  <c r="E1568" i="9"/>
  <c r="F1568" i="9"/>
  <c r="A1569" i="9"/>
  <c r="B1569" i="9"/>
  <c r="C1569" i="9"/>
  <c r="D1569" i="9"/>
  <c r="E1569" i="9"/>
  <c r="F1569" i="9"/>
  <c r="A1570" i="9"/>
  <c r="B1570" i="9"/>
  <c r="C1570" i="9"/>
  <c r="D1570" i="9"/>
  <c r="E1570" i="9"/>
  <c r="F1570" i="9"/>
  <c r="A1571" i="9"/>
  <c r="B1571" i="9"/>
  <c r="C1571" i="9"/>
  <c r="D1571" i="9"/>
  <c r="E1571" i="9"/>
  <c r="F1571" i="9"/>
  <c r="A1572" i="9"/>
  <c r="B1572" i="9"/>
  <c r="C1572" i="9"/>
  <c r="D1572" i="9"/>
  <c r="E1572" i="9"/>
  <c r="F1572" i="9"/>
  <c r="A1573" i="9"/>
  <c r="B1573" i="9"/>
  <c r="C1573" i="9"/>
  <c r="D1573" i="9"/>
  <c r="E1573" i="9"/>
  <c r="F1573" i="9"/>
  <c r="A1574" i="9"/>
  <c r="B1574" i="9"/>
  <c r="C1574" i="9"/>
  <c r="D1574" i="9"/>
  <c r="E1574" i="9"/>
  <c r="F1574" i="9"/>
  <c r="A1575" i="9"/>
  <c r="B1575" i="9"/>
  <c r="C1575" i="9"/>
  <c r="D1575" i="9"/>
  <c r="E1575" i="9"/>
  <c r="F1575" i="9"/>
  <c r="A2" i="9"/>
  <c r="B2" i="9"/>
  <c r="C2" i="9"/>
  <c r="D2" i="9"/>
  <c r="E2" i="9"/>
  <c r="F2" i="9"/>
  <c r="A3" i="9"/>
  <c r="B3" i="9"/>
  <c r="C3" i="9"/>
  <c r="D3" i="9"/>
  <c r="E3" i="9"/>
  <c r="F3" i="9"/>
  <c r="A4" i="9"/>
  <c r="B4" i="9"/>
  <c r="C4" i="9"/>
  <c r="D4" i="9"/>
  <c r="E4" i="9"/>
  <c r="F4" i="9"/>
  <c r="A5" i="9"/>
  <c r="B5" i="9"/>
  <c r="C5" i="9"/>
  <c r="D5" i="9"/>
  <c r="E5" i="9"/>
  <c r="F5" i="9"/>
  <c r="A6" i="9"/>
  <c r="B6" i="9"/>
  <c r="C6" i="9"/>
  <c r="D6" i="9"/>
  <c r="E6" i="9"/>
  <c r="F6" i="9"/>
  <c r="A7" i="9"/>
  <c r="B7" i="9"/>
  <c r="C7" i="9"/>
  <c r="D7" i="9"/>
  <c r="E7" i="9"/>
  <c r="F7" i="9"/>
  <c r="A8" i="9"/>
  <c r="B8" i="9"/>
  <c r="C8" i="9"/>
  <c r="D8" i="9"/>
  <c r="E8" i="9"/>
  <c r="F8" i="9"/>
  <c r="A9" i="9"/>
  <c r="B9" i="9"/>
  <c r="C9" i="9"/>
  <c r="D9" i="9"/>
  <c r="E9" i="9"/>
  <c r="F9" i="9"/>
  <c r="A10" i="9"/>
  <c r="B10" i="9"/>
  <c r="C10" i="9"/>
  <c r="D10" i="9"/>
  <c r="E10" i="9"/>
  <c r="F10" i="9"/>
  <c r="A11" i="9"/>
  <c r="B11" i="9"/>
  <c r="C11" i="9"/>
  <c r="D11" i="9"/>
  <c r="E11" i="9"/>
  <c r="F11" i="9"/>
  <c r="A12" i="9"/>
  <c r="B12" i="9"/>
  <c r="C12" i="9"/>
  <c r="D12" i="9"/>
  <c r="E12" i="9"/>
  <c r="F12" i="9"/>
  <c r="A13" i="9"/>
  <c r="B13" i="9"/>
  <c r="C13" i="9"/>
  <c r="D13" i="9"/>
  <c r="E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A31" i="9"/>
  <c r="B31" i="9"/>
  <c r="C31" i="9"/>
  <c r="D31" i="9"/>
  <c r="E31" i="9"/>
  <c r="F31" i="9"/>
  <c r="A32" i="9"/>
  <c r="B32" i="9"/>
  <c r="C32" i="9"/>
  <c r="D32" i="9"/>
  <c r="E32" i="9"/>
  <c r="F32" i="9"/>
  <c r="A33" i="9"/>
  <c r="B33" i="9"/>
  <c r="C33" i="9"/>
  <c r="D33" i="9"/>
  <c r="E33" i="9"/>
  <c r="F33" i="9"/>
  <c r="A34" i="9"/>
  <c r="B34" i="9"/>
  <c r="C34" i="9"/>
  <c r="D34" i="9"/>
  <c r="E34" i="9"/>
  <c r="F34" i="9"/>
  <c r="A35" i="9"/>
  <c r="B35" i="9"/>
  <c r="C35" i="9"/>
  <c r="D35" i="9"/>
  <c r="E35" i="9"/>
  <c r="F35" i="9"/>
  <c r="A36" i="9"/>
  <c r="B36" i="9"/>
  <c r="C36" i="9"/>
  <c r="D36" i="9"/>
  <c r="E36" i="9"/>
  <c r="F36" i="9"/>
  <c r="A37" i="9"/>
  <c r="B37" i="9"/>
  <c r="C37" i="9"/>
  <c r="D37" i="9"/>
  <c r="E37" i="9"/>
  <c r="F37" i="9"/>
  <c r="A38" i="9"/>
  <c r="B38" i="9"/>
  <c r="C38" i="9"/>
  <c r="D38" i="9"/>
  <c r="E38" i="9"/>
  <c r="F38" i="9"/>
  <c r="A39" i="9"/>
  <c r="B39" i="9"/>
  <c r="C39" i="9"/>
  <c r="D39" i="9"/>
  <c r="E39" i="9"/>
  <c r="F39" i="9"/>
  <c r="A40" i="9"/>
  <c r="B40" i="9"/>
  <c r="C40" i="9"/>
  <c r="D40" i="9"/>
  <c r="E40" i="9"/>
  <c r="F40" i="9"/>
  <c r="A41" i="9"/>
  <c r="B41" i="9"/>
  <c r="C41" i="9"/>
  <c r="D41" i="9"/>
  <c r="E41" i="9"/>
  <c r="F41" i="9"/>
  <c r="A42" i="9"/>
  <c r="B42" i="9"/>
  <c r="C42" i="9"/>
  <c r="D42" i="9"/>
  <c r="E42" i="9"/>
  <c r="F42" i="9"/>
  <c r="A43" i="9"/>
  <c r="B43" i="9"/>
  <c r="C43" i="9"/>
  <c r="D43" i="9"/>
  <c r="E43" i="9"/>
  <c r="F43" i="9"/>
  <c r="A44" i="9"/>
  <c r="B44" i="9"/>
  <c r="C44" i="9"/>
  <c r="D44" i="9"/>
  <c r="E44" i="9"/>
  <c r="F44" i="9"/>
  <c r="A45" i="9"/>
  <c r="B45" i="9"/>
  <c r="C45" i="9"/>
  <c r="D45" i="9"/>
  <c r="E45" i="9"/>
  <c r="F45" i="9"/>
  <c r="A46" i="9"/>
  <c r="B46" i="9"/>
  <c r="C46" i="9"/>
  <c r="D46" i="9"/>
  <c r="E46" i="9"/>
  <c r="F46" i="9"/>
  <c r="A47" i="9"/>
  <c r="B47" i="9"/>
  <c r="C47" i="9"/>
  <c r="D47" i="9"/>
  <c r="E47" i="9"/>
  <c r="F47" i="9"/>
  <c r="A48" i="9"/>
  <c r="B48" i="9"/>
  <c r="C48" i="9"/>
  <c r="D48" i="9"/>
  <c r="E48" i="9"/>
  <c r="F48" i="9"/>
  <c r="A49" i="9"/>
  <c r="B49" i="9"/>
  <c r="C49" i="9"/>
  <c r="D49" i="9"/>
  <c r="E49" i="9"/>
  <c r="F49" i="9"/>
  <c r="A50" i="9"/>
  <c r="B50" i="9"/>
  <c r="C50" i="9"/>
  <c r="D50" i="9"/>
  <c r="E50" i="9"/>
  <c r="F50" i="9"/>
  <c r="A51" i="9"/>
  <c r="B51" i="9"/>
  <c r="C51" i="9"/>
  <c r="D51" i="9"/>
  <c r="E51" i="9"/>
  <c r="F51" i="9"/>
  <c r="A52" i="9"/>
  <c r="B52" i="9"/>
  <c r="C52" i="9"/>
  <c r="D52" i="9"/>
  <c r="E52" i="9"/>
  <c r="F52" i="9"/>
  <c r="A53" i="9"/>
  <c r="B53" i="9"/>
  <c r="C53" i="9"/>
  <c r="D53" i="9"/>
  <c r="E53" i="9"/>
  <c r="F53" i="9"/>
  <c r="A54" i="9"/>
  <c r="B54" i="9"/>
  <c r="C54" i="9"/>
  <c r="D54" i="9"/>
  <c r="E54" i="9"/>
  <c r="F54" i="9"/>
  <c r="A55" i="9"/>
  <c r="B55" i="9"/>
  <c r="C55" i="9"/>
  <c r="D55" i="9"/>
  <c r="E55" i="9"/>
  <c r="F55" i="9"/>
  <c r="A56" i="9"/>
  <c r="B56" i="9"/>
  <c r="C56" i="9"/>
  <c r="D56" i="9"/>
  <c r="E56" i="9"/>
  <c r="F56" i="9"/>
  <c r="A57" i="9"/>
  <c r="B57" i="9"/>
  <c r="C57" i="9"/>
  <c r="D57" i="9"/>
  <c r="E57" i="9"/>
  <c r="F57" i="9"/>
  <c r="A58" i="9"/>
  <c r="B58" i="9"/>
  <c r="C58" i="9"/>
  <c r="D58" i="9"/>
  <c r="E58" i="9"/>
  <c r="F58" i="9"/>
  <c r="A59" i="9"/>
  <c r="B59" i="9"/>
  <c r="C59" i="9"/>
  <c r="D59" i="9"/>
  <c r="E59" i="9"/>
  <c r="F59" i="9"/>
  <c r="A60" i="9"/>
  <c r="B60" i="9"/>
  <c r="C60" i="9"/>
  <c r="D60" i="9"/>
  <c r="E60" i="9"/>
  <c r="F60" i="9"/>
  <c r="A61" i="9"/>
  <c r="B61" i="9"/>
  <c r="C61" i="9"/>
  <c r="D61" i="9"/>
  <c r="E61" i="9"/>
  <c r="F61" i="9"/>
  <c r="A62" i="9"/>
  <c r="B62" i="9"/>
  <c r="C62" i="9"/>
  <c r="D62" i="9"/>
  <c r="E62" i="9"/>
  <c r="F62" i="9"/>
  <c r="A63" i="9"/>
  <c r="B63" i="9"/>
  <c r="C63" i="9"/>
  <c r="D63" i="9"/>
  <c r="E63" i="9"/>
  <c r="F63" i="9"/>
  <c r="A64" i="9"/>
  <c r="B64" i="9"/>
  <c r="C64" i="9"/>
  <c r="D64" i="9"/>
  <c r="E64" i="9"/>
  <c r="F64" i="9"/>
  <c r="A65" i="9"/>
  <c r="B65" i="9"/>
  <c r="C65" i="9"/>
  <c r="D65" i="9"/>
  <c r="E65" i="9"/>
  <c r="F65" i="9"/>
  <c r="A66" i="9"/>
  <c r="B66" i="9"/>
  <c r="C66" i="9"/>
  <c r="D66" i="9"/>
  <c r="E66" i="9"/>
  <c r="F66" i="9"/>
  <c r="A67" i="9"/>
  <c r="B67" i="9"/>
  <c r="C67" i="9"/>
  <c r="D67" i="9"/>
  <c r="E67" i="9"/>
  <c r="F67" i="9"/>
  <c r="A68" i="9"/>
  <c r="B68" i="9"/>
  <c r="C68" i="9"/>
  <c r="D68" i="9"/>
  <c r="E68" i="9"/>
  <c r="F68" i="9"/>
  <c r="A69" i="9"/>
  <c r="B69" i="9"/>
  <c r="C69" i="9"/>
  <c r="D69" i="9"/>
  <c r="E69" i="9"/>
  <c r="F69" i="9"/>
  <c r="A70" i="9"/>
  <c r="B70" i="9"/>
  <c r="C70" i="9"/>
  <c r="D70" i="9"/>
  <c r="E70" i="9"/>
  <c r="F70" i="9"/>
  <c r="A71" i="9"/>
  <c r="B71" i="9"/>
  <c r="C71" i="9"/>
  <c r="D71" i="9"/>
  <c r="E71" i="9"/>
  <c r="F71" i="9"/>
  <c r="A72" i="9"/>
  <c r="B72" i="9"/>
  <c r="C72" i="9"/>
  <c r="D72" i="9"/>
  <c r="E72" i="9"/>
  <c r="F72" i="9"/>
  <c r="A73" i="9"/>
  <c r="B73" i="9"/>
  <c r="C73" i="9"/>
  <c r="D73" i="9"/>
  <c r="E73" i="9"/>
  <c r="F73" i="9"/>
  <c r="A74" i="9"/>
  <c r="B74" i="9"/>
  <c r="C74" i="9"/>
  <c r="D74" i="9"/>
  <c r="E74" i="9"/>
  <c r="F74" i="9"/>
  <c r="A75" i="9"/>
  <c r="B75" i="9"/>
  <c r="C75" i="9"/>
  <c r="D75" i="9"/>
  <c r="E75" i="9"/>
  <c r="F75" i="9"/>
  <c r="A76" i="9"/>
  <c r="B76" i="9"/>
  <c r="C76" i="9"/>
  <c r="D76" i="9"/>
  <c r="E76" i="9"/>
  <c r="F76" i="9"/>
  <c r="A77" i="9"/>
  <c r="B77" i="9"/>
  <c r="C77" i="9"/>
  <c r="D77" i="9"/>
  <c r="E77" i="9"/>
  <c r="F77" i="9"/>
  <c r="A78" i="9"/>
  <c r="B78" i="9"/>
  <c r="C78" i="9"/>
  <c r="D78" i="9"/>
  <c r="E78" i="9"/>
  <c r="F78" i="9"/>
  <c r="A79" i="9"/>
  <c r="B79" i="9"/>
  <c r="C79" i="9"/>
  <c r="D79" i="9"/>
  <c r="E79" i="9"/>
  <c r="F79" i="9"/>
  <c r="A80" i="9"/>
  <c r="B80" i="9"/>
  <c r="C80" i="9"/>
  <c r="D80" i="9"/>
  <c r="E80" i="9"/>
  <c r="F80" i="9"/>
  <c r="A81" i="9"/>
  <c r="B81" i="9"/>
  <c r="C81" i="9"/>
  <c r="D81" i="9"/>
  <c r="E81" i="9"/>
  <c r="F81" i="9"/>
  <c r="A82" i="9"/>
  <c r="B82" i="9"/>
  <c r="C82" i="9"/>
  <c r="D82" i="9"/>
  <c r="E82" i="9"/>
  <c r="F82" i="9"/>
  <c r="A83" i="9"/>
  <c r="B83" i="9"/>
  <c r="C83" i="9"/>
  <c r="D83" i="9"/>
  <c r="E83" i="9"/>
  <c r="F83" i="9"/>
  <c r="A84" i="9"/>
  <c r="B84" i="9"/>
  <c r="C84" i="9"/>
  <c r="D84" i="9"/>
  <c r="E84" i="9"/>
  <c r="F84" i="9"/>
  <c r="A85" i="9"/>
  <c r="B85" i="9"/>
  <c r="C85" i="9"/>
  <c r="D85" i="9"/>
  <c r="E85" i="9"/>
  <c r="F85" i="9"/>
  <c r="A86" i="9"/>
  <c r="B86" i="9"/>
  <c r="C86" i="9"/>
  <c r="D86" i="9"/>
  <c r="E86" i="9"/>
  <c r="F86" i="9"/>
  <c r="A87" i="9"/>
  <c r="B87" i="9"/>
  <c r="C87" i="9"/>
  <c r="D87" i="9"/>
  <c r="E87" i="9"/>
  <c r="F87" i="9"/>
  <c r="A88" i="9"/>
  <c r="B88" i="9"/>
  <c r="C88" i="9"/>
  <c r="D88" i="9"/>
  <c r="E88" i="9"/>
  <c r="F88" i="9"/>
  <c r="A89" i="9"/>
  <c r="B89" i="9"/>
  <c r="C89" i="9"/>
  <c r="D89" i="9"/>
  <c r="E89" i="9"/>
  <c r="F89" i="9"/>
  <c r="A90" i="9"/>
  <c r="B90" i="9"/>
  <c r="C90" i="9"/>
  <c r="D90" i="9"/>
  <c r="E90" i="9"/>
  <c r="F90" i="9"/>
  <c r="A91" i="9"/>
  <c r="B91" i="9"/>
  <c r="C91" i="9"/>
  <c r="D91" i="9"/>
  <c r="E91" i="9"/>
  <c r="F91" i="9"/>
  <c r="A92" i="9"/>
  <c r="B92" i="9"/>
  <c r="C92" i="9"/>
  <c r="D92" i="9"/>
  <c r="E92" i="9"/>
  <c r="F92" i="9"/>
  <c r="A93" i="9"/>
  <c r="B93" i="9"/>
  <c r="C93" i="9"/>
  <c r="D93" i="9"/>
  <c r="E93" i="9"/>
  <c r="F93" i="9"/>
  <c r="A94" i="9"/>
  <c r="B94" i="9"/>
  <c r="C94" i="9"/>
  <c r="D94" i="9"/>
  <c r="E94" i="9"/>
  <c r="F94" i="9"/>
  <c r="A95" i="9"/>
  <c r="B95" i="9"/>
  <c r="C95" i="9"/>
  <c r="D95" i="9"/>
  <c r="E95" i="9"/>
  <c r="F95" i="9"/>
  <c r="A96" i="9"/>
  <c r="B96" i="9"/>
  <c r="C96" i="9"/>
  <c r="D96" i="9"/>
  <c r="E96" i="9"/>
  <c r="F96" i="9"/>
  <c r="A97" i="9"/>
  <c r="B97" i="9"/>
  <c r="C97" i="9"/>
  <c r="D97" i="9"/>
  <c r="E97" i="9"/>
  <c r="F97" i="9"/>
  <c r="A98" i="9"/>
  <c r="B98" i="9"/>
  <c r="C98" i="9"/>
  <c r="D98" i="9"/>
  <c r="E98" i="9"/>
  <c r="F98" i="9"/>
  <c r="A99" i="9"/>
  <c r="B99" i="9"/>
  <c r="C99" i="9"/>
  <c r="D99" i="9"/>
  <c r="E99" i="9"/>
  <c r="F99" i="9"/>
  <c r="A100" i="9"/>
  <c r="B100" i="9"/>
  <c r="C100" i="9"/>
  <c r="D100" i="9"/>
  <c r="E100" i="9"/>
  <c r="F100" i="9"/>
  <c r="A101" i="9"/>
  <c r="B101" i="9"/>
  <c r="C101" i="9"/>
  <c r="D101" i="9"/>
  <c r="E101" i="9"/>
  <c r="F101" i="9"/>
  <c r="A102" i="9"/>
  <c r="B102" i="9"/>
  <c r="C102" i="9"/>
  <c r="D102" i="9"/>
  <c r="E102" i="9"/>
  <c r="F102" i="9"/>
  <c r="A103" i="9"/>
  <c r="B103" i="9"/>
  <c r="C103" i="9"/>
  <c r="D103" i="9"/>
  <c r="E103" i="9"/>
  <c r="F103" i="9"/>
  <c r="A104" i="9"/>
  <c r="B104" i="9"/>
  <c r="C104" i="9"/>
  <c r="D104" i="9"/>
  <c r="E104" i="9"/>
  <c r="F104" i="9"/>
  <c r="A105" i="9"/>
  <c r="B105" i="9"/>
  <c r="C105" i="9"/>
  <c r="D105" i="9"/>
  <c r="E105" i="9"/>
  <c r="F105" i="9"/>
  <c r="A106" i="9"/>
  <c r="B106" i="9"/>
  <c r="C106" i="9"/>
  <c r="D106" i="9"/>
  <c r="E106" i="9"/>
  <c r="F106" i="9"/>
  <c r="A107" i="9"/>
  <c r="B107" i="9"/>
  <c r="C107" i="9"/>
  <c r="D107" i="9"/>
  <c r="E107" i="9"/>
  <c r="F107" i="9"/>
  <c r="A108" i="9"/>
  <c r="B108" i="9"/>
  <c r="C108" i="9"/>
  <c r="D108" i="9"/>
  <c r="E108" i="9"/>
  <c r="F108" i="9"/>
  <c r="A109" i="9"/>
  <c r="B109" i="9"/>
  <c r="C109" i="9"/>
  <c r="D109" i="9"/>
  <c r="E109" i="9"/>
  <c r="F109" i="9"/>
  <c r="A110" i="9"/>
  <c r="B110" i="9"/>
  <c r="C110" i="9"/>
  <c r="D110" i="9"/>
  <c r="E110" i="9"/>
  <c r="F110" i="9"/>
  <c r="A111" i="9"/>
  <c r="B111" i="9"/>
  <c r="C111" i="9"/>
  <c r="D111" i="9"/>
  <c r="E111" i="9"/>
  <c r="F111" i="9"/>
  <c r="A112" i="9"/>
  <c r="B112" i="9"/>
  <c r="C112" i="9"/>
  <c r="D112" i="9"/>
  <c r="E112" i="9"/>
  <c r="F112" i="9"/>
  <c r="A113" i="9"/>
  <c r="B113" i="9"/>
  <c r="C113" i="9"/>
  <c r="D113" i="9"/>
  <c r="E113" i="9"/>
  <c r="F113" i="9"/>
  <c r="A114" i="9"/>
  <c r="B114" i="9"/>
  <c r="C114" i="9"/>
  <c r="D114" i="9"/>
  <c r="E114" i="9"/>
  <c r="F114" i="9"/>
  <c r="A115" i="9"/>
  <c r="B115" i="9"/>
  <c r="C115" i="9"/>
  <c r="D115" i="9"/>
  <c r="E115" i="9"/>
  <c r="F115" i="9"/>
  <c r="A116" i="9"/>
  <c r="B116" i="9"/>
  <c r="C116" i="9"/>
  <c r="D116" i="9"/>
  <c r="E116" i="9"/>
  <c r="F116" i="9"/>
  <c r="A117" i="9"/>
  <c r="B117" i="9"/>
  <c r="C117" i="9"/>
  <c r="D117" i="9"/>
  <c r="E117" i="9"/>
  <c r="F117" i="9"/>
  <c r="A118" i="9"/>
  <c r="B118" i="9"/>
  <c r="C118" i="9"/>
  <c r="D118" i="9"/>
  <c r="E118" i="9"/>
  <c r="F118" i="9"/>
  <c r="A119" i="9"/>
  <c r="B119" i="9"/>
  <c r="C119" i="9"/>
  <c r="D119" i="9"/>
  <c r="E119" i="9"/>
  <c r="F119" i="9"/>
  <c r="A120" i="9"/>
  <c r="B120" i="9"/>
  <c r="C120" i="9"/>
  <c r="D120" i="9"/>
  <c r="E120" i="9"/>
  <c r="F120" i="9"/>
  <c r="A121" i="9"/>
  <c r="B121" i="9"/>
  <c r="C121" i="9"/>
  <c r="D121" i="9"/>
  <c r="E121" i="9"/>
  <c r="F121" i="9"/>
  <c r="A122" i="9"/>
  <c r="B122" i="9"/>
  <c r="C122" i="9"/>
  <c r="D122" i="9"/>
  <c r="E122" i="9"/>
  <c r="F122" i="9"/>
  <c r="A123" i="9"/>
  <c r="B123" i="9"/>
  <c r="C123" i="9"/>
  <c r="D123" i="9"/>
  <c r="E123" i="9"/>
  <c r="F123" i="9"/>
  <c r="A124" i="9"/>
  <c r="B124" i="9"/>
  <c r="C124" i="9"/>
  <c r="D124" i="9"/>
  <c r="E124" i="9"/>
  <c r="F124" i="9"/>
  <c r="A125" i="9"/>
  <c r="B125" i="9"/>
  <c r="C125" i="9"/>
  <c r="D125" i="9"/>
  <c r="E125" i="9"/>
  <c r="F125" i="9"/>
  <c r="A126" i="9"/>
  <c r="B126" i="9"/>
  <c r="C126" i="9"/>
  <c r="D126" i="9"/>
  <c r="E126" i="9"/>
  <c r="F126" i="9"/>
  <c r="A127" i="9"/>
  <c r="B127" i="9"/>
  <c r="C127" i="9"/>
  <c r="D127" i="9"/>
  <c r="E127" i="9"/>
  <c r="F127" i="9"/>
  <c r="A128" i="9"/>
  <c r="B128" i="9"/>
  <c r="C128" i="9"/>
  <c r="D128" i="9"/>
  <c r="E128" i="9"/>
  <c r="F128" i="9"/>
  <c r="A129" i="9"/>
  <c r="B129" i="9"/>
  <c r="C129" i="9"/>
  <c r="D129" i="9"/>
  <c r="E129" i="9"/>
  <c r="F129" i="9"/>
  <c r="A130" i="9"/>
  <c r="B130" i="9"/>
  <c r="C130" i="9"/>
  <c r="D130" i="9"/>
  <c r="E130" i="9"/>
  <c r="F130" i="9"/>
  <c r="A131" i="9"/>
  <c r="B131" i="9"/>
  <c r="C131" i="9"/>
  <c r="D131" i="9"/>
  <c r="E131" i="9"/>
  <c r="F131" i="9"/>
  <c r="A132" i="9"/>
  <c r="B132" i="9"/>
  <c r="C132" i="9"/>
  <c r="D132" i="9"/>
  <c r="E132" i="9"/>
  <c r="F132" i="9"/>
  <c r="A133" i="9"/>
  <c r="B133" i="9"/>
  <c r="C133" i="9"/>
  <c r="D133" i="9"/>
  <c r="E133" i="9"/>
  <c r="F133" i="9"/>
  <c r="A134" i="9"/>
  <c r="B134" i="9"/>
  <c r="C134" i="9"/>
  <c r="D134" i="9"/>
  <c r="E134" i="9"/>
  <c r="F134" i="9"/>
  <c r="A135" i="9"/>
  <c r="B135" i="9"/>
  <c r="C135" i="9"/>
  <c r="D135" i="9"/>
  <c r="E135" i="9"/>
  <c r="F135" i="9"/>
  <c r="A136" i="9"/>
  <c r="B136" i="9"/>
  <c r="C136" i="9"/>
  <c r="D136" i="9"/>
  <c r="E136" i="9"/>
  <c r="F136" i="9"/>
  <c r="A137" i="9"/>
  <c r="B137" i="9"/>
  <c r="C137" i="9"/>
  <c r="D137" i="9"/>
  <c r="E137" i="9"/>
  <c r="F137" i="9"/>
  <c r="A138" i="9"/>
  <c r="B138" i="9"/>
  <c r="C138" i="9"/>
  <c r="D138" i="9"/>
  <c r="E138" i="9"/>
  <c r="F138" i="9"/>
  <c r="A139" i="9"/>
  <c r="B139" i="9"/>
  <c r="C139" i="9"/>
  <c r="D139" i="9"/>
  <c r="E139" i="9"/>
  <c r="F139" i="9"/>
  <c r="A140" i="9"/>
  <c r="B140" i="9"/>
  <c r="C140" i="9"/>
  <c r="D140" i="9"/>
  <c r="E140" i="9"/>
  <c r="F140" i="9"/>
  <c r="A141" i="9"/>
  <c r="B141" i="9"/>
  <c r="C141" i="9"/>
  <c r="D141" i="9"/>
  <c r="E141" i="9"/>
  <c r="F141" i="9"/>
  <c r="A142" i="9"/>
  <c r="B142" i="9"/>
  <c r="C142" i="9"/>
  <c r="D142" i="9"/>
  <c r="E142" i="9"/>
  <c r="F142" i="9"/>
  <c r="A143" i="9"/>
  <c r="B143" i="9"/>
  <c r="C143" i="9"/>
  <c r="D143" i="9"/>
  <c r="E143" i="9"/>
  <c r="F143" i="9"/>
  <c r="A144" i="9"/>
  <c r="B144" i="9"/>
  <c r="C144" i="9"/>
  <c r="D144" i="9"/>
  <c r="E144" i="9"/>
  <c r="F144" i="9"/>
  <c r="A145" i="9"/>
  <c r="B145" i="9"/>
  <c r="C145" i="9"/>
  <c r="D145" i="9"/>
  <c r="E145" i="9"/>
  <c r="F145" i="9"/>
  <c r="A146" i="9"/>
  <c r="B146" i="9"/>
  <c r="C146" i="9"/>
  <c r="D146" i="9"/>
  <c r="E146" i="9"/>
  <c r="F146" i="9"/>
  <c r="A147" i="9"/>
  <c r="B147" i="9"/>
  <c r="C147" i="9"/>
  <c r="D147" i="9"/>
  <c r="E147" i="9"/>
  <c r="F147" i="9"/>
  <c r="A148" i="9"/>
  <c r="B148" i="9"/>
  <c r="C148" i="9"/>
  <c r="D148" i="9"/>
  <c r="E148" i="9"/>
  <c r="F148" i="9"/>
  <c r="A149" i="9"/>
  <c r="B149" i="9"/>
  <c r="C149" i="9"/>
  <c r="D149" i="9"/>
  <c r="E149" i="9"/>
  <c r="F149" i="9"/>
  <c r="A150" i="9"/>
  <c r="B150" i="9"/>
  <c r="C150" i="9"/>
  <c r="D150" i="9"/>
  <c r="E150" i="9"/>
  <c r="F150" i="9"/>
  <c r="A151" i="9"/>
  <c r="B151" i="9"/>
  <c r="C151" i="9"/>
  <c r="D151" i="9"/>
  <c r="E151" i="9"/>
  <c r="F151" i="9"/>
  <c r="A152" i="9"/>
  <c r="B152" i="9"/>
  <c r="C152" i="9"/>
  <c r="D152" i="9"/>
  <c r="E152" i="9"/>
  <c r="F152" i="9"/>
  <c r="A153" i="9"/>
  <c r="B153" i="9"/>
  <c r="C153" i="9"/>
  <c r="D153" i="9"/>
  <c r="E153" i="9"/>
  <c r="F153" i="9"/>
  <c r="A154" i="9"/>
  <c r="B154" i="9"/>
  <c r="C154" i="9"/>
  <c r="D154" i="9"/>
  <c r="E154" i="9"/>
  <c r="F154" i="9"/>
  <c r="A155" i="9"/>
  <c r="B155" i="9"/>
  <c r="C155" i="9"/>
  <c r="D155" i="9"/>
  <c r="E155" i="9"/>
  <c r="F155" i="9"/>
  <c r="A156" i="9"/>
  <c r="B156" i="9"/>
  <c r="C156" i="9"/>
  <c r="D156" i="9"/>
  <c r="E156" i="9"/>
  <c r="F156" i="9"/>
  <c r="A157" i="9"/>
  <c r="B157" i="9"/>
  <c r="C157" i="9"/>
  <c r="D157" i="9"/>
  <c r="E157" i="9"/>
  <c r="F157" i="9"/>
  <c r="A158" i="9"/>
  <c r="B158" i="9"/>
  <c r="C158" i="9"/>
  <c r="D158" i="9"/>
  <c r="E158" i="9"/>
  <c r="F158" i="9"/>
  <c r="A159" i="9"/>
  <c r="B159" i="9"/>
  <c r="C159" i="9"/>
  <c r="D159" i="9"/>
  <c r="E159" i="9"/>
  <c r="F159" i="9"/>
  <c r="A160" i="9"/>
  <c r="B160" i="9"/>
  <c r="C160" i="9"/>
  <c r="D160" i="9"/>
  <c r="E160" i="9"/>
  <c r="F160" i="9"/>
  <c r="A161" i="9"/>
  <c r="B161" i="9"/>
  <c r="C161" i="9"/>
  <c r="D161" i="9"/>
  <c r="E161" i="9"/>
  <c r="F161" i="9"/>
  <c r="A162" i="9"/>
  <c r="B162" i="9"/>
  <c r="C162" i="9"/>
  <c r="D162" i="9"/>
  <c r="E162" i="9"/>
  <c r="F162" i="9"/>
  <c r="A163" i="9"/>
  <c r="B163" i="9"/>
  <c r="C163" i="9"/>
  <c r="D163" i="9"/>
  <c r="E163" i="9"/>
  <c r="F163" i="9"/>
  <c r="A164" i="9"/>
  <c r="B164" i="9"/>
  <c r="C164" i="9"/>
  <c r="D164" i="9"/>
  <c r="E164" i="9"/>
  <c r="F164" i="9"/>
  <c r="A165" i="9"/>
  <c r="B165" i="9"/>
  <c r="C165" i="9"/>
  <c r="D165" i="9"/>
  <c r="E165" i="9"/>
  <c r="F165" i="9"/>
  <c r="A166" i="9"/>
  <c r="B166" i="9"/>
  <c r="C166" i="9"/>
  <c r="D166" i="9"/>
  <c r="E166" i="9"/>
  <c r="F166" i="9"/>
  <c r="A167" i="9"/>
  <c r="B167" i="9"/>
  <c r="C167" i="9"/>
  <c r="D167" i="9"/>
  <c r="E167" i="9"/>
  <c r="F167" i="9"/>
  <c r="A168" i="9"/>
  <c r="B168" i="9"/>
  <c r="C168" i="9"/>
  <c r="D168" i="9"/>
  <c r="E168" i="9"/>
  <c r="F168" i="9"/>
  <c r="A169" i="9"/>
  <c r="B169" i="9"/>
  <c r="C169" i="9"/>
  <c r="D169" i="9"/>
  <c r="E169" i="9"/>
  <c r="F169" i="9"/>
  <c r="A170" i="9"/>
  <c r="B170" i="9"/>
  <c r="C170" i="9"/>
  <c r="D170" i="9"/>
  <c r="E170" i="9"/>
  <c r="F170" i="9"/>
  <c r="A171" i="9"/>
  <c r="B171" i="9"/>
  <c r="C171" i="9"/>
  <c r="D171" i="9"/>
  <c r="E171" i="9"/>
  <c r="F171" i="9"/>
  <c r="A172" i="9"/>
  <c r="B172" i="9"/>
  <c r="C172" i="9"/>
  <c r="D172" i="9"/>
  <c r="E172" i="9"/>
  <c r="F172" i="9"/>
  <c r="A173" i="9"/>
  <c r="B173" i="9"/>
  <c r="C173" i="9"/>
  <c r="D173" i="9"/>
  <c r="E173" i="9"/>
  <c r="F173" i="9"/>
  <c r="A174" i="9"/>
  <c r="B174" i="9"/>
  <c r="C174" i="9"/>
  <c r="D174" i="9"/>
  <c r="E174" i="9"/>
  <c r="F174" i="9"/>
  <c r="A175" i="9"/>
  <c r="B175" i="9"/>
  <c r="C175" i="9"/>
  <c r="D175" i="9"/>
  <c r="E175" i="9"/>
  <c r="F175" i="9"/>
  <c r="A176" i="9"/>
  <c r="B176" i="9"/>
  <c r="C176" i="9"/>
  <c r="D176" i="9"/>
  <c r="E176" i="9"/>
  <c r="F176" i="9"/>
  <c r="A177" i="9"/>
  <c r="B177" i="9"/>
  <c r="C177" i="9"/>
  <c r="D177" i="9"/>
  <c r="E177" i="9"/>
  <c r="F177" i="9"/>
  <c r="A178" i="9"/>
  <c r="B178" i="9"/>
  <c r="C178" i="9"/>
  <c r="D178" i="9"/>
  <c r="E178" i="9"/>
  <c r="F178" i="9"/>
  <c r="A179" i="9"/>
  <c r="B179" i="9"/>
  <c r="C179" i="9"/>
  <c r="D179" i="9"/>
  <c r="E179" i="9"/>
  <c r="F179" i="9"/>
  <c r="A180" i="9"/>
  <c r="B180" i="9"/>
  <c r="C180" i="9"/>
  <c r="D180" i="9"/>
  <c r="E180" i="9"/>
  <c r="F180" i="9"/>
  <c r="A181" i="9"/>
  <c r="B181" i="9"/>
  <c r="C181" i="9"/>
  <c r="D181" i="9"/>
  <c r="E181" i="9"/>
  <c r="F181" i="9"/>
  <c r="A182" i="9"/>
  <c r="B182" i="9"/>
  <c r="C182" i="9"/>
  <c r="D182" i="9"/>
  <c r="E182" i="9"/>
  <c r="F182" i="9"/>
  <c r="A183" i="9"/>
  <c r="B183" i="9"/>
  <c r="C183" i="9"/>
  <c r="D183" i="9"/>
  <c r="E183" i="9"/>
  <c r="F183" i="9"/>
  <c r="A184" i="9"/>
  <c r="B184" i="9"/>
  <c r="C184" i="9"/>
  <c r="D184" i="9"/>
  <c r="E184" i="9"/>
  <c r="F184" i="9"/>
  <c r="A185" i="9"/>
  <c r="B185" i="9"/>
  <c r="C185" i="9"/>
  <c r="D185" i="9"/>
  <c r="E185" i="9"/>
  <c r="F185" i="9"/>
  <c r="A186" i="9"/>
  <c r="B186" i="9"/>
  <c r="C186" i="9"/>
  <c r="D186" i="9"/>
  <c r="E186" i="9"/>
  <c r="F186" i="9"/>
  <c r="A187" i="9"/>
  <c r="B187" i="9"/>
  <c r="C187" i="9"/>
  <c r="D187" i="9"/>
  <c r="E187" i="9"/>
  <c r="F187" i="9"/>
  <c r="A188" i="9"/>
  <c r="B188" i="9"/>
  <c r="C188" i="9"/>
  <c r="D188" i="9"/>
  <c r="E188" i="9"/>
  <c r="F188" i="9"/>
  <c r="A189" i="9"/>
  <c r="B189" i="9"/>
  <c r="C189" i="9"/>
  <c r="D189" i="9"/>
  <c r="E189" i="9"/>
  <c r="F189" i="9"/>
  <c r="A190" i="9"/>
  <c r="B190" i="9"/>
  <c r="C190" i="9"/>
  <c r="D190" i="9"/>
  <c r="E190" i="9"/>
  <c r="F190" i="9"/>
  <c r="A191" i="9"/>
  <c r="B191" i="9"/>
  <c r="C191" i="9"/>
  <c r="D191" i="9"/>
  <c r="E191" i="9"/>
  <c r="F191" i="9"/>
  <c r="A192" i="9"/>
  <c r="B192" i="9"/>
  <c r="C192" i="9"/>
  <c r="D192" i="9"/>
  <c r="E192" i="9"/>
  <c r="F192" i="9"/>
  <c r="A193" i="9"/>
  <c r="B193" i="9"/>
  <c r="C193" i="9"/>
  <c r="D193" i="9"/>
  <c r="E193" i="9"/>
  <c r="F193" i="9"/>
  <c r="A194" i="9"/>
  <c r="B194" i="9"/>
  <c r="C194" i="9"/>
  <c r="D194" i="9"/>
  <c r="E194" i="9"/>
  <c r="F194" i="9"/>
  <c r="A195" i="9"/>
  <c r="B195" i="9"/>
  <c r="C195" i="9"/>
  <c r="D195" i="9"/>
  <c r="E195" i="9"/>
  <c r="F195" i="9"/>
  <c r="A196" i="9"/>
  <c r="B196" i="9"/>
  <c r="C196" i="9"/>
  <c r="D196" i="9"/>
  <c r="E196" i="9"/>
  <c r="F196" i="9"/>
  <c r="A197" i="9"/>
  <c r="B197" i="9"/>
  <c r="C197" i="9"/>
  <c r="D197" i="9"/>
  <c r="E197" i="9"/>
  <c r="F197" i="9"/>
  <c r="A198" i="9"/>
  <c r="B198" i="9"/>
  <c r="C198" i="9"/>
  <c r="D198" i="9"/>
  <c r="E198" i="9"/>
  <c r="F198" i="9"/>
  <c r="A199" i="9"/>
  <c r="B199" i="9"/>
  <c r="C199" i="9"/>
  <c r="D199" i="9"/>
  <c r="E199" i="9"/>
  <c r="F199" i="9"/>
  <c r="A200" i="9"/>
  <c r="B200" i="9"/>
  <c r="C200" i="9"/>
  <c r="D200" i="9"/>
  <c r="E200" i="9"/>
  <c r="F200" i="9"/>
  <c r="A201" i="9"/>
  <c r="B201" i="9"/>
  <c r="C201" i="9"/>
  <c r="D201" i="9"/>
  <c r="E201" i="9"/>
  <c r="F201" i="9"/>
  <c r="A202" i="9"/>
  <c r="B202" i="9"/>
  <c r="C202" i="9"/>
  <c r="D202" i="9"/>
  <c r="E202" i="9"/>
  <c r="F202" i="9"/>
  <c r="A203" i="9"/>
  <c r="B203" i="9"/>
  <c r="C203" i="9"/>
  <c r="D203" i="9"/>
  <c r="E203" i="9"/>
  <c r="F203" i="9"/>
  <c r="A204" i="9"/>
  <c r="B204" i="9"/>
  <c r="C204" i="9"/>
  <c r="D204" i="9"/>
  <c r="E204" i="9"/>
  <c r="F204" i="9"/>
  <c r="A205" i="9"/>
  <c r="B205" i="9"/>
  <c r="C205" i="9"/>
  <c r="D205" i="9"/>
  <c r="E205" i="9"/>
  <c r="F205" i="9"/>
  <c r="A206" i="9"/>
  <c r="B206" i="9"/>
  <c r="C206" i="9"/>
  <c r="D206" i="9"/>
  <c r="E206" i="9"/>
  <c r="F206" i="9"/>
  <c r="A207" i="9"/>
  <c r="B207" i="9"/>
  <c r="C207" i="9"/>
  <c r="D207" i="9"/>
  <c r="E207" i="9"/>
  <c r="F207" i="9"/>
  <c r="A208" i="9"/>
  <c r="B208" i="9"/>
  <c r="C208" i="9"/>
  <c r="D208" i="9"/>
  <c r="E208" i="9"/>
  <c r="F208" i="9"/>
  <c r="A209" i="9"/>
  <c r="B209" i="9"/>
  <c r="C209" i="9"/>
  <c r="D209" i="9"/>
  <c r="E209" i="9"/>
  <c r="F209" i="9"/>
  <c r="A210" i="9"/>
  <c r="B210" i="9"/>
  <c r="C210" i="9"/>
  <c r="D210" i="9"/>
  <c r="E210" i="9"/>
  <c r="F210" i="9"/>
  <c r="A211" i="9"/>
  <c r="B211" i="9"/>
  <c r="C211" i="9"/>
  <c r="D211" i="9"/>
  <c r="E211" i="9"/>
  <c r="F211" i="9"/>
  <c r="A212" i="9"/>
  <c r="B212" i="9"/>
  <c r="C212" i="9"/>
  <c r="D212" i="9"/>
  <c r="E212" i="9"/>
  <c r="F212" i="9"/>
  <c r="A213" i="9"/>
  <c r="B213" i="9"/>
  <c r="C213" i="9"/>
  <c r="D213" i="9"/>
  <c r="E213" i="9"/>
  <c r="F213" i="9"/>
  <c r="A214" i="9"/>
  <c r="B214" i="9"/>
  <c r="C214" i="9"/>
  <c r="D214" i="9"/>
  <c r="E214" i="9"/>
  <c r="F214" i="9"/>
  <c r="A215" i="9"/>
  <c r="B215" i="9"/>
  <c r="C215" i="9"/>
  <c r="D215" i="9"/>
  <c r="E215" i="9"/>
  <c r="F215" i="9"/>
  <c r="A216" i="9"/>
  <c r="B216" i="9"/>
  <c r="C216" i="9"/>
  <c r="D216" i="9"/>
  <c r="E216" i="9"/>
  <c r="F216" i="9"/>
  <c r="A217" i="9"/>
  <c r="B217" i="9"/>
  <c r="C217" i="9"/>
  <c r="D217" i="9"/>
  <c r="E217" i="9"/>
  <c r="F217" i="9"/>
  <c r="A218" i="9"/>
  <c r="B218" i="9"/>
  <c r="C218" i="9"/>
  <c r="D218" i="9"/>
  <c r="E218" i="9"/>
  <c r="F218" i="9"/>
  <c r="A219" i="9"/>
  <c r="B219" i="9"/>
  <c r="C219" i="9"/>
  <c r="D219" i="9"/>
  <c r="E219" i="9"/>
  <c r="F219" i="9"/>
  <c r="A220" i="9"/>
  <c r="B220" i="9"/>
  <c r="C220" i="9"/>
  <c r="D220" i="9"/>
  <c r="E220" i="9"/>
  <c r="F220" i="9"/>
  <c r="A221" i="9"/>
  <c r="B221" i="9"/>
  <c r="C221" i="9"/>
  <c r="D221" i="9"/>
  <c r="E221" i="9"/>
  <c r="F221" i="9"/>
  <c r="A222" i="9"/>
  <c r="B222" i="9"/>
  <c r="C222" i="9"/>
  <c r="D222" i="9"/>
  <c r="E222" i="9"/>
  <c r="F222" i="9"/>
  <c r="A223" i="9"/>
  <c r="B223" i="9"/>
  <c r="C223" i="9"/>
  <c r="D223" i="9"/>
  <c r="E223" i="9"/>
  <c r="F223" i="9"/>
  <c r="A224" i="9"/>
  <c r="B224" i="9"/>
  <c r="C224" i="9"/>
  <c r="D224" i="9"/>
  <c r="E224" i="9"/>
  <c r="F224" i="9"/>
  <c r="A225" i="9"/>
  <c r="B225" i="9"/>
  <c r="C225" i="9"/>
  <c r="D225" i="9"/>
  <c r="E225" i="9"/>
  <c r="F225" i="9"/>
  <c r="A226" i="9"/>
  <c r="B226" i="9"/>
  <c r="C226" i="9"/>
  <c r="D226" i="9"/>
  <c r="E226" i="9"/>
  <c r="F226" i="9"/>
  <c r="A227" i="9"/>
  <c r="B227" i="9"/>
  <c r="C227" i="9"/>
  <c r="D227" i="9"/>
  <c r="E227" i="9"/>
  <c r="F227" i="9"/>
  <c r="A228" i="9"/>
  <c r="B228" i="9"/>
  <c r="C228" i="9"/>
  <c r="D228" i="9"/>
  <c r="E228" i="9"/>
  <c r="F228" i="9"/>
  <c r="A229" i="9"/>
  <c r="B229" i="9"/>
  <c r="C229" i="9"/>
  <c r="D229" i="9"/>
  <c r="E229" i="9"/>
  <c r="F229" i="9"/>
  <c r="A230" i="9"/>
  <c r="B230" i="9"/>
  <c r="C230" i="9"/>
  <c r="D230" i="9"/>
  <c r="E230" i="9"/>
  <c r="F230" i="9"/>
  <c r="A231" i="9"/>
  <c r="B231" i="9"/>
  <c r="C231" i="9"/>
  <c r="D231" i="9"/>
  <c r="E231" i="9"/>
  <c r="F231" i="9"/>
  <c r="A232" i="9"/>
  <c r="B232" i="9"/>
  <c r="C232" i="9"/>
  <c r="D232" i="9"/>
  <c r="E232" i="9"/>
  <c r="F232" i="9"/>
  <c r="A233" i="9"/>
  <c r="B233" i="9"/>
  <c r="C233" i="9"/>
  <c r="D233" i="9"/>
  <c r="E233" i="9"/>
  <c r="F233" i="9"/>
  <c r="A234" i="9"/>
  <c r="B234" i="9"/>
  <c r="C234" i="9"/>
  <c r="D234" i="9"/>
  <c r="E234" i="9"/>
  <c r="F234" i="9"/>
  <c r="A235" i="9"/>
  <c r="B235" i="9"/>
  <c r="C235" i="9"/>
  <c r="D235" i="9"/>
  <c r="E235" i="9"/>
  <c r="F235" i="9"/>
  <c r="A236" i="9"/>
  <c r="B236" i="9"/>
  <c r="C236" i="9"/>
  <c r="D236" i="9"/>
  <c r="E236" i="9"/>
  <c r="F236" i="9"/>
  <c r="A237" i="9"/>
  <c r="B237" i="9"/>
  <c r="C237" i="9"/>
  <c r="D237" i="9"/>
  <c r="E237" i="9"/>
  <c r="F237" i="9"/>
  <c r="A238" i="9"/>
  <c r="B238" i="9"/>
  <c r="C238" i="9"/>
  <c r="D238" i="9"/>
  <c r="E238" i="9"/>
  <c r="F238" i="9"/>
  <c r="A239" i="9"/>
  <c r="B239" i="9"/>
  <c r="C239" i="9"/>
  <c r="D239" i="9"/>
  <c r="E239" i="9"/>
  <c r="F239" i="9"/>
  <c r="A240" i="9"/>
  <c r="B240" i="9"/>
  <c r="C240" i="9"/>
  <c r="D240" i="9"/>
  <c r="E240" i="9"/>
  <c r="F240" i="9"/>
  <c r="A241" i="9"/>
  <c r="B241" i="9"/>
  <c r="C241" i="9"/>
  <c r="D241" i="9"/>
  <c r="E241" i="9"/>
  <c r="F241" i="9"/>
  <c r="A242" i="9"/>
  <c r="B242" i="9"/>
  <c r="C242" i="9"/>
  <c r="D242" i="9"/>
  <c r="E242" i="9"/>
  <c r="F242" i="9"/>
  <c r="A243" i="9"/>
  <c r="B243" i="9"/>
  <c r="C243" i="9"/>
  <c r="D243" i="9"/>
  <c r="E243" i="9"/>
  <c r="F243" i="9"/>
  <c r="A244" i="9"/>
  <c r="B244" i="9"/>
  <c r="C244" i="9"/>
  <c r="D244" i="9"/>
  <c r="E244" i="9"/>
  <c r="F244" i="9"/>
  <c r="A245" i="9"/>
  <c r="B245" i="9"/>
  <c r="C245" i="9"/>
  <c r="D245" i="9"/>
  <c r="E245" i="9"/>
  <c r="F245" i="9"/>
  <c r="A246" i="9"/>
  <c r="B246" i="9"/>
  <c r="C246" i="9"/>
  <c r="D246" i="9"/>
  <c r="E246" i="9"/>
  <c r="F246" i="9"/>
  <c r="A247" i="9"/>
  <c r="B247" i="9"/>
  <c r="C247" i="9"/>
  <c r="D247" i="9"/>
  <c r="E247" i="9"/>
  <c r="F247" i="9"/>
  <c r="A248" i="9"/>
  <c r="B248" i="9"/>
  <c r="C248" i="9"/>
  <c r="D248" i="9"/>
  <c r="E248" i="9"/>
  <c r="F248" i="9"/>
  <c r="A249" i="9"/>
  <c r="B249" i="9"/>
  <c r="C249" i="9"/>
  <c r="D249" i="9"/>
  <c r="E249" i="9"/>
  <c r="F249" i="9"/>
  <c r="A250" i="9"/>
  <c r="B250" i="9"/>
  <c r="C250" i="9"/>
  <c r="D250" i="9"/>
  <c r="E250" i="9"/>
  <c r="F250" i="9"/>
  <c r="A251" i="9"/>
  <c r="B251" i="9"/>
  <c r="C251" i="9"/>
  <c r="D251" i="9"/>
  <c r="E251" i="9"/>
  <c r="F251" i="9"/>
  <c r="A252" i="9"/>
  <c r="B252" i="9"/>
  <c r="C252" i="9"/>
  <c r="D252" i="9"/>
  <c r="E252" i="9"/>
  <c r="F252" i="9"/>
  <c r="A253" i="9"/>
  <c r="B253" i="9"/>
  <c r="C253" i="9"/>
  <c r="D253" i="9"/>
  <c r="E253" i="9"/>
  <c r="F253" i="9"/>
  <c r="A254" i="9"/>
  <c r="B254" i="9"/>
  <c r="C254" i="9"/>
  <c r="D254" i="9"/>
  <c r="E254" i="9"/>
  <c r="F254" i="9"/>
  <c r="A255" i="9"/>
  <c r="B255" i="9"/>
  <c r="C255" i="9"/>
  <c r="D255" i="9"/>
  <c r="E255" i="9"/>
  <c r="F255" i="9"/>
  <c r="A256" i="9"/>
  <c r="B256" i="9"/>
  <c r="C256" i="9"/>
  <c r="D256" i="9"/>
  <c r="E256" i="9"/>
  <c r="F256" i="9"/>
  <c r="A257" i="9"/>
  <c r="B257" i="9"/>
  <c r="C257" i="9"/>
  <c r="D257" i="9"/>
  <c r="E257" i="9"/>
  <c r="F257" i="9"/>
  <c r="A258" i="9"/>
  <c r="B258" i="9"/>
  <c r="C258" i="9"/>
  <c r="D258" i="9"/>
  <c r="E258" i="9"/>
  <c r="F258" i="9"/>
  <c r="A259" i="9"/>
  <c r="B259" i="9"/>
  <c r="C259" i="9"/>
  <c r="D259" i="9"/>
  <c r="E259" i="9"/>
  <c r="F259" i="9"/>
  <c r="A260" i="9"/>
  <c r="B260" i="9"/>
  <c r="C260" i="9"/>
  <c r="D260" i="9"/>
  <c r="E260" i="9"/>
  <c r="F260" i="9"/>
  <c r="A261" i="9"/>
  <c r="B261" i="9"/>
  <c r="C261" i="9"/>
  <c r="D261" i="9"/>
  <c r="E261" i="9"/>
  <c r="F261" i="9"/>
  <c r="A262" i="9"/>
  <c r="B262" i="9"/>
  <c r="C262" i="9"/>
  <c r="D262" i="9"/>
  <c r="E262" i="9"/>
  <c r="F262" i="9"/>
  <c r="A263" i="9"/>
  <c r="B263" i="9"/>
  <c r="C263" i="9"/>
  <c r="D263" i="9"/>
  <c r="E263" i="9"/>
  <c r="F263" i="9"/>
  <c r="A264" i="9"/>
  <c r="B264" i="9"/>
  <c r="C264" i="9"/>
  <c r="D264" i="9"/>
  <c r="E264" i="9"/>
  <c r="F264" i="9"/>
  <c r="A265" i="9"/>
  <c r="B265" i="9"/>
  <c r="C265" i="9"/>
  <c r="D265" i="9"/>
  <c r="E265" i="9"/>
  <c r="F265" i="9"/>
  <c r="A266" i="9"/>
  <c r="B266" i="9"/>
  <c r="C266" i="9"/>
  <c r="D266" i="9"/>
  <c r="E266" i="9"/>
  <c r="F266" i="9"/>
  <c r="A267" i="9"/>
  <c r="B267" i="9"/>
  <c r="C267" i="9"/>
  <c r="D267" i="9"/>
  <c r="E267" i="9"/>
  <c r="F267" i="9"/>
  <c r="A268" i="9"/>
  <c r="B268" i="9"/>
  <c r="C268" i="9"/>
  <c r="D268" i="9"/>
  <c r="E268" i="9"/>
  <c r="F268" i="9"/>
  <c r="A269" i="9"/>
  <c r="B269" i="9"/>
  <c r="C269" i="9"/>
  <c r="D269" i="9"/>
  <c r="E269" i="9"/>
  <c r="F269" i="9"/>
  <c r="A270" i="9"/>
  <c r="B270" i="9"/>
  <c r="C270" i="9"/>
  <c r="D270" i="9"/>
  <c r="E270" i="9"/>
  <c r="F270" i="9"/>
  <c r="A271" i="9"/>
  <c r="B271" i="9"/>
  <c r="C271" i="9"/>
  <c r="D271" i="9"/>
  <c r="E271" i="9"/>
  <c r="F271" i="9"/>
  <c r="A272" i="9"/>
  <c r="B272" i="9"/>
  <c r="C272" i="9"/>
  <c r="D272" i="9"/>
  <c r="E272" i="9"/>
  <c r="F272" i="9"/>
  <c r="A273" i="9"/>
  <c r="B273" i="9"/>
  <c r="C273" i="9"/>
  <c r="D273" i="9"/>
  <c r="E273" i="9"/>
  <c r="F273" i="9"/>
  <c r="A274" i="9"/>
  <c r="B274" i="9"/>
  <c r="C274" i="9"/>
  <c r="D274" i="9"/>
  <c r="E274" i="9"/>
  <c r="F274" i="9"/>
  <c r="A275" i="9"/>
  <c r="B275" i="9"/>
  <c r="C275" i="9"/>
  <c r="D275" i="9"/>
  <c r="E275" i="9"/>
  <c r="F275" i="9"/>
  <c r="A276" i="9"/>
  <c r="B276" i="9"/>
  <c r="C276" i="9"/>
  <c r="D276" i="9"/>
  <c r="E276" i="9"/>
  <c r="F276" i="9"/>
  <c r="A277" i="9"/>
  <c r="B277" i="9"/>
  <c r="C277" i="9"/>
  <c r="D277" i="9"/>
  <c r="E277" i="9"/>
  <c r="F277" i="9"/>
  <c r="A278" i="9"/>
  <c r="B278" i="9"/>
  <c r="C278" i="9"/>
  <c r="D278" i="9"/>
  <c r="E278" i="9"/>
  <c r="F278" i="9"/>
  <c r="A279" i="9"/>
  <c r="B279" i="9"/>
  <c r="C279" i="9"/>
  <c r="D279" i="9"/>
  <c r="E279" i="9"/>
  <c r="F279" i="9"/>
  <c r="A280" i="9"/>
  <c r="B280" i="9"/>
  <c r="C280" i="9"/>
  <c r="D280" i="9"/>
  <c r="E280" i="9"/>
  <c r="F280" i="9"/>
  <c r="A281" i="9"/>
  <c r="B281" i="9"/>
  <c r="C281" i="9"/>
  <c r="D281" i="9"/>
  <c r="E281" i="9"/>
  <c r="F281" i="9"/>
  <c r="A282" i="9"/>
  <c r="B282" i="9"/>
  <c r="C282" i="9"/>
  <c r="D282" i="9"/>
  <c r="E282" i="9"/>
  <c r="F282" i="9"/>
  <c r="A283" i="9"/>
  <c r="B283" i="9"/>
  <c r="C283" i="9"/>
  <c r="D283" i="9"/>
  <c r="E283" i="9"/>
  <c r="F283" i="9"/>
  <c r="A284" i="9"/>
  <c r="B284" i="9"/>
  <c r="C284" i="9"/>
  <c r="D284" i="9"/>
  <c r="E284" i="9"/>
  <c r="F284" i="9"/>
  <c r="A285" i="9"/>
  <c r="B285" i="9"/>
  <c r="C285" i="9"/>
  <c r="D285" i="9"/>
  <c r="E285" i="9"/>
  <c r="F285" i="9"/>
  <c r="A286" i="9"/>
  <c r="B286" i="9"/>
  <c r="C286" i="9"/>
  <c r="D286" i="9"/>
  <c r="E286" i="9"/>
  <c r="F286" i="9"/>
  <c r="A287" i="9"/>
  <c r="B287" i="9"/>
  <c r="C287" i="9"/>
  <c r="D287" i="9"/>
  <c r="E287" i="9"/>
  <c r="F287" i="9"/>
  <c r="A288" i="9"/>
  <c r="B288" i="9"/>
  <c r="C288" i="9"/>
  <c r="D288" i="9"/>
  <c r="E288" i="9"/>
  <c r="F288" i="9"/>
  <c r="A289" i="9"/>
  <c r="B289" i="9"/>
  <c r="C289" i="9"/>
  <c r="D289" i="9"/>
  <c r="E289" i="9"/>
  <c r="F289" i="9"/>
  <c r="A290" i="9"/>
  <c r="B290" i="9"/>
  <c r="C290" i="9"/>
  <c r="D290" i="9"/>
  <c r="E290" i="9"/>
  <c r="F290" i="9"/>
  <c r="A291" i="9"/>
  <c r="B291" i="9"/>
  <c r="C291" i="9"/>
  <c r="D291" i="9"/>
  <c r="E291" i="9"/>
  <c r="F291" i="9"/>
  <c r="A292" i="9"/>
  <c r="B292" i="9"/>
  <c r="C292" i="9"/>
  <c r="D292" i="9"/>
  <c r="E292" i="9"/>
  <c r="F292" i="9"/>
  <c r="A293" i="9"/>
  <c r="B293" i="9"/>
  <c r="C293" i="9"/>
  <c r="D293" i="9"/>
  <c r="E293" i="9"/>
  <c r="F293" i="9"/>
  <c r="A294" i="9"/>
  <c r="B294" i="9"/>
  <c r="C294" i="9"/>
  <c r="D294" i="9"/>
  <c r="E294" i="9"/>
  <c r="F294" i="9"/>
  <c r="A295" i="9"/>
  <c r="B295" i="9"/>
  <c r="C295" i="9"/>
  <c r="D295" i="9"/>
  <c r="E295" i="9"/>
  <c r="F295" i="9"/>
  <c r="A296" i="9"/>
  <c r="B296" i="9"/>
  <c r="C296" i="9"/>
  <c r="D296" i="9"/>
  <c r="E296" i="9"/>
  <c r="F296" i="9"/>
  <c r="A297" i="9"/>
  <c r="B297" i="9"/>
  <c r="C297" i="9"/>
  <c r="D297" i="9"/>
  <c r="E297" i="9"/>
  <c r="F297" i="9"/>
  <c r="A298" i="9"/>
  <c r="B298" i="9"/>
  <c r="C298" i="9"/>
  <c r="D298" i="9"/>
  <c r="E298" i="9"/>
  <c r="F298" i="9"/>
  <c r="A299" i="9"/>
  <c r="B299" i="9"/>
  <c r="C299" i="9"/>
  <c r="D299" i="9"/>
  <c r="E299" i="9"/>
  <c r="F299" i="9"/>
  <c r="A300" i="9"/>
  <c r="B300" i="9"/>
  <c r="C300" i="9"/>
  <c r="D300" i="9"/>
  <c r="E300" i="9"/>
  <c r="F300" i="9"/>
  <c r="A301" i="9"/>
  <c r="B301" i="9"/>
  <c r="C301" i="9"/>
  <c r="D301" i="9"/>
  <c r="E301" i="9"/>
  <c r="F301" i="9"/>
  <c r="A302" i="9"/>
  <c r="B302" i="9"/>
  <c r="C302" i="9"/>
  <c r="D302" i="9"/>
  <c r="E302" i="9"/>
  <c r="F302" i="9"/>
  <c r="A303" i="9"/>
  <c r="B303" i="9"/>
  <c r="C303" i="9"/>
  <c r="D303" i="9"/>
  <c r="E303" i="9"/>
  <c r="F303" i="9"/>
  <c r="A304" i="9"/>
  <c r="B304" i="9"/>
  <c r="C304" i="9"/>
  <c r="D304" i="9"/>
  <c r="E304" i="9"/>
  <c r="F304" i="9"/>
  <c r="A305" i="9"/>
  <c r="B305" i="9"/>
  <c r="C305" i="9"/>
  <c r="D305" i="9"/>
  <c r="E305" i="9"/>
  <c r="F305" i="9"/>
  <c r="A306" i="9"/>
  <c r="B306" i="9"/>
  <c r="C306" i="9"/>
  <c r="D306" i="9"/>
  <c r="E306" i="9"/>
  <c r="F306" i="9"/>
  <c r="A307" i="9"/>
  <c r="B307" i="9"/>
  <c r="C307" i="9"/>
  <c r="D307" i="9"/>
  <c r="E307" i="9"/>
  <c r="F307" i="9"/>
  <c r="A308" i="9"/>
  <c r="B308" i="9"/>
  <c r="C308" i="9"/>
  <c r="D308" i="9"/>
  <c r="E308" i="9"/>
  <c r="F308" i="9"/>
  <c r="A309" i="9"/>
  <c r="B309" i="9"/>
  <c r="C309" i="9"/>
  <c r="D309" i="9"/>
  <c r="E309" i="9"/>
  <c r="F309" i="9"/>
  <c r="A310" i="9"/>
  <c r="B310" i="9"/>
  <c r="C310" i="9"/>
  <c r="D310" i="9"/>
  <c r="E310" i="9"/>
  <c r="F310" i="9"/>
  <c r="A311" i="9"/>
  <c r="B311" i="9"/>
  <c r="C311" i="9"/>
  <c r="D311" i="9"/>
  <c r="E311" i="9"/>
  <c r="F311" i="9"/>
  <c r="A312" i="9"/>
  <c r="B312" i="9"/>
  <c r="C312" i="9"/>
  <c r="D312" i="9"/>
  <c r="E312" i="9"/>
  <c r="F312" i="9"/>
  <c r="A313" i="9"/>
  <c r="B313" i="9"/>
  <c r="C313" i="9"/>
  <c r="D313" i="9"/>
  <c r="E313" i="9"/>
  <c r="F313" i="9"/>
  <c r="A314" i="9"/>
  <c r="B314" i="9"/>
  <c r="C314" i="9"/>
  <c r="D314" i="9"/>
  <c r="E314" i="9"/>
  <c r="F314" i="9"/>
  <c r="A315" i="9"/>
  <c r="B315" i="9"/>
  <c r="C315" i="9"/>
  <c r="D315" i="9"/>
  <c r="E315" i="9"/>
  <c r="F315" i="9"/>
  <c r="A316" i="9"/>
  <c r="B316" i="9"/>
  <c r="C316" i="9"/>
  <c r="D316" i="9"/>
  <c r="E316" i="9"/>
  <c r="F316" i="9"/>
  <c r="A317" i="9"/>
  <c r="B317" i="9"/>
  <c r="C317" i="9"/>
  <c r="D317" i="9"/>
  <c r="E317" i="9"/>
  <c r="F317" i="9"/>
  <c r="A318" i="9"/>
  <c r="B318" i="9"/>
  <c r="C318" i="9"/>
  <c r="D318" i="9"/>
  <c r="E318" i="9"/>
  <c r="F318" i="9"/>
  <c r="A319" i="9"/>
  <c r="B319" i="9"/>
  <c r="C319" i="9"/>
  <c r="D319" i="9"/>
  <c r="E319" i="9"/>
  <c r="F319" i="9"/>
  <c r="A320" i="9"/>
  <c r="B320" i="9"/>
  <c r="C320" i="9"/>
  <c r="D320" i="9"/>
  <c r="E320" i="9"/>
  <c r="F320" i="9"/>
  <c r="A321" i="9"/>
  <c r="B321" i="9"/>
  <c r="C321" i="9"/>
  <c r="D321" i="9"/>
  <c r="E321" i="9"/>
  <c r="F321" i="9"/>
  <c r="A322" i="9"/>
  <c r="B322" i="9"/>
  <c r="C322" i="9"/>
  <c r="D322" i="9"/>
  <c r="E322" i="9"/>
  <c r="F322" i="9"/>
  <c r="A323" i="9"/>
  <c r="B323" i="9"/>
  <c r="C323" i="9"/>
  <c r="D323" i="9"/>
  <c r="E323" i="9"/>
  <c r="F323" i="9"/>
  <c r="A324" i="9"/>
  <c r="B324" i="9"/>
  <c r="C324" i="9"/>
  <c r="D324" i="9"/>
  <c r="E324" i="9"/>
  <c r="F324" i="9"/>
  <c r="A325" i="9"/>
  <c r="B325" i="9"/>
  <c r="C325" i="9"/>
  <c r="D325" i="9"/>
  <c r="E325" i="9"/>
  <c r="F325" i="9"/>
  <c r="A326" i="9"/>
  <c r="B326" i="9"/>
  <c r="C326" i="9"/>
  <c r="D326" i="9"/>
  <c r="E326" i="9"/>
  <c r="F326" i="9"/>
  <c r="A327" i="9"/>
  <c r="B327" i="9"/>
  <c r="C327" i="9"/>
  <c r="D327" i="9"/>
  <c r="E327" i="9"/>
  <c r="F327" i="9"/>
  <c r="A328" i="9"/>
  <c r="B328" i="9"/>
  <c r="C328" i="9"/>
  <c r="D328" i="9"/>
  <c r="E328" i="9"/>
  <c r="F328" i="9"/>
  <c r="A329" i="9"/>
  <c r="B329" i="9"/>
  <c r="C329" i="9"/>
  <c r="D329" i="9"/>
  <c r="E329" i="9"/>
  <c r="F329" i="9"/>
  <c r="A330" i="9"/>
  <c r="B330" i="9"/>
  <c r="C330" i="9"/>
  <c r="D330" i="9"/>
  <c r="E330" i="9"/>
  <c r="F330" i="9"/>
  <c r="A331" i="9"/>
  <c r="B331" i="9"/>
  <c r="C331" i="9"/>
  <c r="D331" i="9"/>
  <c r="E331" i="9"/>
  <c r="F331" i="9"/>
  <c r="A332" i="9"/>
  <c r="B332" i="9"/>
  <c r="C332" i="9"/>
  <c r="D332" i="9"/>
  <c r="E332" i="9"/>
  <c r="F332" i="9"/>
  <c r="A333" i="9"/>
  <c r="B333" i="9"/>
  <c r="C333" i="9"/>
  <c r="D333" i="9"/>
  <c r="E333" i="9"/>
  <c r="F333" i="9"/>
  <c r="A334" i="9"/>
  <c r="B334" i="9"/>
  <c r="C334" i="9"/>
  <c r="D334" i="9"/>
  <c r="E334" i="9"/>
  <c r="F334" i="9"/>
  <c r="A335" i="9"/>
  <c r="B335" i="9"/>
  <c r="C335" i="9"/>
  <c r="D335" i="9"/>
  <c r="E335" i="9"/>
  <c r="F335" i="9"/>
  <c r="A336" i="9"/>
  <c r="B336" i="9"/>
  <c r="C336" i="9"/>
  <c r="D336" i="9"/>
  <c r="E336" i="9"/>
  <c r="F336" i="9"/>
  <c r="A337" i="9"/>
  <c r="B337" i="9"/>
  <c r="C337" i="9"/>
  <c r="D337" i="9"/>
  <c r="E337" i="9"/>
  <c r="F337" i="9"/>
  <c r="A338" i="9"/>
  <c r="B338" i="9"/>
  <c r="C338" i="9"/>
  <c r="D338" i="9"/>
  <c r="E338" i="9"/>
  <c r="F338" i="9"/>
  <c r="A339" i="9"/>
  <c r="B339" i="9"/>
  <c r="C339" i="9"/>
  <c r="D339" i="9"/>
  <c r="E339" i="9"/>
  <c r="F339" i="9"/>
  <c r="A340" i="9"/>
  <c r="B340" i="9"/>
  <c r="C340" i="9"/>
  <c r="D340" i="9"/>
  <c r="E340" i="9"/>
  <c r="F340" i="9"/>
  <c r="A341" i="9"/>
  <c r="B341" i="9"/>
  <c r="C341" i="9"/>
  <c r="D341" i="9"/>
  <c r="E341" i="9"/>
  <c r="F341" i="9"/>
  <c r="A342" i="9"/>
  <c r="B342" i="9"/>
  <c r="C342" i="9"/>
  <c r="D342" i="9"/>
  <c r="E342" i="9"/>
  <c r="F342" i="9"/>
  <c r="A343" i="9"/>
  <c r="B343" i="9"/>
  <c r="C343" i="9"/>
  <c r="D343" i="9"/>
  <c r="E343" i="9"/>
  <c r="F343" i="9"/>
  <c r="A344" i="9"/>
  <c r="B344" i="9"/>
  <c r="C344" i="9"/>
  <c r="D344" i="9"/>
  <c r="E344" i="9"/>
  <c r="F344" i="9"/>
  <c r="A345" i="9"/>
  <c r="B345" i="9"/>
  <c r="C345" i="9"/>
  <c r="D345" i="9"/>
  <c r="E345" i="9"/>
  <c r="F345" i="9"/>
  <c r="A346" i="9"/>
  <c r="B346" i="9"/>
  <c r="C346" i="9"/>
  <c r="D346" i="9"/>
  <c r="E346" i="9"/>
  <c r="F346" i="9"/>
  <c r="A347" i="9"/>
  <c r="B347" i="9"/>
  <c r="C347" i="9"/>
  <c r="D347" i="9"/>
  <c r="E347" i="9"/>
  <c r="F347" i="9"/>
  <c r="A348" i="9"/>
  <c r="B348" i="9"/>
  <c r="C348" i="9"/>
  <c r="D348" i="9"/>
  <c r="E348" i="9"/>
  <c r="F348" i="9"/>
  <c r="A349" i="9"/>
  <c r="B349" i="9"/>
  <c r="C349" i="9"/>
  <c r="D349" i="9"/>
  <c r="E349" i="9"/>
  <c r="F349" i="9"/>
  <c r="A350" i="9"/>
  <c r="B350" i="9"/>
  <c r="C350" i="9"/>
  <c r="D350" i="9"/>
  <c r="E350" i="9"/>
  <c r="F350" i="9"/>
  <c r="A351" i="9"/>
  <c r="B351" i="9"/>
  <c r="C351" i="9"/>
  <c r="D351" i="9"/>
  <c r="E351" i="9"/>
  <c r="F351" i="9"/>
  <c r="A352" i="9"/>
  <c r="B352" i="9"/>
  <c r="C352" i="9"/>
  <c r="D352" i="9"/>
  <c r="E352" i="9"/>
  <c r="F352" i="9"/>
  <c r="A353" i="9"/>
  <c r="B353" i="9"/>
  <c r="C353" i="9"/>
  <c r="D353" i="9"/>
  <c r="E353" i="9"/>
  <c r="F353" i="9"/>
  <c r="A354" i="9"/>
  <c r="B354" i="9"/>
  <c r="C354" i="9"/>
  <c r="D354" i="9"/>
  <c r="E354" i="9"/>
  <c r="F354" i="9"/>
  <c r="A355" i="9"/>
  <c r="B355" i="9"/>
  <c r="C355" i="9"/>
  <c r="D355" i="9"/>
  <c r="E355" i="9"/>
  <c r="F355" i="9"/>
  <c r="A356" i="9"/>
  <c r="B356" i="9"/>
  <c r="C356" i="9"/>
  <c r="D356" i="9"/>
  <c r="E356" i="9"/>
  <c r="F356" i="9"/>
  <c r="A357" i="9"/>
  <c r="B357" i="9"/>
  <c r="C357" i="9"/>
  <c r="D357" i="9"/>
  <c r="E357" i="9"/>
  <c r="F357" i="9"/>
  <c r="A358" i="9"/>
  <c r="B358" i="9"/>
  <c r="C358" i="9"/>
  <c r="D358" i="9"/>
  <c r="E358" i="9"/>
  <c r="F358" i="9"/>
  <c r="A359" i="9"/>
  <c r="B359" i="9"/>
  <c r="C359" i="9"/>
  <c r="D359" i="9"/>
  <c r="E359" i="9"/>
  <c r="F359" i="9"/>
  <c r="A360" i="9"/>
  <c r="B360" i="9"/>
  <c r="C360" i="9"/>
  <c r="D360" i="9"/>
  <c r="E360" i="9"/>
  <c r="F360" i="9"/>
  <c r="A361" i="9"/>
  <c r="B361" i="9"/>
  <c r="C361" i="9"/>
  <c r="D361" i="9"/>
  <c r="E361" i="9"/>
  <c r="F361" i="9"/>
  <c r="A362" i="9"/>
  <c r="B362" i="9"/>
  <c r="C362" i="9"/>
  <c r="D362" i="9"/>
  <c r="E362" i="9"/>
  <c r="F362" i="9"/>
  <c r="A363" i="9"/>
  <c r="B363" i="9"/>
  <c r="C363" i="9"/>
  <c r="D363" i="9"/>
  <c r="E363" i="9"/>
  <c r="F363" i="9"/>
  <c r="A364" i="9"/>
  <c r="B364" i="9"/>
  <c r="C364" i="9"/>
  <c r="D364" i="9"/>
  <c r="E364" i="9"/>
  <c r="F364" i="9"/>
  <c r="A365" i="9"/>
  <c r="B365" i="9"/>
  <c r="C365" i="9"/>
  <c r="D365" i="9"/>
  <c r="E365" i="9"/>
  <c r="F365" i="9"/>
  <c r="A366" i="9"/>
  <c r="B366" i="9"/>
  <c r="C366" i="9"/>
  <c r="D366" i="9"/>
  <c r="E366" i="9"/>
  <c r="F366" i="9"/>
  <c r="A367" i="9"/>
  <c r="B367" i="9"/>
  <c r="C367" i="9"/>
  <c r="D367" i="9"/>
  <c r="E367" i="9"/>
  <c r="F367" i="9"/>
  <c r="A368" i="9"/>
  <c r="B368" i="9"/>
  <c r="C368" i="9"/>
  <c r="D368" i="9"/>
  <c r="E368" i="9"/>
  <c r="F368" i="9"/>
  <c r="A369" i="9"/>
  <c r="B369" i="9"/>
  <c r="C369" i="9"/>
  <c r="D369" i="9"/>
  <c r="E369" i="9"/>
  <c r="F369" i="9"/>
  <c r="A370" i="9"/>
  <c r="B370" i="9"/>
  <c r="C370" i="9"/>
  <c r="D370" i="9"/>
  <c r="E370" i="9"/>
  <c r="F370" i="9"/>
  <c r="A371" i="9"/>
  <c r="B371" i="9"/>
  <c r="C371" i="9"/>
  <c r="D371" i="9"/>
  <c r="E371" i="9"/>
  <c r="F371" i="9"/>
  <c r="A372" i="9"/>
  <c r="B372" i="9"/>
  <c r="C372" i="9"/>
  <c r="D372" i="9"/>
  <c r="E372" i="9"/>
  <c r="F372" i="9"/>
  <c r="A373" i="9"/>
  <c r="B373" i="9"/>
  <c r="C373" i="9"/>
  <c r="D373" i="9"/>
  <c r="E373" i="9"/>
  <c r="F373" i="9"/>
  <c r="A374" i="9"/>
  <c r="B374" i="9"/>
  <c r="C374" i="9"/>
  <c r="D374" i="9"/>
  <c r="E374" i="9"/>
  <c r="F374" i="9"/>
  <c r="A375" i="9"/>
  <c r="B375" i="9"/>
  <c r="C375" i="9"/>
  <c r="D375" i="9"/>
  <c r="E375" i="9"/>
  <c r="F375" i="9"/>
  <c r="A376" i="9"/>
  <c r="B376" i="9"/>
  <c r="C376" i="9"/>
  <c r="D376" i="9"/>
  <c r="E376" i="9"/>
  <c r="F376" i="9"/>
  <c r="A377" i="9"/>
  <c r="B377" i="9"/>
  <c r="C377" i="9"/>
  <c r="D377" i="9"/>
  <c r="E377" i="9"/>
  <c r="F377" i="9"/>
  <c r="A378" i="9"/>
  <c r="B378" i="9"/>
  <c r="C378" i="9"/>
  <c r="D378" i="9"/>
  <c r="E378" i="9"/>
  <c r="F378" i="9"/>
  <c r="A379" i="9"/>
  <c r="B379" i="9"/>
  <c r="C379" i="9"/>
  <c r="D379" i="9"/>
  <c r="E379" i="9"/>
  <c r="F379" i="9"/>
  <c r="A380" i="9"/>
  <c r="B380" i="9"/>
  <c r="C380" i="9"/>
  <c r="D380" i="9"/>
  <c r="E380" i="9"/>
  <c r="F380" i="9"/>
  <c r="A381" i="9"/>
  <c r="B381" i="9"/>
  <c r="C381" i="9"/>
  <c r="D381" i="9"/>
  <c r="E381" i="9"/>
  <c r="F381" i="9"/>
  <c r="A382" i="9"/>
  <c r="B382" i="9"/>
  <c r="C382" i="9"/>
  <c r="D382" i="9"/>
  <c r="E382" i="9"/>
  <c r="F382" i="9"/>
  <c r="A383" i="9"/>
  <c r="B383" i="9"/>
  <c r="C383" i="9"/>
  <c r="D383" i="9"/>
  <c r="E383" i="9"/>
  <c r="F383" i="9"/>
  <c r="A384" i="9"/>
  <c r="B384" i="9"/>
  <c r="C384" i="9"/>
  <c r="D384" i="9"/>
  <c r="E384" i="9"/>
  <c r="F384" i="9"/>
  <c r="A385" i="9"/>
  <c r="B385" i="9"/>
  <c r="C385" i="9"/>
  <c r="D385" i="9"/>
  <c r="E385" i="9"/>
  <c r="F385" i="9"/>
  <c r="A386" i="9"/>
  <c r="B386" i="9"/>
  <c r="C386" i="9"/>
  <c r="D386" i="9"/>
  <c r="E386" i="9"/>
  <c r="F386" i="9"/>
  <c r="A387" i="9"/>
  <c r="B387" i="9"/>
  <c r="C387" i="9"/>
  <c r="D387" i="9"/>
  <c r="E387" i="9"/>
  <c r="F387" i="9"/>
  <c r="A388" i="9"/>
  <c r="B388" i="9"/>
  <c r="C388" i="9"/>
  <c r="D388" i="9"/>
  <c r="E388" i="9"/>
  <c r="F388" i="9"/>
  <c r="A389" i="9"/>
  <c r="B389" i="9"/>
  <c r="C389" i="9"/>
  <c r="D389" i="9"/>
  <c r="E389" i="9"/>
  <c r="F389" i="9"/>
  <c r="A390" i="9"/>
  <c r="B390" i="9"/>
  <c r="C390" i="9"/>
  <c r="D390" i="9"/>
  <c r="E390" i="9"/>
  <c r="F390" i="9"/>
  <c r="A391" i="9"/>
  <c r="B391" i="9"/>
  <c r="C391" i="9"/>
  <c r="D391" i="9"/>
  <c r="E391" i="9"/>
  <c r="F391" i="9"/>
  <c r="A392" i="9"/>
  <c r="B392" i="9"/>
  <c r="C392" i="9"/>
  <c r="D392" i="9"/>
  <c r="E392" i="9"/>
  <c r="F392" i="9"/>
  <c r="A393" i="9"/>
  <c r="B393" i="9"/>
  <c r="C393" i="9"/>
  <c r="D393" i="9"/>
  <c r="E393" i="9"/>
  <c r="F393" i="9"/>
  <c r="A394" i="9"/>
  <c r="B394" i="9"/>
  <c r="C394" i="9"/>
  <c r="D394" i="9"/>
  <c r="E394" i="9"/>
  <c r="F394" i="9"/>
  <c r="A395" i="9"/>
  <c r="B395" i="9"/>
  <c r="C395" i="9"/>
  <c r="D395" i="9"/>
  <c r="E395" i="9"/>
  <c r="F395" i="9"/>
  <c r="A396" i="9"/>
  <c r="B396" i="9"/>
  <c r="C396" i="9"/>
  <c r="D396" i="9"/>
  <c r="E396" i="9"/>
  <c r="F396" i="9"/>
  <c r="A397" i="9"/>
  <c r="B397" i="9"/>
  <c r="C397" i="9"/>
  <c r="D397" i="9"/>
  <c r="E397" i="9"/>
  <c r="F397" i="9"/>
  <c r="A398" i="9"/>
  <c r="B398" i="9"/>
  <c r="C398" i="9"/>
  <c r="D398" i="9"/>
  <c r="E398" i="9"/>
  <c r="F398" i="9"/>
  <c r="A399" i="9"/>
  <c r="B399" i="9"/>
  <c r="C399" i="9"/>
  <c r="D399" i="9"/>
  <c r="E399" i="9"/>
  <c r="F399" i="9"/>
  <c r="A400" i="9"/>
  <c r="B400" i="9"/>
  <c r="C400" i="9"/>
  <c r="D400" i="9"/>
  <c r="E400" i="9"/>
  <c r="F400" i="9"/>
  <c r="A401" i="9"/>
  <c r="B401" i="9"/>
  <c r="C401" i="9"/>
  <c r="D401" i="9"/>
  <c r="E401" i="9"/>
  <c r="F401" i="9"/>
  <c r="A402" i="9"/>
  <c r="B402" i="9"/>
  <c r="C402" i="9"/>
  <c r="D402" i="9"/>
  <c r="E402" i="9"/>
  <c r="F402" i="9"/>
  <c r="A403" i="9"/>
  <c r="B403" i="9"/>
  <c r="C403" i="9"/>
  <c r="D403" i="9"/>
  <c r="E403" i="9"/>
  <c r="F403" i="9"/>
  <c r="A404" i="9"/>
  <c r="B404" i="9"/>
  <c r="C404" i="9"/>
  <c r="D404" i="9"/>
  <c r="E404" i="9"/>
  <c r="F404" i="9"/>
  <c r="A405" i="9"/>
  <c r="B405" i="9"/>
  <c r="C405" i="9"/>
  <c r="D405" i="9"/>
  <c r="E405" i="9"/>
  <c r="F405" i="9"/>
  <c r="A406" i="9"/>
  <c r="B406" i="9"/>
  <c r="C406" i="9"/>
  <c r="D406" i="9"/>
  <c r="E406" i="9"/>
  <c r="F406" i="9"/>
  <c r="A407" i="9"/>
  <c r="B407" i="9"/>
  <c r="C407" i="9"/>
  <c r="D407" i="9"/>
  <c r="E407" i="9"/>
  <c r="F407" i="9"/>
  <c r="A408" i="9"/>
  <c r="B408" i="9"/>
  <c r="C408" i="9"/>
  <c r="D408" i="9"/>
  <c r="E408" i="9"/>
  <c r="F408" i="9"/>
  <c r="A409" i="9"/>
  <c r="B409" i="9"/>
  <c r="C409" i="9"/>
  <c r="D409" i="9"/>
  <c r="E409" i="9"/>
  <c r="F409" i="9"/>
  <c r="A410" i="9"/>
  <c r="B410" i="9"/>
  <c r="C410" i="9"/>
  <c r="D410" i="9"/>
  <c r="E410" i="9"/>
  <c r="F410" i="9"/>
  <c r="A411" i="9"/>
  <c r="B411" i="9"/>
  <c r="C411" i="9"/>
  <c r="D411" i="9"/>
  <c r="E411" i="9"/>
  <c r="F411" i="9"/>
  <c r="A412" i="9"/>
  <c r="B412" i="9"/>
  <c r="C412" i="9"/>
  <c r="D412" i="9"/>
  <c r="E412" i="9"/>
  <c r="F412" i="9"/>
  <c r="A413" i="9"/>
  <c r="B413" i="9"/>
  <c r="C413" i="9"/>
  <c r="D413" i="9"/>
  <c r="E413" i="9"/>
  <c r="F413" i="9"/>
  <c r="A414" i="9"/>
  <c r="B414" i="9"/>
  <c r="C414" i="9"/>
  <c r="D414" i="9"/>
  <c r="E414" i="9"/>
  <c r="F414" i="9"/>
  <c r="A415" i="9"/>
  <c r="B415" i="9"/>
  <c r="C415" i="9"/>
  <c r="D415" i="9"/>
  <c r="E415" i="9"/>
  <c r="F415" i="9"/>
  <c r="A416" i="9"/>
  <c r="B416" i="9"/>
  <c r="C416" i="9"/>
  <c r="D416" i="9"/>
  <c r="E416" i="9"/>
  <c r="F416" i="9"/>
  <c r="A417" i="9"/>
  <c r="B417" i="9"/>
  <c r="C417" i="9"/>
  <c r="D417" i="9"/>
  <c r="E417" i="9"/>
  <c r="F417" i="9"/>
  <c r="A418" i="9"/>
  <c r="B418" i="9"/>
  <c r="C418" i="9"/>
  <c r="D418" i="9"/>
  <c r="E418" i="9"/>
  <c r="F418" i="9"/>
  <c r="A419" i="9"/>
  <c r="B419" i="9"/>
  <c r="C419" i="9"/>
  <c r="D419" i="9"/>
  <c r="E419" i="9"/>
  <c r="F419" i="9"/>
  <c r="A420" i="9"/>
  <c r="B420" i="9"/>
  <c r="C420" i="9"/>
  <c r="D420" i="9"/>
  <c r="E420" i="9"/>
  <c r="F420" i="9"/>
  <c r="A421" i="9"/>
  <c r="B421" i="9"/>
  <c r="C421" i="9"/>
  <c r="D421" i="9"/>
  <c r="E421" i="9"/>
  <c r="F421" i="9"/>
  <c r="A422" i="9"/>
  <c r="B422" i="9"/>
  <c r="C422" i="9"/>
  <c r="D422" i="9"/>
  <c r="E422" i="9"/>
  <c r="F422" i="9"/>
  <c r="A423" i="9"/>
  <c r="B423" i="9"/>
  <c r="C423" i="9"/>
  <c r="D423" i="9"/>
  <c r="E423" i="9"/>
  <c r="F423" i="9"/>
  <c r="A424" i="9"/>
  <c r="B424" i="9"/>
  <c r="C424" i="9"/>
  <c r="D424" i="9"/>
  <c r="E424" i="9"/>
  <c r="F424" i="9"/>
  <c r="A425" i="9"/>
  <c r="B425" i="9"/>
  <c r="C425" i="9"/>
  <c r="D425" i="9"/>
  <c r="E425" i="9"/>
  <c r="F425" i="9"/>
  <c r="A426" i="9"/>
  <c r="B426" i="9"/>
  <c r="C426" i="9"/>
  <c r="D426" i="9"/>
  <c r="E426" i="9"/>
  <c r="F426" i="9"/>
  <c r="A427" i="9"/>
  <c r="B427" i="9"/>
  <c r="C427" i="9"/>
  <c r="D427" i="9"/>
  <c r="E427" i="9"/>
  <c r="F427" i="9"/>
  <c r="A428" i="9"/>
  <c r="B428" i="9"/>
  <c r="C428" i="9"/>
  <c r="D428" i="9"/>
  <c r="E428" i="9"/>
  <c r="F428" i="9"/>
  <c r="A429" i="9"/>
  <c r="B429" i="9"/>
  <c r="C429" i="9"/>
  <c r="D429" i="9"/>
  <c r="E429" i="9"/>
  <c r="F429" i="9"/>
  <c r="A430" i="9"/>
  <c r="B430" i="9"/>
  <c r="C430" i="9"/>
  <c r="D430" i="9"/>
  <c r="E430" i="9"/>
  <c r="F430" i="9"/>
  <c r="F1" i="9"/>
  <c r="B1" i="9"/>
  <c r="C1" i="9"/>
  <c r="D1" i="9"/>
  <c r="E1" i="9"/>
  <c r="A1" i="9"/>
  <c r="A20" i="2" l="1"/>
  <c r="C1" i="2"/>
  <c r="A2" i="2"/>
  <c r="A44" i="2"/>
  <c r="A3" i="2"/>
  <c r="A8" i="2"/>
  <c r="A55" i="7"/>
  <c r="A56" i="2"/>
  <c r="A57" i="2"/>
  <c r="A37" i="2"/>
  <c r="A4" i="2"/>
  <c r="A29" i="2"/>
  <c r="A53" i="7"/>
  <c r="A41" i="2"/>
  <c r="A7" i="2"/>
  <c r="A5" i="2"/>
  <c r="A6" i="2"/>
  <c r="A49" i="2"/>
  <c r="A59" i="2"/>
  <c r="A11" i="2"/>
  <c r="A15" i="2"/>
  <c r="A45" i="7"/>
  <c r="A9" i="2"/>
  <c r="A10" i="2"/>
  <c r="A19" i="2"/>
  <c r="A13" i="2"/>
  <c r="A18" i="2"/>
  <c r="A60" i="2"/>
  <c r="A17" i="2"/>
  <c r="A12" i="7"/>
  <c r="A23" i="2"/>
  <c r="A14" i="2"/>
  <c r="A21" i="2"/>
  <c r="A16" i="2"/>
  <c r="A22" i="2"/>
  <c r="A24" i="2"/>
  <c r="A25" i="2"/>
  <c r="A26" i="2"/>
  <c r="A31" i="2"/>
  <c r="A27" i="2"/>
  <c r="A30" i="2"/>
  <c r="A28" i="2"/>
  <c r="A32" i="2"/>
  <c r="A35" i="2"/>
  <c r="A62" i="2"/>
  <c r="A33" i="2"/>
  <c r="A46" i="2"/>
  <c r="A48" i="2"/>
  <c r="A47" i="2"/>
  <c r="A39" i="2"/>
  <c r="A34" i="2"/>
  <c r="A42" i="2"/>
  <c r="A64" i="2"/>
  <c r="A38" i="2"/>
  <c r="A40" i="2"/>
  <c r="A36" i="2"/>
  <c r="A43" i="2"/>
  <c r="A65" i="2"/>
  <c r="A51" i="2"/>
  <c r="A50" i="2"/>
  <c r="A66" i="2"/>
  <c r="A67" i="2"/>
  <c r="A69" i="2"/>
  <c r="A61" i="2"/>
  <c r="A68" i="2"/>
  <c r="A58" i="2"/>
  <c r="A54" i="2"/>
  <c r="A70" i="2"/>
  <c r="A52" i="2"/>
  <c r="A71" i="2"/>
  <c r="A72" i="2"/>
  <c r="A73" i="2"/>
  <c r="A74" i="2"/>
  <c r="A75" i="2"/>
  <c r="A76" i="2"/>
  <c r="A77" i="2"/>
  <c r="A78" i="2"/>
  <c r="A63" i="2"/>
  <c r="T82" i="1"/>
  <c r="U82" i="1"/>
  <c r="S82" i="1"/>
  <c r="I82" i="1"/>
  <c r="J82" i="1"/>
  <c r="H82" i="1"/>
  <c r="F82" i="1"/>
  <c r="G82" i="1"/>
  <c r="E82" i="1"/>
  <c r="A9" i="7" l="1"/>
  <c r="A17" i="7"/>
  <c r="A25" i="7"/>
  <c r="A49" i="7"/>
  <c r="A57" i="7"/>
  <c r="A65" i="7"/>
  <c r="A73" i="7"/>
  <c r="A7" i="7"/>
  <c r="A15" i="7"/>
  <c r="A23" i="7"/>
  <c r="A31" i="7"/>
  <c r="A39" i="7"/>
  <c r="A47" i="7"/>
  <c r="A63" i="7"/>
  <c r="A71" i="7"/>
  <c r="A12" i="2"/>
  <c r="A8" i="7"/>
  <c r="A16" i="7"/>
  <c r="A24" i="7"/>
  <c r="A32" i="7"/>
  <c r="A40" i="7"/>
  <c r="A48" i="7"/>
  <c r="A56" i="7"/>
  <c r="A64" i="7"/>
  <c r="A72" i="7"/>
  <c r="A2" i="7"/>
  <c r="A10" i="7"/>
  <c r="A18" i="7"/>
  <c r="A26" i="7"/>
  <c r="A34" i="7"/>
  <c r="A42" i="7"/>
  <c r="A50" i="7"/>
  <c r="A58" i="7"/>
  <c r="A66" i="7"/>
  <c r="A74" i="7"/>
  <c r="A33" i="7"/>
  <c r="A41" i="7"/>
  <c r="A3" i="7"/>
  <c r="A11" i="7"/>
  <c r="A19" i="7"/>
  <c r="A27" i="7"/>
  <c r="A35" i="7"/>
  <c r="A43" i="7"/>
  <c r="A51" i="7"/>
  <c r="A59" i="7"/>
  <c r="A67" i="7"/>
  <c r="A75" i="7"/>
  <c r="A4" i="7"/>
  <c r="A20" i="7"/>
  <c r="A28" i="7"/>
  <c r="A36" i="7"/>
  <c r="A44" i="7"/>
  <c r="A52" i="7"/>
  <c r="A60" i="7"/>
  <c r="A68" i="7"/>
  <c r="A76" i="7"/>
  <c r="A5" i="7"/>
  <c r="A13" i="7"/>
  <c r="A21" i="7"/>
  <c r="A29" i="7"/>
  <c r="A37" i="7"/>
  <c r="A61" i="7"/>
  <c r="A69" i="7"/>
  <c r="A77" i="7"/>
  <c r="A6" i="7"/>
  <c r="A14" i="7"/>
  <c r="A22" i="7"/>
  <c r="A30" i="7"/>
  <c r="A38" i="7"/>
  <c r="A46" i="7"/>
  <c r="A54" i="7"/>
  <c r="A62" i="7"/>
  <c r="A70" i="7"/>
  <c r="A78" i="7"/>
  <c r="D82" i="1"/>
  <c r="C82" i="1"/>
  <c r="B82" i="1"/>
  <c r="A77" i="8" l="1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5" i="2"/>
  <c r="A53" i="2"/>
  <c r="A55" i="2"/>
  <c r="D1" i="8"/>
  <c r="C1" i="8"/>
  <c r="B1" i="8"/>
  <c r="D1" i="7"/>
  <c r="C1" i="7"/>
  <c r="B1" i="7"/>
  <c r="D1" i="6"/>
  <c r="C1" i="6"/>
  <c r="B1" i="6"/>
  <c r="D1" i="5"/>
  <c r="C1" i="5"/>
  <c r="B1" i="5"/>
  <c r="D1" i="4"/>
  <c r="C1" i="4"/>
  <c r="B1" i="4"/>
  <c r="D1" i="2"/>
  <c r="B1" i="2"/>
  <c r="Q82" i="1" l="1"/>
  <c r="P82" i="1" l="1"/>
  <c r="O82" i="1" l="1"/>
  <c r="D37" i="2" l="1"/>
  <c r="D40" i="2"/>
  <c r="D49" i="2"/>
  <c r="D8" i="2"/>
  <c r="D6" i="2"/>
  <c r="D16" i="2"/>
  <c r="D14" i="2"/>
  <c r="D26" i="2"/>
  <c r="D52" i="2"/>
  <c r="D65" i="2"/>
  <c r="D21" i="2"/>
  <c r="D47" i="2"/>
  <c r="D64" i="2"/>
  <c r="D7" i="2"/>
  <c r="D60" i="2"/>
  <c r="D73" i="2"/>
  <c r="D42" i="2"/>
  <c r="D74" i="2"/>
  <c r="D69" i="2"/>
  <c r="D36" i="2"/>
  <c r="D32" i="2"/>
  <c r="D72" i="2"/>
  <c r="D4" i="2"/>
  <c r="D25" i="2"/>
  <c r="D15" i="2"/>
  <c r="D34" i="2"/>
  <c r="D20" i="2"/>
  <c r="D66" i="2"/>
  <c r="D56" i="2"/>
  <c r="D30" i="2"/>
  <c r="D55" i="2"/>
  <c r="D43" i="2"/>
  <c r="D59" i="2"/>
  <c r="D68" i="2"/>
  <c r="D23" i="2"/>
  <c r="D77" i="2"/>
  <c r="D44" i="2"/>
  <c r="D39" i="2"/>
  <c r="D17" i="2"/>
  <c r="D12" i="2"/>
  <c r="D22" i="2"/>
  <c r="D28" i="2"/>
  <c r="D76" i="2"/>
  <c r="D10" i="2"/>
  <c r="D71" i="2"/>
  <c r="D41" i="2"/>
  <c r="D38" i="2"/>
  <c r="D70" i="2"/>
  <c r="D78" i="2"/>
  <c r="D5" i="2"/>
  <c r="D18" i="2"/>
  <c r="D31" i="2"/>
  <c r="D45" i="2"/>
  <c r="D33" i="2"/>
  <c r="D53" i="2"/>
  <c r="D19" i="2"/>
  <c r="D57" i="2"/>
  <c r="D2" i="2"/>
  <c r="D81" i="1"/>
  <c r="D83" i="1" s="1"/>
  <c r="D51" i="2"/>
  <c r="D24" i="2"/>
  <c r="D58" i="2"/>
  <c r="D13" i="2"/>
  <c r="D11" i="2"/>
  <c r="D3" i="2"/>
  <c r="D29" i="2"/>
  <c r="D54" i="2"/>
  <c r="D63" i="2"/>
  <c r="D27" i="2"/>
  <c r="D48" i="2"/>
  <c r="D61" i="2"/>
  <c r="D9" i="2"/>
  <c r="D50" i="2"/>
  <c r="D67" i="2"/>
  <c r="D35" i="2"/>
  <c r="D46" i="2"/>
  <c r="D75" i="2"/>
  <c r="D62" i="2"/>
  <c r="B63" i="5" l="1"/>
  <c r="B38" i="5"/>
  <c r="B36" i="5"/>
  <c r="B72" i="5"/>
  <c r="B40" i="5"/>
  <c r="B62" i="5"/>
  <c r="B25" i="5"/>
  <c r="B16" i="5"/>
  <c r="B6" i="5"/>
  <c r="B73" i="5"/>
  <c r="B65" i="5"/>
  <c r="B33" i="5"/>
  <c r="B60" i="5"/>
  <c r="B10" i="5"/>
  <c r="B5" i="5"/>
  <c r="B9" i="5"/>
  <c r="B29" i="5"/>
  <c r="B56" i="5"/>
  <c r="B77" i="5"/>
  <c r="B34" i="5"/>
  <c r="B26" i="5"/>
  <c r="B27" i="5"/>
  <c r="B53" i="5"/>
  <c r="B68" i="5"/>
  <c r="B55" i="5"/>
  <c r="B3" i="5"/>
  <c r="B37" i="5"/>
  <c r="B75" i="5"/>
  <c r="B47" i="5"/>
  <c r="B76" i="5"/>
  <c r="B11" i="5"/>
  <c r="B58" i="5"/>
  <c r="B31" i="5"/>
  <c r="B19" i="5"/>
  <c r="B69" i="5"/>
  <c r="B61" i="5"/>
  <c r="B42" i="5"/>
  <c r="B24" i="5"/>
  <c r="B28" i="5"/>
  <c r="B43" i="5"/>
  <c r="B23" i="5"/>
  <c r="B21" i="5"/>
  <c r="B74" i="5"/>
  <c r="B46" i="5"/>
  <c r="B22" i="5"/>
  <c r="B57" i="5"/>
  <c r="B50" i="5"/>
  <c r="B35" i="5"/>
  <c r="B48" i="5"/>
  <c r="B49" i="5"/>
  <c r="B14" i="5"/>
  <c r="B67" i="5"/>
  <c r="B17" i="5"/>
  <c r="B13" i="5"/>
  <c r="B71" i="5"/>
  <c r="B12" i="5"/>
  <c r="B51" i="5"/>
  <c r="B66" i="5"/>
  <c r="B41" i="5"/>
  <c r="B8" i="5"/>
  <c r="B70" i="5"/>
  <c r="B52" i="5"/>
  <c r="B44" i="5"/>
  <c r="B7" i="5"/>
  <c r="B39" i="5"/>
  <c r="B18" i="5"/>
  <c r="B20" i="5"/>
  <c r="B4" i="5"/>
  <c r="B54" i="5"/>
  <c r="B59" i="5"/>
  <c r="B30" i="5"/>
  <c r="B45" i="5"/>
  <c r="B64" i="5"/>
  <c r="B32" i="5"/>
  <c r="B15" i="5"/>
  <c r="D63" i="7"/>
  <c r="D71" i="7"/>
  <c r="D54" i="7"/>
  <c r="D44" i="7"/>
  <c r="D77" i="7"/>
  <c r="D40" i="7"/>
  <c r="D51" i="7"/>
  <c r="D32" i="7"/>
  <c r="D70" i="7"/>
  <c r="D27" i="7"/>
  <c r="D65" i="7"/>
  <c r="D72" i="7"/>
  <c r="D39" i="7"/>
  <c r="D43" i="7"/>
  <c r="D69" i="7"/>
  <c r="D61" i="7"/>
  <c r="D50" i="7"/>
  <c r="D62" i="7"/>
  <c r="D52" i="7"/>
  <c r="D64" i="7"/>
  <c r="D76" i="7"/>
  <c r="D12" i="7"/>
  <c r="D56" i="7"/>
  <c r="D67" i="7"/>
  <c r="D14" i="7"/>
  <c r="D35" i="7"/>
  <c r="D78" i="7"/>
  <c r="D33" i="7"/>
  <c r="D58" i="7"/>
  <c r="D28" i="7"/>
  <c r="D25" i="7"/>
  <c r="D10" i="7"/>
  <c r="D36" i="7"/>
  <c r="D47" i="7"/>
  <c r="D16" i="7"/>
  <c r="D48" i="7"/>
  <c r="D45" i="7"/>
  <c r="D38" i="7"/>
  <c r="D7" i="7"/>
  <c r="D17" i="7"/>
  <c r="D73" i="7"/>
  <c r="D68" i="7"/>
  <c r="D13" i="7"/>
  <c r="D57" i="7"/>
  <c r="D55" i="7"/>
  <c r="D74" i="7"/>
  <c r="D42" i="7"/>
  <c r="D75" i="7"/>
  <c r="D66" i="7"/>
  <c r="D31" i="7"/>
  <c r="D59" i="7"/>
  <c r="D8" i="7"/>
  <c r="D60" i="7"/>
  <c r="D46" i="7"/>
  <c r="D30" i="7"/>
  <c r="D24" i="7"/>
  <c r="D34" i="7"/>
  <c r="D23" i="7"/>
  <c r="D18" i="7"/>
  <c r="D11" i="7"/>
  <c r="D5" i="7"/>
  <c r="D15" i="7"/>
  <c r="D41" i="7"/>
  <c r="D19" i="7"/>
  <c r="D4" i="7"/>
  <c r="D53" i="7"/>
  <c r="D9" i="7"/>
  <c r="D20" i="7"/>
  <c r="D26" i="7"/>
  <c r="D22" i="7"/>
  <c r="D21" i="7"/>
  <c r="D6" i="7"/>
  <c r="D49" i="7"/>
  <c r="D3" i="7"/>
  <c r="D29" i="7"/>
  <c r="D37" i="7"/>
  <c r="C63" i="5"/>
  <c r="C38" i="5"/>
  <c r="C72" i="5"/>
  <c r="C26" i="5"/>
  <c r="C25" i="5"/>
  <c r="C58" i="5"/>
  <c r="C70" i="5"/>
  <c r="C68" i="5"/>
  <c r="C10" i="5"/>
  <c r="C32" i="5"/>
  <c r="C73" i="5"/>
  <c r="C54" i="5"/>
  <c r="C42" i="5"/>
  <c r="C59" i="5"/>
  <c r="C16" i="5"/>
  <c r="C14" i="5"/>
  <c r="C44" i="5"/>
  <c r="C6" i="5"/>
  <c r="C77" i="5"/>
  <c r="C40" i="5"/>
  <c r="C31" i="5"/>
  <c r="C53" i="5"/>
  <c r="C22" i="5"/>
  <c r="C17" i="5"/>
  <c r="C48" i="5"/>
  <c r="C9" i="5"/>
  <c r="C67" i="5"/>
  <c r="C20" i="5"/>
  <c r="C19" i="5"/>
  <c r="C33" i="5"/>
  <c r="C28" i="5"/>
  <c r="C39" i="5"/>
  <c r="C50" i="5"/>
  <c r="C61" i="5"/>
  <c r="C29" i="5"/>
  <c r="C65" i="5"/>
  <c r="C11" i="5"/>
  <c r="C64" i="5"/>
  <c r="C24" i="5"/>
  <c r="C74" i="5"/>
  <c r="C55" i="5"/>
  <c r="C45" i="5"/>
  <c r="C46" i="5"/>
  <c r="C5" i="5"/>
  <c r="C60" i="5"/>
  <c r="C8" i="5"/>
  <c r="C37" i="5"/>
  <c r="C51" i="5"/>
  <c r="C43" i="5"/>
  <c r="C69" i="5"/>
  <c r="C7" i="5"/>
  <c r="C15" i="5"/>
  <c r="C52" i="5"/>
  <c r="C21" i="5"/>
  <c r="C57" i="5"/>
  <c r="C4" i="5"/>
  <c r="C71" i="5"/>
  <c r="C30" i="5"/>
  <c r="C49" i="5"/>
  <c r="C56" i="5"/>
  <c r="C75" i="5"/>
  <c r="C18" i="5"/>
  <c r="C12" i="5"/>
  <c r="C3" i="5"/>
  <c r="C62" i="5"/>
  <c r="C76" i="5"/>
  <c r="C41" i="5"/>
  <c r="C13" i="5"/>
  <c r="C35" i="5"/>
  <c r="C27" i="5"/>
  <c r="C36" i="5"/>
  <c r="C47" i="5"/>
  <c r="C66" i="5"/>
  <c r="C23" i="5"/>
  <c r="C34" i="5"/>
  <c r="C63" i="4"/>
  <c r="C38" i="4"/>
  <c r="C43" i="4"/>
  <c r="C70" i="4"/>
  <c r="C71" i="4"/>
  <c r="C17" i="4"/>
  <c r="C11" i="4"/>
  <c r="C53" i="4"/>
  <c r="C7" i="4"/>
  <c r="C44" i="4"/>
  <c r="C16" i="4"/>
  <c r="C50" i="4"/>
  <c r="C51" i="4"/>
  <c r="C65" i="4"/>
  <c r="C40" i="4"/>
  <c r="C61" i="4"/>
  <c r="C54" i="4"/>
  <c r="C58" i="4"/>
  <c r="C4" i="4"/>
  <c r="C55" i="4"/>
  <c r="C56" i="4"/>
  <c r="C72" i="4"/>
  <c r="C68" i="4"/>
  <c r="C39" i="4"/>
  <c r="C35" i="4"/>
  <c r="C64" i="4"/>
  <c r="C24" i="4"/>
  <c r="C5" i="4"/>
  <c r="C20" i="4"/>
  <c r="C74" i="4"/>
  <c r="C6" i="4"/>
  <c r="C42" i="4"/>
  <c r="C34" i="4"/>
  <c r="C26" i="4"/>
  <c r="C62" i="4"/>
  <c r="C46" i="4"/>
  <c r="C32" i="4"/>
  <c r="C23" i="4"/>
  <c r="C13" i="4"/>
  <c r="C36" i="4"/>
  <c r="C31" i="4"/>
  <c r="C47" i="4"/>
  <c r="C21" i="4"/>
  <c r="C67" i="4"/>
  <c r="C25" i="4"/>
  <c r="C45" i="4"/>
  <c r="C8" i="4"/>
  <c r="C57" i="4"/>
  <c r="C52" i="4"/>
  <c r="C69" i="4"/>
  <c r="C30" i="4"/>
  <c r="C60" i="4"/>
  <c r="C18" i="4"/>
  <c r="C37" i="4"/>
  <c r="C48" i="4"/>
  <c r="C29" i="4"/>
  <c r="C73" i="4"/>
  <c r="C28" i="4"/>
  <c r="C77" i="4"/>
  <c r="C12" i="4"/>
  <c r="C66" i="4"/>
  <c r="C10" i="4"/>
  <c r="C15" i="4"/>
  <c r="C41" i="4"/>
  <c r="C49" i="4"/>
  <c r="C9" i="4"/>
  <c r="C75" i="4"/>
  <c r="C3" i="4"/>
  <c r="C19" i="4"/>
  <c r="C76" i="4"/>
  <c r="C14" i="4"/>
  <c r="C27" i="4"/>
  <c r="C59" i="4"/>
  <c r="D63" i="5"/>
  <c r="D38" i="5"/>
  <c r="D74" i="5"/>
  <c r="D62" i="5"/>
  <c r="D53" i="5"/>
  <c r="D68" i="5"/>
  <c r="D65" i="5"/>
  <c r="D55" i="5"/>
  <c r="D67" i="5"/>
  <c r="D73" i="5"/>
  <c r="D70" i="5"/>
  <c r="D71" i="5"/>
  <c r="D36" i="5"/>
  <c r="D39" i="5"/>
  <c r="D31" i="5"/>
  <c r="D34" i="5"/>
  <c r="D23" i="5"/>
  <c r="D27" i="5"/>
  <c r="D66" i="5"/>
  <c r="D77" i="5"/>
  <c r="D54" i="5"/>
  <c r="D43" i="5"/>
  <c r="D42" i="5"/>
  <c r="D47" i="5"/>
  <c r="D28" i="5"/>
  <c r="D69" i="5"/>
  <c r="D9" i="5"/>
  <c r="D44" i="5"/>
  <c r="D60" i="5"/>
  <c r="D75" i="5"/>
  <c r="D40" i="5"/>
  <c r="D58" i="5"/>
  <c r="D52" i="5"/>
  <c r="D51" i="5"/>
  <c r="D21" i="5"/>
  <c r="D57" i="5"/>
  <c r="D41" i="5"/>
  <c r="D20" i="5"/>
  <c r="D11" i="5"/>
  <c r="D19" i="5"/>
  <c r="D64" i="5"/>
  <c r="D61" i="5"/>
  <c r="D25" i="5"/>
  <c r="D16" i="5"/>
  <c r="D30" i="5"/>
  <c r="D29" i="5"/>
  <c r="D8" i="5"/>
  <c r="D13" i="5"/>
  <c r="D76" i="5"/>
  <c r="D33" i="5"/>
  <c r="D24" i="5"/>
  <c r="D18" i="5"/>
  <c r="D22" i="5"/>
  <c r="D12" i="5"/>
  <c r="D49" i="5"/>
  <c r="D7" i="5"/>
  <c r="D45" i="5"/>
  <c r="D50" i="5"/>
  <c r="D46" i="5"/>
  <c r="D35" i="5"/>
  <c r="D5" i="5"/>
  <c r="D14" i="5"/>
  <c r="D3" i="5"/>
  <c r="D4" i="5"/>
  <c r="D6" i="5"/>
  <c r="D56" i="5"/>
  <c r="D72" i="5"/>
  <c r="D15" i="5"/>
  <c r="D26" i="5"/>
  <c r="D32" i="5"/>
  <c r="D59" i="5"/>
  <c r="D48" i="5"/>
  <c r="D17" i="5"/>
  <c r="C63" i="8"/>
  <c r="C74" i="8"/>
  <c r="C3" i="8"/>
  <c r="C29" i="8"/>
  <c r="C13" i="8"/>
  <c r="C14" i="8"/>
  <c r="C30" i="8"/>
  <c r="C28" i="8"/>
  <c r="C31" i="8"/>
  <c r="C68" i="8"/>
  <c r="C71" i="8"/>
  <c r="C38" i="8"/>
  <c r="C4" i="8"/>
  <c r="C8" i="8"/>
  <c r="C11" i="8"/>
  <c r="C66" i="8"/>
  <c r="C67" i="8"/>
  <c r="C47" i="8"/>
  <c r="C39" i="8"/>
  <c r="C70" i="8"/>
  <c r="C17" i="8"/>
  <c r="C45" i="8"/>
  <c r="C25" i="8"/>
  <c r="C54" i="8"/>
  <c r="C77" i="8"/>
  <c r="C48" i="8"/>
  <c r="C22" i="8"/>
  <c r="C19" i="8"/>
  <c r="C37" i="8"/>
  <c r="C41" i="8"/>
  <c r="C59" i="8"/>
  <c r="C18" i="8"/>
  <c r="C26" i="8"/>
  <c r="C33" i="8"/>
  <c r="C40" i="8"/>
  <c r="C57" i="8"/>
  <c r="C21" i="8"/>
  <c r="C53" i="8"/>
  <c r="C50" i="8"/>
  <c r="C20" i="8"/>
  <c r="C44" i="8"/>
  <c r="C6" i="8"/>
  <c r="C5" i="8"/>
  <c r="C16" i="8"/>
  <c r="C32" i="8"/>
  <c r="C24" i="8"/>
  <c r="C58" i="8"/>
  <c r="C12" i="8"/>
  <c r="C42" i="8"/>
  <c r="C62" i="8"/>
  <c r="C36" i="8"/>
  <c r="C76" i="8"/>
  <c r="C49" i="8"/>
  <c r="C52" i="8"/>
  <c r="C51" i="8"/>
  <c r="C46" i="8"/>
  <c r="C61" i="8"/>
  <c r="C73" i="8"/>
  <c r="C56" i="8"/>
  <c r="C7" i="8"/>
  <c r="C23" i="8"/>
  <c r="C27" i="8"/>
  <c r="C60" i="8"/>
  <c r="C69" i="8"/>
  <c r="C34" i="8"/>
  <c r="C65" i="8"/>
  <c r="C43" i="8"/>
  <c r="C75" i="8"/>
  <c r="C15" i="8"/>
  <c r="C10" i="8"/>
  <c r="C64" i="8"/>
  <c r="C72" i="8"/>
  <c r="C55" i="8"/>
  <c r="C9" i="8"/>
  <c r="C35" i="8"/>
  <c r="C63" i="7"/>
  <c r="C69" i="7"/>
  <c r="C32" i="7"/>
  <c r="C25" i="7"/>
  <c r="C45" i="7"/>
  <c r="C41" i="7"/>
  <c r="C4" i="7"/>
  <c r="C51" i="7"/>
  <c r="C71" i="7"/>
  <c r="C27" i="7"/>
  <c r="C22" i="7"/>
  <c r="C20" i="7"/>
  <c r="C14" i="7"/>
  <c r="C77" i="7"/>
  <c r="C61" i="7"/>
  <c r="C18" i="7"/>
  <c r="C55" i="7"/>
  <c r="C70" i="7"/>
  <c r="C35" i="7"/>
  <c r="C10" i="7"/>
  <c r="C21" i="7"/>
  <c r="C7" i="7"/>
  <c r="C62" i="7"/>
  <c r="C16" i="7"/>
  <c r="C56" i="7"/>
  <c r="C54" i="7"/>
  <c r="C15" i="7"/>
  <c r="C9" i="7"/>
  <c r="C26" i="7"/>
  <c r="C65" i="7"/>
  <c r="C12" i="7"/>
  <c r="C53" i="7"/>
  <c r="C29" i="7"/>
  <c r="C72" i="7"/>
  <c r="C44" i="7"/>
  <c r="C39" i="7"/>
  <c r="C5" i="7"/>
  <c r="C40" i="7"/>
  <c r="C8" i="7"/>
  <c r="C50" i="7"/>
  <c r="C66" i="7"/>
  <c r="C6" i="7"/>
  <c r="C3" i="7"/>
  <c r="C19" i="7"/>
  <c r="C11" i="7"/>
  <c r="C59" i="7"/>
  <c r="C49" i="7"/>
  <c r="C43" i="7"/>
  <c r="C37" i="7"/>
  <c r="C34" i="7"/>
  <c r="C13" i="7"/>
  <c r="C76" i="7"/>
  <c r="C64" i="7"/>
  <c r="C67" i="7"/>
  <c r="C36" i="7"/>
  <c r="C47" i="7"/>
  <c r="C75" i="7"/>
  <c r="C74" i="7"/>
  <c r="C42" i="7"/>
  <c r="C33" i="7"/>
  <c r="C17" i="7"/>
  <c r="C73" i="7"/>
  <c r="C52" i="7"/>
  <c r="C78" i="7"/>
  <c r="C46" i="7"/>
  <c r="C60" i="7"/>
  <c r="C30" i="7"/>
  <c r="C31" i="7"/>
  <c r="C48" i="7"/>
  <c r="C58" i="7"/>
  <c r="C38" i="7"/>
  <c r="C28" i="7"/>
  <c r="C24" i="7"/>
  <c r="C68" i="7"/>
  <c r="C23" i="7"/>
  <c r="C57" i="7"/>
  <c r="B63" i="6"/>
  <c r="B38" i="6"/>
  <c r="B75" i="6"/>
  <c r="B71" i="6"/>
  <c r="B16" i="6"/>
  <c r="B31" i="6"/>
  <c r="B66" i="6"/>
  <c r="B8" i="6"/>
  <c r="B45" i="6"/>
  <c r="B29" i="6"/>
  <c r="B3" i="6"/>
  <c r="B19" i="6"/>
  <c r="B43" i="6"/>
  <c r="B70" i="6"/>
  <c r="B22" i="6"/>
  <c r="B28" i="6"/>
  <c r="B27" i="6"/>
  <c r="B7" i="6"/>
  <c r="B37" i="6"/>
  <c r="B40" i="6"/>
  <c r="B49" i="6"/>
  <c r="B76" i="6"/>
  <c r="B58" i="6"/>
  <c r="B65" i="6"/>
  <c r="B5" i="6"/>
  <c r="B21" i="6"/>
  <c r="B11" i="6"/>
  <c r="B4" i="6"/>
  <c r="B15" i="6"/>
  <c r="B53" i="6"/>
  <c r="B50" i="6"/>
  <c r="B61" i="6"/>
  <c r="B39" i="6"/>
  <c r="B48" i="6"/>
  <c r="B30" i="6"/>
  <c r="B23" i="6"/>
  <c r="B56" i="6"/>
  <c r="B9" i="6"/>
  <c r="B72" i="6"/>
  <c r="B24" i="6"/>
  <c r="B34" i="6"/>
  <c r="B6" i="6"/>
  <c r="B12" i="6"/>
  <c r="B25" i="6"/>
  <c r="B42" i="6"/>
  <c r="B52" i="6"/>
  <c r="B44" i="6"/>
  <c r="B54" i="6"/>
  <c r="B35" i="6"/>
  <c r="B47" i="6"/>
  <c r="B64" i="6"/>
  <c r="B14" i="6"/>
  <c r="B41" i="6"/>
  <c r="B18" i="6"/>
  <c r="B10" i="6"/>
  <c r="B55" i="6"/>
  <c r="B74" i="6"/>
  <c r="B32" i="6"/>
  <c r="B69" i="6"/>
  <c r="B46" i="6"/>
  <c r="B67" i="6"/>
  <c r="B17" i="6"/>
  <c r="B59" i="6"/>
  <c r="B36" i="6"/>
  <c r="B20" i="6"/>
  <c r="B51" i="6"/>
  <c r="B68" i="6"/>
  <c r="B60" i="6"/>
  <c r="B26" i="6"/>
  <c r="B13" i="6"/>
  <c r="B77" i="6"/>
  <c r="B57" i="6"/>
  <c r="B73" i="6"/>
  <c r="B33" i="6"/>
  <c r="B62" i="6"/>
  <c r="D63" i="8"/>
  <c r="D72" i="8"/>
  <c r="D77" i="8"/>
  <c r="D55" i="8"/>
  <c r="D9" i="8"/>
  <c r="D48" i="8"/>
  <c r="D22" i="8"/>
  <c r="D62" i="8"/>
  <c r="D35" i="8"/>
  <c r="D61" i="8"/>
  <c r="D64" i="8"/>
  <c r="D74" i="8"/>
  <c r="D3" i="8"/>
  <c r="D29" i="8"/>
  <c r="D13" i="8"/>
  <c r="D14" i="8"/>
  <c r="D30" i="8"/>
  <c r="D28" i="8"/>
  <c r="D31" i="8"/>
  <c r="D68" i="8"/>
  <c r="D39" i="8"/>
  <c r="D70" i="8"/>
  <c r="D44" i="8"/>
  <c r="D5" i="8"/>
  <c r="D16" i="8"/>
  <c r="D32" i="8"/>
  <c r="D24" i="8"/>
  <c r="D27" i="8"/>
  <c r="D34" i="8"/>
  <c r="D15" i="8"/>
  <c r="D45" i="8"/>
  <c r="D71" i="8"/>
  <c r="D38" i="8"/>
  <c r="D4" i="8"/>
  <c r="D8" i="8"/>
  <c r="D11" i="8"/>
  <c r="D66" i="8"/>
  <c r="D67" i="8"/>
  <c r="D47" i="8"/>
  <c r="D58" i="8"/>
  <c r="D75" i="8"/>
  <c r="D53" i="8"/>
  <c r="D25" i="8"/>
  <c r="D19" i="8"/>
  <c r="D37" i="8"/>
  <c r="D41" i="8"/>
  <c r="D59" i="8"/>
  <c r="D18" i="8"/>
  <c r="D26" i="8"/>
  <c r="D33" i="8"/>
  <c r="D40" i="8"/>
  <c r="D50" i="8"/>
  <c r="D20" i="8"/>
  <c r="D6" i="8"/>
  <c r="D60" i="8"/>
  <c r="D65" i="8"/>
  <c r="D43" i="8"/>
  <c r="D10" i="8"/>
  <c r="D46" i="8"/>
  <c r="D36" i="8"/>
  <c r="D76" i="8"/>
  <c r="D49" i="8"/>
  <c r="D57" i="8"/>
  <c r="D17" i="8"/>
  <c r="D12" i="8"/>
  <c r="D21" i="8"/>
  <c r="D52" i="8"/>
  <c r="D42" i="8"/>
  <c r="D51" i="8"/>
  <c r="D73" i="8"/>
  <c r="D56" i="8"/>
  <c r="D7" i="8"/>
  <c r="D23" i="8"/>
  <c r="D69" i="8"/>
  <c r="D54" i="8"/>
  <c r="C2" i="2"/>
  <c r="C63" i="6"/>
  <c r="C38" i="6"/>
  <c r="C19" i="6"/>
  <c r="C71" i="6"/>
  <c r="C51" i="6"/>
  <c r="C16" i="6"/>
  <c r="C12" i="6"/>
  <c r="C66" i="6"/>
  <c r="C8" i="6"/>
  <c r="C45" i="6"/>
  <c r="C70" i="6"/>
  <c r="C6" i="6"/>
  <c r="C50" i="6"/>
  <c r="C58" i="6"/>
  <c r="C42" i="6"/>
  <c r="C5" i="6"/>
  <c r="C17" i="6"/>
  <c r="C11" i="6"/>
  <c r="C4" i="6"/>
  <c r="C15" i="6"/>
  <c r="C53" i="6"/>
  <c r="C72" i="6"/>
  <c r="C61" i="6"/>
  <c r="C31" i="6"/>
  <c r="C48" i="6"/>
  <c r="C65" i="6"/>
  <c r="C56" i="6"/>
  <c r="C9" i="6"/>
  <c r="C74" i="6"/>
  <c r="C24" i="6"/>
  <c r="C52" i="6"/>
  <c r="C64" i="6"/>
  <c r="C34" i="6"/>
  <c r="C40" i="6"/>
  <c r="C3" i="6"/>
  <c r="C29" i="6"/>
  <c r="C44" i="6"/>
  <c r="C54" i="6"/>
  <c r="C32" i="6"/>
  <c r="C39" i="6"/>
  <c r="C21" i="6"/>
  <c r="C67" i="6"/>
  <c r="C26" i="6"/>
  <c r="C59" i="6"/>
  <c r="C25" i="6"/>
  <c r="C20" i="6"/>
  <c r="C75" i="6"/>
  <c r="C28" i="6"/>
  <c r="C27" i="6"/>
  <c r="C77" i="6"/>
  <c r="C76" i="6"/>
  <c r="C47" i="6"/>
  <c r="C33" i="6"/>
  <c r="C10" i="6"/>
  <c r="C36" i="6"/>
  <c r="C22" i="6"/>
  <c r="C23" i="6"/>
  <c r="C55" i="6"/>
  <c r="C73" i="6"/>
  <c r="C46" i="6"/>
  <c r="C7" i="6"/>
  <c r="C57" i="6"/>
  <c r="C43" i="6"/>
  <c r="C30" i="6"/>
  <c r="C18" i="6"/>
  <c r="C41" i="6"/>
  <c r="C35" i="6"/>
  <c r="C14" i="6"/>
  <c r="C13" i="6"/>
  <c r="C62" i="6"/>
  <c r="C69" i="6"/>
  <c r="C37" i="6"/>
  <c r="C68" i="6"/>
  <c r="C60" i="6"/>
  <c r="C49" i="6"/>
  <c r="B63" i="4"/>
  <c r="B38" i="4"/>
  <c r="B71" i="4"/>
  <c r="B28" i="4"/>
  <c r="B26" i="4"/>
  <c r="B35" i="4"/>
  <c r="B18" i="4"/>
  <c r="B7" i="4"/>
  <c r="B34" i="4"/>
  <c r="B70" i="4"/>
  <c r="B50" i="4"/>
  <c r="B43" i="4"/>
  <c r="B19" i="4"/>
  <c r="B30" i="4"/>
  <c r="B39" i="4"/>
  <c r="B59" i="4"/>
  <c r="B45" i="4"/>
  <c r="B48" i="4"/>
  <c r="B16" i="4"/>
  <c r="B73" i="4"/>
  <c r="B14" i="4"/>
  <c r="B66" i="4"/>
  <c r="B24" i="4"/>
  <c r="B44" i="4"/>
  <c r="B57" i="4"/>
  <c r="B77" i="4"/>
  <c r="B54" i="4"/>
  <c r="B17" i="4"/>
  <c r="B25" i="4"/>
  <c r="B37" i="4"/>
  <c r="B55" i="4"/>
  <c r="B29" i="4"/>
  <c r="B75" i="4"/>
  <c r="B40" i="4"/>
  <c r="B13" i="4"/>
  <c r="B10" i="4"/>
  <c r="B15" i="4"/>
  <c r="B20" i="4"/>
  <c r="B49" i="4"/>
  <c r="B51" i="4"/>
  <c r="B64" i="4"/>
  <c r="B61" i="4"/>
  <c r="B53" i="4"/>
  <c r="B58" i="4"/>
  <c r="B3" i="4"/>
  <c r="B76" i="4"/>
  <c r="B68" i="4"/>
  <c r="B33" i="4"/>
  <c r="B62" i="4"/>
  <c r="B41" i="4"/>
  <c r="B5" i="4"/>
  <c r="B65" i="4"/>
  <c r="B4" i="4"/>
  <c r="B72" i="4"/>
  <c r="B42" i="4"/>
  <c r="B46" i="4"/>
  <c r="B47" i="4"/>
  <c r="B69" i="4"/>
  <c r="B6" i="4"/>
  <c r="B8" i="4"/>
  <c r="B56" i="4"/>
  <c r="B74" i="4"/>
  <c r="B31" i="4"/>
  <c r="B21" i="4"/>
  <c r="B67" i="4"/>
  <c r="B22" i="4"/>
  <c r="B32" i="4"/>
  <c r="B27" i="4"/>
  <c r="B36" i="4"/>
  <c r="B52" i="4"/>
  <c r="B12" i="4"/>
  <c r="B60" i="4"/>
  <c r="B11" i="4"/>
  <c r="B9" i="4"/>
  <c r="B23" i="4"/>
  <c r="D63" i="6"/>
  <c r="D38" i="6"/>
  <c r="D72" i="6"/>
  <c r="D51" i="6"/>
  <c r="D64" i="6"/>
  <c r="D17" i="6"/>
  <c r="D67" i="6"/>
  <c r="D59" i="6"/>
  <c r="D45" i="6"/>
  <c r="D9" i="6"/>
  <c r="D11" i="6"/>
  <c r="D56" i="6"/>
  <c r="D74" i="6"/>
  <c r="D68" i="6"/>
  <c r="D33" i="6"/>
  <c r="D13" i="6"/>
  <c r="D60" i="6"/>
  <c r="D53" i="6"/>
  <c r="D37" i="6"/>
  <c r="D44" i="6"/>
  <c r="D57" i="6"/>
  <c r="D36" i="6"/>
  <c r="D42" i="6"/>
  <c r="D46" i="6"/>
  <c r="D58" i="6"/>
  <c r="D66" i="6"/>
  <c r="D41" i="6"/>
  <c r="D15" i="6"/>
  <c r="D55" i="6"/>
  <c r="D29" i="6"/>
  <c r="D31" i="6"/>
  <c r="D26" i="6"/>
  <c r="D24" i="6"/>
  <c r="D75" i="6"/>
  <c r="D5" i="6"/>
  <c r="D20" i="6"/>
  <c r="D49" i="6"/>
  <c r="D73" i="6"/>
  <c r="D52" i="6"/>
  <c r="D21" i="6"/>
  <c r="D32" i="6"/>
  <c r="D70" i="6"/>
  <c r="D48" i="6"/>
  <c r="D77" i="6"/>
  <c r="D39" i="6"/>
  <c r="D3" i="6"/>
  <c r="D19" i="6"/>
  <c r="D28" i="6"/>
  <c r="D30" i="6"/>
  <c r="D65" i="6"/>
  <c r="D25" i="6"/>
  <c r="D61" i="6"/>
  <c r="D27" i="6"/>
  <c r="D16" i="6"/>
  <c r="D22" i="6"/>
  <c r="D76" i="6"/>
  <c r="D71" i="6"/>
  <c r="D54" i="6"/>
  <c r="D12" i="6"/>
  <c r="D34" i="6"/>
  <c r="D18" i="6"/>
  <c r="D23" i="6"/>
  <c r="D7" i="6"/>
  <c r="D6" i="6"/>
  <c r="D8" i="6"/>
  <c r="D43" i="6"/>
  <c r="D4" i="6"/>
  <c r="D40" i="6"/>
  <c r="D14" i="6"/>
  <c r="D69" i="6"/>
  <c r="D10" i="6"/>
  <c r="D35" i="6"/>
  <c r="D62" i="6"/>
  <c r="D50" i="6"/>
  <c r="D47" i="6"/>
  <c r="L81" i="1" l="1"/>
  <c r="L83" i="1" s="1"/>
  <c r="C2" i="6"/>
  <c r="C69" i="2"/>
  <c r="C67" i="2"/>
  <c r="B73" i="2"/>
  <c r="B21" i="2"/>
  <c r="B7" i="8"/>
  <c r="B59" i="8"/>
  <c r="D51" i="4"/>
  <c r="D26" i="4"/>
  <c r="B77" i="7"/>
  <c r="C15" i="2"/>
  <c r="C16" i="2"/>
  <c r="B15" i="8"/>
  <c r="B56" i="8"/>
  <c r="B49" i="8"/>
  <c r="B5" i="8"/>
  <c r="B67" i="8"/>
  <c r="D12" i="4"/>
  <c r="D19" i="4"/>
  <c r="D24" i="4"/>
  <c r="D28" i="4"/>
  <c r="D25" i="4"/>
  <c r="D70" i="4"/>
  <c r="B39" i="7"/>
  <c r="B6" i="7"/>
  <c r="B70" i="7"/>
  <c r="B8" i="7"/>
  <c r="B59" i="7"/>
  <c r="B14" i="7"/>
  <c r="B2" i="4"/>
  <c r="E81" i="1"/>
  <c r="E83" i="1" s="1"/>
  <c r="C6" i="2"/>
  <c r="C27" i="2"/>
  <c r="C68" i="2"/>
  <c r="C51" i="2"/>
  <c r="C18" i="2"/>
  <c r="C77" i="2"/>
  <c r="C62" i="2"/>
  <c r="C74" i="2"/>
  <c r="C53" i="2"/>
  <c r="B77" i="2"/>
  <c r="B39" i="2"/>
  <c r="B56" i="2"/>
  <c r="B41" i="2"/>
  <c r="B72" i="2"/>
  <c r="B26" i="2"/>
  <c r="B24" i="2"/>
  <c r="B28" i="2"/>
  <c r="B34" i="2"/>
  <c r="B20" i="2"/>
  <c r="J81" i="1"/>
  <c r="J83" i="1" s="1"/>
  <c r="D2" i="5"/>
  <c r="B54" i="8"/>
  <c r="B75" i="8"/>
  <c r="B73" i="8"/>
  <c r="B23" i="8"/>
  <c r="B76" i="8"/>
  <c r="B6" i="8"/>
  <c r="B51" i="8"/>
  <c r="B37" i="8"/>
  <c r="B66" i="8"/>
  <c r="D37" i="4"/>
  <c r="D40" i="4"/>
  <c r="D56" i="4"/>
  <c r="D4" i="4"/>
  <c r="D68" i="4"/>
  <c r="D30" i="4"/>
  <c r="D54" i="4"/>
  <c r="D11" i="4"/>
  <c r="D14" i="4"/>
  <c r="D74" i="4"/>
  <c r="B3" i="7"/>
  <c r="B44" i="7"/>
  <c r="B9" i="7"/>
  <c r="B22" i="7"/>
  <c r="B51" i="7"/>
  <c r="B46" i="7"/>
  <c r="B53" i="7"/>
  <c r="B11" i="7"/>
  <c r="B52" i="7"/>
  <c r="B34" i="7"/>
  <c r="C4" i="2"/>
  <c r="C38" i="2"/>
  <c r="B6" i="2"/>
  <c r="B16" i="2"/>
  <c r="B45" i="8"/>
  <c r="B63" i="8"/>
  <c r="D73" i="4"/>
  <c r="D33" i="4"/>
  <c r="D43" i="4"/>
  <c r="B40" i="7"/>
  <c r="C61" i="2"/>
  <c r="C11" i="2"/>
  <c r="B78" i="2"/>
  <c r="B63" i="2"/>
  <c r="B72" i="8"/>
  <c r="B69" i="8"/>
  <c r="B65" i="8"/>
  <c r="B41" i="8"/>
  <c r="D5" i="4"/>
  <c r="D55" i="4"/>
  <c r="D6" i="4"/>
  <c r="D13" i="4"/>
  <c r="B74" i="7"/>
  <c r="B32" i="7"/>
  <c r="B47" i="7"/>
  <c r="C54" i="2"/>
  <c r="C34" i="2"/>
  <c r="C42" i="2"/>
  <c r="C48" i="2"/>
  <c r="C10" i="2"/>
  <c r="C55" i="2"/>
  <c r="C36" i="2"/>
  <c r="C32" i="2"/>
  <c r="C30" i="2"/>
  <c r="B55" i="2"/>
  <c r="B52" i="2"/>
  <c r="B66" i="2"/>
  <c r="B4" i="2"/>
  <c r="B67" i="2"/>
  <c r="B50" i="2"/>
  <c r="B46" i="2"/>
  <c r="B61" i="2"/>
  <c r="B31" i="2"/>
  <c r="T81" i="1"/>
  <c r="T83" i="1" s="1"/>
  <c r="C2" i="8"/>
  <c r="B64" i="8"/>
  <c r="B43" i="8"/>
  <c r="B68" i="8"/>
  <c r="B42" i="8"/>
  <c r="B36" i="8"/>
  <c r="B44" i="8"/>
  <c r="B58" i="8"/>
  <c r="B11" i="8"/>
  <c r="D48" i="4"/>
  <c r="D49" i="4"/>
  <c r="D57" i="4"/>
  <c r="D59" i="4"/>
  <c r="D69" i="4"/>
  <c r="D21" i="4"/>
  <c r="D62" i="4"/>
  <c r="D35" i="4"/>
  <c r="D45" i="4"/>
  <c r="D38" i="4"/>
  <c r="B25" i="7"/>
  <c r="B42" i="7"/>
  <c r="B62" i="7"/>
  <c r="B16" i="7"/>
  <c r="B72" i="7"/>
  <c r="B76" i="7"/>
  <c r="B24" i="7"/>
  <c r="B58" i="7"/>
  <c r="B73" i="7"/>
  <c r="B31" i="7"/>
  <c r="C21" i="2"/>
  <c r="C75" i="2"/>
  <c r="C37" i="2"/>
  <c r="B77" i="8"/>
  <c r="B57" i="8"/>
  <c r="B47" i="8"/>
  <c r="D36" i="4"/>
  <c r="B48" i="7"/>
  <c r="B66" i="7"/>
  <c r="C63" i="2"/>
  <c r="B45" i="2"/>
  <c r="B35" i="2"/>
  <c r="B69" i="2"/>
  <c r="D10" i="5"/>
  <c r="D37" i="5"/>
  <c r="C28" i="2"/>
  <c r="C45" i="2"/>
  <c r="C76" i="2"/>
  <c r="C39" i="2"/>
  <c r="C8" i="2"/>
  <c r="C31" i="2"/>
  <c r="C44" i="2"/>
  <c r="C78" i="2"/>
  <c r="C73" i="2"/>
  <c r="U81" i="1"/>
  <c r="U83" i="1" s="1"/>
  <c r="D2" i="8"/>
  <c r="B47" i="2"/>
  <c r="B53" i="2"/>
  <c r="B17" i="2"/>
  <c r="B27" i="2"/>
  <c r="B7" i="2"/>
  <c r="B23" i="2"/>
  <c r="B76" i="2"/>
  <c r="B33" i="2"/>
  <c r="B58" i="2"/>
  <c r="C33" i="4"/>
  <c r="C22" i="4"/>
  <c r="B30" i="8"/>
  <c r="B46" i="8"/>
  <c r="B29" i="8"/>
  <c r="B13" i="8"/>
  <c r="B52" i="8"/>
  <c r="B61" i="8"/>
  <c r="B20" i="8"/>
  <c r="B40" i="8"/>
  <c r="B19" i="8"/>
  <c r="B8" i="8"/>
  <c r="D42" i="4"/>
  <c r="D44" i="4"/>
  <c r="D9" i="4"/>
  <c r="D17" i="4"/>
  <c r="D3" i="4"/>
  <c r="D64" i="4"/>
  <c r="D65" i="4"/>
  <c r="D47" i="4"/>
  <c r="D41" i="4"/>
  <c r="D63" i="4"/>
  <c r="H81" i="1"/>
  <c r="H83" i="1" s="1"/>
  <c r="B2" i="5"/>
  <c r="B29" i="7"/>
  <c r="B36" i="7"/>
  <c r="B26" i="7"/>
  <c r="B7" i="7"/>
  <c r="B4" i="7"/>
  <c r="B43" i="7"/>
  <c r="B64" i="7"/>
  <c r="B69" i="7"/>
  <c r="B57" i="7"/>
  <c r="B78" i="7"/>
  <c r="C70" i="2"/>
  <c r="B32" i="2"/>
  <c r="B57" i="2"/>
  <c r="B16" i="8"/>
  <c r="D15" i="4"/>
  <c r="D60" i="4"/>
  <c r="B20" i="7"/>
  <c r="B17" i="7"/>
  <c r="C7" i="2"/>
  <c r="C20" i="2"/>
  <c r="C57" i="2"/>
  <c r="B11" i="2"/>
  <c r="B25" i="2"/>
  <c r="M81" i="1"/>
  <c r="M83" i="1" s="1"/>
  <c r="D2" i="6"/>
  <c r="C29" i="2"/>
  <c r="C5" i="2"/>
  <c r="C12" i="2"/>
  <c r="C3" i="2"/>
  <c r="C58" i="2"/>
  <c r="C66" i="2"/>
  <c r="C17" i="2"/>
  <c r="C81" i="1"/>
  <c r="C83" i="1" s="1"/>
  <c r="C35" i="2"/>
  <c r="C47" i="2"/>
  <c r="B42" i="2"/>
  <c r="B74" i="2"/>
  <c r="B48" i="2"/>
  <c r="B14" i="2"/>
  <c r="B3" i="2"/>
  <c r="B8" i="2"/>
  <c r="B15" i="2"/>
  <c r="B19" i="2"/>
  <c r="B64" i="2"/>
  <c r="B14" i="8"/>
  <c r="B25" i="8"/>
  <c r="B48" i="8"/>
  <c r="B35" i="8"/>
  <c r="B21" i="8"/>
  <c r="B62" i="8"/>
  <c r="B50" i="8"/>
  <c r="B33" i="8"/>
  <c r="S81" i="1"/>
  <c r="S83" i="1" s="1"/>
  <c r="B2" i="8"/>
  <c r="B4" i="8"/>
  <c r="I81" i="1"/>
  <c r="I83" i="1" s="1"/>
  <c r="C2" i="5"/>
  <c r="D32" i="4"/>
  <c r="D16" i="4"/>
  <c r="D10" i="4"/>
  <c r="D18" i="4"/>
  <c r="D8" i="4"/>
  <c r="D76" i="4"/>
  <c r="D7" i="4"/>
  <c r="D77" i="4"/>
  <c r="D22" i="4"/>
  <c r="B60" i="7"/>
  <c r="B15" i="7"/>
  <c r="B67" i="7"/>
  <c r="B35" i="7"/>
  <c r="B56" i="7"/>
  <c r="B50" i="7"/>
  <c r="B71" i="7"/>
  <c r="B28" i="7"/>
  <c r="B55" i="7"/>
  <c r="B38" i="7"/>
  <c r="B40" i="2"/>
  <c r="B34" i="8"/>
  <c r="D71" i="4"/>
  <c r="B21" i="7"/>
  <c r="C33" i="2"/>
  <c r="B70" i="2"/>
  <c r="B51" i="2"/>
  <c r="C56" i="2"/>
  <c r="C41" i="2"/>
  <c r="C65" i="2"/>
  <c r="C49" i="2"/>
  <c r="C19" i="2"/>
  <c r="C52" i="2"/>
  <c r="C13" i="2"/>
  <c r="C25" i="2"/>
  <c r="C72" i="2"/>
  <c r="C24" i="2"/>
  <c r="K81" i="1"/>
  <c r="K83" i="1" s="1"/>
  <c r="B2" i="6"/>
  <c r="B68" i="2"/>
  <c r="B65" i="2"/>
  <c r="B71" i="2"/>
  <c r="B59" i="2"/>
  <c r="B5" i="2"/>
  <c r="B12" i="2"/>
  <c r="B49" i="2"/>
  <c r="B13" i="2"/>
  <c r="B37" i="2"/>
  <c r="B75" i="2"/>
  <c r="C2" i="7"/>
  <c r="C80" i="7" s="1"/>
  <c r="P81" i="1"/>
  <c r="P83" i="1" s="1"/>
  <c r="F81" i="1"/>
  <c r="F83" i="1" s="1"/>
  <c r="C2" i="4"/>
  <c r="B3" i="8"/>
  <c r="B10" i="8"/>
  <c r="B60" i="8"/>
  <c r="B22" i="8"/>
  <c r="B12" i="8"/>
  <c r="B24" i="8"/>
  <c r="B31" i="8"/>
  <c r="B26" i="8"/>
  <c r="B70" i="8"/>
  <c r="B38" i="8"/>
  <c r="D72" i="4"/>
  <c r="D23" i="4"/>
  <c r="D27" i="4"/>
  <c r="D66" i="4"/>
  <c r="D31" i="4"/>
  <c r="D34" i="4"/>
  <c r="D29" i="4"/>
  <c r="D61" i="4"/>
  <c r="D52" i="4"/>
  <c r="D2" i="7"/>
  <c r="D80" i="7" s="1"/>
  <c r="Q81" i="1"/>
  <c r="Q83" i="1" s="1"/>
  <c r="B41" i="7"/>
  <c r="B45" i="7"/>
  <c r="B30" i="7"/>
  <c r="B33" i="7"/>
  <c r="B13" i="7"/>
  <c r="B5" i="7"/>
  <c r="B49" i="7"/>
  <c r="B19" i="7"/>
  <c r="B37" i="7"/>
  <c r="B63" i="7"/>
  <c r="C9" i="2"/>
  <c r="C26" i="2"/>
  <c r="B36" i="2"/>
  <c r="B18" i="2"/>
  <c r="B2" i="2"/>
  <c r="B81" i="1"/>
  <c r="B83" i="1" s="1"/>
  <c r="B74" i="8"/>
  <c r="B68" i="7"/>
  <c r="B2" i="7"/>
  <c r="O81" i="1"/>
  <c r="O83" i="1" s="1"/>
  <c r="C71" i="2"/>
  <c r="B9" i="2"/>
  <c r="C40" i="2"/>
  <c r="C23" i="2"/>
  <c r="C64" i="2"/>
  <c r="C14" i="2"/>
  <c r="C43" i="2"/>
  <c r="C22" i="2"/>
  <c r="C60" i="2"/>
  <c r="C46" i="2"/>
  <c r="C59" i="2"/>
  <c r="C50" i="2"/>
  <c r="B43" i="2"/>
  <c r="B44" i="2"/>
  <c r="B54" i="2"/>
  <c r="B62" i="2"/>
  <c r="B10" i="2"/>
  <c r="B22" i="2"/>
  <c r="B30" i="2"/>
  <c r="B29" i="2"/>
  <c r="B60" i="2"/>
  <c r="B38" i="2"/>
  <c r="B55" i="8"/>
  <c r="B53" i="8"/>
  <c r="B27" i="8"/>
  <c r="B9" i="8"/>
  <c r="B17" i="8"/>
  <c r="B32" i="8"/>
  <c r="B28" i="8"/>
  <c r="B18" i="8"/>
  <c r="B39" i="8"/>
  <c r="B71" i="8"/>
  <c r="G81" i="1"/>
  <c r="G83" i="1" s="1"/>
  <c r="D2" i="4"/>
  <c r="D58" i="4"/>
  <c r="D50" i="4"/>
  <c r="D75" i="4"/>
  <c r="D46" i="4"/>
  <c r="D53" i="4"/>
  <c r="D20" i="4"/>
  <c r="D39" i="4"/>
  <c r="D67" i="4"/>
  <c r="B12" i="7"/>
  <c r="B10" i="7"/>
  <c r="B65" i="7"/>
  <c r="B54" i="7"/>
  <c r="B61" i="7"/>
  <c r="B75" i="7"/>
  <c r="B23" i="7"/>
  <c r="B27" i="7"/>
  <c r="B18" i="7"/>
  <c r="W81" i="1" l="1"/>
  <c r="R81" i="1"/>
  <c r="V81" i="1"/>
  <c r="X81" i="1"/>
  <c r="V83" i="1"/>
  <c r="Y81" i="1"/>
  <c r="B80" i="7"/>
  <c r="N81" i="1"/>
  <c r="Z81" i="1" l="1"/>
  <c r="Y82" i="1" l="1"/>
  <c r="Y83" i="1" s="1"/>
</calcChain>
</file>

<file path=xl/sharedStrings.xml><?xml version="1.0" encoding="utf-8"?>
<sst xmlns="http://schemas.openxmlformats.org/spreadsheetml/2006/main" count="129" uniqueCount="88">
  <si>
    <t>Total</t>
  </si>
  <si>
    <t>Bilateral</t>
  </si>
  <si>
    <t>Agente</t>
  </si>
  <si>
    <t>Sheet</t>
  </si>
  <si>
    <t>Control</t>
  </si>
  <si>
    <t>Convenio 10%</t>
  </si>
  <si>
    <t>AlyCs por RosVal</t>
  </si>
  <si>
    <t>Ingresos por liquidaciones</t>
  </si>
  <si>
    <t>Intereses por desc. cta. cte.</t>
  </si>
  <si>
    <t>FCI - ACDI</t>
  </si>
  <si>
    <t>Convenio estándar</t>
  </si>
  <si>
    <t>ARGENTINA</t>
  </si>
  <si>
    <t>BRASIL</t>
  </si>
  <si>
    <t>PALMEIRAS</t>
  </si>
  <si>
    <t>FLAMENGO</t>
  </si>
  <si>
    <t>LIMA</t>
  </si>
  <si>
    <t>PERU</t>
  </si>
  <si>
    <t>VITOR ROQUE</t>
  </si>
  <si>
    <t>MENGAO</t>
  </si>
  <si>
    <t>PAULISTA</t>
  </si>
  <si>
    <t>CARIOCAS</t>
  </si>
  <si>
    <t>BRUNO ENRIQUE</t>
  </si>
  <si>
    <t>FLACO LOPEZ</t>
  </si>
  <si>
    <t>DE ARRASCAETA</t>
  </si>
  <si>
    <t>GUSTAVO GOMEZ</t>
  </si>
  <si>
    <t>MUNILO</t>
  </si>
  <si>
    <t>CARLOS MIGUEL</t>
  </si>
  <si>
    <t>FELIPE MELO</t>
  </si>
  <si>
    <t>CARLES PUYOL</t>
  </si>
  <si>
    <t>CARRASCAL</t>
  </si>
  <si>
    <t>PULGAR</t>
  </si>
  <si>
    <t>PEREIRA</t>
  </si>
  <si>
    <t>RAMON SOSA</t>
  </si>
  <si>
    <t>DANILO</t>
  </si>
  <si>
    <t>ROSSI</t>
  </si>
  <si>
    <t>VARELA</t>
  </si>
  <si>
    <t>LINO</t>
  </si>
  <si>
    <t>ALAN</t>
  </si>
  <si>
    <t>ALEXANDRO</t>
  </si>
  <si>
    <t>FUX</t>
  </si>
  <si>
    <t>JORGINHO</t>
  </si>
  <si>
    <t>PIQUEREZ</t>
  </si>
  <si>
    <t>HERRERA</t>
  </si>
  <si>
    <t>FILIPE LUIS</t>
  </si>
  <si>
    <t>DONALD TRUMP</t>
  </si>
  <si>
    <t>OBAMA</t>
  </si>
  <si>
    <t>GALLARDO</t>
  </si>
  <si>
    <t>CRESPO</t>
  </si>
  <si>
    <t>RONALDINHO</t>
  </si>
  <si>
    <t>NEYMAR</t>
  </si>
  <si>
    <t>LEONEL MESSI</t>
  </si>
  <si>
    <t>CRISTIANO RONALDO</t>
  </si>
  <si>
    <t>RODRIGO DE PAUL</t>
  </si>
  <si>
    <t>CHIQUI TAPIA</t>
  </si>
  <si>
    <t>DIBU MARTINEZ</t>
  </si>
  <si>
    <t>CUTI ROMERO</t>
  </si>
  <si>
    <t>PEPI ZAPATA</t>
  </si>
  <si>
    <t>TANO VELA</t>
  </si>
  <si>
    <t>JULIAN MAIDANA</t>
  </si>
  <si>
    <t>FERNANDO BELLUSCHI</t>
  </si>
  <si>
    <t>BOMBON ROSADA</t>
  </si>
  <si>
    <t>RUBEN CAPRIA</t>
  </si>
  <si>
    <t>IGNACIO SCOCCO</t>
  </si>
  <si>
    <t>MEMO BORGUELO</t>
  </si>
  <si>
    <t>JUSTO VILLAR</t>
  </si>
  <si>
    <t>GERMAN RE</t>
  </si>
  <si>
    <t>GUILLERMO MARINO</t>
  </si>
  <si>
    <t>SANTIAGO SALCEDO</t>
  </si>
  <si>
    <t>TACUARA CARDOZO</t>
  </si>
  <si>
    <t>ESCOPETA BOGHOSSIAN</t>
  </si>
  <si>
    <t>DAMIAN MANSO</t>
  </si>
  <si>
    <t>MAURO ROSALES</t>
  </si>
  <si>
    <t>TURCO HUSAIN</t>
  </si>
  <si>
    <t>LUCAS BERNARDI</t>
  </si>
  <si>
    <t>POMELO MATEO</t>
  </si>
  <si>
    <t>BURRITO ORTEGA</t>
  </si>
  <si>
    <t>MAXI RODRIGUEZ</t>
  </si>
  <si>
    <t>MILTON CASCO</t>
  </si>
  <si>
    <t>PATON GUZMAN</t>
  </si>
  <si>
    <t>PIRI VANGIONI</t>
  </si>
  <si>
    <t>TATA MARTINO</t>
  </si>
  <si>
    <t>MARCELO BIELSA</t>
  </si>
  <si>
    <t>DIEGO ARMANDO MARADONA</t>
  </si>
  <si>
    <t>COLOSO DEL PARQUE</t>
  </si>
  <si>
    <t>QATAR</t>
  </si>
  <si>
    <t>CAMPEONES DEL MUNDO</t>
  </si>
  <si>
    <t>SHEVSHENKO</t>
  </si>
  <si>
    <t>KUOLO MUANI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</si>
</sst>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3" fontId="0" fillId="0" borderId="0" xfId="0" applyNumberFormat="1"/>
    <xf numFmtId="3" fontId="2" fillId="3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3" fontId="0" fillId="0" borderId="3" xfId="0" applyNumberFormat="1" applyBorder="1"/>
    <xf numFmtId="3" fontId="0" fillId="8" borderId="0" xfId="0" applyNumberFormat="1" applyFill="1"/>
    <xf numFmtId="3" fontId="6" fillId="9" borderId="0" xfId="0" applyNumberFormat="1" applyFont="1" applyFill="1"/>
    <xf numFmtId="9" fontId="7" fillId="0" borderId="0" xfId="1" applyFont="1"/>
    <xf numFmtId="164" fontId="0" fillId="0" borderId="0" xfId="0" applyNumberFormat="1"/>
    <xf numFmtId="3" fontId="6" fillId="0" borderId="0" xfId="0" applyNumberFormat="1" applyFont="1"/>
    <xf numFmtId="9" fontId="7" fillId="0" borderId="0" xfId="1" applyFont="1" applyFill="1"/>
    <xf numFmtId="0" fontId="0" fillId="10" borderId="0" xfId="0" applyFill="1"/>
    <xf numFmtId="0" fontId="0" fillId="11" borderId="0" xfId="0" applyFill="1"/>
    <xf numFmtId="0" fontId="2" fillId="3" borderId="0" xfId="0" applyFont="1" applyFill="1"/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" fontId="2" fillId="3" borderId="0" xfId="0" applyNumberFormat="1" applyFont="1" applyFill="1" applyAlignment="1">
      <alignment horizontal="center" vertical="center"/>
    </xf>
    <xf numFmtId="17" fontId="4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2" fillId="3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7" fontId="0" fillId="0" borderId="0" xfId="0" applyNumberFormat="1"/>
    <xf numFmtId="43" fontId="0" fillId="0" borderId="0" xfId="2" applyFont="1"/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4" fontId="0" fillId="0" borderId="0" xfId="0" applyNumberFormat="1"/>
  </cellXfs>
  <cellStyles count="3">
    <cellStyle name="Millares" xfId="2" builtinId="3"/>
    <cellStyle name="Normal" xfId="0" builtinId="0"/>
    <cellStyle name="Porcentaje" xfId="1" builtinId="5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3600" b="1">
                <a:solidFill>
                  <a:sysClr val="windowText" lastClr="000000"/>
                </a:solidFill>
              </a:rPr>
              <a:t>Ranking de agentes por ingresos generados</a:t>
            </a:r>
          </a:p>
          <a:p>
            <a:pPr>
              <a:defRPr/>
            </a:pPr>
            <a:r>
              <a:rPr lang="es-A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Últimos 3 meses - Millones de ARS</a:t>
            </a:r>
          </a:p>
        </c:rich>
      </c:tx>
      <c:layout>
        <c:manualLayout>
          <c:xMode val="edge"/>
          <c:yMode val="edge"/>
          <c:x val="0.23187465592696235"/>
          <c:y val="3.9624863291808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4742300295575674E-2"/>
          <c:y val="0.12331539830690837"/>
          <c:w val="0.92587123616604805"/>
          <c:h val="0.6975738231511035"/>
        </c:manualLayout>
      </c:layout>
      <c:barChart>
        <c:barDir val="col"/>
        <c:grouping val="stacked"/>
        <c:varyColors val="0"/>
        <c:ser>
          <c:idx val="0"/>
          <c:order val="0"/>
          <c:tx>
            <c:v>Ingresos por liquidaciones</c:v>
          </c:tx>
          <c:spPr>
            <a:solidFill>
              <a:srgbClr val="416529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Agente'!$N$6:$N$16</c:f>
              <c:numCache>
                <c:formatCode>General</c:formatCode>
                <c:ptCount val="11"/>
                <c:pt idx="0">
                  <c:v>124375010.70064746</c:v>
                </c:pt>
                <c:pt idx="1">
                  <c:v>76967935.602563933</c:v>
                </c:pt>
                <c:pt idx="2">
                  <c:v>58032324.236626983</c:v>
                </c:pt>
                <c:pt idx="3">
                  <c:v>61420009.792320013</c:v>
                </c:pt>
                <c:pt idx="4">
                  <c:v>35587156.227029048</c:v>
                </c:pt>
                <c:pt idx="5">
                  <c:v>45410138.189999998</c:v>
                </c:pt>
                <c:pt idx="6">
                  <c:v>45164771.046859995</c:v>
                </c:pt>
                <c:pt idx="7">
                  <c:v>42496948.399999999</c:v>
                </c:pt>
                <c:pt idx="8">
                  <c:v>28942788.010000002</c:v>
                </c:pt>
                <c:pt idx="9">
                  <c:v>30826265.434999969</c:v>
                </c:pt>
                <c:pt idx="10">
                  <c:v>43200304.691221528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B-4240-8A0D-DBC97F9CAB8E}"/>
            </c:ext>
          </c:extLst>
        </c:ser>
        <c:ser>
          <c:idx val="4"/>
          <c:order val="1"/>
          <c:tx>
            <c:v>Intereses por desc. Cta. cte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Agente'!$R$6:$R$16</c:f>
              <c:numCache>
                <c:formatCode>General</c:formatCode>
                <c:ptCount val="11"/>
                <c:pt idx="0">
                  <c:v>1650798.1734962468</c:v>
                </c:pt>
                <c:pt idx="1">
                  <c:v>116701.84</c:v>
                </c:pt>
                <c:pt idx="2">
                  <c:v>373526.92</c:v>
                </c:pt>
                <c:pt idx="3">
                  <c:v>1122987.6400000001</c:v>
                </c:pt>
                <c:pt idx="4">
                  <c:v>1248575.0603205534</c:v>
                </c:pt>
                <c:pt idx="5">
                  <c:v>333272.81605951785</c:v>
                </c:pt>
                <c:pt idx="6">
                  <c:v>40635.9</c:v>
                </c:pt>
                <c:pt idx="7">
                  <c:v>5886412.5923736002</c:v>
                </c:pt>
                <c:pt idx="8">
                  <c:v>0</c:v>
                </c:pt>
                <c:pt idx="9">
                  <c:v>1783991.320585733</c:v>
                </c:pt>
                <c:pt idx="10">
                  <c:v>84279.7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B-4240-8A0D-DBC97F9CAB8E}"/>
            </c:ext>
          </c:extLst>
        </c:ser>
        <c:ser>
          <c:idx val="5"/>
          <c:order val="2"/>
          <c:tx>
            <c:v>FCI - ACDI</c:v>
          </c:tx>
          <c:spPr>
            <a:solidFill>
              <a:srgbClr val="A20000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Agente'!$V$6:$V$16</c:f>
              <c:numCache>
                <c:formatCode>General</c:formatCode>
                <c:ptCount val="11"/>
                <c:pt idx="0">
                  <c:v>1077640.8772666717</c:v>
                </c:pt>
                <c:pt idx="1">
                  <c:v>115333.90389333325</c:v>
                </c:pt>
                <c:pt idx="2">
                  <c:v>18715.992724444401</c:v>
                </c:pt>
                <c:pt idx="3">
                  <c:v>2463926.2601022236</c:v>
                </c:pt>
                <c:pt idx="4">
                  <c:v>2428779.6431911094</c:v>
                </c:pt>
                <c:pt idx="5">
                  <c:v>12228.487528888891</c:v>
                </c:pt>
                <c:pt idx="6">
                  <c:v>10343.572444444444</c:v>
                </c:pt>
                <c:pt idx="7">
                  <c:v>1251642.3657244444</c:v>
                </c:pt>
                <c:pt idx="8">
                  <c:v>17987.166844444448</c:v>
                </c:pt>
                <c:pt idx="9">
                  <c:v>4603160.0623555444</c:v>
                </c:pt>
                <c:pt idx="10">
                  <c:v>127390.0744266665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B-4240-8A0D-DBC97F9C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100"/>
        <c:axId val="1952442224"/>
        <c:axId val="1952452304"/>
      </c:barChart>
      <c:lineChart>
        <c:grouping val="standard"/>
        <c:varyColors val="0"/>
        <c:ser>
          <c:idx val="2"/>
          <c:order val="3"/>
          <c:tx>
            <c:v>Total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'[1]Por Agente'!$Z$6:$Z$16</c:f>
              <c:numCache>
                <c:formatCode>General</c:formatCode>
                <c:ptCount val="11"/>
                <c:pt idx="0">
                  <c:v>127103449.75141037</c:v>
                </c:pt>
                <c:pt idx="1">
                  <c:v>77199971.346457273</c:v>
                </c:pt>
                <c:pt idx="2">
                  <c:v>58424567.149351418</c:v>
                </c:pt>
                <c:pt idx="3">
                  <c:v>65006923.692422226</c:v>
                </c:pt>
                <c:pt idx="4">
                  <c:v>39264510.930540718</c:v>
                </c:pt>
                <c:pt idx="5">
                  <c:v>45755639.493588403</c:v>
                </c:pt>
                <c:pt idx="6">
                  <c:v>45215750.519304439</c:v>
                </c:pt>
                <c:pt idx="7">
                  <c:v>49635003.358098045</c:v>
                </c:pt>
                <c:pt idx="8">
                  <c:v>28960775.176844448</c:v>
                </c:pt>
                <c:pt idx="9">
                  <c:v>37213416.817941248</c:v>
                </c:pt>
                <c:pt idx="10">
                  <c:v>43411974.465648197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B-4240-8A0D-DBC97F9C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442224"/>
        <c:axId val="1952452304"/>
      </c:lineChart>
      <c:catAx>
        <c:axId val="19524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2452304"/>
        <c:crosses val="autoZero"/>
        <c:auto val="1"/>
        <c:lblAlgn val="ctr"/>
        <c:lblOffset val="100"/>
        <c:noMultiLvlLbl val="0"/>
      </c:catAx>
      <c:valAx>
        <c:axId val="1952452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244222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8249641497523636E-2"/>
                <c:y val="0.4980115558156786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3991387651216614"/>
          <c:y val="0.91643176524879533"/>
          <c:w val="0.52184667258341"/>
          <c:h val="4.9608449160878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3600" b="1">
                <a:solidFill>
                  <a:sysClr val="windowText" lastClr="000000"/>
                </a:solidFill>
              </a:rPr>
              <a:t>Ranking de agentes por ingresos generados</a:t>
            </a:r>
          </a:p>
          <a:p>
            <a:pPr>
              <a:defRPr/>
            </a:pPr>
            <a:r>
              <a:rPr lang="es-A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Últimos 3 meses - Millones de ARS</a:t>
            </a:r>
          </a:p>
        </c:rich>
      </c:tx>
      <c:layout>
        <c:manualLayout>
          <c:xMode val="edge"/>
          <c:yMode val="edge"/>
          <c:x val="0.23187465592696235"/>
          <c:y val="3.9624863291808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4742300295575674E-2"/>
          <c:y val="0.12331539830690837"/>
          <c:w val="0.92587123616604805"/>
          <c:h val="0.6975738231511035"/>
        </c:manualLayout>
      </c:layout>
      <c:barChart>
        <c:barDir val="col"/>
        <c:grouping val="stacked"/>
        <c:varyColors val="0"/>
        <c:ser>
          <c:idx val="0"/>
          <c:order val="0"/>
          <c:tx>
            <c:v>Ingresos por liquidaciones</c:v>
          </c:tx>
          <c:spPr>
            <a:solidFill>
              <a:srgbClr val="416529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Agente'!$N$6:$N$16</c:f>
              <c:numCache>
                <c:formatCode>General</c:formatCode>
                <c:ptCount val="11"/>
                <c:pt idx="0">
                  <c:v>124375010.70064746</c:v>
                </c:pt>
                <c:pt idx="1">
                  <c:v>76967935.602563933</c:v>
                </c:pt>
                <c:pt idx="2">
                  <c:v>58032324.236626983</c:v>
                </c:pt>
                <c:pt idx="3">
                  <c:v>61420009.792320013</c:v>
                </c:pt>
                <c:pt idx="4">
                  <c:v>35587156.227029048</c:v>
                </c:pt>
                <c:pt idx="5">
                  <c:v>45410138.189999998</c:v>
                </c:pt>
                <c:pt idx="6">
                  <c:v>45164771.046859995</c:v>
                </c:pt>
                <c:pt idx="7">
                  <c:v>42496948.399999999</c:v>
                </c:pt>
                <c:pt idx="8">
                  <c:v>28942788.010000002</c:v>
                </c:pt>
                <c:pt idx="9">
                  <c:v>30826265.434999969</c:v>
                </c:pt>
                <c:pt idx="10">
                  <c:v>43200304.691221528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A-4E81-92E0-69EDCFF9A9E8}"/>
            </c:ext>
          </c:extLst>
        </c:ser>
        <c:ser>
          <c:idx val="4"/>
          <c:order val="1"/>
          <c:tx>
            <c:v>Intereses por desc. Cta. cte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Agente'!$R$6:$R$16</c:f>
              <c:numCache>
                <c:formatCode>General</c:formatCode>
                <c:ptCount val="11"/>
                <c:pt idx="0">
                  <c:v>1650798.1734962468</c:v>
                </c:pt>
                <c:pt idx="1">
                  <c:v>116701.84</c:v>
                </c:pt>
                <c:pt idx="2">
                  <c:v>373526.92</c:v>
                </c:pt>
                <c:pt idx="3">
                  <c:v>1122987.6400000001</c:v>
                </c:pt>
                <c:pt idx="4">
                  <c:v>1248575.0603205534</c:v>
                </c:pt>
                <c:pt idx="5">
                  <c:v>333272.81605951785</c:v>
                </c:pt>
                <c:pt idx="6">
                  <c:v>40635.9</c:v>
                </c:pt>
                <c:pt idx="7">
                  <c:v>5886412.5923736002</c:v>
                </c:pt>
                <c:pt idx="8">
                  <c:v>0</c:v>
                </c:pt>
                <c:pt idx="9">
                  <c:v>1783991.320585733</c:v>
                </c:pt>
                <c:pt idx="10">
                  <c:v>84279.7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A-4E81-92E0-69EDCFF9A9E8}"/>
            </c:ext>
          </c:extLst>
        </c:ser>
        <c:ser>
          <c:idx val="5"/>
          <c:order val="2"/>
          <c:tx>
            <c:v>FCI - ACDI</c:v>
          </c:tx>
          <c:spPr>
            <a:solidFill>
              <a:srgbClr val="A20000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[0802] META Inversiones S.A.</c:v>
              </c:pt>
              <c:pt idx="1">
                <c:v>[0492] REGIONAL INVESTMENT CONSULTING S.A.</c:v>
              </c:pt>
              <c:pt idx="2">
                <c:v>[0483] COPPOLA INVERSIONES S.A.</c:v>
              </c:pt>
              <c:pt idx="3">
                <c:v>[0758] GOROSTIAGA BURSATIL S.A.</c:v>
              </c:pt>
              <c:pt idx="4">
                <c:v>[0687] DFC Capital Management S.A.</c:v>
              </c:pt>
              <c:pt idx="5">
                <c:v>[0432] First Capital Markets S.A.</c:v>
              </c:pt>
              <c:pt idx="6">
                <c:v>[0486] UG VALORES S.A.</c:v>
              </c:pt>
              <c:pt idx="7">
                <c:v>[0717] Barrilli S.A.</c:v>
              </c:pt>
              <c:pt idx="8">
                <c:v>[0435] Inverstart SA</c:v>
              </c:pt>
              <c:pt idx="9">
                <c:v>[0765] Hoss S.A</c:v>
              </c:pt>
              <c:pt idx="10">
                <c:v>[0624] LISTRO Valores S.A.</c:v>
              </c:pt>
            </c:strLit>
          </c:cat>
          <c:val>
            <c:numRef>
              <c:f>'[1]Por Agente'!$V$6:$V$16</c:f>
              <c:numCache>
                <c:formatCode>General</c:formatCode>
                <c:ptCount val="11"/>
                <c:pt idx="0">
                  <c:v>1077640.8772666717</c:v>
                </c:pt>
                <c:pt idx="1">
                  <c:v>115333.90389333325</c:v>
                </c:pt>
                <c:pt idx="2">
                  <c:v>18715.992724444401</c:v>
                </c:pt>
                <c:pt idx="3">
                  <c:v>2463926.2601022236</c:v>
                </c:pt>
                <c:pt idx="4">
                  <c:v>2428779.6431911094</c:v>
                </c:pt>
                <c:pt idx="5">
                  <c:v>12228.487528888891</c:v>
                </c:pt>
                <c:pt idx="6">
                  <c:v>10343.572444444444</c:v>
                </c:pt>
                <c:pt idx="7">
                  <c:v>1251642.3657244444</c:v>
                </c:pt>
                <c:pt idx="8">
                  <c:v>17987.166844444448</c:v>
                </c:pt>
                <c:pt idx="9">
                  <c:v>4603160.0623555444</c:v>
                </c:pt>
                <c:pt idx="10">
                  <c:v>127390.0744266665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A-4E81-92E0-69EDCFF9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100"/>
        <c:axId val="1952442224"/>
        <c:axId val="1952452304"/>
      </c:barChart>
      <c:lineChart>
        <c:grouping val="standard"/>
        <c:varyColors val="0"/>
        <c:ser>
          <c:idx val="2"/>
          <c:order val="3"/>
          <c:tx>
            <c:v>Total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'[1]Por Agente'!$Z$6:$Z$16</c:f>
              <c:numCache>
                <c:formatCode>General</c:formatCode>
                <c:ptCount val="11"/>
                <c:pt idx="0">
                  <c:v>127103449.75141037</c:v>
                </c:pt>
                <c:pt idx="1">
                  <c:v>77199971.346457273</c:v>
                </c:pt>
                <c:pt idx="2">
                  <c:v>58424567.149351418</c:v>
                </c:pt>
                <c:pt idx="3">
                  <c:v>65006923.692422226</c:v>
                </c:pt>
                <c:pt idx="4">
                  <c:v>39264510.930540718</c:v>
                </c:pt>
                <c:pt idx="5">
                  <c:v>45755639.493588403</c:v>
                </c:pt>
                <c:pt idx="6">
                  <c:v>45215750.519304439</c:v>
                </c:pt>
                <c:pt idx="7">
                  <c:v>49635003.358098045</c:v>
                </c:pt>
                <c:pt idx="8">
                  <c:v>28960775.176844448</c:v>
                </c:pt>
                <c:pt idx="9">
                  <c:v>37213416.817941248</c:v>
                </c:pt>
                <c:pt idx="10">
                  <c:v>43411974.465648197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A-4E81-92E0-69EDCFF9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442224"/>
        <c:axId val="1952452304"/>
      </c:lineChart>
      <c:catAx>
        <c:axId val="19524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2452304"/>
        <c:crosses val="autoZero"/>
        <c:auto val="1"/>
        <c:lblAlgn val="ctr"/>
        <c:lblOffset val="100"/>
        <c:noMultiLvlLbl val="0"/>
      </c:catAx>
      <c:valAx>
        <c:axId val="1952452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244222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8249641497523636E-2"/>
                <c:y val="0.4980115558156786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3991387651216614"/>
          <c:y val="0.91643176524879533"/>
          <c:w val="0.52184667258341"/>
          <c:h val="4.9608449160878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342900</xdr:colOff>
      <xdr:row>5</xdr:row>
      <xdr:rowOff>19050</xdr:rowOff>
    </xdr:from>
    <xdr:to>
      <xdr:col>50</xdr:col>
      <xdr:colOff>669156</xdr:colOff>
      <xdr:row>41</xdr:row>
      <xdr:rowOff>40294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7A559C-25D1-454B-8ACC-22F41CD13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342900</xdr:colOff>
      <xdr:row>7</xdr:row>
      <xdr:rowOff>19050</xdr:rowOff>
    </xdr:from>
    <xdr:to>
      <xdr:col>50</xdr:col>
      <xdr:colOff>669156</xdr:colOff>
      <xdr:row>43</xdr:row>
      <xdr:rowOff>40294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E1767E-7593-4727-8844-1BE6F4921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cadoargentinodevalores-my.sharepoint.com/personal/sabella_mav-sa_com_ar/Documents/ROSVAL/1.%20AN&#193;LISIS%20DE%20INGRESOS%20Y%20COSTOS/1.%20AN&#193;LISIS%20DE%20INGRESOS/Ingresos%20mensuales%20hist&#243;ricos.xlsx" TargetMode="External"/><Relationship Id="rId1" Type="http://schemas.openxmlformats.org/officeDocument/2006/relationships/externalLinkPath" Target="/personal/sabella_mav-sa_com_ar/Documents/ROSVAL/1.%20AN&#193;LISIS%20DE%20INGRESOS%20Y%20COSTOS/1.%20AN&#193;LISIS%20DE%20INGRESOS/Ingresos%20mensuales%20hist&#243;ric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cadoargentinodevalores-my.sharepoint.com/personal/sabella_mav-sa_com_ar/Documents/ROSVAL/1.%20AN&#193;LISIS%20DE%20INGRESOS%20Y%20COSTOS/1.%20AN&#193;LISIS%20DE%20INGRESOS/8.%20Otros/4.%20Volumen%20transaccional/10-25.xlsx" TargetMode="External"/><Relationship Id="rId1" Type="http://schemas.openxmlformats.org/officeDocument/2006/relationships/externalLinkPath" Target="/personal/sabella_mav-sa_com_ar/Documents/ROSVAL/1.%20AN&#193;LISIS%20DE%20INGRESOS%20Y%20COSTOS/1.%20AN&#193;LISIS%20DE%20INGRESOS/8.%20Otros/4.%20Volumen%20transaccional/10-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cadoargentinodevalores-my.sharepoint.com/personal/sabella_mav-sa_com_ar/Documents/ROSVAL/1.%20AN&#193;LISIS%20DE%20INGRESOS%20Y%20COSTOS/1.%20AN&#193;LISIS%20DE%20INGRESOS/8.%20Otros/2.%20Posici&#243;n%20valuada/10-25.xlsx" TargetMode="External"/><Relationship Id="rId1" Type="http://schemas.openxmlformats.org/officeDocument/2006/relationships/externalLinkPath" Target="/personal/sabella_mav-sa_com_ar/Documents/ROSVAL/1.%20AN&#193;LISIS%20DE%20INGRESOS%20Y%20COSTOS/1.%20AN&#193;LISIS%20DE%20INGRESOS/8.%20Otros/2.%20Posici&#243;n%20valuada/10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onvenio Estándar"/>
      <sheetName val="Institucionales"/>
      <sheetName val="Cant. Empresas Instit"/>
      <sheetName val="CEL"/>
      <sheetName val="Convenio 10%"/>
      <sheetName val="Bilateral"/>
      <sheetName val="ALyCs vía RosVal"/>
      <sheetName val="NO BORRAR"/>
      <sheetName val="Liquidaciones por segmento"/>
      <sheetName val="FCI - ACDI"/>
      <sheetName val="Intereses por desc. cta. cte."/>
      <sheetName val="Global"/>
      <sheetName val="Por Agente"/>
      <sheetName val="Por Agente - Anual"/>
      <sheetName val="Var % en ingresos"/>
      <sheetName val="Agentes que operaron en el mes"/>
      <sheetName val="Cant. Ag y Comitentes"/>
      <sheetName val="Posición valuada"/>
      <sheetName val="Dicc"/>
      <sheetName val="Perfil Agentes"/>
      <sheetName val="DEMO"/>
      <sheetName val="Exterior"/>
      <sheetName val="Descubiertos"/>
    </sheetNames>
    <sheetDataSet>
      <sheetData sheetId="0"/>
      <sheetData sheetId="1">
        <row r="3">
          <cell r="A3" t="str">
            <v>Agente</v>
          </cell>
        </row>
        <row r="101">
          <cell r="AS101">
            <v>126209124.84000006</v>
          </cell>
          <cell r="AT101">
            <v>198923401.62</v>
          </cell>
          <cell r="AU101">
            <v>222145339.38000008</v>
          </cell>
        </row>
      </sheetData>
      <sheetData sheetId="2"/>
      <sheetData sheetId="3"/>
      <sheetData sheetId="4"/>
      <sheetData sheetId="5">
        <row r="4">
          <cell r="A4" t="str">
            <v>Agente</v>
          </cell>
        </row>
        <row r="20">
          <cell r="AS20">
            <v>82059844.204029962</v>
          </cell>
          <cell r="AT20">
            <v>121618858.10312781</v>
          </cell>
          <cell r="AU20">
            <v>107156174.67084002</v>
          </cell>
        </row>
      </sheetData>
      <sheetData sheetId="6">
        <row r="3">
          <cell r="A3" t="str">
            <v>Agente</v>
          </cell>
        </row>
        <row r="49">
          <cell r="AT49">
            <v>-0.58217371090478909</v>
          </cell>
          <cell r="AU49">
            <v>0.90518852981997888</v>
          </cell>
          <cell r="AV49">
            <v>0.30974069330177989</v>
          </cell>
        </row>
      </sheetData>
      <sheetData sheetId="7">
        <row r="3">
          <cell r="A3" t="str">
            <v>Agente</v>
          </cell>
        </row>
      </sheetData>
      <sheetData sheetId="8"/>
      <sheetData sheetId="9"/>
      <sheetData sheetId="10">
        <row r="60">
          <cell r="A60" t="str">
            <v>Ingresos ROSVAL</v>
          </cell>
        </row>
        <row r="120">
          <cell r="AS120">
            <v>4248660.1803555489</v>
          </cell>
          <cell r="AT120">
            <v>5210523.185511101</v>
          </cell>
          <cell r="AU120">
            <v>5061842.4510933356</v>
          </cell>
        </row>
      </sheetData>
      <sheetData sheetId="11">
        <row r="3">
          <cell r="A3" t="str">
            <v>Agente</v>
          </cell>
        </row>
        <row r="81">
          <cell r="AS81">
            <v>4618809.7061866159</v>
          </cell>
          <cell r="AT81">
            <v>10462371.639999997</v>
          </cell>
          <cell r="AU81">
            <v>1753215.2100000009</v>
          </cell>
        </row>
      </sheetData>
      <sheetData sheetId="12"/>
      <sheetData sheetId="13">
        <row r="5">
          <cell r="B5">
            <v>45870</v>
          </cell>
        </row>
        <row r="6">
          <cell r="N6">
            <v>124375010.70064746</v>
          </cell>
          <cell r="R6">
            <v>1650798.1734962468</v>
          </cell>
          <cell r="V6">
            <v>1077640.8772666717</v>
          </cell>
          <cell r="Z6">
            <v>127103449.75141037</v>
          </cell>
        </row>
        <row r="7">
          <cell r="N7">
            <v>76967935.602563933</v>
          </cell>
          <cell r="R7">
            <v>116701.84</v>
          </cell>
          <cell r="V7">
            <v>115333.90389333325</v>
          </cell>
          <cell r="Z7">
            <v>77199971.346457273</v>
          </cell>
        </row>
        <row r="8">
          <cell r="N8">
            <v>58032324.236626983</v>
          </cell>
          <cell r="R8">
            <v>373526.92</v>
          </cell>
          <cell r="V8">
            <v>18715.992724444401</v>
          </cell>
          <cell r="Z8">
            <v>58424567.149351418</v>
          </cell>
        </row>
        <row r="9">
          <cell r="N9">
            <v>61420009.792320013</v>
          </cell>
          <cell r="R9">
            <v>1122987.6400000001</v>
          </cell>
          <cell r="V9">
            <v>2463926.2601022236</v>
          </cell>
          <cell r="Z9">
            <v>65006923.692422226</v>
          </cell>
        </row>
        <row r="10">
          <cell r="N10">
            <v>35587156.227029048</v>
          </cell>
          <cell r="R10">
            <v>1248575.0603205534</v>
          </cell>
          <cell r="V10">
            <v>2428779.6431911094</v>
          </cell>
          <cell r="Z10">
            <v>39264510.930540718</v>
          </cell>
        </row>
        <row r="11">
          <cell r="N11">
            <v>45410138.189999998</v>
          </cell>
          <cell r="R11">
            <v>333272.81605951785</v>
          </cell>
          <cell r="V11">
            <v>12228.487528888891</v>
          </cell>
          <cell r="Z11">
            <v>45755639.493588403</v>
          </cell>
        </row>
        <row r="12">
          <cell r="N12">
            <v>45164771.046859995</v>
          </cell>
          <cell r="R12">
            <v>40635.9</v>
          </cell>
          <cell r="V12">
            <v>10343.572444444444</v>
          </cell>
          <cell r="Z12">
            <v>45215750.519304439</v>
          </cell>
        </row>
        <row r="13">
          <cell r="N13">
            <v>42496948.399999999</v>
          </cell>
          <cell r="R13">
            <v>5886412.5923736002</v>
          </cell>
          <cell r="V13">
            <v>1251642.3657244444</v>
          </cell>
          <cell r="Z13">
            <v>49635003.358098045</v>
          </cell>
        </row>
        <row r="14">
          <cell r="N14">
            <v>28942788.010000002</v>
          </cell>
          <cell r="R14">
            <v>0</v>
          </cell>
          <cell r="V14">
            <v>17987.166844444448</v>
          </cell>
          <cell r="Z14">
            <v>28960775.176844448</v>
          </cell>
        </row>
        <row r="15">
          <cell r="N15">
            <v>30826265.434999969</v>
          </cell>
          <cell r="R15">
            <v>1783991.320585733</v>
          </cell>
          <cell r="V15">
            <v>4603160.0623555444</v>
          </cell>
          <cell r="Z15">
            <v>37213416.817941248</v>
          </cell>
        </row>
        <row r="16">
          <cell r="N16">
            <v>43200304.691221528</v>
          </cell>
          <cell r="R16">
            <v>84279.7</v>
          </cell>
          <cell r="V16">
            <v>127390.0744266665</v>
          </cell>
          <cell r="Z16">
            <v>43411974.465648197</v>
          </cell>
        </row>
      </sheetData>
      <sheetData sheetId="14">
        <row r="96">
          <cell r="CJ96">
            <v>395500329.06411964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 cuent"/>
      <sheetName val="Funcion #unicos"/>
      <sheetName val="mercado"/>
      <sheetName val="instructivo"/>
    </sheetNames>
    <sheetDataSet>
      <sheetData sheetId="0">
        <row r="1">
          <cell r="A1" t="str">
            <v>Moneda</v>
          </cell>
          <cell r="B1" t="str">
            <v>ID cuenta</v>
          </cell>
          <cell r="C1" t="str">
            <v>Denominacion</v>
          </cell>
          <cell r="G1" t="str">
            <v>total</v>
          </cell>
          <cell r="H1" t="str">
            <v>TOT EN ARS</v>
          </cell>
          <cell r="I1" t="str">
            <v>COD</v>
          </cell>
        </row>
        <row r="2">
          <cell r="A2" t="str">
            <v>ARS</v>
          </cell>
          <cell r="B2" t="str">
            <v>000000101</v>
          </cell>
          <cell r="C2" t="str">
            <v>LERNER CAPITAL S.A.</v>
          </cell>
          <cell r="G2">
            <v>292005506.13999999</v>
          </cell>
          <cell r="H2">
            <v>292005506.13999999</v>
          </cell>
          <cell r="I2" t="str">
            <v>000</v>
          </cell>
        </row>
        <row r="3">
          <cell r="A3" t="str">
            <v>ARS</v>
          </cell>
          <cell r="B3" t="str">
            <v>114000114</v>
          </cell>
          <cell r="C3" t="str">
            <v>Rosario Valores S.A. - Contrapartida</v>
          </cell>
          <cell r="G3">
            <v>523259404.10000002</v>
          </cell>
          <cell r="H3">
            <v>523259404.10000002</v>
          </cell>
          <cell r="I3" t="str">
            <v>114</v>
          </cell>
        </row>
        <row r="4">
          <cell r="A4" t="str">
            <v>ARS</v>
          </cell>
          <cell r="B4" t="str">
            <v>114000134</v>
          </cell>
          <cell r="C4" t="str">
            <v>BCSA SD AXIS CAPITAL I</v>
          </cell>
          <cell r="G4">
            <v>1628910766.5599999</v>
          </cell>
          <cell r="H4">
            <v>1628910766.5599999</v>
          </cell>
          <cell r="I4" t="str">
            <v>114</v>
          </cell>
        </row>
        <row r="5">
          <cell r="A5" t="str">
            <v>ARS</v>
          </cell>
          <cell r="B5" t="str">
            <v>114000135</v>
          </cell>
          <cell r="C5" t="str">
            <v>AXIS SOCIEDAD GERENTE DE FONDOS COMUNES DE INVERSION S.A.</v>
          </cell>
          <cell r="G5">
            <v>41464032501.769997</v>
          </cell>
          <cell r="H5">
            <v>41464032501.769997</v>
          </cell>
          <cell r="I5" t="str">
            <v>114</v>
          </cell>
        </row>
        <row r="6">
          <cell r="A6" t="str">
            <v>ARS</v>
          </cell>
          <cell r="B6" t="str">
            <v>114000177</v>
          </cell>
          <cell r="C6" t="str">
            <v>FCI AXIS ESTRATEGIA 18</v>
          </cell>
          <cell r="G6">
            <v>573748854.24000001</v>
          </cell>
          <cell r="H6">
            <v>573748854.24000001</v>
          </cell>
          <cell r="I6" t="str">
            <v>114</v>
          </cell>
        </row>
        <row r="7">
          <cell r="A7" t="str">
            <v>ARS</v>
          </cell>
          <cell r="B7" t="str">
            <v>114000197</v>
          </cell>
          <cell r="C7" t="str">
            <v>POTENCIAR SGR</v>
          </cell>
          <cell r="G7">
            <v>3870848.47</v>
          </cell>
          <cell r="H7">
            <v>3870848.47</v>
          </cell>
          <cell r="I7" t="str">
            <v>114</v>
          </cell>
        </row>
        <row r="8">
          <cell r="A8" t="str">
            <v>ARS</v>
          </cell>
          <cell r="B8" t="str">
            <v>114000198</v>
          </cell>
          <cell r="C8" t="str">
            <v>CONFEDERAR NEA SGR</v>
          </cell>
          <cell r="G8">
            <v>27811587.309999999</v>
          </cell>
          <cell r="H8">
            <v>27811587.309999999</v>
          </cell>
          <cell r="I8" t="str">
            <v>114</v>
          </cell>
        </row>
        <row r="9">
          <cell r="A9" t="str">
            <v>ARS</v>
          </cell>
          <cell r="B9" t="str">
            <v>114000593</v>
          </cell>
          <cell r="C9" t="str">
            <v>Mercado Ganadero S.A.</v>
          </cell>
          <cell r="G9">
            <v>8939328.8399999999</v>
          </cell>
          <cell r="H9">
            <v>8939328.8399999999</v>
          </cell>
          <cell r="I9" t="str">
            <v>114</v>
          </cell>
        </row>
        <row r="10">
          <cell r="A10" t="str">
            <v>ARS</v>
          </cell>
          <cell r="B10" t="str">
            <v>114114005</v>
          </cell>
          <cell r="C10" t="str">
            <v>ROSVAL - Operaciones Mesa Trading</v>
          </cell>
          <cell r="G10">
            <v>111116703281.07001</v>
          </cell>
          <cell r="H10">
            <v>111116703281.07001</v>
          </cell>
          <cell r="I10" t="str">
            <v>114</v>
          </cell>
        </row>
        <row r="11">
          <cell r="A11" t="str">
            <v>ARS</v>
          </cell>
          <cell r="B11" t="str">
            <v>114114100</v>
          </cell>
          <cell r="C11" t="str">
            <v>Ignacio Tillard</v>
          </cell>
          <cell r="G11">
            <v>99157900712.270004</v>
          </cell>
          <cell r="H11">
            <v>99157900712.270004</v>
          </cell>
          <cell r="I11" t="str">
            <v>114</v>
          </cell>
        </row>
        <row r="12">
          <cell r="A12" t="str">
            <v>ARS</v>
          </cell>
          <cell r="B12" t="str">
            <v>114114103</v>
          </cell>
          <cell r="C12" t="str">
            <v>GREENFIELD CAPITAL MARKETS S.A.</v>
          </cell>
          <cell r="G12">
            <v>274257242</v>
          </cell>
          <cell r="H12">
            <v>274257242</v>
          </cell>
          <cell r="I12" t="str">
            <v>114</v>
          </cell>
        </row>
        <row r="13">
          <cell r="A13" t="str">
            <v>ARS</v>
          </cell>
          <cell r="B13" t="str">
            <v>114645004</v>
          </cell>
          <cell r="C13" t="str">
            <v>Bolsa de Comercio de Rosario Asociación Civil</v>
          </cell>
          <cell r="G13">
            <v>2233044179.5</v>
          </cell>
          <cell r="H13">
            <v>2233044179.5</v>
          </cell>
          <cell r="I13" t="str">
            <v>114</v>
          </cell>
        </row>
        <row r="14">
          <cell r="A14" t="str">
            <v>ARS</v>
          </cell>
          <cell r="B14" t="str">
            <v>114646005</v>
          </cell>
          <cell r="C14" t="str">
            <v>Mercado Argentino de Valores – Mesa Trading</v>
          </cell>
          <cell r="G14">
            <v>1657254777351.8701</v>
          </cell>
          <cell r="H14">
            <v>1657254777351.8701</v>
          </cell>
          <cell r="I14" t="str">
            <v>114</v>
          </cell>
        </row>
        <row r="15">
          <cell r="A15" t="str">
            <v>ARS</v>
          </cell>
          <cell r="B15" t="str">
            <v>114646646</v>
          </cell>
          <cell r="C15" t="str">
            <v>Mercado Argentino de Valores – FCI</v>
          </cell>
          <cell r="G15">
            <v>431500947762.84003</v>
          </cell>
          <cell r="H15">
            <v>431500947762.84003</v>
          </cell>
          <cell r="I15" t="str">
            <v>114</v>
          </cell>
        </row>
        <row r="16">
          <cell r="A16" t="str">
            <v>ARS</v>
          </cell>
          <cell r="B16" t="str">
            <v>278500101</v>
          </cell>
          <cell r="C16" t="str">
            <v>SHILLING CAPITAL MARKET SA</v>
          </cell>
          <cell r="G16">
            <v>30724167.09</v>
          </cell>
          <cell r="H16">
            <v>30724167.09</v>
          </cell>
          <cell r="I16" t="str">
            <v>278</v>
          </cell>
        </row>
        <row r="17">
          <cell r="A17" t="str">
            <v>ARS</v>
          </cell>
          <cell r="B17" t="str">
            <v>278500102</v>
          </cell>
          <cell r="C17" t="str">
            <v>Pablo Crespi</v>
          </cell>
          <cell r="G17">
            <v>14121445.91</v>
          </cell>
          <cell r="H17">
            <v>14121445.91</v>
          </cell>
          <cell r="I17" t="str">
            <v>278</v>
          </cell>
        </row>
        <row r="18">
          <cell r="A18" t="str">
            <v>ARS</v>
          </cell>
          <cell r="B18" t="str">
            <v>278500106</v>
          </cell>
          <cell r="C18" t="str">
            <v>Jorge Alfredo Rafael Nalbandian</v>
          </cell>
          <cell r="G18">
            <v>40988160.299999997</v>
          </cell>
          <cell r="H18">
            <v>40988160.299999997</v>
          </cell>
          <cell r="I18" t="str">
            <v>278</v>
          </cell>
        </row>
        <row r="19">
          <cell r="A19" t="str">
            <v>ARS</v>
          </cell>
          <cell r="B19" t="str">
            <v>278500107</v>
          </cell>
          <cell r="C19" t="str">
            <v>Torossi, Carlos Anibal o Di Paolo, Mariana Clara</v>
          </cell>
          <cell r="G19">
            <v>7357778.5599999996</v>
          </cell>
          <cell r="H19">
            <v>7357778.5599999996</v>
          </cell>
          <cell r="I19" t="str">
            <v>278</v>
          </cell>
        </row>
        <row r="20">
          <cell r="A20" t="str">
            <v>ARS</v>
          </cell>
          <cell r="B20" t="str">
            <v>278500108</v>
          </cell>
          <cell r="C20" t="str">
            <v>REDEX CONSTRUCCIONES S R L</v>
          </cell>
          <cell r="G20">
            <v>4280558.9400000004</v>
          </cell>
          <cell r="H20">
            <v>4280558.9400000004</v>
          </cell>
          <cell r="I20" t="str">
            <v>278</v>
          </cell>
        </row>
        <row r="21">
          <cell r="A21" t="str">
            <v>ARS</v>
          </cell>
          <cell r="B21" t="str">
            <v>278500109</v>
          </cell>
          <cell r="C21" t="str">
            <v>Alvarez, Angel Raul Del Valle</v>
          </cell>
          <cell r="G21">
            <v>3330110</v>
          </cell>
          <cell r="H21">
            <v>3330110</v>
          </cell>
          <cell r="I21" t="str">
            <v>278</v>
          </cell>
        </row>
        <row r="22">
          <cell r="A22" t="str">
            <v>ARS</v>
          </cell>
          <cell r="B22" t="str">
            <v>278500113</v>
          </cell>
          <cell r="C22" t="str">
            <v>Merep, Matias Ezequiel</v>
          </cell>
          <cell r="G22">
            <v>1993557.2</v>
          </cell>
          <cell r="H22">
            <v>1993557.2</v>
          </cell>
          <cell r="I22" t="str">
            <v>278</v>
          </cell>
        </row>
        <row r="23">
          <cell r="A23" t="str">
            <v>ARS</v>
          </cell>
          <cell r="B23" t="str">
            <v>344000005</v>
          </cell>
          <cell r="C23" t="str">
            <v>Bafomet SA</v>
          </cell>
          <cell r="G23">
            <v>3195139070.5900002</v>
          </cell>
          <cell r="H23">
            <v>3195139070.5900002</v>
          </cell>
          <cell r="I23" t="str">
            <v>344</v>
          </cell>
        </row>
        <row r="24">
          <cell r="A24" t="str">
            <v>ARS</v>
          </cell>
          <cell r="B24" t="str">
            <v>344000030</v>
          </cell>
          <cell r="C24" t="str">
            <v xml:space="preserve"> Romero, Gustavo Ramon</v>
          </cell>
          <cell r="G24">
            <v>1120401138.8900001</v>
          </cell>
          <cell r="H24">
            <v>1120401138.8900001</v>
          </cell>
          <cell r="I24" t="str">
            <v>344</v>
          </cell>
        </row>
        <row r="25">
          <cell r="A25" t="str">
            <v>ARS</v>
          </cell>
          <cell r="B25" t="str">
            <v>344000090</v>
          </cell>
          <cell r="C25" t="str">
            <v>Fernandez Pedace, Federico</v>
          </cell>
          <cell r="G25">
            <v>208922255.53999999</v>
          </cell>
          <cell r="H25">
            <v>208922255.53999999</v>
          </cell>
          <cell r="I25" t="str">
            <v>344</v>
          </cell>
        </row>
        <row r="26">
          <cell r="A26" t="str">
            <v>ARS</v>
          </cell>
          <cell r="B26" t="str">
            <v>344000091</v>
          </cell>
          <cell r="C26" t="str">
            <v>González Ortner, Lucas</v>
          </cell>
          <cell r="G26">
            <v>1492388.8</v>
          </cell>
          <cell r="H26">
            <v>1492388.8</v>
          </cell>
          <cell r="I26" t="str">
            <v>344</v>
          </cell>
        </row>
        <row r="27">
          <cell r="A27" t="str">
            <v>ARS</v>
          </cell>
          <cell r="B27" t="str">
            <v>344000124</v>
          </cell>
          <cell r="C27" t="str">
            <v>Ehgartner, Federico Ignacio</v>
          </cell>
          <cell r="G27">
            <v>16160804.630000001</v>
          </cell>
          <cell r="H27">
            <v>16160804.630000001</v>
          </cell>
          <cell r="I27" t="str">
            <v>344</v>
          </cell>
        </row>
        <row r="28">
          <cell r="A28" t="str">
            <v>ARS</v>
          </cell>
          <cell r="B28" t="str">
            <v>344000126</v>
          </cell>
          <cell r="C28" t="str">
            <v>Pedace, Liliana Rosa</v>
          </cell>
          <cell r="G28">
            <v>51064.5</v>
          </cell>
          <cell r="H28">
            <v>51064.5</v>
          </cell>
          <cell r="I28" t="str">
            <v>344</v>
          </cell>
        </row>
        <row r="29">
          <cell r="A29" t="str">
            <v>ARS</v>
          </cell>
          <cell r="B29" t="str">
            <v>344000130</v>
          </cell>
          <cell r="C29" t="str">
            <v>Bernardoni, Antonella Belen</v>
          </cell>
          <cell r="G29">
            <v>150264</v>
          </cell>
          <cell r="H29">
            <v>150264</v>
          </cell>
          <cell r="I29" t="str">
            <v>344</v>
          </cell>
        </row>
        <row r="30">
          <cell r="A30" t="str">
            <v>ARS</v>
          </cell>
          <cell r="B30" t="str">
            <v>344000133</v>
          </cell>
          <cell r="C30" t="str">
            <v>Lareo, Fernando Manuel</v>
          </cell>
          <cell r="G30">
            <v>25775675.699999999</v>
          </cell>
          <cell r="H30">
            <v>25775675.699999999</v>
          </cell>
          <cell r="I30" t="str">
            <v>344</v>
          </cell>
        </row>
        <row r="31">
          <cell r="A31" t="str">
            <v>ARS</v>
          </cell>
          <cell r="B31" t="str">
            <v>344000141</v>
          </cell>
          <cell r="C31" t="str">
            <v>Pellegrini, Ignacio</v>
          </cell>
          <cell r="G31">
            <v>12203000</v>
          </cell>
          <cell r="H31">
            <v>12203000</v>
          </cell>
          <cell r="I31" t="str">
            <v>344</v>
          </cell>
        </row>
        <row r="32">
          <cell r="A32" t="str">
            <v>ARS</v>
          </cell>
          <cell r="B32" t="str">
            <v>344000200</v>
          </cell>
          <cell r="C32" t="str">
            <v>Musso, Ramiro</v>
          </cell>
          <cell r="G32">
            <v>2200590</v>
          </cell>
          <cell r="H32">
            <v>2200590</v>
          </cell>
          <cell r="I32" t="str">
            <v>344</v>
          </cell>
        </row>
        <row r="33">
          <cell r="A33" t="str">
            <v>ARS</v>
          </cell>
          <cell r="B33" t="str">
            <v>344000201</v>
          </cell>
          <cell r="C33" t="str">
            <v>Marianela García Rossell y R. Mariano García Rossell</v>
          </cell>
          <cell r="G33">
            <v>56112093.200000003</v>
          </cell>
          <cell r="H33">
            <v>56112093.200000003</v>
          </cell>
          <cell r="I33" t="str">
            <v>344</v>
          </cell>
        </row>
        <row r="34">
          <cell r="A34" t="str">
            <v>ARS</v>
          </cell>
          <cell r="B34" t="str">
            <v>344000218</v>
          </cell>
          <cell r="C34" t="str">
            <v>Gregorio, Lucas Matias</v>
          </cell>
          <cell r="G34">
            <v>27014728.899999999</v>
          </cell>
          <cell r="H34">
            <v>27014728.899999999</v>
          </cell>
          <cell r="I34" t="str">
            <v>344</v>
          </cell>
        </row>
        <row r="35">
          <cell r="A35" t="str">
            <v>ARS</v>
          </cell>
          <cell r="B35" t="str">
            <v>344000219</v>
          </cell>
          <cell r="C35" t="str">
            <v>Bonzini, Hernan Javier</v>
          </cell>
          <cell r="G35">
            <v>279015</v>
          </cell>
          <cell r="H35">
            <v>279015</v>
          </cell>
          <cell r="I35" t="str">
            <v>344</v>
          </cell>
        </row>
        <row r="36">
          <cell r="A36" t="str">
            <v>ARS</v>
          </cell>
          <cell r="B36" t="str">
            <v>344000223</v>
          </cell>
          <cell r="C36" t="str">
            <v>Coccia, Guido</v>
          </cell>
          <cell r="G36">
            <v>2622611.7000000002</v>
          </cell>
          <cell r="H36">
            <v>2622611.7000000002</v>
          </cell>
          <cell r="I36" t="str">
            <v>344</v>
          </cell>
        </row>
        <row r="37">
          <cell r="A37" t="str">
            <v>ARS</v>
          </cell>
          <cell r="B37" t="str">
            <v>344000231</v>
          </cell>
          <cell r="C37" t="str">
            <v>Metronos</v>
          </cell>
          <cell r="G37">
            <v>112359643.44</v>
          </cell>
          <cell r="H37">
            <v>112359643.44</v>
          </cell>
          <cell r="I37" t="str">
            <v>344</v>
          </cell>
        </row>
        <row r="38">
          <cell r="A38" t="str">
            <v>ARS</v>
          </cell>
          <cell r="B38" t="str">
            <v>344000266</v>
          </cell>
          <cell r="C38" t="str">
            <v>Segtec SA</v>
          </cell>
          <cell r="G38">
            <v>296811972</v>
          </cell>
          <cell r="H38">
            <v>296811972</v>
          </cell>
          <cell r="I38" t="str">
            <v>344</v>
          </cell>
        </row>
        <row r="39">
          <cell r="A39" t="str">
            <v>ARS</v>
          </cell>
          <cell r="B39" t="str">
            <v>344000323</v>
          </cell>
          <cell r="C39" t="str">
            <v>SURFRIEND SAS</v>
          </cell>
          <cell r="G39">
            <v>36030471</v>
          </cell>
          <cell r="H39">
            <v>36030471</v>
          </cell>
          <cell r="I39" t="str">
            <v>344</v>
          </cell>
        </row>
        <row r="40">
          <cell r="A40" t="str">
            <v>ARS</v>
          </cell>
          <cell r="B40" t="str">
            <v>344000399</v>
          </cell>
          <cell r="C40" t="str">
            <v>Vazquez urbani, Nuria</v>
          </cell>
          <cell r="G40">
            <v>56061610.189999998</v>
          </cell>
          <cell r="H40">
            <v>56061610.189999998</v>
          </cell>
          <cell r="I40" t="str">
            <v>344</v>
          </cell>
        </row>
        <row r="41">
          <cell r="A41" t="str">
            <v>ARS</v>
          </cell>
          <cell r="B41" t="str">
            <v>344000401</v>
          </cell>
          <cell r="C41" t="str">
            <v>Ortner Andres Martin &amp; Schlenew Tatiana</v>
          </cell>
          <cell r="G41">
            <v>12674546.5</v>
          </cell>
          <cell r="H41">
            <v>12674546.5</v>
          </cell>
          <cell r="I41" t="str">
            <v>344</v>
          </cell>
        </row>
        <row r="42">
          <cell r="A42" t="str">
            <v>ARS</v>
          </cell>
          <cell r="B42" t="str">
            <v>344000408</v>
          </cell>
          <cell r="C42" t="str">
            <v>Teijeiro, Ricardo Augusto</v>
          </cell>
          <cell r="G42">
            <v>121313387.36</v>
          </cell>
          <cell r="H42">
            <v>121313387.36</v>
          </cell>
          <cell r="I42" t="str">
            <v>344</v>
          </cell>
        </row>
        <row r="43">
          <cell r="A43" t="str">
            <v>ARS</v>
          </cell>
          <cell r="B43" t="str">
            <v>344000419</v>
          </cell>
          <cell r="C43" t="str">
            <v>RUSCA, MIRTA ALICIA</v>
          </cell>
          <cell r="G43">
            <v>17471574.59</v>
          </cell>
          <cell r="H43">
            <v>17471574.59</v>
          </cell>
          <cell r="I43" t="str">
            <v>344</v>
          </cell>
        </row>
        <row r="44">
          <cell r="A44" t="str">
            <v>ARS</v>
          </cell>
          <cell r="B44" t="str">
            <v>344000442</v>
          </cell>
          <cell r="C44" t="str">
            <v>Grossi, Roxana Maria</v>
          </cell>
          <cell r="G44">
            <v>6412960.5999999996</v>
          </cell>
          <cell r="H44">
            <v>6412960.5999999996</v>
          </cell>
          <cell r="I44" t="str">
            <v>344</v>
          </cell>
        </row>
        <row r="45">
          <cell r="A45" t="str">
            <v>ARS</v>
          </cell>
          <cell r="B45" t="str">
            <v>344000522</v>
          </cell>
          <cell r="C45" t="str">
            <v>ICC SOLUCIONES SRL</v>
          </cell>
          <cell r="G45">
            <v>202692106.59999999</v>
          </cell>
          <cell r="H45">
            <v>202692106.59999999</v>
          </cell>
          <cell r="I45" t="str">
            <v>344</v>
          </cell>
        </row>
        <row r="46">
          <cell r="A46" t="str">
            <v>ARS</v>
          </cell>
          <cell r="B46" t="str">
            <v>344000658</v>
          </cell>
          <cell r="C46" t="str">
            <v>Allende Adolfo Tomas &amp; Allende Delia Maria</v>
          </cell>
          <cell r="G46">
            <v>136271029.25</v>
          </cell>
          <cell r="H46">
            <v>136271029.25</v>
          </cell>
          <cell r="I46" t="str">
            <v>344</v>
          </cell>
        </row>
        <row r="47">
          <cell r="A47" t="str">
            <v>ARS</v>
          </cell>
          <cell r="B47" t="str">
            <v>344000661</v>
          </cell>
          <cell r="C47" t="str">
            <v>Sastre, Alejandro</v>
          </cell>
          <cell r="G47">
            <v>3404</v>
          </cell>
          <cell r="H47">
            <v>3404</v>
          </cell>
          <cell r="I47" t="str">
            <v>344</v>
          </cell>
        </row>
        <row r="48">
          <cell r="A48" t="str">
            <v>ARS</v>
          </cell>
          <cell r="B48" t="str">
            <v>344000683</v>
          </cell>
          <cell r="C48" t="str">
            <v>Envíos-Digitales SA</v>
          </cell>
          <cell r="G48">
            <v>1048696.98</v>
          </cell>
          <cell r="H48">
            <v>1048696.98</v>
          </cell>
          <cell r="I48" t="str">
            <v>344</v>
          </cell>
        </row>
        <row r="49">
          <cell r="A49" t="str">
            <v>ARS</v>
          </cell>
          <cell r="B49" t="str">
            <v>344000707</v>
          </cell>
          <cell r="C49" t="str">
            <v>Frutos, Javier Hernán</v>
          </cell>
          <cell r="G49">
            <v>123080129.29000001</v>
          </cell>
          <cell r="H49">
            <v>123080129.29000001</v>
          </cell>
          <cell r="I49" t="str">
            <v>344</v>
          </cell>
        </row>
        <row r="50">
          <cell r="A50" t="str">
            <v>ARS</v>
          </cell>
          <cell r="B50" t="str">
            <v>344000712</v>
          </cell>
          <cell r="C50" t="str">
            <v>Saceip S.A.</v>
          </cell>
          <cell r="G50">
            <v>665933695.42999995</v>
          </cell>
          <cell r="H50">
            <v>665933695.42999995</v>
          </cell>
          <cell r="I50" t="str">
            <v>344</v>
          </cell>
        </row>
        <row r="51">
          <cell r="A51" t="str">
            <v>ARS</v>
          </cell>
          <cell r="B51" t="str">
            <v>344000713</v>
          </cell>
          <cell r="C51" t="str">
            <v>Vasvari, Maria Fabiana</v>
          </cell>
          <cell r="G51">
            <v>42759557.899999999</v>
          </cell>
          <cell r="H51">
            <v>42759557.899999999</v>
          </cell>
          <cell r="I51" t="str">
            <v>344</v>
          </cell>
        </row>
        <row r="52">
          <cell r="A52" t="str">
            <v>ARS</v>
          </cell>
          <cell r="B52" t="str">
            <v>344000729</v>
          </cell>
          <cell r="C52" t="str">
            <v>Jarvis, Juan Pablo</v>
          </cell>
          <cell r="G52">
            <v>152831617.61000001</v>
          </cell>
          <cell r="H52">
            <v>152831617.61000001</v>
          </cell>
          <cell r="I52" t="str">
            <v>344</v>
          </cell>
        </row>
        <row r="53">
          <cell r="A53" t="str">
            <v>ARS</v>
          </cell>
          <cell r="B53" t="str">
            <v>344000734</v>
          </cell>
          <cell r="C53" t="str">
            <v>CONSORCIO DE EMPRESAS MENDOCINAS PARA POTRERILLOS S A </v>
          </cell>
          <cell r="G53">
            <v>2949674830.6300001</v>
          </cell>
          <cell r="H53">
            <v>2949674830.6300001</v>
          </cell>
          <cell r="I53" t="str">
            <v>344</v>
          </cell>
        </row>
        <row r="54">
          <cell r="A54" t="str">
            <v>ARS</v>
          </cell>
          <cell r="B54" t="str">
            <v>345000005</v>
          </cell>
          <cell r="C54" t="str">
            <v>Beta Group Inversiones Cartera Propia</v>
          </cell>
          <cell r="G54">
            <v>1203862743.8499999</v>
          </cell>
          <cell r="H54">
            <v>1203862743.8499999</v>
          </cell>
          <cell r="I54" t="str">
            <v>345</v>
          </cell>
        </row>
        <row r="55">
          <cell r="A55" t="str">
            <v>ARS</v>
          </cell>
          <cell r="B55" t="str">
            <v>345000007</v>
          </cell>
          <cell r="C55" t="str">
            <v>Mainero, Gustavo Daniel</v>
          </cell>
          <cell r="G55">
            <v>3160770091.79</v>
          </cell>
          <cell r="H55">
            <v>3160770091.79</v>
          </cell>
          <cell r="I55" t="str">
            <v>345</v>
          </cell>
        </row>
        <row r="56">
          <cell r="A56" t="str">
            <v>ARS</v>
          </cell>
          <cell r="B56" t="str">
            <v>345000008</v>
          </cell>
          <cell r="C56" t="str">
            <v>Gabriel Cesario</v>
          </cell>
          <cell r="G56">
            <v>350178.01</v>
          </cell>
          <cell r="H56">
            <v>350178.01</v>
          </cell>
          <cell r="I56" t="str">
            <v>345</v>
          </cell>
        </row>
        <row r="57">
          <cell r="A57" t="str">
            <v>ARS</v>
          </cell>
          <cell r="B57" t="str">
            <v>345000009</v>
          </cell>
          <cell r="C57" t="str">
            <v>Federico Vazquez</v>
          </cell>
          <cell r="G57">
            <v>30975297.050000001</v>
          </cell>
          <cell r="H57">
            <v>30975297.050000001</v>
          </cell>
          <cell r="I57" t="str">
            <v>345</v>
          </cell>
        </row>
        <row r="58">
          <cell r="A58" t="str">
            <v>ARS</v>
          </cell>
          <cell r="B58" t="str">
            <v>345000010</v>
          </cell>
          <cell r="C58" t="str">
            <v>Conde, José Luis</v>
          </cell>
          <cell r="G58">
            <v>37802.720000000001</v>
          </cell>
          <cell r="H58">
            <v>37802.720000000001</v>
          </cell>
          <cell r="I58" t="str">
            <v>345</v>
          </cell>
        </row>
        <row r="59">
          <cell r="A59" t="str">
            <v>ARS</v>
          </cell>
          <cell r="B59" t="str">
            <v>345000011</v>
          </cell>
          <cell r="C59" t="str">
            <v>Ricardo Fornasieri</v>
          </cell>
          <cell r="G59">
            <v>8149972996.3800001</v>
          </cell>
          <cell r="H59">
            <v>8149972996.3800001</v>
          </cell>
          <cell r="I59" t="str">
            <v>345</v>
          </cell>
        </row>
        <row r="60">
          <cell r="A60" t="str">
            <v>ARS</v>
          </cell>
          <cell r="B60" t="str">
            <v>345000012</v>
          </cell>
          <cell r="C60" t="str">
            <v>Bartel,Ana Maria</v>
          </cell>
          <cell r="G60">
            <v>1550089427.75</v>
          </cell>
          <cell r="H60">
            <v>1550089427.75</v>
          </cell>
          <cell r="I60" t="str">
            <v>345</v>
          </cell>
        </row>
        <row r="61">
          <cell r="A61" t="str">
            <v>ARS</v>
          </cell>
          <cell r="B61" t="str">
            <v>345000013</v>
          </cell>
          <cell r="C61" t="str">
            <v>Gonzalo, Nicolas Fornasieri</v>
          </cell>
          <cell r="G61">
            <v>2615088779.25</v>
          </cell>
          <cell r="H61">
            <v>2615088779.25</v>
          </cell>
          <cell r="I61" t="str">
            <v>345</v>
          </cell>
        </row>
        <row r="62">
          <cell r="A62" t="str">
            <v>ARS</v>
          </cell>
          <cell r="B62" t="str">
            <v>345000015</v>
          </cell>
          <cell r="C62" t="str">
            <v>Fornasieri,Juan Cruz</v>
          </cell>
          <cell r="G62">
            <v>554153775.89999998</v>
          </cell>
          <cell r="H62">
            <v>554153775.89999998</v>
          </cell>
          <cell r="I62" t="str">
            <v>345</v>
          </cell>
        </row>
        <row r="63">
          <cell r="A63" t="str">
            <v>ARS</v>
          </cell>
          <cell r="B63" t="str">
            <v>345000017</v>
          </cell>
          <cell r="C63" t="str">
            <v>Mainero,Federico</v>
          </cell>
          <cell r="G63">
            <v>257285624.55000001</v>
          </cell>
          <cell r="H63">
            <v>257285624.55000001</v>
          </cell>
          <cell r="I63" t="str">
            <v>345</v>
          </cell>
        </row>
        <row r="64">
          <cell r="A64" t="str">
            <v>ARS</v>
          </cell>
          <cell r="B64" t="str">
            <v>345000018</v>
          </cell>
          <cell r="C64" t="str">
            <v>El Paseño SA</v>
          </cell>
          <cell r="G64">
            <v>4592338307.54</v>
          </cell>
          <cell r="H64">
            <v>4592338307.54</v>
          </cell>
          <cell r="I64" t="str">
            <v>345</v>
          </cell>
        </row>
        <row r="65">
          <cell r="A65" t="str">
            <v>ARS</v>
          </cell>
          <cell r="B65" t="str">
            <v>345000019</v>
          </cell>
          <cell r="C65" t="str">
            <v>Multiplycard S.A</v>
          </cell>
          <cell r="G65">
            <v>2263666463.8099999</v>
          </cell>
          <cell r="H65">
            <v>2263666463.8099999</v>
          </cell>
          <cell r="I65" t="str">
            <v>345</v>
          </cell>
        </row>
        <row r="66">
          <cell r="A66" t="str">
            <v>ARS</v>
          </cell>
          <cell r="B66" t="str">
            <v>345000022</v>
          </cell>
          <cell r="C66" t="str">
            <v>Christian Ezequiel Mainero</v>
          </cell>
          <cell r="G66">
            <v>12373725.439999999</v>
          </cell>
          <cell r="H66">
            <v>12373725.439999999</v>
          </cell>
          <cell r="I66" t="str">
            <v>345</v>
          </cell>
        </row>
        <row r="67">
          <cell r="A67" t="str">
            <v>ARS</v>
          </cell>
          <cell r="B67" t="str">
            <v>345000024</v>
          </cell>
          <cell r="C67" t="str">
            <v>Fornasieri,Guido Ezequiel</v>
          </cell>
          <cell r="G67">
            <v>16527927.91</v>
          </cell>
          <cell r="H67">
            <v>16527927.91</v>
          </cell>
          <cell r="I67" t="str">
            <v>345</v>
          </cell>
        </row>
        <row r="68">
          <cell r="A68" t="str">
            <v>ARS</v>
          </cell>
          <cell r="B68" t="str">
            <v>345000030</v>
          </cell>
          <cell r="C68" t="str">
            <v>Juan Maria Hugo Mees</v>
          </cell>
          <cell r="G68">
            <v>2793.3</v>
          </cell>
          <cell r="H68">
            <v>2793.3</v>
          </cell>
          <cell r="I68" t="str">
            <v>345</v>
          </cell>
        </row>
        <row r="69">
          <cell r="A69" t="str">
            <v>ARS</v>
          </cell>
          <cell r="B69" t="str">
            <v>345000032</v>
          </cell>
          <cell r="C69" t="str">
            <v>Roberto Alfredo Ramos</v>
          </cell>
          <cell r="G69">
            <v>694873275.76999998</v>
          </cell>
          <cell r="H69">
            <v>694873275.76999998</v>
          </cell>
          <cell r="I69" t="str">
            <v>345</v>
          </cell>
        </row>
        <row r="70">
          <cell r="A70" t="str">
            <v>ARS</v>
          </cell>
          <cell r="B70" t="str">
            <v>345000039</v>
          </cell>
          <cell r="C70" t="str">
            <v>Leandro Marcelo Paredes</v>
          </cell>
          <cell r="G70">
            <v>207875.53</v>
          </cell>
          <cell r="H70">
            <v>207875.53</v>
          </cell>
          <cell r="I70" t="str">
            <v>345</v>
          </cell>
        </row>
        <row r="71">
          <cell r="A71" t="str">
            <v>ARS</v>
          </cell>
          <cell r="B71" t="str">
            <v>345000042</v>
          </cell>
          <cell r="C71" t="str">
            <v>Valentino Santarsiero</v>
          </cell>
          <cell r="G71">
            <v>1262061.21</v>
          </cell>
          <cell r="H71">
            <v>1262061.21</v>
          </cell>
          <cell r="I71" t="str">
            <v>345</v>
          </cell>
        </row>
        <row r="72">
          <cell r="A72" t="str">
            <v>ARS</v>
          </cell>
          <cell r="B72" t="str">
            <v>345000045</v>
          </cell>
          <cell r="C72" t="str">
            <v>Maria Luisa Fuente Buena</v>
          </cell>
          <cell r="G72">
            <v>8987118.2200000007</v>
          </cell>
          <cell r="H72">
            <v>8987118.2200000007</v>
          </cell>
          <cell r="I72" t="str">
            <v>345</v>
          </cell>
        </row>
        <row r="73">
          <cell r="A73" t="str">
            <v>ARS</v>
          </cell>
          <cell r="B73" t="str">
            <v>345000046</v>
          </cell>
          <cell r="C73" t="str">
            <v>Salomon SA</v>
          </cell>
          <cell r="G73">
            <v>4688548.2300000004</v>
          </cell>
          <cell r="H73">
            <v>4688548.2300000004</v>
          </cell>
          <cell r="I73" t="str">
            <v>345</v>
          </cell>
        </row>
        <row r="74">
          <cell r="A74" t="str">
            <v>ARS</v>
          </cell>
          <cell r="B74" t="str">
            <v>345000062</v>
          </cell>
          <cell r="C74" t="str">
            <v>Silvana Patricia Bravo</v>
          </cell>
          <cell r="G74">
            <v>3081886.32</v>
          </cell>
          <cell r="H74">
            <v>3081886.32</v>
          </cell>
          <cell r="I74" t="str">
            <v>345</v>
          </cell>
        </row>
        <row r="75">
          <cell r="A75" t="str">
            <v>ARS</v>
          </cell>
          <cell r="B75" t="str">
            <v>345000067</v>
          </cell>
          <cell r="C75" t="str">
            <v>Pablo Jorge Martinez</v>
          </cell>
          <cell r="G75">
            <v>12679245.210000001</v>
          </cell>
          <cell r="H75">
            <v>12679245.210000001</v>
          </cell>
          <cell r="I75" t="str">
            <v>345</v>
          </cell>
        </row>
        <row r="76">
          <cell r="A76" t="str">
            <v>ARS</v>
          </cell>
          <cell r="B76" t="str">
            <v>345000080</v>
          </cell>
          <cell r="C76" t="str">
            <v>Maria Noelia Vitali</v>
          </cell>
          <cell r="G76">
            <v>1318200</v>
          </cell>
          <cell r="H76">
            <v>1318200</v>
          </cell>
          <cell r="I76" t="str">
            <v>345</v>
          </cell>
        </row>
        <row r="77">
          <cell r="A77" t="str">
            <v>ARS</v>
          </cell>
          <cell r="B77" t="str">
            <v>345000083</v>
          </cell>
          <cell r="C77" t="str">
            <v>Marina Cynthia Bures</v>
          </cell>
          <cell r="G77">
            <v>1251215</v>
          </cell>
          <cell r="H77">
            <v>1251215</v>
          </cell>
          <cell r="I77" t="str">
            <v>345</v>
          </cell>
        </row>
        <row r="78">
          <cell r="A78" t="str">
            <v>ARS</v>
          </cell>
          <cell r="B78" t="str">
            <v>345000098</v>
          </cell>
          <cell r="C78" t="str">
            <v>Birgul Altintop</v>
          </cell>
          <cell r="G78">
            <v>27470926.530000001</v>
          </cell>
          <cell r="H78">
            <v>27470926.530000001</v>
          </cell>
          <cell r="I78" t="str">
            <v>345</v>
          </cell>
        </row>
        <row r="79">
          <cell r="A79" t="str">
            <v>ARS</v>
          </cell>
          <cell r="B79" t="str">
            <v>345000113</v>
          </cell>
          <cell r="C79" t="str">
            <v>German Ariel Palloni</v>
          </cell>
          <cell r="G79">
            <v>22420976.5</v>
          </cell>
          <cell r="H79">
            <v>22420976.5</v>
          </cell>
          <cell r="I79" t="str">
            <v>345</v>
          </cell>
        </row>
        <row r="80">
          <cell r="A80" t="str">
            <v>ARS</v>
          </cell>
          <cell r="B80" t="str">
            <v>345000118</v>
          </cell>
          <cell r="C80" t="str">
            <v>Adriana Haydee Ramirez</v>
          </cell>
          <cell r="G80">
            <v>170905.48</v>
          </cell>
          <cell r="H80">
            <v>170905.48</v>
          </cell>
          <cell r="I80" t="str">
            <v>345</v>
          </cell>
        </row>
        <row r="81">
          <cell r="A81" t="str">
            <v>ARS</v>
          </cell>
          <cell r="B81" t="str">
            <v>345000123</v>
          </cell>
          <cell r="C81" t="str">
            <v>Mariano Osmar Lopez</v>
          </cell>
          <cell r="G81">
            <v>16656676.779999999</v>
          </cell>
          <cell r="H81">
            <v>16656676.779999999</v>
          </cell>
          <cell r="I81" t="str">
            <v>345</v>
          </cell>
        </row>
        <row r="82">
          <cell r="A82" t="str">
            <v>ARS</v>
          </cell>
          <cell r="B82" t="str">
            <v>345000162</v>
          </cell>
          <cell r="C82" t="str">
            <v>Viviana Soria</v>
          </cell>
          <cell r="G82">
            <v>2466706.7000000002</v>
          </cell>
          <cell r="H82">
            <v>2466706.7000000002</v>
          </cell>
          <cell r="I82" t="str">
            <v>345</v>
          </cell>
        </row>
        <row r="83">
          <cell r="A83" t="str">
            <v>ARS</v>
          </cell>
          <cell r="B83" t="str">
            <v>345000171</v>
          </cell>
          <cell r="C83" t="str">
            <v>Barbara Pamela Lencina</v>
          </cell>
          <cell r="G83">
            <v>2790</v>
          </cell>
          <cell r="H83">
            <v>2790</v>
          </cell>
          <cell r="I83" t="str">
            <v>345</v>
          </cell>
        </row>
        <row r="84">
          <cell r="A84" t="str">
            <v>ARS</v>
          </cell>
          <cell r="B84" t="str">
            <v>345000239</v>
          </cell>
          <cell r="C84" t="str">
            <v>Veronica Alejandra Carozzo</v>
          </cell>
          <cell r="G84">
            <v>36333809.469999999</v>
          </cell>
          <cell r="H84">
            <v>36333809.469999999</v>
          </cell>
          <cell r="I84" t="str">
            <v>345</v>
          </cell>
        </row>
        <row r="85">
          <cell r="A85" t="str">
            <v>ARS</v>
          </cell>
          <cell r="B85" t="str">
            <v>345000311</v>
          </cell>
          <cell r="C85" t="str">
            <v>Jesica Andrea Gaston</v>
          </cell>
          <cell r="G85">
            <v>1376906.13</v>
          </cell>
          <cell r="H85">
            <v>1376906.13</v>
          </cell>
          <cell r="I85" t="str">
            <v>345</v>
          </cell>
        </row>
        <row r="86">
          <cell r="A86" t="str">
            <v>ARS</v>
          </cell>
          <cell r="B86" t="str">
            <v>345000328</v>
          </cell>
          <cell r="C86" t="str">
            <v>Jorge Ivan Acevedo</v>
          </cell>
          <cell r="G86">
            <v>54005666.700000003</v>
          </cell>
          <cell r="H86">
            <v>54005666.700000003</v>
          </cell>
          <cell r="I86" t="str">
            <v>345</v>
          </cell>
        </row>
        <row r="87">
          <cell r="A87" t="str">
            <v>ARS</v>
          </cell>
          <cell r="B87" t="str">
            <v>345000403</v>
          </cell>
          <cell r="C87" t="str">
            <v>Jazmin Geist</v>
          </cell>
          <cell r="G87">
            <v>788930.1</v>
          </cell>
          <cell r="H87">
            <v>788930.1</v>
          </cell>
          <cell r="I87" t="str">
            <v>345</v>
          </cell>
        </row>
        <row r="88">
          <cell r="A88" t="str">
            <v>ARS</v>
          </cell>
          <cell r="B88" t="str">
            <v>345000444</v>
          </cell>
          <cell r="C88" t="str">
            <v>Jose Luis Dominguez</v>
          </cell>
          <cell r="G88">
            <v>5004792</v>
          </cell>
          <cell r="H88">
            <v>5004792</v>
          </cell>
          <cell r="I88" t="str">
            <v>345</v>
          </cell>
        </row>
        <row r="89">
          <cell r="A89" t="str">
            <v>ARS</v>
          </cell>
          <cell r="B89" t="str">
            <v>345000460</v>
          </cell>
          <cell r="C89" t="str">
            <v>Claudia Adriana Martin</v>
          </cell>
          <cell r="G89">
            <v>4338497.07</v>
          </cell>
          <cell r="H89">
            <v>4338497.07</v>
          </cell>
          <cell r="I89" t="str">
            <v>345</v>
          </cell>
        </row>
        <row r="90">
          <cell r="A90" t="str">
            <v>ARS</v>
          </cell>
          <cell r="B90" t="str">
            <v>345000474</v>
          </cell>
          <cell r="C90" t="str">
            <v>Chiarelli, Franco</v>
          </cell>
          <cell r="G90">
            <v>132732739.42</v>
          </cell>
          <cell r="H90">
            <v>132732739.42</v>
          </cell>
          <cell r="I90" t="str">
            <v>345</v>
          </cell>
        </row>
        <row r="91">
          <cell r="A91" t="str">
            <v>ARS</v>
          </cell>
          <cell r="B91" t="str">
            <v>345000481</v>
          </cell>
          <cell r="C91" t="str">
            <v>Adrofin SRL</v>
          </cell>
          <cell r="G91">
            <v>120270327.06999999</v>
          </cell>
          <cell r="H91">
            <v>120270327.06999999</v>
          </cell>
          <cell r="I91" t="str">
            <v>345</v>
          </cell>
        </row>
        <row r="92">
          <cell r="A92" t="str">
            <v>ARS</v>
          </cell>
          <cell r="B92" t="str">
            <v>345000484</v>
          </cell>
          <cell r="C92" t="str">
            <v>Araujo Obras Viales y Civiles SA</v>
          </cell>
          <cell r="G92">
            <v>114603752.93000001</v>
          </cell>
          <cell r="H92">
            <v>114603752.93000001</v>
          </cell>
          <cell r="I92" t="str">
            <v>345</v>
          </cell>
        </row>
        <row r="93">
          <cell r="A93" t="str">
            <v>ARS</v>
          </cell>
          <cell r="B93" t="str">
            <v>345000486</v>
          </cell>
          <cell r="C93" t="str">
            <v>Carlos Rene Liendro</v>
          </cell>
          <cell r="G93">
            <v>4574015.3099999996</v>
          </cell>
          <cell r="H93">
            <v>4574015.3099999996</v>
          </cell>
          <cell r="I93" t="str">
            <v>345</v>
          </cell>
        </row>
        <row r="94">
          <cell r="A94" t="str">
            <v>ARS</v>
          </cell>
          <cell r="B94" t="str">
            <v>345000488</v>
          </cell>
          <cell r="C94" t="str">
            <v>Alejandro Romero</v>
          </cell>
          <cell r="G94">
            <v>11941789.33</v>
          </cell>
          <cell r="H94">
            <v>11941789.33</v>
          </cell>
          <cell r="I94" t="str">
            <v>345</v>
          </cell>
        </row>
        <row r="95">
          <cell r="A95" t="str">
            <v>ARS</v>
          </cell>
          <cell r="B95" t="str">
            <v>345000490</v>
          </cell>
          <cell r="C95" t="str">
            <v>Marcelo Alejandro Salvo</v>
          </cell>
          <cell r="G95">
            <v>28819156.370000001</v>
          </cell>
          <cell r="H95">
            <v>28819156.370000001</v>
          </cell>
          <cell r="I95" t="str">
            <v>345</v>
          </cell>
        </row>
        <row r="96">
          <cell r="A96" t="str">
            <v>ARS</v>
          </cell>
          <cell r="B96" t="str">
            <v>345000509</v>
          </cell>
          <cell r="C96" t="str">
            <v>Gonzalo Leonel Niz</v>
          </cell>
          <cell r="G96">
            <v>4085808.22</v>
          </cell>
          <cell r="H96">
            <v>4085808.22</v>
          </cell>
          <cell r="I96" t="str">
            <v>345</v>
          </cell>
        </row>
        <row r="97">
          <cell r="A97" t="str">
            <v>ARS</v>
          </cell>
          <cell r="B97" t="str">
            <v>345000511</v>
          </cell>
          <cell r="C97" t="str">
            <v>Sebastian Ariel Sampayo Merlino</v>
          </cell>
          <cell r="G97">
            <v>7248965.5700000003</v>
          </cell>
          <cell r="H97">
            <v>7248965.5700000003</v>
          </cell>
          <cell r="I97" t="str">
            <v>345</v>
          </cell>
        </row>
        <row r="98">
          <cell r="A98" t="str">
            <v>ARS</v>
          </cell>
          <cell r="B98" t="str">
            <v>345000513</v>
          </cell>
          <cell r="C98" t="str">
            <v>Luciano Ariel Sejas</v>
          </cell>
          <cell r="G98">
            <v>2331048.75</v>
          </cell>
          <cell r="H98">
            <v>2331048.75</v>
          </cell>
          <cell r="I98" t="str">
            <v>345</v>
          </cell>
        </row>
        <row r="99">
          <cell r="A99" t="str">
            <v>ARS</v>
          </cell>
          <cell r="B99" t="str">
            <v>345000524</v>
          </cell>
          <cell r="C99" t="str">
            <v>Pablo Martín Di Cosimo</v>
          </cell>
          <cell r="G99">
            <v>1635459.22</v>
          </cell>
          <cell r="H99">
            <v>1635459.22</v>
          </cell>
          <cell r="I99" t="str">
            <v>345</v>
          </cell>
        </row>
        <row r="100">
          <cell r="A100" t="str">
            <v>ARS</v>
          </cell>
          <cell r="B100" t="str">
            <v>345000527</v>
          </cell>
          <cell r="C100" t="str">
            <v>Yenny Rilda Palacios Zarate</v>
          </cell>
          <cell r="G100">
            <v>5349749.42</v>
          </cell>
          <cell r="H100">
            <v>5349749.42</v>
          </cell>
          <cell r="I100" t="str">
            <v>345</v>
          </cell>
        </row>
        <row r="101">
          <cell r="A101" t="str">
            <v>ARS</v>
          </cell>
          <cell r="B101" t="str">
            <v>345000538</v>
          </cell>
          <cell r="C101" t="str">
            <v>Asociación Mutual Asis</v>
          </cell>
          <cell r="G101">
            <v>6666073.6100000003</v>
          </cell>
          <cell r="H101">
            <v>6666073.6100000003</v>
          </cell>
          <cell r="I101" t="str">
            <v>345</v>
          </cell>
        </row>
        <row r="102">
          <cell r="A102" t="str">
            <v>ARS</v>
          </cell>
          <cell r="B102" t="str">
            <v>345000546</v>
          </cell>
          <cell r="C102" t="str">
            <v>Agustín Julian Arechavala</v>
          </cell>
          <cell r="G102">
            <v>6134108.7199999997</v>
          </cell>
          <cell r="H102">
            <v>6134108.7199999997</v>
          </cell>
          <cell r="I102" t="str">
            <v>345</v>
          </cell>
        </row>
        <row r="103">
          <cell r="A103" t="str">
            <v>ARS</v>
          </cell>
          <cell r="B103" t="str">
            <v>345000552</v>
          </cell>
          <cell r="C103" t="str">
            <v>Dalila Celeste Romano</v>
          </cell>
          <cell r="G103">
            <v>2463376.64</v>
          </cell>
          <cell r="H103">
            <v>2463376.64</v>
          </cell>
          <cell r="I103" t="str">
            <v>345</v>
          </cell>
        </row>
        <row r="104">
          <cell r="A104" t="str">
            <v>ARS</v>
          </cell>
          <cell r="B104" t="str">
            <v>345000560</v>
          </cell>
          <cell r="C104" t="str">
            <v>Cynthia Paola Chaparro</v>
          </cell>
          <cell r="G104">
            <v>375505.36</v>
          </cell>
          <cell r="H104">
            <v>375505.36</v>
          </cell>
          <cell r="I104" t="str">
            <v>345</v>
          </cell>
        </row>
        <row r="105">
          <cell r="A105" t="str">
            <v>ARS</v>
          </cell>
          <cell r="B105" t="str">
            <v>345000568</v>
          </cell>
          <cell r="C105" t="str">
            <v xml:space="preserve">Estefanía Melisa Panza y Pablo Daniel Britos </v>
          </cell>
          <cell r="G105">
            <v>1173737.17</v>
          </cell>
          <cell r="H105">
            <v>1173737.17</v>
          </cell>
          <cell r="I105" t="str">
            <v>345</v>
          </cell>
        </row>
        <row r="106">
          <cell r="A106" t="str">
            <v>ARS</v>
          </cell>
          <cell r="B106" t="str">
            <v>345000612</v>
          </cell>
          <cell r="C106" t="str">
            <v xml:space="preserve">Miguel German </v>
          </cell>
          <cell r="G106">
            <v>10023827.710000001</v>
          </cell>
          <cell r="H106">
            <v>10023827.710000001</v>
          </cell>
          <cell r="I106" t="str">
            <v>345</v>
          </cell>
        </row>
        <row r="107">
          <cell r="A107" t="str">
            <v>ARS</v>
          </cell>
          <cell r="B107" t="str">
            <v>345000613</v>
          </cell>
          <cell r="C107" t="str">
            <v>Melina Yazmin Souto</v>
          </cell>
          <cell r="G107">
            <v>3297040.94</v>
          </cell>
          <cell r="H107">
            <v>3297040.94</v>
          </cell>
          <cell r="I107" t="str">
            <v>345</v>
          </cell>
        </row>
        <row r="108">
          <cell r="A108" t="str">
            <v>ARS</v>
          </cell>
          <cell r="B108" t="str">
            <v>345000616</v>
          </cell>
          <cell r="C108" t="str">
            <v>Jose Maria Placente</v>
          </cell>
          <cell r="G108">
            <v>46599160.07</v>
          </cell>
          <cell r="H108">
            <v>46599160.07</v>
          </cell>
          <cell r="I108" t="str">
            <v>345</v>
          </cell>
        </row>
        <row r="109">
          <cell r="A109" t="str">
            <v>ARS</v>
          </cell>
          <cell r="B109" t="str">
            <v>345000617</v>
          </cell>
          <cell r="C109" t="str">
            <v xml:space="preserve"> Claudia Patricia Lucero</v>
          </cell>
          <cell r="G109">
            <v>2879718.49</v>
          </cell>
          <cell r="H109">
            <v>2879718.49</v>
          </cell>
          <cell r="I109" t="str">
            <v>345</v>
          </cell>
        </row>
        <row r="110">
          <cell r="A110" t="str">
            <v>ARS</v>
          </cell>
          <cell r="B110" t="str">
            <v>345000620</v>
          </cell>
          <cell r="C110" t="str">
            <v>Lucas Manuel Iturria</v>
          </cell>
          <cell r="G110">
            <v>1214774.7</v>
          </cell>
          <cell r="H110">
            <v>1214774.7</v>
          </cell>
          <cell r="I110" t="str">
            <v>345</v>
          </cell>
        </row>
        <row r="111">
          <cell r="A111" t="str">
            <v>ARS</v>
          </cell>
          <cell r="B111" t="str">
            <v>345000665</v>
          </cell>
          <cell r="C111" t="str">
            <v>Maria Alejandra Pellegrino</v>
          </cell>
          <cell r="G111">
            <v>9204128.1899999995</v>
          </cell>
          <cell r="H111">
            <v>9204128.1899999995</v>
          </cell>
          <cell r="I111" t="str">
            <v>345</v>
          </cell>
        </row>
        <row r="112">
          <cell r="A112" t="str">
            <v>ARS</v>
          </cell>
          <cell r="B112" t="str">
            <v>345000680</v>
          </cell>
          <cell r="C112" t="str">
            <v>[C.E.R.A.] Fornasieri Ricardo</v>
          </cell>
          <cell r="G112">
            <v>380147492.93000001</v>
          </cell>
          <cell r="H112">
            <v>380147492.93000001</v>
          </cell>
          <cell r="I112" t="str">
            <v>345</v>
          </cell>
        </row>
        <row r="113">
          <cell r="A113" t="str">
            <v>ARS</v>
          </cell>
          <cell r="B113" t="str">
            <v>345000714</v>
          </cell>
          <cell r="C113" t="str">
            <v>Oscar Antonio Turchak</v>
          </cell>
          <cell r="G113">
            <v>1076120.8999999999</v>
          </cell>
          <cell r="H113">
            <v>1076120.8999999999</v>
          </cell>
          <cell r="I113" t="str">
            <v>345</v>
          </cell>
        </row>
        <row r="114">
          <cell r="A114" t="str">
            <v>ARS</v>
          </cell>
          <cell r="B114" t="str">
            <v>345000717</v>
          </cell>
          <cell r="C114" t="str">
            <v>[C.E.R.A.] Fornasieri Guido Ezequiel</v>
          </cell>
          <cell r="G114">
            <v>669588331.52999997</v>
          </cell>
          <cell r="H114">
            <v>669588331.52999997</v>
          </cell>
          <cell r="I114" t="str">
            <v>345</v>
          </cell>
        </row>
        <row r="115">
          <cell r="A115" t="str">
            <v>ARS</v>
          </cell>
          <cell r="B115" t="str">
            <v>345000718</v>
          </cell>
          <cell r="C115" t="str">
            <v>[C.E.R.A.] Bartel Ana Maria</v>
          </cell>
          <cell r="G115">
            <v>879389688.03999996</v>
          </cell>
          <cell r="H115">
            <v>879389688.03999996</v>
          </cell>
          <cell r="I115" t="str">
            <v>345</v>
          </cell>
        </row>
        <row r="116">
          <cell r="A116" t="str">
            <v>ARS</v>
          </cell>
          <cell r="B116" t="str">
            <v>345000724</v>
          </cell>
          <cell r="C116" t="str">
            <v>[C.E.R.A.] Fornasieri Juan Cruz</v>
          </cell>
          <cell r="G116">
            <v>2026531001.3900001</v>
          </cell>
          <cell r="H116">
            <v>2026531001.3900001</v>
          </cell>
          <cell r="I116" t="str">
            <v>345</v>
          </cell>
        </row>
        <row r="117">
          <cell r="A117" t="str">
            <v>ARS</v>
          </cell>
          <cell r="B117" t="str">
            <v>345000725</v>
          </cell>
          <cell r="C117" t="str">
            <v>[C.E.R.A.]  Fornasieri Gonzalo Nicolas</v>
          </cell>
          <cell r="G117">
            <v>1819441.2</v>
          </cell>
          <cell r="H117">
            <v>1819441.2</v>
          </cell>
          <cell r="I117" t="str">
            <v>345</v>
          </cell>
        </row>
        <row r="118">
          <cell r="A118" t="str">
            <v>ARS</v>
          </cell>
          <cell r="B118" t="str">
            <v>345000730</v>
          </cell>
          <cell r="C118" t="str">
            <v>Carla Maria D´amico</v>
          </cell>
          <cell r="G118">
            <v>147888.94</v>
          </cell>
          <cell r="H118">
            <v>147888.94</v>
          </cell>
          <cell r="I118" t="str">
            <v>345</v>
          </cell>
        </row>
        <row r="119">
          <cell r="A119" t="str">
            <v>ARS</v>
          </cell>
          <cell r="B119" t="str">
            <v>345000736</v>
          </cell>
          <cell r="C119" t="str">
            <v>Agustina Zanet</v>
          </cell>
          <cell r="G119">
            <v>1999083.82</v>
          </cell>
          <cell r="H119">
            <v>1999083.82</v>
          </cell>
          <cell r="I119" t="str">
            <v>345</v>
          </cell>
        </row>
        <row r="120">
          <cell r="A120" t="str">
            <v>ARS</v>
          </cell>
          <cell r="B120" t="str">
            <v>345000748</v>
          </cell>
          <cell r="C120" t="str">
            <v>Nancy Beatriz Muras</v>
          </cell>
          <cell r="G120">
            <v>9906114.4000000004</v>
          </cell>
          <cell r="H120">
            <v>9906114.4000000004</v>
          </cell>
          <cell r="I120" t="str">
            <v>345</v>
          </cell>
        </row>
        <row r="121">
          <cell r="A121" t="str">
            <v>ARS</v>
          </cell>
          <cell r="B121" t="str">
            <v>345000750</v>
          </cell>
          <cell r="C121" t="str">
            <v>Sergio Zanet</v>
          </cell>
          <cell r="G121">
            <v>3063926.48</v>
          </cell>
          <cell r="H121">
            <v>3063926.48</v>
          </cell>
          <cell r="I121" t="str">
            <v>345</v>
          </cell>
        </row>
        <row r="122">
          <cell r="A122" t="str">
            <v>ARS</v>
          </cell>
          <cell r="B122" t="str">
            <v>345000761</v>
          </cell>
          <cell r="C122" t="str">
            <v>Horacio Hector Mosquera</v>
          </cell>
          <cell r="G122">
            <v>2716814.4</v>
          </cell>
          <cell r="H122">
            <v>2716814.4</v>
          </cell>
          <cell r="I122" t="str">
            <v>345</v>
          </cell>
        </row>
        <row r="123">
          <cell r="A123" t="str">
            <v>ARS</v>
          </cell>
          <cell r="B123" t="str">
            <v>345000769</v>
          </cell>
          <cell r="C123" t="str">
            <v xml:space="preserve">[C.E.R.A.] Diego Andres Cymberknoh </v>
          </cell>
          <cell r="G123">
            <v>103104</v>
          </cell>
          <cell r="H123">
            <v>103104</v>
          </cell>
          <cell r="I123" t="str">
            <v>345</v>
          </cell>
        </row>
        <row r="124">
          <cell r="A124" t="str">
            <v>ARS</v>
          </cell>
          <cell r="B124" t="str">
            <v>345000771</v>
          </cell>
          <cell r="C124" t="str">
            <v>Yansa Yael Lombardo Segreto</v>
          </cell>
          <cell r="G124">
            <v>618258.37</v>
          </cell>
          <cell r="H124">
            <v>618258.37</v>
          </cell>
          <cell r="I124" t="str">
            <v>345</v>
          </cell>
        </row>
        <row r="125">
          <cell r="A125" t="str">
            <v>ARS</v>
          </cell>
          <cell r="B125" t="str">
            <v>345000775</v>
          </cell>
          <cell r="C125" t="str">
            <v>Hugo Daniel Izquierdo y Molina Paula Edith</v>
          </cell>
          <cell r="G125">
            <v>1651724.5</v>
          </cell>
          <cell r="H125">
            <v>1651724.5</v>
          </cell>
          <cell r="I125" t="str">
            <v>345</v>
          </cell>
        </row>
        <row r="126">
          <cell r="A126" t="str">
            <v>ARS</v>
          </cell>
          <cell r="B126" t="str">
            <v>345000776</v>
          </cell>
          <cell r="C126" t="str">
            <v>Maria Fuhr</v>
          </cell>
          <cell r="G126">
            <v>1138588.0900000001</v>
          </cell>
          <cell r="H126">
            <v>1138588.0900000001</v>
          </cell>
          <cell r="I126" t="str">
            <v>345</v>
          </cell>
        </row>
        <row r="127">
          <cell r="A127" t="str">
            <v>ARS</v>
          </cell>
          <cell r="B127" t="str">
            <v>345000783</v>
          </cell>
          <cell r="C127" t="str">
            <v xml:space="preserve">[C.E.R.A.] Roberto Alfredo Ramos </v>
          </cell>
          <cell r="G127">
            <v>2793.3</v>
          </cell>
          <cell r="H127">
            <v>2793.3</v>
          </cell>
          <cell r="I127" t="str">
            <v>345</v>
          </cell>
        </row>
        <row r="128">
          <cell r="A128" t="str">
            <v>ARS</v>
          </cell>
          <cell r="B128" t="str">
            <v>345000794</v>
          </cell>
          <cell r="C128" t="str">
            <v>Marta Graciela Blasco</v>
          </cell>
          <cell r="G128">
            <v>2789.7</v>
          </cell>
          <cell r="H128">
            <v>2789.7</v>
          </cell>
          <cell r="I128" t="str">
            <v>345</v>
          </cell>
        </row>
        <row r="129">
          <cell r="A129" t="str">
            <v>ARS</v>
          </cell>
          <cell r="B129" t="str">
            <v>345000807</v>
          </cell>
          <cell r="C129" t="str">
            <v>Claudio Marcelo Rodriguez Castro</v>
          </cell>
          <cell r="G129">
            <v>613939.79</v>
          </cell>
          <cell r="H129">
            <v>613939.79</v>
          </cell>
          <cell r="I129" t="str">
            <v>345</v>
          </cell>
        </row>
        <row r="130">
          <cell r="A130" t="str">
            <v>ARS</v>
          </cell>
          <cell r="B130" t="str">
            <v>345000808</v>
          </cell>
          <cell r="C130" t="str">
            <v>Matias Conde Meira</v>
          </cell>
          <cell r="G130">
            <v>117545299.63</v>
          </cell>
          <cell r="H130">
            <v>117545299.63</v>
          </cell>
          <cell r="I130" t="str">
            <v>345</v>
          </cell>
        </row>
        <row r="131">
          <cell r="A131" t="str">
            <v>ARS</v>
          </cell>
          <cell r="B131" t="str">
            <v>345000814</v>
          </cell>
          <cell r="C131" t="str">
            <v>Jose Luis Correa</v>
          </cell>
          <cell r="G131">
            <v>287265.76</v>
          </cell>
          <cell r="H131">
            <v>287265.76</v>
          </cell>
          <cell r="I131" t="str">
            <v>345</v>
          </cell>
        </row>
        <row r="132">
          <cell r="A132" t="str">
            <v>ARS</v>
          </cell>
          <cell r="B132" t="str">
            <v>345000835</v>
          </cell>
          <cell r="C132" t="str">
            <v>LFVM S.A.</v>
          </cell>
          <cell r="G132">
            <v>881841226.89999998</v>
          </cell>
          <cell r="H132">
            <v>881841226.89999998</v>
          </cell>
          <cell r="I132" t="str">
            <v>345</v>
          </cell>
        </row>
        <row r="133">
          <cell r="A133" t="str">
            <v>ARS</v>
          </cell>
          <cell r="B133" t="str">
            <v>345000839</v>
          </cell>
          <cell r="C133" t="str">
            <v>Damian Antonio Cerrato</v>
          </cell>
          <cell r="G133">
            <v>16191314.939999999</v>
          </cell>
          <cell r="H133">
            <v>16191314.939999999</v>
          </cell>
          <cell r="I133" t="str">
            <v>345</v>
          </cell>
        </row>
        <row r="134">
          <cell r="A134" t="str">
            <v>ARS</v>
          </cell>
          <cell r="B134" t="str">
            <v>345000841</v>
          </cell>
          <cell r="C134" t="str">
            <v>Liliana Beatriz Holzmann</v>
          </cell>
          <cell r="G134">
            <v>92103003.329999998</v>
          </cell>
          <cell r="H134">
            <v>92103003.329999998</v>
          </cell>
          <cell r="I134" t="str">
            <v>345</v>
          </cell>
        </row>
        <row r="135">
          <cell r="A135" t="str">
            <v>ARS</v>
          </cell>
          <cell r="B135" t="str">
            <v>345000848</v>
          </cell>
          <cell r="C135" t="str">
            <v>Marcelo Muerza</v>
          </cell>
          <cell r="G135">
            <v>4065.5</v>
          </cell>
          <cell r="H135">
            <v>4065.5</v>
          </cell>
          <cell r="I135" t="str">
            <v>345</v>
          </cell>
        </row>
        <row r="136">
          <cell r="A136" t="str">
            <v>ARS</v>
          </cell>
          <cell r="B136" t="str">
            <v>345000849</v>
          </cell>
          <cell r="C136" t="str">
            <v>Percy Mercedaria Contreras Manrique</v>
          </cell>
          <cell r="G136">
            <v>2888967.29</v>
          </cell>
          <cell r="H136">
            <v>2888967.29</v>
          </cell>
          <cell r="I136" t="str">
            <v>345</v>
          </cell>
        </row>
        <row r="137">
          <cell r="A137" t="str">
            <v>ARS</v>
          </cell>
          <cell r="B137" t="str">
            <v>345000850</v>
          </cell>
          <cell r="C137" t="str">
            <v>Alicia Noemi Luini</v>
          </cell>
          <cell r="G137">
            <v>4198629.74</v>
          </cell>
          <cell r="H137">
            <v>4198629.74</v>
          </cell>
          <cell r="I137" t="str">
            <v>345</v>
          </cell>
        </row>
        <row r="138">
          <cell r="A138" t="str">
            <v>ARS</v>
          </cell>
          <cell r="B138" t="str">
            <v>345000851</v>
          </cell>
          <cell r="C138" t="str">
            <v>Jose Roberto Pallares</v>
          </cell>
          <cell r="G138">
            <v>37490172.950000003</v>
          </cell>
          <cell r="H138">
            <v>37490172.950000003</v>
          </cell>
          <cell r="I138" t="str">
            <v>345</v>
          </cell>
        </row>
        <row r="139">
          <cell r="A139" t="str">
            <v>ARS</v>
          </cell>
          <cell r="B139" t="str">
            <v>345000853</v>
          </cell>
          <cell r="C139" t="str">
            <v>Cintia Solange Veron y Gonzalo Daniel Kabitsis</v>
          </cell>
          <cell r="G139">
            <v>29515222.149999999</v>
          </cell>
          <cell r="H139">
            <v>29515222.149999999</v>
          </cell>
          <cell r="I139" t="str">
            <v>345</v>
          </cell>
        </row>
        <row r="140">
          <cell r="A140" t="str">
            <v>ARS</v>
          </cell>
          <cell r="B140" t="str">
            <v>345000879</v>
          </cell>
          <cell r="C140" t="str">
            <v>Cesar Osvaldo Onori y Claudia Patricia Gimenez</v>
          </cell>
          <cell r="G140">
            <v>33812616.649999999</v>
          </cell>
          <cell r="H140">
            <v>33812616.649999999</v>
          </cell>
          <cell r="I140" t="str">
            <v>345</v>
          </cell>
        </row>
        <row r="141">
          <cell r="A141" t="str">
            <v>ARS</v>
          </cell>
          <cell r="B141" t="str">
            <v>345000880</v>
          </cell>
          <cell r="C141" t="str">
            <v>Scinardo Ratto, Lucas</v>
          </cell>
          <cell r="G141">
            <v>363475</v>
          </cell>
          <cell r="H141">
            <v>363475</v>
          </cell>
          <cell r="I141" t="str">
            <v>345</v>
          </cell>
        </row>
        <row r="142">
          <cell r="A142" t="str">
            <v>ARS</v>
          </cell>
          <cell r="B142" t="str">
            <v>345000884</v>
          </cell>
          <cell r="C142" t="str">
            <v>Ernesto Rodriguez y María Celeste Odino</v>
          </cell>
          <cell r="G142">
            <v>2503066.4900000002</v>
          </cell>
          <cell r="H142">
            <v>2503066.4900000002</v>
          </cell>
          <cell r="I142" t="str">
            <v>345</v>
          </cell>
        </row>
        <row r="143">
          <cell r="A143" t="str">
            <v>ARS</v>
          </cell>
          <cell r="B143" t="str">
            <v>345000885</v>
          </cell>
          <cell r="C143" t="str">
            <v>Juan Emilio Medina</v>
          </cell>
          <cell r="G143">
            <v>11868929.98</v>
          </cell>
          <cell r="H143">
            <v>11868929.98</v>
          </cell>
          <cell r="I143" t="str">
            <v>345</v>
          </cell>
        </row>
        <row r="144">
          <cell r="A144" t="str">
            <v>ARS</v>
          </cell>
          <cell r="B144" t="str">
            <v>345000890</v>
          </cell>
          <cell r="C144" t="str">
            <v>Maria Leticia Perez</v>
          </cell>
          <cell r="G144">
            <v>28738794.390000001</v>
          </cell>
          <cell r="H144">
            <v>28738794.390000001</v>
          </cell>
          <cell r="I144" t="str">
            <v>345</v>
          </cell>
        </row>
        <row r="145">
          <cell r="A145" t="str">
            <v>ARS</v>
          </cell>
          <cell r="B145" t="str">
            <v>345000893</v>
          </cell>
          <cell r="C145" t="str">
            <v>Valeria Gasteneguy</v>
          </cell>
          <cell r="G145">
            <v>15268279.189999999</v>
          </cell>
          <cell r="H145">
            <v>15268279.189999999</v>
          </cell>
          <cell r="I145" t="str">
            <v>345</v>
          </cell>
        </row>
        <row r="146">
          <cell r="A146" t="str">
            <v>ARS</v>
          </cell>
          <cell r="B146" t="str">
            <v>345000894</v>
          </cell>
          <cell r="C146" t="str">
            <v>Juana Delia Ziegler, Mariela Andrea Borger y Alfredo Raul Borger</v>
          </cell>
          <cell r="G146">
            <v>22047785.199999999</v>
          </cell>
          <cell r="H146">
            <v>22047785.199999999</v>
          </cell>
          <cell r="I146" t="str">
            <v>345</v>
          </cell>
        </row>
        <row r="147">
          <cell r="A147" t="str">
            <v>ARS</v>
          </cell>
          <cell r="B147" t="str">
            <v>345000898</v>
          </cell>
          <cell r="C147" t="str">
            <v>Marina Inés Naddeo</v>
          </cell>
          <cell r="G147">
            <v>856021.58</v>
          </cell>
          <cell r="H147">
            <v>856021.58</v>
          </cell>
          <cell r="I147" t="str">
            <v>345</v>
          </cell>
        </row>
        <row r="148">
          <cell r="A148" t="str">
            <v>ARS</v>
          </cell>
          <cell r="B148" t="str">
            <v>345000904</v>
          </cell>
          <cell r="C148" t="str">
            <v>Maria Eugenia Donati</v>
          </cell>
          <cell r="G148">
            <v>1000000</v>
          </cell>
          <cell r="H148">
            <v>1000000</v>
          </cell>
          <cell r="I148" t="str">
            <v>345</v>
          </cell>
        </row>
        <row r="149">
          <cell r="A149" t="str">
            <v>ARS</v>
          </cell>
          <cell r="B149" t="str">
            <v>346000033</v>
          </cell>
          <cell r="C149" t="str">
            <v xml:space="preserve">COOPERATIVAS AGROPECUARIAS FEDERADAS DE ENTRE RIOS </v>
          </cell>
          <cell r="G149">
            <v>1943479318.8199999</v>
          </cell>
          <cell r="H149">
            <v>1943479318.8199999</v>
          </cell>
          <cell r="I149" t="str">
            <v>346</v>
          </cell>
        </row>
        <row r="150">
          <cell r="A150" t="str">
            <v>ARS</v>
          </cell>
          <cell r="B150" t="str">
            <v>346040002</v>
          </cell>
          <cell r="C150" t="str">
            <v>Galizzi, Enrique Marino</v>
          </cell>
          <cell r="G150">
            <v>86000</v>
          </cell>
          <cell r="H150">
            <v>86000</v>
          </cell>
          <cell r="I150" t="str">
            <v>346</v>
          </cell>
        </row>
        <row r="151">
          <cell r="A151" t="str">
            <v>ARS</v>
          </cell>
          <cell r="B151" t="str">
            <v>346050002</v>
          </cell>
          <cell r="C151" t="str">
            <v>Estallo, Juan Manuel</v>
          </cell>
          <cell r="G151">
            <v>217805</v>
          </cell>
          <cell r="H151">
            <v>217805</v>
          </cell>
          <cell r="I151" t="str">
            <v>346</v>
          </cell>
        </row>
        <row r="152">
          <cell r="A152" t="str">
            <v>ARS</v>
          </cell>
          <cell r="B152" t="str">
            <v>346050007</v>
          </cell>
          <cell r="C152" t="str">
            <v>Reichel, Darío Alfredo</v>
          </cell>
          <cell r="G152">
            <v>958641</v>
          </cell>
          <cell r="H152">
            <v>958641</v>
          </cell>
          <cell r="I152" t="str">
            <v>346</v>
          </cell>
        </row>
        <row r="153">
          <cell r="A153" t="str">
            <v>ARS</v>
          </cell>
          <cell r="B153" t="str">
            <v>346070000</v>
          </cell>
          <cell r="C153" t="str">
            <v>COOPERATIVA DE SERVICIOS PÚBLICOS GRAL. JOSÉ DE SAN MARTÍN LTDA.</v>
          </cell>
          <cell r="G153">
            <v>28348740</v>
          </cell>
          <cell r="H153">
            <v>28348740</v>
          </cell>
          <cell r="I153" t="str">
            <v>346</v>
          </cell>
        </row>
        <row r="154">
          <cell r="A154" t="str">
            <v>ARS</v>
          </cell>
          <cell r="B154" t="str">
            <v>346070005</v>
          </cell>
          <cell r="C154" t="str">
            <v>Schaab, Daniel Aníbal</v>
          </cell>
          <cell r="G154">
            <v>954247</v>
          </cell>
          <cell r="H154">
            <v>954247</v>
          </cell>
          <cell r="I154" t="str">
            <v>346</v>
          </cell>
        </row>
        <row r="155">
          <cell r="A155" t="str">
            <v>ARS</v>
          </cell>
          <cell r="B155" t="str">
            <v>346070006</v>
          </cell>
          <cell r="C155" t="str">
            <v>Franco, Silvia María del Carmen</v>
          </cell>
          <cell r="G155">
            <v>37145513</v>
          </cell>
          <cell r="H155">
            <v>37145513</v>
          </cell>
          <cell r="I155" t="str">
            <v>346</v>
          </cell>
        </row>
        <row r="156">
          <cell r="A156" t="str">
            <v>ARS</v>
          </cell>
          <cell r="B156" t="str">
            <v>346070008</v>
          </cell>
          <cell r="C156" t="str">
            <v>SOLVENCIA - Mutual de Consejeros, Síndicos y Empleados de entidades cooperativas de Seguí, Entre Ríos</v>
          </cell>
          <cell r="G156">
            <v>30208915</v>
          </cell>
          <cell r="H156">
            <v>30208915</v>
          </cell>
          <cell r="I156" t="str">
            <v>346</v>
          </cell>
        </row>
        <row r="157">
          <cell r="A157" t="str">
            <v>ARS</v>
          </cell>
          <cell r="B157" t="str">
            <v>346070012</v>
          </cell>
          <cell r="C157" t="str">
            <v>Schaab, Liliana Raquel</v>
          </cell>
          <cell r="G157">
            <v>778291374</v>
          </cell>
          <cell r="H157">
            <v>778291374</v>
          </cell>
          <cell r="I157" t="str">
            <v>346</v>
          </cell>
        </row>
        <row r="158">
          <cell r="A158" t="str">
            <v>ARS</v>
          </cell>
          <cell r="B158" t="str">
            <v>346070013</v>
          </cell>
          <cell r="C158" t="str">
            <v>Fontana, Candela Malena</v>
          </cell>
          <cell r="G158">
            <v>319761958</v>
          </cell>
          <cell r="H158">
            <v>319761958</v>
          </cell>
          <cell r="I158" t="str">
            <v>346</v>
          </cell>
        </row>
        <row r="159">
          <cell r="A159" t="str">
            <v>ARS</v>
          </cell>
          <cell r="B159" t="str">
            <v>346070014</v>
          </cell>
          <cell r="C159" t="str">
            <v>Fontana, Enzo Gustavo</v>
          </cell>
          <cell r="G159">
            <v>433715375</v>
          </cell>
          <cell r="H159">
            <v>433715375</v>
          </cell>
          <cell r="I159" t="str">
            <v>346</v>
          </cell>
        </row>
        <row r="160">
          <cell r="A160" t="str">
            <v>ARS</v>
          </cell>
          <cell r="B160" t="str">
            <v>346070015</v>
          </cell>
          <cell r="C160" t="str">
            <v>Fontana, Rocío Micaela</v>
          </cell>
          <cell r="G160">
            <v>57558476</v>
          </cell>
          <cell r="H160">
            <v>57558476</v>
          </cell>
          <cell r="I160" t="str">
            <v>346</v>
          </cell>
        </row>
        <row r="161">
          <cell r="A161" t="str">
            <v>ARS</v>
          </cell>
          <cell r="B161" t="str">
            <v>346200001</v>
          </cell>
          <cell r="C161" t="str">
            <v>Espinosa, Rodrigo Fernando</v>
          </cell>
          <cell r="G161">
            <v>21218423</v>
          </cell>
          <cell r="H161">
            <v>21218423</v>
          </cell>
          <cell r="I161" t="str">
            <v>346</v>
          </cell>
        </row>
        <row r="162">
          <cell r="A162" t="str">
            <v>ARS</v>
          </cell>
          <cell r="B162" t="str">
            <v>346200002</v>
          </cell>
          <cell r="C162" t="str">
            <v>Espinosa, Karina Elizabeth</v>
          </cell>
          <cell r="G162">
            <v>4468291</v>
          </cell>
          <cell r="H162">
            <v>4468291</v>
          </cell>
          <cell r="I162" t="str">
            <v>346</v>
          </cell>
        </row>
        <row r="163">
          <cell r="A163" t="str">
            <v>ARS</v>
          </cell>
          <cell r="B163" t="str">
            <v>346200003</v>
          </cell>
          <cell r="C163" t="str">
            <v>Tramontina, Mauro Alejandro</v>
          </cell>
          <cell r="G163">
            <v>7905.3</v>
          </cell>
          <cell r="H163">
            <v>7905.3</v>
          </cell>
          <cell r="I163" t="str">
            <v>346</v>
          </cell>
        </row>
        <row r="164">
          <cell r="A164" t="str">
            <v>ARS</v>
          </cell>
          <cell r="B164" t="str">
            <v>346200004</v>
          </cell>
          <cell r="C164" t="str">
            <v>Peña Manibardo, Matías Gonzalo</v>
          </cell>
          <cell r="G164">
            <v>8248900</v>
          </cell>
          <cell r="H164">
            <v>8248900</v>
          </cell>
          <cell r="I164" t="str">
            <v>346</v>
          </cell>
        </row>
        <row r="165">
          <cell r="A165" t="str">
            <v>ARS</v>
          </cell>
          <cell r="B165" t="str">
            <v>346200005</v>
          </cell>
          <cell r="C165" t="str">
            <v>Honeker, Pedro Maximiliano</v>
          </cell>
          <cell r="G165">
            <v>1232334</v>
          </cell>
          <cell r="H165">
            <v>1232334</v>
          </cell>
          <cell r="I165" t="str">
            <v>346</v>
          </cell>
        </row>
        <row r="166">
          <cell r="A166" t="str">
            <v>ARS</v>
          </cell>
          <cell r="B166" t="str">
            <v>346200007</v>
          </cell>
          <cell r="C166" t="str">
            <v>Espinosa, Fernando Héctor</v>
          </cell>
          <cell r="G166">
            <v>10380103</v>
          </cell>
          <cell r="H166">
            <v>10380103</v>
          </cell>
          <cell r="I166" t="str">
            <v>346</v>
          </cell>
        </row>
        <row r="167">
          <cell r="A167" t="str">
            <v>ARS</v>
          </cell>
          <cell r="B167" t="str">
            <v>346200010</v>
          </cell>
          <cell r="C167" t="str">
            <v>Cinalli, Telma Cora</v>
          </cell>
          <cell r="G167">
            <v>60273741</v>
          </cell>
          <cell r="H167">
            <v>60273741</v>
          </cell>
          <cell r="I167" t="str">
            <v>346</v>
          </cell>
        </row>
        <row r="168">
          <cell r="A168" t="str">
            <v>ARS</v>
          </cell>
          <cell r="B168" t="str">
            <v>346310004</v>
          </cell>
          <cell r="C168" t="str">
            <v>CHASSART LA ESMERALDA S.A.</v>
          </cell>
          <cell r="G168">
            <v>27993000</v>
          </cell>
          <cell r="H168">
            <v>27993000</v>
          </cell>
          <cell r="I168" t="str">
            <v>346</v>
          </cell>
        </row>
        <row r="169">
          <cell r="A169" t="str">
            <v>ARS</v>
          </cell>
          <cell r="B169" t="str">
            <v>346310007</v>
          </cell>
          <cell r="C169" t="str">
            <v>Cerini, Mariano Gabriel</v>
          </cell>
          <cell r="G169">
            <v>265540</v>
          </cell>
          <cell r="H169">
            <v>265540</v>
          </cell>
          <cell r="I169" t="str">
            <v>346</v>
          </cell>
        </row>
        <row r="170">
          <cell r="A170" t="str">
            <v>ARS</v>
          </cell>
          <cell r="B170" t="str">
            <v>346310010</v>
          </cell>
          <cell r="C170" t="str">
            <v>Favero, Johana Belén</v>
          </cell>
          <cell r="G170">
            <v>5740763</v>
          </cell>
          <cell r="H170">
            <v>5740763</v>
          </cell>
          <cell r="I170" t="str">
            <v>346</v>
          </cell>
        </row>
        <row r="171">
          <cell r="A171" t="str">
            <v>ARS</v>
          </cell>
          <cell r="B171" t="str">
            <v>346310013</v>
          </cell>
          <cell r="C171" t="str">
            <v>FUNDACIÓN ARRAIGAR</v>
          </cell>
          <cell r="G171">
            <v>67818</v>
          </cell>
          <cell r="H171">
            <v>67818</v>
          </cell>
          <cell r="I171" t="str">
            <v>346</v>
          </cell>
        </row>
        <row r="172">
          <cell r="A172" t="str">
            <v>ARS</v>
          </cell>
          <cell r="B172" t="str">
            <v>346310019</v>
          </cell>
          <cell r="C172" t="str">
            <v>VITAL CAMPO S.R.L.</v>
          </cell>
          <cell r="G172">
            <v>52590814</v>
          </cell>
          <cell r="H172">
            <v>52590814</v>
          </cell>
          <cell r="I172" t="str">
            <v>346</v>
          </cell>
        </row>
        <row r="173">
          <cell r="A173" t="str">
            <v>ARS</v>
          </cell>
          <cell r="B173" t="str">
            <v>346310022</v>
          </cell>
          <cell r="C173" t="str">
            <v>Marcante, Amparo Cristina</v>
          </cell>
          <cell r="G173">
            <v>4352</v>
          </cell>
          <cell r="H173">
            <v>4352</v>
          </cell>
          <cell r="I173" t="str">
            <v>346</v>
          </cell>
        </row>
        <row r="174">
          <cell r="A174" t="str">
            <v>ARS</v>
          </cell>
          <cell r="B174" t="str">
            <v>346310026</v>
          </cell>
          <cell r="C174" t="str">
            <v>Keiner, Edgardo Daniel</v>
          </cell>
          <cell r="G174">
            <v>661999442</v>
          </cell>
          <cell r="H174">
            <v>661999442</v>
          </cell>
          <cell r="I174" t="str">
            <v>346</v>
          </cell>
        </row>
        <row r="175">
          <cell r="A175" t="str">
            <v>ARS</v>
          </cell>
          <cell r="B175" t="str">
            <v>346310033</v>
          </cell>
          <cell r="C175" t="str">
            <v>Darrichon, Viviana Amelia</v>
          </cell>
          <cell r="G175">
            <v>553595</v>
          </cell>
          <cell r="H175">
            <v>553595</v>
          </cell>
          <cell r="I175" t="str">
            <v>346</v>
          </cell>
        </row>
        <row r="176">
          <cell r="A176" t="str">
            <v>ARS</v>
          </cell>
          <cell r="B176" t="str">
            <v>346310045</v>
          </cell>
          <cell r="C176" t="str">
            <v>Romero, Walter Emanuel</v>
          </cell>
          <cell r="G176">
            <v>268587337</v>
          </cell>
          <cell r="H176">
            <v>268587337</v>
          </cell>
          <cell r="I176" t="str">
            <v>346</v>
          </cell>
        </row>
        <row r="177">
          <cell r="A177" t="str">
            <v>ARS</v>
          </cell>
          <cell r="B177" t="str">
            <v>346311000</v>
          </cell>
          <cell r="C177" t="str">
            <v>Dabin, Ignacio Pablo</v>
          </cell>
          <cell r="G177">
            <v>84920</v>
          </cell>
          <cell r="H177">
            <v>84920</v>
          </cell>
          <cell r="I177" t="str">
            <v>346</v>
          </cell>
        </row>
        <row r="178">
          <cell r="A178" t="str">
            <v>ARS</v>
          </cell>
          <cell r="B178" t="str">
            <v>346311011</v>
          </cell>
          <cell r="C178" t="str">
            <v>Martinessi, Luciano Andrés</v>
          </cell>
          <cell r="G178">
            <v>2464898.6</v>
          </cell>
          <cell r="H178">
            <v>2464898.6</v>
          </cell>
          <cell r="I178" t="str">
            <v>346</v>
          </cell>
        </row>
        <row r="179">
          <cell r="A179" t="str">
            <v>ARS</v>
          </cell>
          <cell r="B179" t="str">
            <v>346311012</v>
          </cell>
          <cell r="C179" t="str">
            <v>Peña, Lucy Guadalupe</v>
          </cell>
          <cell r="G179">
            <v>267100</v>
          </cell>
          <cell r="H179">
            <v>267100</v>
          </cell>
          <cell r="I179" t="str">
            <v>346</v>
          </cell>
        </row>
        <row r="180">
          <cell r="A180" t="str">
            <v>ARS</v>
          </cell>
          <cell r="B180" t="str">
            <v>346311013</v>
          </cell>
          <cell r="C180" t="str">
            <v>Bel, Alfredo Fabián</v>
          </cell>
          <cell r="G180">
            <v>8005800</v>
          </cell>
          <cell r="H180">
            <v>8005800</v>
          </cell>
          <cell r="I180" t="str">
            <v>346</v>
          </cell>
        </row>
        <row r="181">
          <cell r="A181" t="str">
            <v>ARS</v>
          </cell>
          <cell r="B181" t="str">
            <v>346311014</v>
          </cell>
          <cell r="C181" t="str">
            <v>Gastaldi, Juan José</v>
          </cell>
          <cell r="G181">
            <v>312210</v>
          </cell>
          <cell r="H181">
            <v>312210</v>
          </cell>
          <cell r="I181" t="str">
            <v>346</v>
          </cell>
        </row>
        <row r="182">
          <cell r="A182" t="str">
            <v>ARS</v>
          </cell>
          <cell r="B182" t="str">
            <v>346311016</v>
          </cell>
          <cell r="C182" t="str">
            <v>Cooperativa de Servicios Públicos "El Supremo Entrerriano" Ltda.</v>
          </cell>
          <cell r="G182">
            <v>78556180</v>
          </cell>
          <cell r="H182">
            <v>78556180</v>
          </cell>
          <cell r="I182" t="str">
            <v>346</v>
          </cell>
        </row>
        <row r="183">
          <cell r="A183" t="str">
            <v>ARS</v>
          </cell>
          <cell r="B183" t="str">
            <v>346320101</v>
          </cell>
          <cell r="C183" t="str">
            <v>Arce, Gabriel Arnoldo</v>
          </cell>
          <cell r="G183">
            <v>8934710</v>
          </cell>
          <cell r="H183">
            <v>8934710</v>
          </cell>
          <cell r="I183" t="str">
            <v>346</v>
          </cell>
        </row>
        <row r="184">
          <cell r="A184" t="str">
            <v>ARS</v>
          </cell>
          <cell r="B184" t="str">
            <v>346320103</v>
          </cell>
          <cell r="C184" t="str">
            <v>Maidana, Flavia Gisela</v>
          </cell>
          <cell r="G184">
            <v>13175580</v>
          </cell>
          <cell r="H184">
            <v>13175580</v>
          </cell>
          <cell r="I184" t="str">
            <v>346</v>
          </cell>
        </row>
        <row r="185">
          <cell r="A185" t="str">
            <v>ARS</v>
          </cell>
          <cell r="B185" t="str">
            <v>346320203</v>
          </cell>
          <cell r="C185" t="str">
            <v>Adente, Rita Mariela</v>
          </cell>
          <cell r="G185">
            <v>74000</v>
          </cell>
          <cell r="H185">
            <v>74000</v>
          </cell>
          <cell r="I185" t="str">
            <v>346</v>
          </cell>
        </row>
        <row r="186">
          <cell r="A186" t="str">
            <v>ARS</v>
          </cell>
          <cell r="B186" t="str">
            <v>346320204</v>
          </cell>
          <cell r="C186" t="str">
            <v>Aguerreberre, Débora Georgina</v>
          </cell>
          <cell r="G186">
            <v>42664</v>
          </cell>
          <cell r="H186">
            <v>42664</v>
          </cell>
          <cell r="I186" t="str">
            <v>346</v>
          </cell>
        </row>
        <row r="187">
          <cell r="A187" t="str">
            <v>ARS</v>
          </cell>
          <cell r="B187" t="str">
            <v>346320401</v>
          </cell>
          <cell r="C187" t="str">
            <v>Videla, Vanessa Siomara Alejandra</v>
          </cell>
          <cell r="G187">
            <v>963818.8</v>
          </cell>
          <cell r="H187">
            <v>963818.8</v>
          </cell>
          <cell r="I187" t="str">
            <v>346</v>
          </cell>
        </row>
        <row r="188">
          <cell r="A188" t="str">
            <v>ARS</v>
          </cell>
          <cell r="B188" t="str">
            <v>346800006</v>
          </cell>
          <cell r="C188" t="str">
            <v>Aladio, Adolfo Juan Pedro</v>
          </cell>
          <cell r="G188">
            <v>6413200</v>
          </cell>
          <cell r="H188">
            <v>6413200</v>
          </cell>
          <cell r="I188" t="str">
            <v>346</v>
          </cell>
        </row>
        <row r="189">
          <cell r="A189" t="str">
            <v>ARS</v>
          </cell>
          <cell r="B189" t="str">
            <v>401000007</v>
          </cell>
          <cell r="C189" t="str">
            <v>MACIEL ENRIQUE</v>
          </cell>
          <cell r="G189">
            <v>3339260.82</v>
          </cell>
          <cell r="H189">
            <v>3339260.82</v>
          </cell>
          <cell r="I189" t="str">
            <v>401</v>
          </cell>
        </row>
        <row r="190">
          <cell r="A190" t="str">
            <v>ARS</v>
          </cell>
          <cell r="B190" t="str">
            <v>401000008</v>
          </cell>
          <cell r="C190" t="str">
            <v>AVANTIA VALORES SA</v>
          </cell>
          <cell r="G190">
            <v>26225799841.91</v>
          </cell>
          <cell r="H190">
            <v>26225799841.91</v>
          </cell>
          <cell r="I190" t="str">
            <v>401</v>
          </cell>
        </row>
        <row r="191">
          <cell r="A191" t="str">
            <v>ARS</v>
          </cell>
          <cell r="B191" t="str">
            <v>401000009</v>
          </cell>
          <cell r="C191" t="str">
            <v>O´DONNELL JUAN MANUEL</v>
          </cell>
          <cell r="G191">
            <v>10685446.93</v>
          </cell>
          <cell r="H191">
            <v>10685446.93</v>
          </cell>
          <cell r="I191" t="str">
            <v>401</v>
          </cell>
        </row>
        <row r="192">
          <cell r="A192" t="str">
            <v>ARS</v>
          </cell>
          <cell r="B192" t="str">
            <v>401000011</v>
          </cell>
          <cell r="C192" t="str">
            <v>MICOLAND S.A.</v>
          </cell>
          <cell r="G192">
            <v>12483710.199999999</v>
          </cell>
          <cell r="H192">
            <v>12483710.199999999</v>
          </cell>
          <cell r="I192" t="str">
            <v>401</v>
          </cell>
        </row>
        <row r="193">
          <cell r="A193" t="str">
            <v>ARS</v>
          </cell>
          <cell r="B193" t="str">
            <v>401000012</v>
          </cell>
          <cell r="C193" t="str">
            <v>GUNDESEN PEDRO NICOLAS</v>
          </cell>
          <cell r="G193">
            <v>8315</v>
          </cell>
          <cell r="H193">
            <v>8315</v>
          </cell>
          <cell r="I193" t="str">
            <v>401</v>
          </cell>
        </row>
        <row r="194">
          <cell r="A194" t="str">
            <v>ARS</v>
          </cell>
          <cell r="B194" t="str">
            <v>401000014</v>
          </cell>
          <cell r="C194" t="str">
            <v>HERRERA VEGAS DE GAINZA SARA</v>
          </cell>
          <cell r="G194">
            <v>2741144</v>
          </cell>
          <cell r="H194">
            <v>2741144</v>
          </cell>
          <cell r="I194" t="str">
            <v>401</v>
          </cell>
        </row>
        <row r="195">
          <cell r="A195" t="str">
            <v>ARS</v>
          </cell>
          <cell r="B195" t="str">
            <v>401000016</v>
          </cell>
          <cell r="C195" t="str">
            <v>GRANOS Y SEMILLAS S.A.</v>
          </cell>
          <cell r="G195">
            <v>302235574.48000002</v>
          </cell>
          <cell r="H195">
            <v>302235574.48000002</v>
          </cell>
          <cell r="I195" t="str">
            <v>401</v>
          </cell>
        </row>
        <row r="196">
          <cell r="A196" t="str">
            <v>ARS</v>
          </cell>
          <cell r="B196" t="str">
            <v>401000018</v>
          </cell>
          <cell r="C196" t="str">
            <v>TORO DIGITAL S.A.</v>
          </cell>
          <cell r="G196">
            <v>928653184.64999998</v>
          </cell>
          <cell r="H196">
            <v>928653184.64999998</v>
          </cell>
          <cell r="I196" t="str">
            <v>401</v>
          </cell>
        </row>
        <row r="197">
          <cell r="A197" t="str">
            <v>ARS</v>
          </cell>
          <cell r="B197" t="str">
            <v>401000019</v>
          </cell>
          <cell r="C197" t="str">
            <v>PMP CONSTRUCCIONES S.R.L.</v>
          </cell>
          <cell r="G197">
            <v>140312660.16999999</v>
          </cell>
          <cell r="H197">
            <v>140312660.16999999</v>
          </cell>
          <cell r="I197" t="str">
            <v>401</v>
          </cell>
        </row>
        <row r="198">
          <cell r="A198" t="str">
            <v>ARS</v>
          </cell>
          <cell r="B198" t="str">
            <v>401000020</v>
          </cell>
          <cell r="C198" t="str">
            <v>VENTO CAPITAL S.A.</v>
          </cell>
          <cell r="G198">
            <v>111946502284.61</v>
          </cell>
          <cell r="H198">
            <v>111946502284.61</v>
          </cell>
          <cell r="I198" t="str">
            <v>401</v>
          </cell>
        </row>
        <row r="199">
          <cell r="A199" t="str">
            <v>ARS</v>
          </cell>
          <cell r="B199" t="str">
            <v>401000022</v>
          </cell>
          <cell r="C199" t="str">
            <v>BENITEZ GUILLERMO</v>
          </cell>
          <cell r="G199">
            <v>191557278.59999999</v>
          </cell>
          <cell r="H199">
            <v>191557278.59999999</v>
          </cell>
          <cell r="I199" t="str">
            <v>401</v>
          </cell>
        </row>
        <row r="200">
          <cell r="A200" t="str">
            <v>ARS</v>
          </cell>
          <cell r="B200" t="str">
            <v>401000027</v>
          </cell>
          <cell r="C200" t="str">
            <v>LP AGROPECUARIA S.R.L.</v>
          </cell>
          <cell r="G200">
            <v>35204803.399999999</v>
          </cell>
          <cell r="H200">
            <v>35204803.399999999</v>
          </cell>
          <cell r="I200" t="str">
            <v>401</v>
          </cell>
        </row>
        <row r="201">
          <cell r="A201" t="str">
            <v>ARS</v>
          </cell>
          <cell r="B201" t="str">
            <v>401000030</v>
          </cell>
          <cell r="C201" t="str">
            <v>AUTOSERVICIO MAYORISTA DIARCO S.A.</v>
          </cell>
          <cell r="G201">
            <v>31193739861</v>
          </cell>
          <cell r="H201">
            <v>31193739861</v>
          </cell>
          <cell r="I201" t="str">
            <v>401</v>
          </cell>
        </row>
        <row r="202">
          <cell r="A202" t="str">
            <v>ARS</v>
          </cell>
          <cell r="B202" t="str">
            <v>401000032</v>
          </cell>
          <cell r="C202" t="str">
            <v>PLOTTERDOC. COM S.R.L.</v>
          </cell>
          <cell r="G202">
            <v>1308042295</v>
          </cell>
          <cell r="H202">
            <v>1308042295</v>
          </cell>
          <cell r="I202" t="str">
            <v>401</v>
          </cell>
        </row>
        <row r="203">
          <cell r="A203" t="str">
            <v>ARS</v>
          </cell>
          <cell r="B203" t="str">
            <v>401000035</v>
          </cell>
          <cell r="C203" t="str">
            <v>AGROPECUARIA LA GANDARA S.R.L.</v>
          </cell>
          <cell r="G203">
            <v>746160035.52999997</v>
          </cell>
          <cell r="H203">
            <v>746160035.52999997</v>
          </cell>
          <cell r="I203" t="str">
            <v>401</v>
          </cell>
        </row>
        <row r="204">
          <cell r="A204" t="str">
            <v>ARS</v>
          </cell>
          <cell r="B204" t="str">
            <v>401000036</v>
          </cell>
          <cell r="C204" t="str">
            <v>MISCELIO S.A.</v>
          </cell>
          <cell r="G204">
            <v>32533051.800000001</v>
          </cell>
          <cell r="H204">
            <v>32533051.800000001</v>
          </cell>
          <cell r="I204" t="str">
            <v>401</v>
          </cell>
        </row>
        <row r="205">
          <cell r="A205" t="str">
            <v>ARS</v>
          </cell>
          <cell r="B205" t="str">
            <v>401000037</v>
          </cell>
          <cell r="C205" t="str">
            <v>GOTION ARGENTINA S.A.</v>
          </cell>
          <cell r="G205">
            <v>277745506.64999998</v>
          </cell>
          <cell r="H205">
            <v>277745506.64999998</v>
          </cell>
          <cell r="I205" t="str">
            <v>401</v>
          </cell>
        </row>
        <row r="206">
          <cell r="A206" t="str">
            <v>ARS</v>
          </cell>
          <cell r="B206" t="str">
            <v>401000040</v>
          </cell>
          <cell r="C206" t="str">
            <v>DIVARA NOVITEX S.A</v>
          </cell>
          <cell r="G206">
            <v>1340287096</v>
          </cell>
          <cell r="H206">
            <v>1340287096</v>
          </cell>
          <cell r="I206" t="str">
            <v>401</v>
          </cell>
        </row>
        <row r="207">
          <cell r="A207" t="str">
            <v>ARS</v>
          </cell>
          <cell r="B207" t="str">
            <v>401000050</v>
          </cell>
          <cell r="C207" t="str">
            <v>FRIGORIFICO ALBERDI S.A.</v>
          </cell>
          <cell r="G207">
            <v>520900000.36000001</v>
          </cell>
          <cell r="H207">
            <v>520900000.36000001</v>
          </cell>
          <cell r="I207" t="str">
            <v>401</v>
          </cell>
        </row>
        <row r="208">
          <cell r="A208" t="str">
            <v>ARS</v>
          </cell>
          <cell r="B208" t="str">
            <v>401000051</v>
          </cell>
          <cell r="C208" t="str">
            <v>EMPRESA NAVIERA PETROLERA ATLANTICA S.A.</v>
          </cell>
          <cell r="G208">
            <v>228591221</v>
          </cell>
          <cell r="H208">
            <v>228591221</v>
          </cell>
          <cell r="I208" t="str">
            <v>401</v>
          </cell>
        </row>
        <row r="209">
          <cell r="A209" t="str">
            <v>ARS</v>
          </cell>
          <cell r="B209" t="str">
            <v>401000052</v>
          </cell>
          <cell r="C209" t="str">
            <v>LA COMODA S.A.</v>
          </cell>
          <cell r="G209">
            <v>100152.7</v>
          </cell>
          <cell r="H209">
            <v>100152.7</v>
          </cell>
          <cell r="I209" t="str">
            <v>401</v>
          </cell>
        </row>
        <row r="210">
          <cell r="A210" t="str">
            <v>ARS</v>
          </cell>
          <cell r="B210" t="str">
            <v>401000054</v>
          </cell>
          <cell r="C210" t="str">
            <v>COMUNICACION INTEGRAL 360 S.R.L.</v>
          </cell>
          <cell r="G210">
            <v>1055835517</v>
          </cell>
          <cell r="H210">
            <v>1055835517</v>
          </cell>
          <cell r="I210" t="str">
            <v>401</v>
          </cell>
        </row>
        <row r="211">
          <cell r="A211" t="str">
            <v>ARS</v>
          </cell>
          <cell r="B211" t="str">
            <v>401000056</v>
          </cell>
          <cell r="C211" t="str">
            <v>SOCIEDAD ANONIMA CARNES PAMPEANAS SA</v>
          </cell>
          <cell r="G211">
            <v>47528250</v>
          </cell>
          <cell r="H211">
            <v>47528250</v>
          </cell>
          <cell r="I211" t="str">
            <v>401</v>
          </cell>
        </row>
        <row r="212">
          <cell r="A212" t="str">
            <v>ARS</v>
          </cell>
          <cell r="B212" t="str">
            <v>401000057</v>
          </cell>
          <cell r="C212" t="str">
            <v xml:space="preserve">GL S.A </v>
          </cell>
          <cell r="G212">
            <v>1115399999.6300001</v>
          </cell>
          <cell r="H212">
            <v>1115399999.6300001</v>
          </cell>
          <cell r="I212" t="str">
            <v>401</v>
          </cell>
        </row>
        <row r="213">
          <cell r="A213" t="str">
            <v>ARS</v>
          </cell>
          <cell r="B213" t="str">
            <v>401000058</v>
          </cell>
          <cell r="C213" t="str">
            <v>POTIGIAN GOLOSINAS S.A.C.I.F.I.</v>
          </cell>
          <cell r="G213">
            <v>14019769736</v>
          </cell>
          <cell r="H213">
            <v>14019769736</v>
          </cell>
          <cell r="I213" t="str">
            <v>401</v>
          </cell>
        </row>
        <row r="214">
          <cell r="A214" t="str">
            <v>ARS</v>
          </cell>
          <cell r="B214" t="str">
            <v>401000060</v>
          </cell>
          <cell r="C214" t="str">
            <v>WODEN ENERGIA SAU</v>
          </cell>
          <cell r="G214">
            <v>13983439975.33</v>
          </cell>
          <cell r="H214">
            <v>13983439975.33</v>
          </cell>
          <cell r="I214" t="str">
            <v>401</v>
          </cell>
        </row>
        <row r="215">
          <cell r="A215" t="str">
            <v>ARS</v>
          </cell>
          <cell r="B215" t="str">
            <v>401000062</v>
          </cell>
          <cell r="C215" t="str">
            <v>BLANCO ALICIA AMALIA</v>
          </cell>
          <cell r="G215">
            <v>9138147.5999999996</v>
          </cell>
          <cell r="H215">
            <v>9138147.5999999996</v>
          </cell>
          <cell r="I215" t="str">
            <v>401</v>
          </cell>
        </row>
        <row r="216">
          <cell r="A216" t="str">
            <v>ARS</v>
          </cell>
          <cell r="B216" t="str">
            <v>401000065</v>
          </cell>
          <cell r="C216" t="str">
            <v>INMAC INGENIERIA Y ARQUITECTURA S.A.</v>
          </cell>
          <cell r="G216">
            <v>280380869.19</v>
          </cell>
          <cell r="H216">
            <v>280380869.19</v>
          </cell>
          <cell r="I216" t="str">
            <v>401</v>
          </cell>
        </row>
        <row r="217">
          <cell r="A217" t="str">
            <v>ARS</v>
          </cell>
          <cell r="B217" t="str">
            <v>401000066</v>
          </cell>
          <cell r="C217" t="str">
            <v xml:space="preserve">EMPRESA DE ENERGIA RIO NEGRO S.A. </v>
          </cell>
          <cell r="G217">
            <v>102708242167</v>
          </cell>
          <cell r="H217">
            <v>102708242167</v>
          </cell>
          <cell r="I217" t="str">
            <v>401</v>
          </cell>
        </row>
        <row r="218">
          <cell r="A218" t="str">
            <v>ARS</v>
          </cell>
          <cell r="B218" t="str">
            <v>401000085</v>
          </cell>
          <cell r="C218" t="str">
            <v>CORRALES PEDRO MANUEL</v>
          </cell>
          <cell r="G218">
            <v>25135064.5</v>
          </cell>
          <cell r="H218">
            <v>25135064.5</v>
          </cell>
          <cell r="I218" t="str">
            <v>401</v>
          </cell>
        </row>
        <row r="219">
          <cell r="A219" t="str">
            <v>ARS</v>
          </cell>
          <cell r="B219" t="str">
            <v>401000089</v>
          </cell>
          <cell r="C219" t="str">
            <v>BLANCO ELENA HERMINIA</v>
          </cell>
          <cell r="G219">
            <v>6456980</v>
          </cell>
          <cell r="H219">
            <v>6456980</v>
          </cell>
          <cell r="I219" t="str">
            <v>401</v>
          </cell>
        </row>
        <row r="220">
          <cell r="A220" t="str">
            <v>ARS</v>
          </cell>
          <cell r="B220" t="str">
            <v>401000097</v>
          </cell>
          <cell r="C220" t="str">
            <v>CASA DEMARIA TEOFILO RAUL</v>
          </cell>
          <cell r="G220">
            <v>30244441.300000001</v>
          </cell>
          <cell r="H220">
            <v>30244441.300000001</v>
          </cell>
          <cell r="I220" t="str">
            <v>401</v>
          </cell>
        </row>
        <row r="221">
          <cell r="A221" t="str">
            <v>ARS</v>
          </cell>
          <cell r="B221" t="str">
            <v>401000100</v>
          </cell>
          <cell r="C221" t="str">
            <v>AURA CAPITAL S.A.</v>
          </cell>
          <cell r="G221">
            <v>349446357</v>
          </cell>
          <cell r="H221">
            <v>349446357</v>
          </cell>
          <cell r="I221" t="str">
            <v>401</v>
          </cell>
        </row>
        <row r="222">
          <cell r="A222" t="str">
            <v>ARS</v>
          </cell>
          <cell r="B222" t="str">
            <v>401000108</v>
          </cell>
          <cell r="C222" t="str">
            <v>THE TRADE MAP S.R.L.</v>
          </cell>
          <cell r="G222">
            <v>194786295</v>
          </cell>
          <cell r="H222">
            <v>194786295</v>
          </cell>
          <cell r="I222" t="str">
            <v>401</v>
          </cell>
        </row>
        <row r="223">
          <cell r="A223" t="str">
            <v>ARS</v>
          </cell>
          <cell r="B223" t="str">
            <v>401000111</v>
          </cell>
          <cell r="C223" t="str">
            <v>FANTASÍA JORGE LUIS</v>
          </cell>
          <cell r="G223">
            <v>25617046.600000001</v>
          </cell>
          <cell r="H223">
            <v>25617046.600000001</v>
          </cell>
          <cell r="I223" t="str">
            <v>401</v>
          </cell>
        </row>
        <row r="224">
          <cell r="A224" t="str">
            <v>ARS</v>
          </cell>
          <cell r="B224" t="str">
            <v>401000116</v>
          </cell>
          <cell r="C224" t="str">
            <v>ITZCOVICH MARIANA</v>
          </cell>
          <cell r="G224">
            <v>46902</v>
          </cell>
          <cell r="H224">
            <v>46902</v>
          </cell>
          <cell r="I224" t="str">
            <v>401</v>
          </cell>
        </row>
        <row r="225">
          <cell r="A225" t="str">
            <v>ARS</v>
          </cell>
          <cell r="B225" t="str">
            <v>401000128</v>
          </cell>
          <cell r="C225" t="str">
            <v>MALIC ESTANISLAO</v>
          </cell>
          <cell r="G225">
            <v>10638860.119999999</v>
          </cell>
          <cell r="H225">
            <v>10638860.119999999</v>
          </cell>
          <cell r="I225" t="str">
            <v>401</v>
          </cell>
        </row>
        <row r="226">
          <cell r="A226" t="str">
            <v>ARS</v>
          </cell>
          <cell r="B226" t="str">
            <v>401000131</v>
          </cell>
          <cell r="C226" t="str">
            <v>ZUBIAURRE ALBERTO</v>
          </cell>
          <cell r="G226">
            <v>145054091.5</v>
          </cell>
          <cell r="H226">
            <v>145054091.5</v>
          </cell>
          <cell r="I226" t="str">
            <v>401</v>
          </cell>
        </row>
        <row r="227">
          <cell r="A227" t="str">
            <v>ARS</v>
          </cell>
          <cell r="B227" t="str">
            <v>401000134</v>
          </cell>
          <cell r="C227" t="str">
            <v>ROJAS PANELO FERNANDO MARIO</v>
          </cell>
          <cell r="G227">
            <v>115761298</v>
          </cell>
          <cell r="H227">
            <v>115761298</v>
          </cell>
          <cell r="I227" t="str">
            <v>401</v>
          </cell>
        </row>
        <row r="228">
          <cell r="A228" t="str">
            <v>ARS</v>
          </cell>
          <cell r="B228" t="str">
            <v>401000143</v>
          </cell>
          <cell r="C228" t="str">
            <v>FERNANDEZ MARIA CECILIA</v>
          </cell>
          <cell r="G228">
            <v>799336149</v>
          </cell>
          <cell r="H228">
            <v>799336149</v>
          </cell>
          <cell r="I228" t="str">
            <v>401</v>
          </cell>
        </row>
        <row r="229">
          <cell r="A229" t="str">
            <v>ARS</v>
          </cell>
          <cell r="B229" t="str">
            <v>401000144</v>
          </cell>
          <cell r="C229" t="str">
            <v>TADIOLI FABIAN OMAR</v>
          </cell>
          <cell r="G229">
            <v>1063118764</v>
          </cell>
          <cell r="H229">
            <v>1063118764</v>
          </cell>
          <cell r="I229" t="str">
            <v>401</v>
          </cell>
        </row>
        <row r="230">
          <cell r="A230" t="str">
            <v>ARS</v>
          </cell>
          <cell r="B230" t="str">
            <v>401000151</v>
          </cell>
          <cell r="C230" t="str">
            <v>ZUBIAURRE MARIA  FLORENTINA</v>
          </cell>
          <cell r="G230">
            <v>11335110.1</v>
          </cell>
          <cell r="H230">
            <v>11335110.1</v>
          </cell>
          <cell r="I230" t="str">
            <v>401</v>
          </cell>
        </row>
        <row r="231">
          <cell r="A231" t="str">
            <v>ARS</v>
          </cell>
          <cell r="B231" t="str">
            <v>401000153</v>
          </cell>
          <cell r="C231" t="str">
            <v xml:space="preserve">AVANTIA VALORES SA - CUENTA ERROR </v>
          </cell>
          <cell r="G231">
            <v>10096378.6</v>
          </cell>
          <cell r="H231">
            <v>10096378.6</v>
          </cell>
          <cell r="I231" t="str">
            <v>401</v>
          </cell>
        </row>
        <row r="232">
          <cell r="A232" t="str">
            <v>ARS</v>
          </cell>
          <cell r="B232" t="str">
            <v>401000154</v>
          </cell>
          <cell r="C232" t="str">
            <v>SCHAER JUAN JOSE  Y FERNANDEZ MARIA DE LAS MERCEDES</v>
          </cell>
          <cell r="G232">
            <v>17631.599999999999</v>
          </cell>
          <cell r="H232">
            <v>17631.599999999999</v>
          </cell>
          <cell r="I232" t="str">
            <v>401</v>
          </cell>
        </row>
        <row r="233">
          <cell r="A233" t="str">
            <v>ARS</v>
          </cell>
          <cell r="B233" t="str">
            <v>401000155</v>
          </cell>
          <cell r="C233" t="str">
            <v>SCALA LUIS MARTÍN</v>
          </cell>
          <cell r="G233">
            <v>1577228489.75</v>
          </cell>
          <cell r="H233">
            <v>1577228489.75</v>
          </cell>
          <cell r="I233" t="str">
            <v>401</v>
          </cell>
        </row>
        <row r="234">
          <cell r="A234" t="str">
            <v>ARS</v>
          </cell>
          <cell r="B234" t="str">
            <v>401000160</v>
          </cell>
          <cell r="C234" t="str">
            <v xml:space="preserve">AGRO GUÍRA PITA S.A. </v>
          </cell>
          <cell r="G234">
            <v>7638519.5</v>
          </cell>
          <cell r="H234">
            <v>7638519.5</v>
          </cell>
          <cell r="I234" t="str">
            <v>401</v>
          </cell>
        </row>
        <row r="235">
          <cell r="A235" t="str">
            <v>ARS</v>
          </cell>
          <cell r="B235" t="str">
            <v>401000161</v>
          </cell>
          <cell r="C235" t="str">
            <v>FUNDACIÓN FARO ARGENTINA</v>
          </cell>
          <cell r="G235">
            <v>30595614249.450001</v>
          </cell>
          <cell r="H235">
            <v>30595614249.450001</v>
          </cell>
          <cell r="I235" t="str">
            <v>401</v>
          </cell>
        </row>
        <row r="236">
          <cell r="A236" t="str">
            <v>ARS</v>
          </cell>
          <cell r="B236" t="str">
            <v>401000164</v>
          </cell>
          <cell r="C236" t="str">
            <v>CIAMPI LIONEL JUAN Y SENATORE LELIA CRISTINA</v>
          </cell>
          <cell r="G236">
            <v>39380</v>
          </cell>
          <cell r="H236">
            <v>39380</v>
          </cell>
          <cell r="I236" t="str">
            <v>401</v>
          </cell>
        </row>
        <row r="237">
          <cell r="A237" t="str">
            <v>ARS</v>
          </cell>
          <cell r="B237" t="str">
            <v>401000168</v>
          </cell>
          <cell r="C237" t="str">
            <v>GENTA JUAN CRUZ</v>
          </cell>
          <cell r="G237">
            <v>5955639.96</v>
          </cell>
          <cell r="H237">
            <v>5955639.96</v>
          </cell>
          <cell r="I237" t="str">
            <v>401</v>
          </cell>
        </row>
        <row r="238">
          <cell r="A238" t="str">
            <v>ARS</v>
          </cell>
          <cell r="B238" t="str">
            <v>401000171</v>
          </cell>
          <cell r="C238" t="str">
            <v>SUCESION DE AMAND DE MENDIETA MIGUEL JUAN MARIA</v>
          </cell>
          <cell r="G238">
            <v>336644946.94999999</v>
          </cell>
          <cell r="H238">
            <v>336644946.94999999</v>
          </cell>
          <cell r="I238" t="str">
            <v>401</v>
          </cell>
        </row>
        <row r="239">
          <cell r="A239" t="str">
            <v>ARS</v>
          </cell>
          <cell r="B239" t="str">
            <v>401000182</v>
          </cell>
          <cell r="C239" t="str">
            <v xml:space="preserve">BIANCHINI HUGO EDGARDO Y DESPOSITO LILIANA </v>
          </cell>
          <cell r="G239">
            <v>20446906</v>
          </cell>
          <cell r="H239">
            <v>20446906</v>
          </cell>
          <cell r="I239" t="str">
            <v>401</v>
          </cell>
        </row>
        <row r="240">
          <cell r="A240" t="str">
            <v>ARS</v>
          </cell>
          <cell r="B240" t="str">
            <v>401000187</v>
          </cell>
          <cell r="C240" t="str">
            <v>FERNANDEZ JULIO MAXIMILIANO</v>
          </cell>
          <cell r="G240">
            <v>22202538.649999999</v>
          </cell>
          <cell r="H240">
            <v>22202538.649999999</v>
          </cell>
          <cell r="I240" t="str">
            <v>401</v>
          </cell>
        </row>
        <row r="241">
          <cell r="A241" t="str">
            <v>ARS</v>
          </cell>
          <cell r="B241" t="str">
            <v>401000191</v>
          </cell>
          <cell r="C241" t="str">
            <v>REYES ANA ELIZABETH</v>
          </cell>
          <cell r="G241">
            <v>6809648.9500000002</v>
          </cell>
          <cell r="H241">
            <v>6809648.9500000002</v>
          </cell>
          <cell r="I241" t="str">
            <v>401</v>
          </cell>
        </row>
        <row r="242">
          <cell r="A242" t="str">
            <v>ARS</v>
          </cell>
          <cell r="B242" t="str">
            <v>401000192</v>
          </cell>
          <cell r="C242" t="str">
            <v>SATUS AGER S. A</v>
          </cell>
          <cell r="G242">
            <v>1580000000.1700001</v>
          </cell>
          <cell r="H242">
            <v>1580000000.1700001</v>
          </cell>
          <cell r="I242" t="str">
            <v>401</v>
          </cell>
        </row>
        <row r="243">
          <cell r="A243" t="str">
            <v>ARS</v>
          </cell>
          <cell r="B243" t="str">
            <v>401000194</v>
          </cell>
          <cell r="C243" t="str">
            <v>MAQUINARIAS Y SERVICIOS DEL NORTE S.A.</v>
          </cell>
          <cell r="G243">
            <v>1562026.5</v>
          </cell>
          <cell r="H243">
            <v>1562026.5</v>
          </cell>
          <cell r="I243" t="str">
            <v>401</v>
          </cell>
        </row>
        <row r="244">
          <cell r="A244" t="str">
            <v>ARS</v>
          </cell>
          <cell r="B244" t="str">
            <v>401000201</v>
          </cell>
          <cell r="C244" t="str">
            <v>SIRGA S.R.L.</v>
          </cell>
          <cell r="G244">
            <v>8007713.8499999996</v>
          </cell>
          <cell r="H244">
            <v>8007713.8499999996</v>
          </cell>
          <cell r="I244" t="str">
            <v>401</v>
          </cell>
        </row>
        <row r="245">
          <cell r="A245" t="str">
            <v>ARS</v>
          </cell>
          <cell r="B245" t="str">
            <v>401000203</v>
          </cell>
          <cell r="C245" t="str">
            <v>CACACE MARIA CARMEN</v>
          </cell>
          <cell r="G245">
            <v>14094</v>
          </cell>
          <cell r="H245">
            <v>14094</v>
          </cell>
          <cell r="I245" t="str">
            <v>401</v>
          </cell>
        </row>
        <row r="246">
          <cell r="A246" t="str">
            <v>ARS</v>
          </cell>
          <cell r="B246" t="str">
            <v>401000222</v>
          </cell>
          <cell r="C246" t="str">
            <v>AVANTIA VALORES SA - PROP</v>
          </cell>
          <cell r="G246">
            <v>730560552.40999997</v>
          </cell>
          <cell r="H246">
            <v>730560552.40999997</v>
          </cell>
          <cell r="I246" t="str">
            <v>401</v>
          </cell>
        </row>
        <row r="247">
          <cell r="A247" t="str">
            <v>ARS</v>
          </cell>
          <cell r="B247" t="str">
            <v>401000233</v>
          </cell>
          <cell r="C247" t="str">
            <v>GONZALEZ BENEGAS ISABEL MARTINA</v>
          </cell>
          <cell r="G247">
            <v>20892594.899999999</v>
          </cell>
          <cell r="H247">
            <v>20892594.899999999</v>
          </cell>
          <cell r="I247" t="str">
            <v>401</v>
          </cell>
        </row>
        <row r="248">
          <cell r="A248" t="str">
            <v>ARS</v>
          </cell>
          <cell r="B248" t="str">
            <v>401000237</v>
          </cell>
          <cell r="C248" t="str">
            <v>CANALE LUIS BERNARDO</v>
          </cell>
          <cell r="G248">
            <v>17226</v>
          </cell>
          <cell r="H248">
            <v>17226</v>
          </cell>
          <cell r="I248" t="str">
            <v>401</v>
          </cell>
        </row>
        <row r="249">
          <cell r="A249" t="str">
            <v>ARS</v>
          </cell>
          <cell r="B249" t="str">
            <v>401000245</v>
          </cell>
          <cell r="C249" t="str">
            <v>SILVA PACHECO LUIS ALEJANDRO</v>
          </cell>
          <cell r="G249">
            <v>403587526.57999998</v>
          </cell>
          <cell r="H249">
            <v>403587526.57999998</v>
          </cell>
          <cell r="I249" t="str">
            <v>401</v>
          </cell>
        </row>
        <row r="250">
          <cell r="A250" t="str">
            <v>ARS</v>
          </cell>
          <cell r="B250" t="str">
            <v>401000246</v>
          </cell>
          <cell r="C250" t="str">
            <v>CAMPION IRENE MARTA</v>
          </cell>
          <cell r="G250">
            <v>28555.1</v>
          </cell>
          <cell r="H250">
            <v>28555.1</v>
          </cell>
          <cell r="I250" t="str">
            <v>401</v>
          </cell>
        </row>
        <row r="251">
          <cell r="A251" t="str">
            <v>ARS</v>
          </cell>
          <cell r="B251" t="str">
            <v>401000247</v>
          </cell>
          <cell r="C251" t="str">
            <v>CONTA WALTER MARIO</v>
          </cell>
          <cell r="G251">
            <v>33003756.170000002</v>
          </cell>
          <cell r="H251">
            <v>33003756.170000002</v>
          </cell>
          <cell r="I251" t="str">
            <v>401</v>
          </cell>
        </row>
        <row r="252">
          <cell r="A252" t="str">
            <v>ARS</v>
          </cell>
          <cell r="B252" t="str">
            <v>401000252</v>
          </cell>
          <cell r="C252" t="str">
            <v>CIMINO CLAUDIA MARIA</v>
          </cell>
          <cell r="G252">
            <v>14094</v>
          </cell>
          <cell r="H252">
            <v>14094</v>
          </cell>
          <cell r="I252" t="str">
            <v>401</v>
          </cell>
        </row>
        <row r="253">
          <cell r="A253" t="str">
            <v>ARS</v>
          </cell>
          <cell r="B253" t="str">
            <v>401000258</v>
          </cell>
          <cell r="C253" t="str">
            <v>BANCO COMAFI SD AVANTIA MULTIESTRATEGIA</v>
          </cell>
          <cell r="G253">
            <v>24030335256.82</v>
          </cell>
          <cell r="H253">
            <v>24030335256.82</v>
          </cell>
          <cell r="I253" t="str">
            <v>401</v>
          </cell>
        </row>
        <row r="254">
          <cell r="A254" t="str">
            <v>ARS</v>
          </cell>
          <cell r="B254" t="str">
            <v>401000261</v>
          </cell>
          <cell r="C254" t="str">
            <v>TANCO CARLOS ARIEL</v>
          </cell>
          <cell r="G254">
            <v>5028012.5</v>
          </cell>
          <cell r="H254">
            <v>5028012.5</v>
          </cell>
          <cell r="I254" t="str">
            <v>401</v>
          </cell>
        </row>
        <row r="255">
          <cell r="A255" t="str">
            <v>ARS</v>
          </cell>
          <cell r="B255" t="str">
            <v>401000263</v>
          </cell>
          <cell r="C255" t="str">
            <v>COOPERATIVA DE TABACALEROS DE JUJUY LTDA</v>
          </cell>
          <cell r="G255">
            <v>493237580.74000001</v>
          </cell>
          <cell r="H255">
            <v>493237580.74000001</v>
          </cell>
          <cell r="I255" t="str">
            <v>401</v>
          </cell>
        </row>
        <row r="256">
          <cell r="A256" t="str">
            <v>ARS</v>
          </cell>
          <cell r="B256" t="str">
            <v>401000266</v>
          </cell>
          <cell r="C256" t="str">
            <v>FINLATINA SA</v>
          </cell>
          <cell r="G256">
            <v>61464170.399999999</v>
          </cell>
          <cell r="H256">
            <v>61464170.399999999</v>
          </cell>
          <cell r="I256" t="str">
            <v>401</v>
          </cell>
        </row>
        <row r="257">
          <cell r="A257" t="str">
            <v>ARS</v>
          </cell>
          <cell r="B257" t="str">
            <v>401000268</v>
          </cell>
          <cell r="C257" t="str">
            <v>WAYNICOIN SA</v>
          </cell>
          <cell r="G257">
            <v>4765087047.3699999</v>
          </cell>
          <cell r="H257">
            <v>4765087047.3699999</v>
          </cell>
          <cell r="I257" t="str">
            <v>401</v>
          </cell>
        </row>
        <row r="258">
          <cell r="A258" t="str">
            <v>ARS</v>
          </cell>
          <cell r="B258" t="str">
            <v>401000269</v>
          </cell>
          <cell r="C258" t="str">
            <v>MONTES DE OCA DOLORES MARIA</v>
          </cell>
          <cell r="G258">
            <v>14094</v>
          </cell>
          <cell r="H258">
            <v>14094</v>
          </cell>
          <cell r="I258" t="str">
            <v>401</v>
          </cell>
        </row>
        <row r="259">
          <cell r="A259" t="str">
            <v>ARS</v>
          </cell>
          <cell r="B259" t="str">
            <v>401000275</v>
          </cell>
          <cell r="C259" t="str">
            <v>BEOTEGUI CAROLINA BELEN</v>
          </cell>
          <cell r="G259">
            <v>8147402.0499999998</v>
          </cell>
          <cell r="H259">
            <v>8147402.0499999998</v>
          </cell>
          <cell r="I259" t="str">
            <v>401</v>
          </cell>
        </row>
        <row r="260">
          <cell r="A260" t="str">
            <v>ARS</v>
          </cell>
          <cell r="B260" t="str">
            <v>401000278</v>
          </cell>
          <cell r="C260" t="str">
            <v>FINELLI FERRAZZINI JAVIER</v>
          </cell>
          <cell r="G260">
            <v>8454695</v>
          </cell>
          <cell r="H260">
            <v>8454695</v>
          </cell>
          <cell r="I260" t="str">
            <v>401</v>
          </cell>
        </row>
        <row r="261">
          <cell r="A261" t="str">
            <v>ARS</v>
          </cell>
          <cell r="B261" t="str">
            <v>401000288</v>
          </cell>
          <cell r="C261" t="str">
            <v>WIBOND SAS</v>
          </cell>
          <cell r="G261">
            <v>28145482.59</v>
          </cell>
          <cell r="H261">
            <v>28145482.59</v>
          </cell>
          <cell r="I261" t="str">
            <v>401</v>
          </cell>
        </row>
        <row r="262">
          <cell r="A262" t="str">
            <v>ARS</v>
          </cell>
          <cell r="B262" t="str">
            <v>401000293</v>
          </cell>
          <cell r="C262" t="str">
            <v>PENSANDO EN GRANDE S.A.S.</v>
          </cell>
          <cell r="G262">
            <v>15800</v>
          </cell>
          <cell r="H262">
            <v>15800</v>
          </cell>
          <cell r="I262" t="str">
            <v>401</v>
          </cell>
        </row>
        <row r="263">
          <cell r="A263" t="str">
            <v>ARS</v>
          </cell>
          <cell r="B263" t="str">
            <v>401000301</v>
          </cell>
          <cell r="C263" t="str">
            <v>AMANDA ALVARADO MARTINEZ</v>
          </cell>
          <cell r="G263">
            <v>22619174.100000001</v>
          </cell>
          <cell r="H263">
            <v>22619174.100000001</v>
          </cell>
          <cell r="I263" t="str">
            <v>401</v>
          </cell>
        </row>
        <row r="264">
          <cell r="A264" t="str">
            <v>ARS</v>
          </cell>
          <cell r="B264" t="str">
            <v>401000302</v>
          </cell>
          <cell r="C264" t="str">
            <v>PARRAVICINI IGNACIO MANUEL</v>
          </cell>
          <cell r="G264">
            <v>55575925.380000003</v>
          </cell>
          <cell r="H264">
            <v>55575925.380000003</v>
          </cell>
          <cell r="I264" t="str">
            <v>401</v>
          </cell>
        </row>
        <row r="265">
          <cell r="A265" t="str">
            <v>ARS</v>
          </cell>
          <cell r="B265" t="str">
            <v>401000305</v>
          </cell>
          <cell r="C265" t="str">
            <v>BARRETO, MARIA VICTORIA</v>
          </cell>
          <cell r="G265">
            <v>1989653.21</v>
          </cell>
          <cell r="H265">
            <v>1989653.21</v>
          </cell>
          <cell r="I265" t="str">
            <v>401</v>
          </cell>
        </row>
        <row r="266">
          <cell r="A266" t="str">
            <v>ARS</v>
          </cell>
          <cell r="B266" t="str">
            <v>401000307</v>
          </cell>
          <cell r="C266" t="str">
            <v>AUTOMOVILES SAN JORGE S.A.</v>
          </cell>
          <cell r="G266">
            <v>35730093958.949997</v>
          </cell>
          <cell r="H266">
            <v>35730093958.949997</v>
          </cell>
          <cell r="I266" t="str">
            <v>401</v>
          </cell>
        </row>
        <row r="267">
          <cell r="A267" t="str">
            <v>ARS</v>
          </cell>
          <cell r="B267" t="str">
            <v>401000309</v>
          </cell>
          <cell r="C267" t="str">
            <v>KALKSTEN S.A.</v>
          </cell>
          <cell r="G267">
            <v>28128995770.009998</v>
          </cell>
          <cell r="H267">
            <v>28128995770.009998</v>
          </cell>
          <cell r="I267" t="str">
            <v>401</v>
          </cell>
        </row>
        <row r="268">
          <cell r="A268" t="str">
            <v>ARS</v>
          </cell>
          <cell r="B268" t="str">
            <v>401000313</v>
          </cell>
          <cell r="C268" t="str">
            <v>CORNEJO COSTAS FRANCISCO JAVIER</v>
          </cell>
          <cell r="G268">
            <v>576498.53</v>
          </cell>
          <cell r="H268">
            <v>576498.53</v>
          </cell>
          <cell r="I268" t="str">
            <v>401</v>
          </cell>
        </row>
        <row r="269">
          <cell r="A269" t="str">
            <v>ARS</v>
          </cell>
          <cell r="B269" t="str">
            <v>401000317</v>
          </cell>
          <cell r="C269" t="str">
            <v>TRADELOG SAU</v>
          </cell>
          <cell r="G269">
            <v>980500887.84000003</v>
          </cell>
          <cell r="H269">
            <v>980500887.84000003</v>
          </cell>
          <cell r="I269" t="str">
            <v>401</v>
          </cell>
        </row>
        <row r="270">
          <cell r="A270" t="str">
            <v>ARS</v>
          </cell>
          <cell r="B270" t="str">
            <v>401000328</v>
          </cell>
          <cell r="C270" t="str">
            <v>INSUA PEDRO JUAN Y CARREGAL VIRGINIA</v>
          </cell>
          <cell r="G270">
            <v>6250</v>
          </cell>
          <cell r="H270">
            <v>6250</v>
          </cell>
          <cell r="I270" t="str">
            <v>401</v>
          </cell>
        </row>
        <row r="271">
          <cell r="A271" t="str">
            <v>ARS</v>
          </cell>
          <cell r="B271" t="str">
            <v>401000330</v>
          </cell>
          <cell r="C271" t="str">
            <v>ALAMEDAS SRL</v>
          </cell>
          <cell r="G271">
            <v>619562733.01999998</v>
          </cell>
          <cell r="H271">
            <v>619562733.01999998</v>
          </cell>
          <cell r="I271" t="str">
            <v>401</v>
          </cell>
        </row>
        <row r="272">
          <cell r="A272" t="str">
            <v>ARS</v>
          </cell>
          <cell r="B272" t="str">
            <v>401000337</v>
          </cell>
          <cell r="C272" t="str">
            <v>GUARDIA VANESA ANDREA</v>
          </cell>
          <cell r="G272">
            <v>17121762</v>
          </cell>
          <cell r="H272">
            <v>17121762</v>
          </cell>
          <cell r="I272" t="str">
            <v>401</v>
          </cell>
        </row>
        <row r="273">
          <cell r="A273" t="str">
            <v>ARS</v>
          </cell>
          <cell r="B273" t="str">
            <v>401000355</v>
          </cell>
          <cell r="C273" t="str">
            <v>LINEAS DE TRANSMISION DEL LITORAL SA S. A.</v>
          </cell>
          <cell r="G273">
            <v>1496000000.72</v>
          </cell>
          <cell r="H273">
            <v>1496000000.72</v>
          </cell>
          <cell r="I273" t="str">
            <v>401</v>
          </cell>
        </row>
        <row r="274">
          <cell r="A274" t="str">
            <v>ARS</v>
          </cell>
          <cell r="B274" t="str">
            <v>401000359</v>
          </cell>
          <cell r="C274" t="str">
            <v>GOMEZ IZA HORACIO</v>
          </cell>
          <cell r="G274">
            <v>40044547.520000003</v>
          </cell>
          <cell r="H274">
            <v>40044547.520000003</v>
          </cell>
          <cell r="I274" t="str">
            <v>401</v>
          </cell>
        </row>
        <row r="275">
          <cell r="A275" t="str">
            <v>ARS</v>
          </cell>
          <cell r="B275" t="str">
            <v>401000363</v>
          </cell>
          <cell r="C275" t="str">
            <v>AGRUPACION DE COLABORACION GRUPO PARAMEDIC A DE C</v>
          </cell>
          <cell r="G275">
            <v>240087472.96000001</v>
          </cell>
          <cell r="H275">
            <v>240087472.96000001</v>
          </cell>
          <cell r="I275" t="str">
            <v>401</v>
          </cell>
        </row>
        <row r="276">
          <cell r="A276" t="str">
            <v>ARS</v>
          </cell>
          <cell r="B276" t="str">
            <v>401000364</v>
          </cell>
          <cell r="C276" t="str">
            <v>FREIJE MATIAS</v>
          </cell>
          <cell r="G276">
            <v>552215.19999999995</v>
          </cell>
          <cell r="H276">
            <v>552215.19999999995</v>
          </cell>
          <cell r="I276" t="str">
            <v>401</v>
          </cell>
        </row>
        <row r="277">
          <cell r="A277" t="str">
            <v>ARS</v>
          </cell>
          <cell r="B277" t="str">
            <v>401000365</v>
          </cell>
          <cell r="C277" t="str">
            <v>LH TRADING SRL</v>
          </cell>
          <cell r="G277">
            <v>28728903.989999998</v>
          </cell>
          <cell r="H277">
            <v>28728903.989999998</v>
          </cell>
          <cell r="I277" t="str">
            <v>401</v>
          </cell>
        </row>
        <row r="278">
          <cell r="A278" t="str">
            <v>ARS</v>
          </cell>
          <cell r="B278" t="str">
            <v>401000367</v>
          </cell>
          <cell r="C278" t="str">
            <v xml:space="preserve">LUPONE ALBANO SEBASTIAN </v>
          </cell>
          <cell r="G278">
            <v>983865220.77999997</v>
          </cell>
          <cell r="H278">
            <v>983865220.77999997</v>
          </cell>
          <cell r="I278" t="str">
            <v>401</v>
          </cell>
        </row>
        <row r="279">
          <cell r="A279" t="str">
            <v>ARS</v>
          </cell>
          <cell r="B279" t="str">
            <v>401000370</v>
          </cell>
          <cell r="C279" t="str">
            <v xml:space="preserve">YACOPINI INVERSORA S.A. </v>
          </cell>
          <cell r="G279">
            <v>427667599.35000002</v>
          </cell>
          <cell r="H279">
            <v>427667599.35000002</v>
          </cell>
          <cell r="I279" t="str">
            <v>401</v>
          </cell>
        </row>
        <row r="280">
          <cell r="A280" t="str">
            <v>ARS</v>
          </cell>
          <cell r="B280" t="str">
            <v>401000371</v>
          </cell>
          <cell r="C280" t="str">
            <v>GREEN CONSULT S.R.L.</v>
          </cell>
          <cell r="G280">
            <v>699922049</v>
          </cell>
          <cell r="H280">
            <v>699922049</v>
          </cell>
          <cell r="I280" t="str">
            <v>401</v>
          </cell>
        </row>
        <row r="281">
          <cell r="A281" t="str">
            <v>ARS</v>
          </cell>
          <cell r="B281" t="str">
            <v>401000374</v>
          </cell>
          <cell r="C281" t="str">
            <v>PADILLA TIBURCIO</v>
          </cell>
          <cell r="G281">
            <v>598017.5</v>
          </cell>
          <cell r="H281">
            <v>598017.5</v>
          </cell>
          <cell r="I281" t="str">
            <v>401</v>
          </cell>
        </row>
        <row r="282">
          <cell r="A282" t="str">
            <v>ARS</v>
          </cell>
          <cell r="B282" t="str">
            <v>401000375</v>
          </cell>
          <cell r="C282" t="str">
            <v>INAP S.R.L.</v>
          </cell>
          <cell r="G282">
            <v>91974297.590000004</v>
          </cell>
          <cell r="H282">
            <v>91974297.590000004</v>
          </cell>
          <cell r="I282" t="str">
            <v>401</v>
          </cell>
        </row>
        <row r="283">
          <cell r="A283" t="str">
            <v>ARS</v>
          </cell>
          <cell r="B283" t="str">
            <v>401000379</v>
          </cell>
          <cell r="C283" t="str">
            <v>BODEGA ANTIGAL S.A.</v>
          </cell>
          <cell r="G283">
            <v>94666814.989999995</v>
          </cell>
          <cell r="H283">
            <v>94666814.989999995</v>
          </cell>
          <cell r="I283" t="str">
            <v>401</v>
          </cell>
        </row>
        <row r="284">
          <cell r="A284" t="str">
            <v>ARS</v>
          </cell>
          <cell r="B284" t="str">
            <v>405000006</v>
          </cell>
          <cell r="C284" t="str">
            <v>PUERTOS SRL (CARTERA PROPIA)</v>
          </cell>
          <cell r="G284">
            <v>1530586994.1300001</v>
          </cell>
          <cell r="H284">
            <v>1530586994.1300001</v>
          </cell>
          <cell r="I284" t="str">
            <v>405</v>
          </cell>
        </row>
        <row r="285">
          <cell r="A285" t="str">
            <v>ARS</v>
          </cell>
          <cell r="B285" t="str">
            <v>405000010</v>
          </cell>
          <cell r="C285" t="str">
            <v>Agroproducciones Torresi SRL</v>
          </cell>
          <cell r="G285">
            <v>1320158694.8299999</v>
          </cell>
          <cell r="H285">
            <v>1320158694.8299999</v>
          </cell>
          <cell r="I285" t="str">
            <v>405</v>
          </cell>
        </row>
        <row r="286">
          <cell r="A286" t="str">
            <v>ARS</v>
          </cell>
          <cell r="B286" t="str">
            <v>405000012</v>
          </cell>
          <cell r="C286" t="str">
            <v>Galleano, Juan Pablo, Gabetta Matta, Georgina Mariela y/o Galleano, Bautista</v>
          </cell>
          <cell r="G286">
            <v>697634.26</v>
          </cell>
          <cell r="H286">
            <v>697634.26</v>
          </cell>
          <cell r="I286" t="str">
            <v>405</v>
          </cell>
        </row>
        <row r="287">
          <cell r="A287" t="str">
            <v>ARS</v>
          </cell>
          <cell r="B287" t="str">
            <v>405000013</v>
          </cell>
          <cell r="C287" t="str">
            <v>SERRI, JERONIMO</v>
          </cell>
          <cell r="G287">
            <v>406976906.30000001</v>
          </cell>
          <cell r="H287">
            <v>406976906.30000001</v>
          </cell>
          <cell r="I287" t="str">
            <v>405</v>
          </cell>
        </row>
        <row r="288">
          <cell r="A288" t="str">
            <v>ARS</v>
          </cell>
          <cell r="B288" t="str">
            <v>405000015</v>
          </cell>
          <cell r="C288" t="str">
            <v>TEO, CASTIGLIONI</v>
          </cell>
          <cell r="G288">
            <v>118887101.48</v>
          </cell>
          <cell r="H288">
            <v>118887101.48</v>
          </cell>
          <cell r="I288" t="str">
            <v>405</v>
          </cell>
        </row>
        <row r="289">
          <cell r="A289" t="str">
            <v>ARS</v>
          </cell>
          <cell r="B289" t="str">
            <v>405000016</v>
          </cell>
          <cell r="C289" t="str">
            <v>SPEZIALI, ANDRES</v>
          </cell>
          <cell r="G289">
            <v>65533493.18</v>
          </cell>
          <cell r="H289">
            <v>65533493.18</v>
          </cell>
          <cell r="I289" t="str">
            <v>405</v>
          </cell>
        </row>
        <row r="290">
          <cell r="A290" t="str">
            <v>ARS</v>
          </cell>
          <cell r="B290" t="str">
            <v>405000017</v>
          </cell>
          <cell r="C290" t="str">
            <v>VIGNAU, MATEO</v>
          </cell>
          <cell r="G290">
            <v>613098410.86000001</v>
          </cell>
          <cell r="H290">
            <v>613098410.86000001</v>
          </cell>
          <cell r="I290" t="str">
            <v>405</v>
          </cell>
        </row>
        <row r="291">
          <cell r="A291" t="str">
            <v>ARS</v>
          </cell>
          <cell r="B291" t="str">
            <v>405000018</v>
          </cell>
          <cell r="C291" t="str">
            <v>COVELLA, MANUEL</v>
          </cell>
          <cell r="G291">
            <v>145174212.75</v>
          </cell>
          <cell r="H291">
            <v>145174212.75</v>
          </cell>
          <cell r="I291" t="str">
            <v>405</v>
          </cell>
        </row>
        <row r="292">
          <cell r="A292" t="str">
            <v>ARS</v>
          </cell>
          <cell r="B292" t="str">
            <v>405000019</v>
          </cell>
          <cell r="C292" t="str">
            <v>BRUSCHINI, LUCIA</v>
          </cell>
          <cell r="G292">
            <v>686687544.58000004</v>
          </cell>
          <cell r="H292">
            <v>686687544.58000004</v>
          </cell>
          <cell r="I292" t="str">
            <v>405</v>
          </cell>
        </row>
        <row r="293">
          <cell r="A293" t="str">
            <v>ARS</v>
          </cell>
          <cell r="B293" t="str">
            <v>405000020</v>
          </cell>
          <cell r="C293" t="str">
            <v>NOLAN, GUILLERMO ISIDRO GERARDO y/o TIRABASSO, MARIANA CECILIA</v>
          </cell>
          <cell r="G293">
            <v>13820625.529999999</v>
          </cell>
          <cell r="H293">
            <v>13820625.529999999</v>
          </cell>
          <cell r="I293" t="str">
            <v>405</v>
          </cell>
        </row>
        <row r="294">
          <cell r="A294" t="str">
            <v>ARS</v>
          </cell>
          <cell r="B294" t="str">
            <v>405000022</v>
          </cell>
          <cell r="C294" t="str">
            <v>AINBINDER, JONATAN URIEL</v>
          </cell>
          <cell r="G294">
            <v>355638830.5</v>
          </cell>
          <cell r="H294">
            <v>355638830.5</v>
          </cell>
          <cell r="I294" t="str">
            <v>405</v>
          </cell>
        </row>
        <row r="295">
          <cell r="A295" t="str">
            <v>ARS</v>
          </cell>
          <cell r="B295" t="str">
            <v>405000023</v>
          </cell>
          <cell r="C295" t="str">
            <v>SERRI, SERAFIN</v>
          </cell>
          <cell r="G295">
            <v>109960516.90000001</v>
          </cell>
          <cell r="H295">
            <v>109960516.90000001</v>
          </cell>
          <cell r="I295" t="str">
            <v>405</v>
          </cell>
        </row>
        <row r="296">
          <cell r="A296" t="str">
            <v>ARS</v>
          </cell>
          <cell r="B296" t="str">
            <v>405000026</v>
          </cell>
          <cell r="C296" t="str">
            <v>FASOLETTI, LUCIANO</v>
          </cell>
          <cell r="G296">
            <v>435869606.17000002</v>
          </cell>
          <cell r="H296">
            <v>435869606.17000002</v>
          </cell>
          <cell r="I296" t="str">
            <v>405</v>
          </cell>
        </row>
        <row r="297">
          <cell r="A297" t="str">
            <v>ARS</v>
          </cell>
          <cell r="B297" t="str">
            <v>405000027</v>
          </cell>
          <cell r="C297" t="str">
            <v>RIDOLFO, LUCAS MANUEL</v>
          </cell>
          <cell r="G297">
            <v>55401780.710000001</v>
          </cell>
          <cell r="H297">
            <v>55401780.710000001</v>
          </cell>
          <cell r="I297" t="str">
            <v>405</v>
          </cell>
        </row>
        <row r="298">
          <cell r="A298" t="str">
            <v>ARS</v>
          </cell>
          <cell r="B298" t="str">
            <v>405000028</v>
          </cell>
          <cell r="C298" t="str">
            <v>SPEZIALI, TOMAS</v>
          </cell>
          <cell r="G298">
            <v>46647942.479999997</v>
          </cell>
          <cell r="H298">
            <v>46647942.479999997</v>
          </cell>
          <cell r="I298" t="str">
            <v>405</v>
          </cell>
        </row>
        <row r="299">
          <cell r="A299" t="str">
            <v>ARS</v>
          </cell>
          <cell r="B299" t="str">
            <v>405000029</v>
          </cell>
          <cell r="C299" t="str">
            <v>VINES &amp; CO S.A.S.</v>
          </cell>
          <cell r="G299">
            <v>8281212.6500000004</v>
          </cell>
          <cell r="H299">
            <v>8281212.6500000004</v>
          </cell>
          <cell r="I299" t="str">
            <v>405</v>
          </cell>
        </row>
        <row r="300">
          <cell r="A300" t="str">
            <v>ARS</v>
          </cell>
          <cell r="B300" t="str">
            <v>405000030</v>
          </cell>
          <cell r="C300" t="str">
            <v>LOMBARDI , BRUNO</v>
          </cell>
          <cell r="G300">
            <v>5999931.2599999998</v>
          </cell>
          <cell r="H300">
            <v>5999931.2599999998</v>
          </cell>
          <cell r="I300" t="str">
            <v>405</v>
          </cell>
        </row>
        <row r="301">
          <cell r="A301" t="str">
            <v>ARS</v>
          </cell>
          <cell r="B301" t="str">
            <v>405000032</v>
          </cell>
          <cell r="C301" t="str">
            <v>BRUGNONI, RAUL BUENAVENTURA</v>
          </cell>
          <cell r="G301">
            <v>11504678944.85</v>
          </cell>
          <cell r="H301">
            <v>11504678944.85</v>
          </cell>
          <cell r="I301" t="str">
            <v>405</v>
          </cell>
        </row>
        <row r="302">
          <cell r="A302" t="str">
            <v>ARS</v>
          </cell>
          <cell r="B302" t="str">
            <v>405000036</v>
          </cell>
          <cell r="C302" t="str">
            <v>CUCCHIARA, LUCIO</v>
          </cell>
          <cell r="G302">
            <v>2898116469.9200001</v>
          </cell>
          <cell r="H302">
            <v>2898116469.9200001</v>
          </cell>
          <cell r="I302" t="str">
            <v>405</v>
          </cell>
        </row>
        <row r="303">
          <cell r="A303" t="str">
            <v>ARS</v>
          </cell>
          <cell r="B303" t="str">
            <v>405000055</v>
          </cell>
          <cell r="C303" t="str">
            <v>BRUPE SRL</v>
          </cell>
          <cell r="G303">
            <v>473759421.74000001</v>
          </cell>
          <cell r="H303">
            <v>473759421.74000001</v>
          </cell>
          <cell r="I303" t="str">
            <v>405</v>
          </cell>
        </row>
        <row r="304">
          <cell r="A304" t="str">
            <v>ARS</v>
          </cell>
          <cell r="B304" t="str">
            <v>405000056</v>
          </cell>
          <cell r="C304" t="str">
            <v>ROCCA, ROSANA INES</v>
          </cell>
          <cell r="G304">
            <v>3422736.14</v>
          </cell>
          <cell r="H304">
            <v>3422736.14</v>
          </cell>
          <cell r="I304" t="str">
            <v>405</v>
          </cell>
        </row>
        <row r="305">
          <cell r="A305" t="str">
            <v>ARS</v>
          </cell>
          <cell r="B305" t="str">
            <v>405000058</v>
          </cell>
          <cell r="C305" t="str">
            <v>TORRESI, MIGUEL ANGEL</v>
          </cell>
          <cell r="G305">
            <v>48048521.619999997</v>
          </cell>
          <cell r="H305">
            <v>48048521.619999997</v>
          </cell>
          <cell r="I305" t="str">
            <v>405</v>
          </cell>
        </row>
        <row r="306">
          <cell r="A306" t="str">
            <v>ARS</v>
          </cell>
          <cell r="B306" t="str">
            <v>405000066</v>
          </cell>
          <cell r="C306" t="str">
            <v>ONGUINO ESTEBAN y/o ONGUINO EZEQUIEL</v>
          </cell>
          <cell r="G306">
            <v>99872544.959999993</v>
          </cell>
          <cell r="H306">
            <v>99872544.959999993</v>
          </cell>
          <cell r="I306" t="str">
            <v>405</v>
          </cell>
        </row>
        <row r="307">
          <cell r="A307" t="str">
            <v>ARS</v>
          </cell>
          <cell r="B307" t="str">
            <v>405000067</v>
          </cell>
          <cell r="C307" t="str">
            <v>Moutin, Phillipe</v>
          </cell>
          <cell r="G307">
            <v>176196934.49000001</v>
          </cell>
          <cell r="H307">
            <v>176196934.49000001</v>
          </cell>
          <cell r="I307" t="str">
            <v>405</v>
          </cell>
        </row>
        <row r="308">
          <cell r="A308" t="str">
            <v>ARS</v>
          </cell>
          <cell r="B308" t="str">
            <v>405000070</v>
          </cell>
          <cell r="C308" t="str">
            <v>Juan Pablo Gobbo</v>
          </cell>
          <cell r="G308">
            <v>3064205.43</v>
          </cell>
          <cell r="H308">
            <v>3064205.43</v>
          </cell>
          <cell r="I308" t="str">
            <v>405</v>
          </cell>
        </row>
        <row r="309">
          <cell r="A309" t="str">
            <v>ARS</v>
          </cell>
          <cell r="B309" t="str">
            <v>405000072</v>
          </cell>
          <cell r="C309" t="str">
            <v>MARTIN , PAULO MIGUEL</v>
          </cell>
          <cell r="G309">
            <v>3584050.01</v>
          </cell>
          <cell r="H309">
            <v>3584050.01</v>
          </cell>
          <cell r="I309" t="str">
            <v>405</v>
          </cell>
        </row>
        <row r="310">
          <cell r="A310" t="str">
            <v>ARS</v>
          </cell>
          <cell r="B310" t="str">
            <v>405000074</v>
          </cell>
          <cell r="C310" t="str">
            <v>Tomas Pettit</v>
          </cell>
          <cell r="G310">
            <v>114214646.20999999</v>
          </cell>
          <cell r="H310">
            <v>114214646.20999999</v>
          </cell>
          <cell r="I310" t="str">
            <v>405</v>
          </cell>
        </row>
        <row r="311">
          <cell r="A311" t="str">
            <v>ARS</v>
          </cell>
          <cell r="B311" t="str">
            <v>405000075</v>
          </cell>
          <cell r="C311" t="str">
            <v>Sonsini Ramiro</v>
          </cell>
          <cell r="G311">
            <v>2243117.0099999998</v>
          </cell>
          <cell r="H311">
            <v>2243117.0099999998</v>
          </cell>
          <cell r="I311" t="str">
            <v>405</v>
          </cell>
        </row>
        <row r="312">
          <cell r="A312" t="str">
            <v>ARS</v>
          </cell>
          <cell r="B312" t="str">
            <v>405000076</v>
          </cell>
          <cell r="C312" t="str">
            <v>PORCIMONTE SA</v>
          </cell>
          <cell r="G312">
            <v>5853588818.5100002</v>
          </cell>
          <cell r="H312">
            <v>5853588818.5100002</v>
          </cell>
          <cell r="I312" t="str">
            <v>405</v>
          </cell>
        </row>
        <row r="313">
          <cell r="A313" t="str">
            <v>ARS</v>
          </cell>
          <cell r="B313" t="str">
            <v>405000080</v>
          </cell>
          <cell r="C313" t="str">
            <v>BRUGNONI LEONARDO DAVID</v>
          </cell>
          <cell r="G313">
            <v>5553638219.8299999</v>
          </cell>
          <cell r="H313">
            <v>5553638219.8299999</v>
          </cell>
          <cell r="I313" t="str">
            <v>405</v>
          </cell>
        </row>
        <row r="314">
          <cell r="A314" t="str">
            <v>ARS</v>
          </cell>
          <cell r="B314" t="str">
            <v>405000082</v>
          </cell>
          <cell r="C314" t="str">
            <v>SAVAIDIS EMMANUEL</v>
          </cell>
          <cell r="G314">
            <v>153252307.69</v>
          </cell>
          <cell r="H314">
            <v>153252307.69</v>
          </cell>
          <cell r="I314" t="str">
            <v>405</v>
          </cell>
        </row>
        <row r="315">
          <cell r="A315" t="str">
            <v>ARS</v>
          </cell>
          <cell r="B315" t="str">
            <v>405000086</v>
          </cell>
          <cell r="C315" t="str">
            <v>Casella Pedro</v>
          </cell>
          <cell r="G315">
            <v>346921874.81</v>
          </cell>
          <cell r="H315">
            <v>346921874.81</v>
          </cell>
          <cell r="I315" t="str">
            <v>405</v>
          </cell>
        </row>
        <row r="316">
          <cell r="A316" t="str">
            <v>ARS</v>
          </cell>
          <cell r="B316" t="str">
            <v>405000102</v>
          </cell>
          <cell r="C316" t="str">
            <v>Gustavo Tomas Speziali y/o Maria Graciela Capon</v>
          </cell>
          <cell r="G316">
            <v>685973.75</v>
          </cell>
          <cell r="H316">
            <v>685973.75</v>
          </cell>
          <cell r="I316" t="str">
            <v>405</v>
          </cell>
        </row>
        <row r="317">
          <cell r="A317" t="str">
            <v>ARS</v>
          </cell>
          <cell r="B317" t="str">
            <v>405000104</v>
          </cell>
          <cell r="C317" t="str">
            <v>Lidia Beatriz Sfregola y/o Marcelo Ricardo Cucchiara</v>
          </cell>
          <cell r="G317">
            <v>1409905816.5799999</v>
          </cell>
          <cell r="H317">
            <v>1409905816.5799999</v>
          </cell>
          <cell r="I317" t="str">
            <v>405</v>
          </cell>
        </row>
        <row r="318">
          <cell r="A318" t="str">
            <v>ARS</v>
          </cell>
          <cell r="B318" t="str">
            <v>405000107</v>
          </cell>
          <cell r="C318" t="str">
            <v>Ruggiero, Alejandra Beatriz</v>
          </cell>
          <cell r="G318">
            <v>2089354.17</v>
          </cell>
          <cell r="H318">
            <v>2089354.17</v>
          </cell>
          <cell r="I318" t="str">
            <v>405</v>
          </cell>
        </row>
        <row r="319">
          <cell r="A319" t="str">
            <v>ARS</v>
          </cell>
          <cell r="B319" t="str">
            <v>405000110</v>
          </cell>
          <cell r="C319" t="str">
            <v>Reiton SRL</v>
          </cell>
          <cell r="G319">
            <v>460908</v>
          </cell>
          <cell r="H319">
            <v>460908</v>
          </cell>
          <cell r="I319" t="str">
            <v>405</v>
          </cell>
        </row>
        <row r="320">
          <cell r="A320" t="str">
            <v>ARS</v>
          </cell>
          <cell r="B320" t="str">
            <v>405000112</v>
          </cell>
          <cell r="C320" t="str">
            <v>Ricci Mirta Graciela CERA</v>
          </cell>
          <cell r="G320">
            <v>134069265.06999999</v>
          </cell>
          <cell r="H320">
            <v>134069265.06999999</v>
          </cell>
          <cell r="I320" t="str">
            <v>405</v>
          </cell>
        </row>
        <row r="321">
          <cell r="A321" t="str">
            <v>ARS</v>
          </cell>
          <cell r="B321" t="str">
            <v>405000113</v>
          </cell>
          <cell r="C321" t="str">
            <v>Martinez Gonzalo Damian</v>
          </cell>
          <cell r="G321">
            <v>78031323.090000004</v>
          </cell>
          <cell r="H321">
            <v>78031323.090000004</v>
          </cell>
          <cell r="I321" t="str">
            <v>405</v>
          </cell>
        </row>
        <row r="322">
          <cell r="A322" t="str">
            <v>ARS</v>
          </cell>
          <cell r="B322" t="str">
            <v>405000115</v>
          </cell>
          <cell r="C322" t="str">
            <v>Pettit, Josefina</v>
          </cell>
          <cell r="G322">
            <v>460102997.30000001</v>
          </cell>
          <cell r="H322">
            <v>460102997.30000001</v>
          </cell>
          <cell r="I322" t="str">
            <v>405</v>
          </cell>
        </row>
        <row r="323">
          <cell r="A323" t="str">
            <v>ARS</v>
          </cell>
          <cell r="B323" t="str">
            <v>405000116</v>
          </cell>
          <cell r="C323" t="str">
            <v>Rassol, Juan Ignacio</v>
          </cell>
          <cell r="G323">
            <v>211635.24</v>
          </cell>
          <cell r="H323">
            <v>211635.24</v>
          </cell>
          <cell r="I323" t="str">
            <v>405</v>
          </cell>
        </row>
        <row r="324">
          <cell r="A324" t="str">
            <v>ARS</v>
          </cell>
          <cell r="B324" t="str">
            <v>405000117</v>
          </cell>
          <cell r="C324" t="str">
            <v>Giudice, Hernan Enrique</v>
          </cell>
          <cell r="G324">
            <v>667883627.40999997</v>
          </cell>
          <cell r="H324">
            <v>667883627.40999997</v>
          </cell>
          <cell r="I324" t="str">
            <v>405</v>
          </cell>
        </row>
        <row r="325">
          <cell r="A325" t="str">
            <v>ARS</v>
          </cell>
          <cell r="B325" t="str">
            <v>405000121</v>
          </cell>
          <cell r="C325" t="str">
            <v>Sello, Franco  Agustin</v>
          </cell>
          <cell r="G325">
            <v>10407658.82</v>
          </cell>
          <cell r="H325">
            <v>10407658.82</v>
          </cell>
          <cell r="I325" t="str">
            <v>405</v>
          </cell>
        </row>
        <row r="326">
          <cell r="A326" t="str">
            <v>ARS</v>
          </cell>
          <cell r="B326" t="str">
            <v>405000122</v>
          </cell>
          <cell r="C326" t="str">
            <v xml:space="preserve">Onguino, Marcos Ezequiel </v>
          </cell>
          <cell r="G326">
            <v>1312174403.76</v>
          </cell>
          <cell r="H326">
            <v>1312174403.76</v>
          </cell>
          <cell r="I326" t="str">
            <v>405</v>
          </cell>
        </row>
        <row r="327">
          <cell r="A327" t="str">
            <v>ARS</v>
          </cell>
          <cell r="B327" t="str">
            <v>405000124</v>
          </cell>
          <cell r="C327" t="str">
            <v>Taborga, Maria Deidamia y/o Moutin, Pol Rene</v>
          </cell>
          <cell r="G327">
            <v>20251387.43</v>
          </cell>
          <cell r="H327">
            <v>20251387.43</v>
          </cell>
          <cell r="I327" t="str">
            <v>405</v>
          </cell>
        </row>
        <row r="328">
          <cell r="A328" t="str">
            <v>ARS</v>
          </cell>
          <cell r="B328" t="str">
            <v>405000127</v>
          </cell>
          <cell r="C328" t="str">
            <v>Bambu Japones S.A.S</v>
          </cell>
          <cell r="G328">
            <v>246781.03</v>
          </cell>
          <cell r="H328">
            <v>246781.03</v>
          </cell>
          <cell r="I328" t="str">
            <v>405</v>
          </cell>
        </row>
        <row r="329">
          <cell r="A329" t="str">
            <v>ARS</v>
          </cell>
          <cell r="B329" t="str">
            <v>405000132</v>
          </cell>
          <cell r="C329" t="str">
            <v>Sandra Susana Bonaldi</v>
          </cell>
          <cell r="G329">
            <v>382198750.20999998</v>
          </cell>
          <cell r="H329">
            <v>382198750.20999998</v>
          </cell>
          <cell r="I329" t="str">
            <v>405</v>
          </cell>
        </row>
        <row r="330">
          <cell r="A330" t="str">
            <v>ARS</v>
          </cell>
          <cell r="B330" t="str">
            <v>405000134</v>
          </cell>
          <cell r="C330" t="str">
            <v>Gallay, Magin Miguel</v>
          </cell>
          <cell r="G330">
            <v>301861464.23000002</v>
          </cell>
          <cell r="H330">
            <v>301861464.23000002</v>
          </cell>
          <cell r="I330" t="str">
            <v>405</v>
          </cell>
        </row>
        <row r="331">
          <cell r="A331" t="str">
            <v>ARS</v>
          </cell>
          <cell r="B331" t="str">
            <v>405000137</v>
          </cell>
          <cell r="C331" t="str">
            <v>Miralles, Victoria</v>
          </cell>
          <cell r="G331">
            <v>2187487.2200000002</v>
          </cell>
          <cell r="H331">
            <v>2187487.2200000002</v>
          </cell>
          <cell r="I331" t="str">
            <v>405</v>
          </cell>
        </row>
        <row r="332">
          <cell r="A332" t="str">
            <v>ARS</v>
          </cell>
          <cell r="B332" t="str">
            <v>405000139</v>
          </cell>
          <cell r="C332" t="str">
            <v xml:space="preserve">Horcada, Federico </v>
          </cell>
          <cell r="G332">
            <v>608500</v>
          </cell>
          <cell r="H332">
            <v>608500</v>
          </cell>
          <cell r="I332" t="str">
            <v>405</v>
          </cell>
        </row>
        <row r="333">
          <cell r="A333" t="str">
            <v>ARS</v>
          </cell>
          <cell r="B333" t="str">
            <v>405000140</v>
          </cell>
          <cell r="C333" t="str">
            <v>CANNES FIDEICOMISO</v>
          </cell>
          <cell r="G333">
            <v>82569007.260000005</v>
          </cell>
          <cell r="H333">
            <v>82569007.260000005</v>
          </cell>
          <cell r="I333" t="str">
            <v>405</v>
          </cell>
        </row>
        <row r="334">
          <cell r="A334" t="str">
            <v>ARS</v>
          </cell>
          <cell r="B334" t="str">
            <v>405000143</v>
          </cell>
          <cell r="C334" t="str">
            <v>Moutin, Maria De Lourdes</v>
          </cell>
          <cell r="G334">
            <v>9490530.1799999997</v>
          </cell>
          <cell r="H334">
            <v>9490530.1799999997</v>
          </cell>
          <cell r="I334" t="str">
            <v>405</v>
          </cell>
        </row>
        <row r="335">
          <cell r="A335" t="str">
            <v>ARS</v>
          </cell>
          <cell r="B335" t="str">
            <v>410000455</v>
          </cell>
          <cell r="C335" t="str">
            <v>Don Leonardo S.A.S</v>
          </cell>
          <cell r="G335">
            <v>558904639.19000006</v>
          </cell>
          <cell r="H335">
            <v>558904639.19000006</v>
          </cell>
          <cell r="I335" t="str">
            <v>410</v>
          </cell>
        </row>
        <row r="336">
          <cell r="A336" t="str">
            <v>ARS</v>
          </cell>
          <cell r="B336" t="str">
            <v>410009090</v>
          </cell>
          <cell r="C336" t="str">
            <v>Pietrani, Ariel Ricardo</v>
          </cell>
          <cell r="G336">
            <v>17057311.420000002</v>
          </cell>
          <cell r="H336">
            <v>17057311.420000002</v>
          </cell>
          <cell r="I336" t="str">
            <v>410</v>
          </cell>
        </row>
        <row r="337">
          <cell r="A337" t="str">
            <v>ARS</v>
          </cell>
          <cell r="B337" t="str">
            <v>410020586</v>
          </cell>
          <cell r="C337" t="str">
            <v>Borsini S.A</v>
          </cell>
          <cell r="G337">
            <v>21000000</v>
          </cell>
          <cell r="H337">
            <v>21000000</v>
          </cell>
          <cell r="I337" t="str">
            <v>410</v>
          </cell>
        </row>
        <row r="338">
          <cell r="A338" t="str">
            <v>ARS</v>
          </cell>
          <cell r="B338" t="str">
            <v>410101010</v>
          </cell>
          <cell r="C338" t="str">
            <v>Natali, Omar Emilio Ramon</v>
          </cell>
          <cell r="G338">
            <v>13871903.1</v>
          </cell>
          <cell r="H338">
            <v>13871903.1</v>
          </cell>
          <cell r="I338" t="str">
            <v>410</v>
          </cell>
        </row>
        <row r="339">
          <cell r="A339" t="str">
            <v>ARS</v>
          </cell>
          <cell r="B339" t="str">
            <v>410149168</v>
          </cell>
          <cell r="C339" t="str">
            <v>Vozzi, Agustín Marcos</v>
          </cell>
          <cell r="G339">
            <v>785757.83</v>
          </cell>
          <cell r="H339">
            <v>785757.83</v>
          </cell>
          <cell r="I339" t="str">
            <v>410</v>
          </cell>
        </row>
        <row r="340">
          <cell r="A340" t="str">
            <v>ARS</v>
          </cell>
          <cell r="B340" t="str">
            <v>410149176</v>
          </cell>
          <cell r="C340" t="str">
            <v>Hugo y Arnoldo Calcaterra S.S</v>
          </cell>
          <cell r="G340">
            <v>106852463.73999999</v>
          </cell>
          <cell r="H340">
            <v>106852463.73999999</v>
          </cell>
          <cell r="I340" t="str">
            <v>410</v>
          </cell>
        </row>
        <row r="341">
          <cell r="A341" t="str">
            <v>ARS</v>
          </cell>
          <cell r="B341" t="str">
            <v>410149189</v>
          </cell>
          <cell r="C341" t="str">
            <v xml:space="preserve">Bo Mauro Nicolas </v>
          </cell>
          <cell r="G341">
            <v>47952961.140000001</v>
          </cell>
          <cell r="H341">
            <v>47952961.140000001</v>
          </cell>
          <cell r="I341" t="str">
            <v>410</v>
          </cell>
        </row>
        <row r="342">
          <cell r="A342" t="str">
            <v>ARS</v>
          </cell>
          <cell r="B342" t="str">
            <v>410149190</v>
          </cell>
          <cell r="C342" t="str">
            <v>Natali Ruben Dario Ramón</v>
          </cell>
          <cell r="G342">
            <v>11899402.699999999</v>
          </cell>
          <cell r="H342">
            <v>11899402.699999999</v>
          </cell>
          <cell r="I342" t="str">
            <v>410</v>
          </cell>
        </row>
        <row r="343">
          <cell r="A343" t="str">
            <v>ARS</v>
          </cell>
          <cell r="B343" t="str">
            <v>410149194</v>
          </cell>
          <cell r="C343" t="str">
            <v>María Julia Ferrari Gomez</v>
          </cell>
          <cell r="G343">
            <v>40034743.649999999</v>
          </cell>
          <cell r="H343">
            <v>40034743.649999999</v>
          </cell>
          <cell r="I343" t="str">
            <v>410</v>
          </cell>
        </row>
        <row r="344">
          <cell r="A344" t="str">
            <v>ARS</v>
          </cell>
          <cell r="B344" t="str">
            <v>410149199</v>
          </cell>
          <cell r="C344" t="str">
            <v>LOAL SERVICIOS INTEGRALES S. R. L.</v>
          </cell>
          <cell r="G344">
            <v>22539398.289999999</v>
          </cell>
          <cell r="H344">
            <v>22539398.289999999</v>
          </cell>
          <cell r="I344" t="str">
            <v>410</v>
          </cell>
        </row>
        <row r="345">
          <cell r="A345" t="str">
            <v>ARS</v>
          </cell>
          <cell r="B345" t="str">
            <v>410149200</v>
          </cell>
          <cell r="C345" t="str">
            <v>Tornotti Leonel Hector</v>
          </cell>
          <cell r="G345">
            <v>72349836.269999996</v>
          </cell>
          <cell r="H345">
            <v>72349836.269999996</v>
          </cell>
          <cell r="I345" t="str">
            <v>410</v>
          </cell>
        </row>
        <row r="346">
          <cell r="A346" t="str">
            <v>ARS</v>
          </cell>
          <cell r="B346" t="str">
            <v>410149213</v>
          </cell>
          <cell r="C346" t="str">
            <v>Ferrari Silvina Lujan</v>
          </cell>
          <cell r="G346">
            <v>12753094</v>
          </cell>
          <cell r="H346">
            <v>12753094</v>
          </cell>
          <cell r="I346" t="str">
            <v>410</v>
          </cell>
        </row>
        <row r="347">
          <cell r="A347" t="str">
            <v>ARS</v>
          </cell>
          <cell r="B347" t="str">
            <v>410149216</v>
          </cell>
          <cell r="C347" t="str">
            <v>Fernández, Julio Cesar</v>
          </cell>
          <cell r="G347">
            <v>16310527.289999999</v>
          </cell>
          <cell r="H347">
            <v>16310527.289999999</v>
          </cell>
          <cell r="I347" t="str">
            <v>410</v>
          </cell>
        </row>
        <row r="348">
          <cell r="A348" t="str">
            <v>ARS</v>
          </cell>
          <cell r="B348" t="str">
            <v>410149217</v>
          </cell>
          <cell r="C348" t="str">
            <v>Fernández, Javier Julio</v>
          </cell>
          <cell r="G348">
            <v>7010639.9299999997</v>
          </cell>
          <cell r="H348">
            <v>7010639.9299999997</v>
          </cell>
          <cell r="I348" t="str">
            <v>410</v>
          </cell>
        </row>
        <row r="349">
          <cell r="A349" t="str">
            <v>ARS</v>
          </cell>
          <cell r="B349" t="str">
            <v>410149218</v>
          </cell>
          <cell r="C349" t="str">
            <v>Vozzi, Lucia Magdalena</v>
          </cell>
          <cell r="G349">
            <v>882006.88</v>
          </cell>
          <cell r="H349">
            <v>882006.88</v>
          </cell>
          <cell r="I349" t="str">
            <v>410</v>
          </cell>
        </row>
        <row r="350">
          <cell r="A350" t="str">
            <v>ARS</v>
          </cell>
          <cell r="B350" t="str">
            <v>412031050</v>
          </cell>
          <cell r="C350" t="str">
            <v>BAILLERES COMERCIAL S.A.</v>
          </cell>
          <cell r="G350">
            <v>14985000</v>
          </cell>
          <cell r="H350">
            <v>14985000</v>
          </cell>
          <cell r="I350" t="str">
            <v>412</v>
          </cell>
        </row>
        <row r="351">
          <cell r="A351" t="str">
            <v>ARS</v>
          </cell>
          <cell r="B351" t="str">
            <v>417001013</v>
          </cell>
          <cell r="C351" t="str">
            <v>LEMESOFF IVAN</v>
          </cell>
          <cell r="G351">
            <v>3287674</v>
          </cell>
          <cell r="H351">
            <v>3287674</v>
          </cell>
          <cell r="I351" t="str">
            <v>417</v>
          </cell>
        </row>
        <row r="352">
          <cell r="A352" t="str">
            <v>ARS</v>
          </cell>
          <cell r="B352" t="str">
            <v>417001422</v>
          </cell>
          <cell r="C352" t="str">
            <v>ROTUNNO EMILIANO MARCOS</v>
          </cell>
          <cell r="G352">
            <v>188225434</v>
          </cell>
          <cell r="H352">
            <v>188225434</v>
          </cell>
          <cell r="I352" t="str">
            <v>417</v>
          </cell>
        </row>
        <row r="353">
          <cell r="A353" t="str">
            <v>ARS</v>
          </cell>
          <cell r="B353" t="str">
            <v>417001701</v>
          </cell>
          <cell r="C353" t="str">
            <v>ESTRELLA JUAN NAZARIO</v>
          </cell>
          <cell r="G353">
            <v>5763286</v>
          </cell>
          <cell r="H353">
            <v>5763286</v>
          </cell>
          <cell r="I353" t="str">
            <v>417</v>
          </cell>
        </row>
        <row r="354">
          <cell r="A354" t="str">
            <v>ARS</v>
          </cell>
          <cell r="B354" t="str">
            <v>417002419</v>
          </cell>
          <cell r="C354" t="str">
            <v>GONZALEZ SITYAR CARLOS AL</v>
          </cell>
          <cell r="G354">
            <v>3992309</v>
          </cell>
          <cell r="H354">
            <v>3992309</v>
          </cell>
          <cell r="I354" t="str">
            <v>417</v>
          </cell>
        </row>
        <row r="355">
          <cell r="A355" t="str">
            <v>ARS</v>
          </cell>
          <cell r="B355" t="str">
            <v>417005268</v>
          </cell>
          <cell r="C355" t="str">
            <v>DOMINGUEZ FELIX JAVIER</v>
          </cell>
          <cell r="G355">
            <v>54632033</v>
          </cell>
          <cell r="H355">
            <v>54632033</v>
          </cell>
          <cell r="I355" t="str">
            <v>417</v>
          </cell>
        </row>
        <row r="356">
          <cell r="A356" t="str">
            <v>ARS</v>
          </cell>
          <cell r="B356" t="str">
            <v>417005479</v>
          </cell>
          <cell r="C356" t="str">
            <v>FANTASIA MACCHI MAXIMILIA</v>
          </cell>
          <cell r="G356">
            <v>60201992.5</v>
          </cell>
          <cell r="H356">
            <v>60201992.5</v>
          </cell>
          <cell r="I356" t="str">
            <v>417</v>
          </cell>
        </row>
        <row r="357">
          <cell r="A357" t="str">
            <v>ARS</v>
          </cell>
          <cell r="B357" t="str">
            <v>417005699</v>
          </cell>
          <cell r="C357" t="str">
            <v>TRONCOSO SANTIAGO</v>
          </cell>
          <cell r="G357">
            <v>153869</v>
          </cell>
          <cell r="H357">
            <v>153869</v>
          </cell>
          <cell r="I357" t="str">
            <v>417</v>
          </cell>
        </row>
        <row r="358">
          <cell r="A358" t="str">
            <v>ARS</v>
          </cell>
          <cell r="B358" t="str">
            <v>417008296</v>
          </cell>
          <cell r="C358" t="str">
            <v>Casco Orlando Saul</v>
          </cell>
          <cell r="G358">
            <v>6721501</v>
          </cell>
          <cell r="H358">
            <v>6721501</v>
          </cell>
          <cell r="I358" t="str">
            <v>417</v>
          </cell>
        </row>
        <row r="359">
          <cell r="A359" t="str">
            <v>ARS</v>
          </cell>
          <cell r="B359" t="str">
            <v>417008410</v>
          </cell>
          <cell r="C359" t="str">
            <v>[C.E.R.A.] Rotunno, Emiliano Marcos</v>
          </cell>
          <cell r="G359">
            <v>339532194.19999999</v>
          </cell>
          <cell r="H359">
            <v>339532194.19999999</v>
          </cell>
          <cell r="I359" t="str">
            <v>417</v>
          </cell>
        </row>
        <row r="360">
          <cell r="A360" t="str">
            <v>ARS</v>
          </cell>
          <cell r="B360" t="str">
            <v>417008411</v>
          </cell>
          <cell r="C360" t="str">
            <v>[C.E.R.A.] Lemesoff, Federico</v>
          </cell>
          <cell r="G360">
            <v>113610018</v>
          </cell>
          <cell r="H360">
            <v>113610018</v>
          </cell>
          <cell r="I360" t="str">
            <v>417</v>
          </cell>
        </row>
        <row r="361">
          <cell r="A361" t="str">
            <v>ARS</v>
          </cell>
          <cell r="B361" t="str">
            <v>423000005</v>
          </cell>
          <cell r="C361" t="str">
            <v>REAL MARKET S.A.</v>
          </cell>
          <cell r="G361">
            <v>2385770442.77</v>
          </cell>
          <cell r="H361">
            <v>2385770442.77</v>
          </cell>
          <cell r="I361" t="str">
            <v>423</v>
          </cell>
        </row>
        <row r="362">
          <cell r="A362" t="str">
            <v>ARS</v>
          </cell>
          <cell r="B362" t="str">
            <v>423001001</v>
          </cell>
          <cell r="C362" t="str">
            <v>DONDO, DIEGO MATIAS</v>
          </cell>
          <cell r="G362">
            <v>10288409</v>
          </cell>
          <cell r="H362">
            <v>10288409</v>
          </cell>
          <cell r="I362" t="str">
            <v>423</v>
          </cell>
        </row>
        <row r="363">
          <cell r="A363" t="str">
            <v>ARS</v>
          </cell>
          <cell r="B363" t="str">
            <v>423001002</v>
          </cell>
          <cell r="C363" t="str">
            <v>DINALE SA</v>
          </cell>
          <cell r="G363">
            <v>2204798258.5999999</v>
          </cell>
          <cell r="H363">
            <v>2204798258.5999999</v>
          </cell>
          <cell r="I363" t="str">
            <v>423</v>
          </cell>
        </row>
        <row r="364">
          <cell r="A364" t="str">
            <v>ARS</v>
          </cell>
          <cell r="B364" t="str">
            <v>423001003</v>
          </cell>
          <cell r="C364" t="str">
            <v>EL LITORAL SRL</v>
          </cell>
          <cell r="G364">
            <v>32109762</v>
          </cell>
          <cell r="H364">
            <v>32109762</v>
          </cell>
          <cell r="I364" t="str">
            <v>423</v>
          </cell>
        </row>
        <row r="365">
          <cell r="A365" t="str">
            <v>ARS</v>
          </cell>
          <cell r="B365" t="str">
            <v>423001005</v>
          </cell>
          <cell r="C365" t="str">
            <v>PRECON SA</v>
          </cell>
          <cell r="G365">
            <v>13654758.189999999</v>
          </cell>
          <cell r="H365">
            <v>13654758.189999999</v>
          </cell>
          <cell r="I365" t="str">
            <v>423</v>
          </cell>
        </row>
        <row r="366">
          <cell r="A366" t="str">
            <v>ARS</v>
          </cell>
          <cell r="B366" t="str">
            <v>423001007</v>
          </cell>
          <cell r="C366" t="str">
            <v>SANATORIO LAPRIDA SA</v>
          </cell>
          <cell r="G366">
            <v>651498806.67999995</v>
          </cell>
          <cell r="H366">
            <v>651498806.67999995</v>
          </cell>
          <cell r="I366" t="str">
            <v>423</v>
          </cell>
        </row>
        <row r="367">
          <cell r="A367" t="str">
            <v>ARS</v>
          </cell>
          <cell r="B367" t="str">
            <v>423001010</v>
          </cell>
          <cell r="C367" t="str">
            <v>PIGHIN, HECTOR DANIEL</v>
          </cell>
          <cell r="G367">
            <v>7200193</v>
          </cell>
          <cell r="H367">
            <v>7200193</v>
          </cell>
          <cell r="I367" t="str">
            <v>423</v>
          </cell>
        </row>
        <row r="368">
          <cell r="A368" t="str">
            <v>ARS</v>
          </cell>
          <cell r="B368" t="str">
            <v>423001012</v>
          </cell>
          <cell r="C368" t="str">
            <v>BOTTI, ENRIQUE JESUS</v>
          </cell>
          <cell r="G368">
            <v>77633923</v>
          </cell>
          <cell r="H368">
            <v>77633923</v>
          </cell>
          <cell r="I368" t="str">
            <v>423</v>
          </cell>
        </row>
        <row r="369">
          <cell r="A369" t="str">
            <v>ARS</v>
          </cell>
          <cell r="B369" t="str">
            <v>423001013</v>
          </cell>
          <cell r="C369" t="str">
            <v>PIATTI, CRISTIAN LEONARDO</v>
          </cell>
          <cell r="G369">
            <v>298771231.55000001</v>
          </cell>
          <cell r="H369">
            <v>298771231.55000001</v>
          </cell>
          <cell r="I369" t="str">
            <v>423</v>
          </cell>
        </row>
        <row r="370">
          <cell r="A370" t="str">
            <v>ARS</v>
          </cell>
          <cell r="B370" t="str">
            <v>423001016</v>
          </cell>
          <cell r="C370" t="str">
            <v>BRIGNONE, PABLO</v>
          </cell>
          <cell r="G370">
            <v>1478466</v>
          </cell>
          <cell r="H370">
            <v>1478466</v>
          </cell>
          <cell r="I370" t="str">
            <v>423</v>
          </cell>
        </row>
        <row r="371">
          <cell r="A371" t="str">
            <v>ARS</v>
          </cell>
          <cell r="B371" t="str">
            <v>423001018</v>
          </cell>
          <cell r="C371" t="str">
            <v xml:space="preserve">VRANICICH, MARIA CECILIA </v>
          </cell>
          <cell r="G371">
            <v>1180853.5</v>
          </cell>
          <cell r="H371">
            <v>1180853.5</v>
          </cell>
          <cell r="I371" t="str">
            <v>423</v>
          </cell>
        </row>
        <row r="372">
          <cell r="A372" t="str">
            <v>ARS</v>
          </cell>
          <cell r="B372" t="str">
            <v>423001019</v>
          </cell>
          <cell r="C372" t="str">
            <v>LOSADA, FERNANDO RAMIRO</v>
          </cell>
          <cell r="G372">
            <v>3643900</v>
          </cell>
          <cell r="H372">
            <v>3643900</v>
          </cell>
          <cell r="I372" t="str">
            <v>423</v>
          </cell>
        </row>
        <row r="373">
          <cell r="A373" t="str">
            <v>ARS</v>
          </cell>
          <cell r="B373" t="str">
            <v>423001025</v>
          </cell>
          <cell r="C373" t="str">
            <v>COVIELLO, ALEJANDRO ANDRES</v>
          </cell>
          <cell r="G373">
            <v>19890</v>
          </cell>
          <cell r="H373">
            <v>19890</v>
          </cell>
          <cell r="I373" t="str">
            <v>423</v>
          </cell>
        </row>
        <row r="374">
          <cell r="A374" t="str">
            <v>ARS</v>
          </cell>
          <cell r="B374" t="str">
            <v>423001026</v>
          </cell>
          <cell r="C374" t="str">
            <v>AUDISALUD SRL</v>
          </cell>
          <cell r="G374">
            <v>5707200450</v>
          </cell>
          <cell r="H374">
            <v>5707200450</v>
          </cell>
          <cell r="I374" t="str">
            <v>423</v>
          </cell>
        </row>
        <row r="375">
          <cell r="A375" t="str">
            <v>ARS</v>
          </cell>
          <cell r="B375" t="str">
            <v>423001032</v>
          </cell>
          <cell r="C375" t="str">
            <v>MANNO, GUIDO JOSE</v>
          </cell>
          <cell r="G375">
            <v>1555800</v>
          </cell>
          <cell r="H375">
            <v>1555800</v>
          </cell>
          <cell r="I375" t="str">
            <v>423</v>
          </cell>
        </row>
        <row r="376">
          <cell r="A376" t="str">
            <v>ARS</v>
          </cell>
          <cell r="B376" t="str">
            <v>423001038</v>
          </cell>
          <cell r="C376" t="str">
            <v>PECAM SA</v>
          </cell>
          <cell r="G376">
            <v>371747515.52999997</v>
          </cell>
          <cell r="H376">
            <v>371747515.52999997</v>
          </cell>
          <cell r="I376" t="str">
            <v>423</v>
          </cell>
        </row>
        <row r="377">
          <cell r="A377" t="str">
            <v>ARS</v>
          </cell>
          <cell r="B377" t="str">
            <v>423001040</v>
          </cell>
          <cell r="C377" t="str">
            <v>BOERIS, DIEGO NICOLAS</v>
          </cell>
          <cell r="G377">
            <v>42300898</v>
          </cell>
          <cell r="H377">
            <v>42300898</v>
          </cell>
          <cell r="I377" t="str">
            <v>423</v>
          </cell>
        </row>
        <row r="378">
          <cell r="A378" t="str">
            <v>ARS</v>
          </cell>
          <cell r="B378" t="str">
            <v>423001048</v>
          </cell>
          <cell r="C378" t="str">
            <v>DONDO, BRUNO MARTIN</v>
          </cell>
          <cell r="G378">
            <v>94319726.010000005</v>
          </cell>
          <cell r="H378">
            <v>94319726.010000005</v>
          </cell>
          <cell r="I378" t="str">
            <v>423</v>
          </cell>
        </row>
        <row r="379">
          <cell r="A379" t="str">
            <v>ARS</v>
          </cell>
          <cell r="B379" t="str">
            <v>423001059</v>
          </cell>
          <cell r="C379" t="str">
            <v>COLLINO, GASTÓN GERMÁN</v>
          </cell>
          <cell r="G379">
            <v>16335198</v>
          </cell>
          <cell r="H379">
            <v>16335198</v>
          </cell>
          <cell r="I379" t="str">
            <v>423</v>
          </cell>
        </row>
        <row r="380">
          <cell r="A380" t="str">
            <v>ARS</v>
          </cell>
          <cell r="B380" t="str">
            <v>423001069</v>
          </cell>
          <cell r="C380" t="str">
            <v>CALDO, BALTASAR JEREMIAS</v>
          </cell>
          <cell r="G380">
            <v>326596585.69999999</v>
          </cell>
          <cell r="H380">
            <v>326596585.69999999</v>
          </cell>
          <cell r="I380" t="str">
            <v>423</v>
          </cell>
        </row>
        <row r="381">
          <cell r="A381" t="str">
            <v>ARS</v>
          </cell>
          <cell r="B381" t="str">
            <v>423001075</v>
          </cell>
          <cell r="C381" t="str">
            <v xml:space="preserve">SALA SA </v>
          </cell>
          <cell r="G381">
            <v>329634002</v>
          </cell>
          <cell r="H381">
            <v>329634002</v>
          </cell>
          <cell r="I381" t="str">
            <v>423</v>
          </cell>
        </row>
        <row r="382">
          <cell r="A382" t="str">
            <v>ARS</v>
          </cell>
          <cell r="B382" t="str">
            <v>423001083</v>
          </cell>
          <cell r="C382" t="str">
            <v>ALBERDI, CARLOS RUBEN</v>
          </cell>
          <cell r="G382">
            <v>46988798.5</v>
          </cell>
          <cell r="H382">
            <v>46988798.5</v>
          </cell>
          <cell r="I382" t="str">
            <v>423</v>
          </cell>
        </row>
        <row r="383">
          <cell r="A383" t="str">
            <v>ARS</v>
          </cell>
          <cell r="B383" t="str">
            <v>423001084</v>
          </cell>
          <cell r="C383" t="str">
            <v>ARAMBURU, JORGE LUIS</v>
          </cell>
          <cell r="G383">
            <v>4483212</v>
          </cell>
          <cell r="H383">
            <v>4483212</v>
          </cell>
          <cell r="I383" t="str">
            <v>423</v>
          </cell>
        </row>
        <row r="384">
          <cell r="A384" t="str">
            <v>ARS</v>
          </cell>
          <cell r="B384" t="str">
            <v>423001098</v>
          </cell>
          <cell r="C384" t="str">
            <v>BORDÓ ARQUITECTURA SRL</v>
          </cell>
          <cell r="G384">
            <v>18741976.890000001</v>
          </cell>
          <cell r="H384">
            <v>18741976.890000001</v>
          </cell>
          <cell r="I384" t="str">
            <v>423</v>
          </cell>
        </row>
        <row r="385">
          <cell r="A385" t="str">
            <v>ARS</v>
          </cell>
          <cell r="B385" t="str">
            <v>423001099</v>
          </cell>
          <cell r="C385" t="str">
            <v>VIA DEL SUR SRL</v>
          </cell>
          <cell r="G385">
            <v>578755784</v>
          </cell>
          <cell r="H385">
            <v>578755784</v>
          </cell>
          <cell r="I385" t="str">
            <v>423</v>
          </cell>
        </row>
        <row r="386">
          <cell r="A386" t="str">
            <v>ARS</v>
          </cell>
          <cell r="B386" t="str">
            <v>423001110</v>
          </cell>
          <cell r="C386" t="str">
            <v>PLEC CONSULTING SA</v>
          </cell>
          <cell r="G386">
            <v>482855871</v>
          </cell>
          <cell r="H386">
            <v>482855871</v>
          </cell>
          <cell r="I386" t="str">
            <v>423</v>
          </cell>
        </row>
        <row r="387">
          <cell r="A387" t="str">
            <v>ARS</v>
          </cell>
          <cell r="B387" t="str">
            <v>423001115</v>
          </cell>
          <cell r="C387" t="str">
            <v>SCHOR, MARCELO ADRIAN</v>
          </cell>
          <cell r="G387">
            <v>343011505.18000001</v>
          </cell>
          <cell r="H387">
            <v>343011505.18000001</v>
          </cell>
          <cell r="I387" t="str">
            <v>423</v>
          </cell>
        </row>
        <row r="388">
          <cell r="A388" t="str">
            <v>ARS</v>
          </cell>
          <cell r="B388" t="str">
            <v>423001117</v>
          </cell>
          <cell r="C388" t="str">
            <v>CAREAGA HNOS Y TEGLIA SRL</v>
          </cell>
          <cell r="G388">
            <v>119112657.62</v>
          </cell>
          <cell r="H388">
            <v>119112657.62</v>
          </cell>
          <cell r="I388" t="str">
            <v>423</v>
          </cell>
        </row>
        <row r="389">
          <cell r="A389" t="str">
            <v>ARS</v>
          </cell>
          <cell r="B389" t="str">
            <v>423001123</v>
          </cell>
          <cell r="C389" t="str">
            <v>FUNDACION PARA EL ESTUDIO E INVESTIGACION DE LOS SISTEMAS DE SALUD</v>
          </cell>
          <cell r="G389">
            <v>606879</v>
          </cell>
          <cell r="H389">
            <v>606879</v>
          </cell>
          <cell r="I389" t="str">
            <v>423</v>
          </cell>
        </row>
        <row r="390">
          <cell r="A390" t="str">
            <v>ARS</v>
          </cell>
          <cell r="B390" t="str">
            <v>423001126</v>
          </cell>
          <cell r="C390" t="str">
            <v>LOSADA, IMANOL</v>
          </cell>
          <cell r="G390">
            <v>4927226</v>
          </cell>
          <cell r="H390">
            <v>4927226</v>
          </cell>
          <cell r="I390" t="str">
            <v>423</v>
          </cell>
        </row>
        <row r="391">
          <cell r="A391" t="str">
            <v>ARS</v>
          </cell>
          <cell r="B391" t="str">
            <v>423001131</v>
          </cell>
          <cell r="C391" t="str">
            <v>PORRI, CLAUDIA LUCÍA</v>
          </cell>
          <cell r="G391">
            <v>50885190.280000001</v>
          </cell>
          <cell r="H391">
            <v>50885190.280000001</v>
          </cell>
          <cell r="I391" t="str">
            <v>423</v>
          </cell>
        </row>
        <row r="392">
          <cell r="A392" t="str">
            <v>ARS</v>
          </cell>
          <cell r="B392" t="str">
            <v>423001134</v>
          </cell>
          <cell r="C392" t="str">
            <v>DONDO, JUAN JOSE</v>
          </cell>
          <cell r="G392">
            <v>115594585.06</v>
          </cell>
          <cell r="H392">
            <v>115594585.06</v>
          </cell>
          <cell r="I392" t="str">
            <v>423</v>
          </cell>
        </row>
        <row r="393">
          <cell r="A393" t="str">
            <v>ARS</v>
          </cell>
          <cell r="B393" t="str">
            <v>423001145</v>
          </cell>
          <cell r="C393" t="str">
            <v xml:space="preserve">MONTECHIARINI, HERNÁN DARÍO </v>
          </cell>
          <cell r="G393">
            <v>18025557</v>
          </cell>
          <cell r="H393">
            <v>18025557</v>
          </cell>
          <cell r="I393" t="str">
            <v>423</v>
          </cell>
        </row>
        <row r="394">
          <cell r="A394" t="str">
            <v>ARS</v>
          </cell>
          <cell r="B394" t="str">
            <v>423001148</v>
          </cell>
          <cell r="C394" t="str">
            <v>RE, MARIA ELISA</v>
          </cell>
          <cell r="G394">
            <v>205097621.33000001</v>
          </cell>
          <cell r="H394">
            <v>205097621.33000001</v>
          </cell>
          <cell r="I394" t="str">
            <v>423</v>
          </cell>
        </row>
        <row r="395">
          <cell r="A395" t="str">
            <v>ARS</v>
          </cell>
          <cell r="B395" t="str">
            <v>423001149</v>
          </cell>
          <cell r="C395" t="str">
            <v>ALDONY SRL</v>
          </cell>
          <cell r="G395">
            <v>5526821</v>
          </cell>
          <cell r="H395">
            <v>5526821</v>
          </cell>
          <cell r="I395" t="str">
            <v>423</v>
          </cell>
        </row>
        <row r="396">
          <cell r="A396" t="str">
            <v>ARS</v>
          </cell>
          <cell r="B396" t="str">
            <v>423001154</v>
          </cell>
          <cell r="C396" t="str">
            <v>DE VINCENZO, SILVIA ANDREA</v>
          </cell>
          <cell r="G396">
            <v>25486297</v>
          </cell>
          <cell r="H396">
            <v>25486297</v>
          </cell>
          <cell r="I396" t="str">
            <v>423</v>
          </cell>
        </row>
        <row r="397">
          <cell r="A397" t="str">
            <v>ARS</v>
          </cell>
          <cell r="B397" t="str">
            <v>423001155</v>
          </cell>
          <cell r="C397" t="str">
            <v>VENINI, JULIA</v>
          </cell>
          <cell r="G397">
            <v>3471541.5</v>
          </cell>
          <cell r="H397">
            <v>3471541.5</v>
          </cell>
          <cell r="I397" t="str">
            <v>423</v>
          </cell>
        </row>
        <row r="398">
          <cell r="A398" t="str">
            <v>ARS</v>
          </cell>
          <cell r="B398" t="str">
            <v>423001169</v>
          </cell>
          <cell r="C398" t="str">
            <v>MÁS, FLORENCIA</v>
          </cell>
          <cell r="G398">
            <v>172046460.31</v>
          </cell>
          <cell r="H398">
            <v>172046460.31</v>
          </cell>
          <cell r="I398" t="str">
            <v>423</v>
          </cell>
        </row>
        <row r="399">
          <cell r="A399" t="str">
            <v>ARS</v>
          </cell>
          <cell r="B399" t="str">
            <v>423001173</v>
          </cell>
          <cell r="C399" t="str">
            <v>GOBBO, JUAN PABLO</v>
          </cell>
          <cell r="G399">
            <v>3361876</v>
          </cell>
          <cell r="H399">
            <v>3361876</v>
          </cell>
          <cell r="I399" t="str">
            <v>423</v>
          </cell>
        </row>
        <row r="400">
          <cell r="A400" t="str">
            <v>ARS</v>
          </cell>
          <cell r="B400" t="str">
            <v>423001174</v>
          </cell>
          <cell r="C400" t="str">
            <v>PLANES, JOSÉ LUIS | MARCUZZI, MARIA EUGENIA</v>
          </cell>
          <cell r="G400">
            <v>4281780</v>
          </cell>
          <cell r="H400">
            <v>4281780</v>
          </cell>
          <cell r="I400" t="str">
            <v>423</v>
          </cell>
        </row>
        <row r="401">
          <cell r="A401" t="str">
            <v>ARS</v>
          </cell>
          <cell r="B401" t="str">
            <v>423001177</v>
          </cell>
          <cell r="C401" t="str">
            <v>EXPRESO BRIO SRL</v>
          </cell>
          <cell r="G401">
            <v>204718499.09</v>
          </cell>
          <cell r="H401">
            <v>204718499.09</v>
          </cell>
          <cell r="I401" t="str">
            <v>423</v>
          </cell>
        </row>
        <row r="402">
          <cell r="A402" t="str">
            <v>ARS</v>
          </cell>
          <cell r="B402" t="str">
            <v>423001178</v>
          </cell>
          <cell r="C402" t="str">
            <v>DE VINCENZO, ALEJANDRA ROXANA</v>
          </cell>
          <cell r="G402">
            <v>4453566</v>
          </cell>
          <cell r="H402">
            <v>4453566</v>
          </cell>
          <cell r="I402" t="str">
            <v>423</v>
          </cell>
        </row>
        <row r="403">
          <cell r="A403" t="str">
            <v>ARS</v>
          </cell>
          <cell r="B403" t="str">
            <v>423001179</v>
          </cell>
          <cell r="C403" t="str">
            <v>DE VINCENZO, GERMAN FRANCISCO</v>
          </cell>
          <cell r="G403">
            <v>136103061.58000001</v>
          </cell>
          <cell r="H403">
            <v>136103061.58000001</v>
          </cell>
          <cell r="I403" t="str">
            <v>423</v>
          </cell>
        </row>
        <row r="404">
          <cell r="A404" t="str">
            <v>ARS</v>
          </cell>
          <cell r="B404" t="str">
            <v>423001181</v>
          </cell>
          <cell r="C404" t="str">
            <v xml:space="preserve">DE VINCENZO, SILVIA ANDREA | ALBRICHI DE VINCENZO, MARTINA | RICO, LIDIA CLELIA </v>
          </cell>
          <cell r="G404">
            <v>3446380</v>
          </cell>
          <cell r="H404">
            <v>3446380</v>
          </cell>
          <cell r="I404" t="str">
            <v>423</v>
          </cell>
        </row>
        <row r="405">
          <cell r="A405" t="str">
            <v>ARS</v>
          </cell>
          <cell r="B405" t="str">
            <v>423001186</v>
          </cell>
          <cell r="C405" t="str">
            <v>PH CONSTRUCTORA SRL</v>
          </cell>
          <cell r="G405">
            <v>58255234.149999999</v>
          </cell>
          <cell r="H405">
            <v>58255234.149999999</v>
          </cell>
          <cell r="I405" t="str">
            <v>423</v>
          </cell>
        </row>
        <row r="406">
          <cell r="A406" t="str">
            <v>ARS</v>
          </cell>
          <cell r="B406" t="str">
            <v>423001193</v>
          </cell>
          <cell r="C406" t="str">
            <v>JORGE, LUDMILA AILIN</v>
          </cell>
          <cell r="G406">
            <v>610657</v>
          </cell>
          <cell r="H406">
            <v>610657</v>
          </cell>
          <cell r="I406" t="str">
            <v>423</v>
          </cell>
        </row>
        <row r="407">
          <cell r="A407" t="str">
            <v>ARS</v>
          </cell>
          <cell r="B407" t="str">
            <v>423001194</v>
          </cell>
          <cell r="C407" t="str">
            <v>YUGUEROS, JUAN CARLOS | JORGE EDUARDO</v>
          </cell>
          <cell r="G407">
            <v>177146335.72</v>
          </cell>
          <cell r="H407">
            <v>177146335.72</v>
          </cell>
          <cell r="I407" t="str">
            <v>423</v>
          </cell>
        </row>
        <row r="408">
          <cell r="A408" t="str">
            <v>ARS</v>
          </cell>
          <cell r="B408" t="str">
            <v>423001201</v>
          </cell>
          <cell r="C408" t="str">
            <v>ABINAL, ARIEL DAMIAN</v>
          </cell>
          <cell r="G408">
            <v>166534858.08000001</v>
          </cell>
          <cell r="H408">
            <v>166534858.08000001</v>
          </cell>
          <cell r="I408" t="str">
            <v>423</v>
          </cell>
        </row>
        <row r="409">
          <cell r="A409" t="str">
            <v>ARS</v>
          </cell>
          <cell r="B409" t="str">
            <v>423001204</v>
          </cell>
          <cell r="C409" t="str">
            <v>CLERICI, EZEQUIEL ALBERTO | DE LOS SANTOS, GERMAN | CONTI, ANDRES</v>
          </cell>
          <cell r="G409">
            <v>146595</v>
          </cell>
          <cell r="H409">
            <v>146595</v>
          </cell>
          <cell r="I409" t="str">
            <v>423</v>
          </cell>
        </row>
        <row r="410">
          <cell r="A410" t="str">
            <v>ARS</v>
          </cell>
          <cell r="B410" t="str">
            <v>423001218</v>
          </cell>
          <cell r="C410" t="str">
            <v>LORENZATTI , DANIEL CARLOS</v>
          </cell>
          <cell r="G410">
            <v>3115633</v>
          </cell>
          <cell r="H410">
            <v>3115633</v>
          </cell>
          <cell r="I410" t="str">
            <v>423</v>
          </cell>
        </row>
        <row r="411">
          <cell r="A411" t="str">
            <v>ARS</v>
          </cell>
          <cell r="B411" t="str">
            <v>423001219</v>
          </cell>
          <cell r="C411" t="str">
            <v>AYALA SAMANIEGO, JORGE</v>
          </cell>
          <cell r="G411">
            <v>2811170.06</v>
          </cell>
          <cell r="H411">
            <v>2811170.06</v>
          </cell>
          <cell r="I411" t="str">
            <v>423</v>
          </cell>
        </row>
        <row r="412">
          <cell r="A412" t="str">
            <v>ARS</v>
          </cell>
          <cell r="B412" t="str">
            <v>423001222</v>
          </cell>
          <cell r="C412" t="str">
            <v xml:space="preserve">BRANCHESI, YANINA </v>
          </cell>
          <cell r="G412">
            <v>491298</v>
          </cell>
          <cell r="H412">
            <v>491298</v>
          </cell>
          <cell r="I412" t="str">
            <v>423</v>
          </cell>
        </row>
        <row r="413">
          <cell r="A413" t="str">
            <v>ARS</v>
          </cell>
          <cell r="B413" t="str">
            <v>423001224</v>
          </cell>
          <cell r="C413" t="str">
            <v>EPRECO SRL</v>
          </cell>
          <cell r="G413">
            <v>2514663</v>
          </cell>
          <cell r="H413">
            <v>2514663</v>
          </cell>
          <cell r="I413" t="str">
            <v>423</v>
          </cell>
        </row>
        <row r="414">
          <cell r="A414" t="str">
            <v>ARS</v>
          </cell>
          <cell r="B414" t="str">
            <v>423001231</v>
          </cell>
          <cell r="C414" t="str">
            <v>AVILA, JUAN PABLO</v>
          </cell>
          <cell r="G414">
            <v>10149201.460000001</v>
          </cell>
          <cell r="H414">
            <v>10149201.460000001</v>
          </cell>
          <cell r="I414" t="str">
            <v>423</v>
          </cell>
        </row>
        <row r="415">
          <cell r="A415" t="str">
            <v>ARS</v>
          </cell>
          <cell r="B415" t="str">
            <v>423001236</v>
          </cell>
          <cell r="C415" t="str">
            <v>CELOTTO CONSTRUCCIONES SRL</v>
          </cell>
          <cell r="G415">
            <v>45120370.609999999</v>
          </cell>
          <cell r="H415">
            <v>45120370.609999999</v>
          </cell>
          <cell r="I415" t="str">
            <v>423</v>
          </cell>
        </row>
        <row r="416">
          <cell r="A416" t="str">
            <v>ARS</v>
          </cell>
          <cell r="B416" t="str">
            <v>423001237</v>
          </cell>
          <cell r="C416" t="str">
            <v>STAHLGRAS SRL</v>
          </cell>
          <cell r="G416">
            <v>23017091.57</v>
          </cell>
          <cell r="H416">
            <v>23017091.57</v>
          </cell>
          <cell r="I416" t="str">
            <v>423</v>
          </cell>
        </row>
        <row r="417">
          <cell r="A417" t="str">
            <v>ARS</v>
          </cell>
          <cell r="B417" t="str">
            <v>424000006</v>
          </cell>
          <cell r="C417" t="str">
            <v>Katz, Marcelo Horacio</v>
          </cell>
          <cell r="G417">
            <v>95363</v>
          </cell>
          <cell r="H417">
            <v>95363</v>
          </cell>
          <cell r="I417" t="str">
            <v>424</v>
          </cell>
        </row>
        <row r="418">
          <cell r="A418" t="str">
            <v>ARS</v>
          </cell>
          <cell r="B418" t="str">
            <v>424000013</v>
          </cell>
          <cell r="C418" t="str">
            <v>Manufacturas Piel S.A</v>
          </cell>
          <cell r="G418">
            <v>96165719.030000001</v>
          </cell>
          <cell r="H418">
            <v>96165719.030000001</v>
          </cell>
          <cell r="I418" t="str">
            <v>424</v>
          </cell>
        </row>
        <row r="419">
          <cell r="A419" t="str">
            <v>ARS</v>
          </cell>
          <cell r="B419" t="str">
            <v>424000015</v>
          </cell>
          <cell r="C419" t="str">
            <v>Luciano Cueros S.A.</v>
          </cell>
          <cell r="G419">
            <v>31919046.5</v>
          </cell>
          <cell r="H419">
            <v>31919046.5</v>
          </cell>
          <cell r="I419" t="str">
            <v>424</v>
          </cell>
        </row>
        <row r="420">
          <cell r="A420" t="str">
            <v>ARS</v>
          </cell>
          <cell r="B420" t="str">
            <v>424000019</v>
          </cell>
          <cell r="C420" t="str">
            <v>Elley SA</v>
          </cell>
          <cell r="G420">
            <v>146807158.56</v>
          </cell>
          <cell r="H420">
            <v>146807158.56</v>
          </cell>
          <cell r="I420" t="str">
            <v>424</v>
          </cell>
        </row>
        <row r="421">
          <cell r="A421" t="str">
            <v>ARS</v>
          </cell>
          <cell r="B421" t="str">
            <v>424000032</v>
          </cell>
          <cell r="C421" t="str">
            <v>Diego Yabes</v>
          </cell>
          <cell r="G421">
            <v>859.1</v>
          </cell>
          <cell r="H421">
            <v>859.1</v>
          </cell>
          <cell r="I421" t="str">
            <v>424</v>
          </cell>
        </row>
        <row r="422">
          <cell r="A422" t="str">
            <v>ARS</v>
          </cell>
          <cell r="B422" t="str">
            <v>424000036</v>
          </cell>
          <cell r="C422" t="str">
            <v>Damian Ciocan</v>
          </cell>
          <cell r="G422">
            <v>697567276.63</v>
          </cell>
          <cell r="H422">
            <v>697567276.63</v>
          </cell>
          <cell r="I422" t="str">
            <v>424</v>
          </cell>
        </row>
        <row r="423">
          <cell r="A423" t="str">
            <v>ARS</v>
          </cell>
          <cell r="B423" t="str">
            <v>424000041</v>
          </cell>
          <cell r="C423" t="str">
            <v>Rebolucion S.A.</v>
          </cell>
          <cell r="G423">
            <v>197657713.19999999</v>
          </cell>
          <cell r="H423">
            <v>197657713.19999999</v>
          </cell>
          <cell r="I423" t="str">
            <v>424</v>
          </cell>
        </row>
        <row r="424">
          <cell r="A424" t="str">
            <v>ARS</v>
          </cell>
          <cell r="B424" t="str">
            <v>424000054</v>
          </cell>
          <cell r="C424" t="str">
            <v>Eco Box Int Group</v>
          </cell>
          <cell r="G424">
            <v>497188374.80000001</v>
          </cell>
          <cell r="H424">
            <v>497188374.80000001</v>
          </cell>
          <cell r="I424" t="str">
            <v>424</v>
          </cell>
        </row>
        <row r="425">
          <cell r="A425" t="str">
            <v>ARS</v>
          </cell>
          <cell r="B425" t="str">
            <v>424000069</v>
          </cell>
          <cell r="C425" t="str">
            <v>Humboldt Inversiones S.A.</v>
          </cell>
          <cell r="G425">
            <v>13038892.5</v>
          </cell>
          <cell r="H425">
            <v>13038892.5</v>
          </cell>
          <cell r="I425" t="str">
            <v>424</v>
          </cell>
        </row>
        <row r="426">
          <cell r="A426" t="str">
            <v>ARS</v>
          </cell>
          <cell r="B426" t="str">
            <v>424000074</v>
          </cell>
          <cell r="C426" t="str">
            <v>Maria Dolores Sarobe</v>
          </cell>
          <cell r="G426">
            <v>508862659.56999999</v>
          </cell>
          <cell r="H426">
            <v>508862659.56999999</v>
          </cell>
          <cell r="I426" t="str">
            <v>424</v>
          </cell>
        </row>
        <row r="427">
          <cell r="A427" t="str">
            <v>ARS</v>
          </cell>
          <cell r="B427" t="str">
            <v>424000086</v>
          </cell>
          <cell r="C427" t="str">
            <v>Alberto Cabuli</v>
          </cell>
          <cell r="G427">
            <v>2519443931.27</v>
          </cell>
          <cell r="H427">
            <v>2519443931.27</v>
          </cell>
          <cell r="I427" t="str">
            <v>424</v>
          </cell>
        </row>
        <row r="428">
          <cell r="A428" t="str">
            <v>ARS</v>
          </cell>
          <cell r="B428" t="str">
            <v>424000091</v>
          </cell>
          <cell r="C428" t="str">
            <v>Impresores SO MI AL SRL</v>
          </cell>
          <cell r="G428">
            <v>137239442</v>
          </cell>
          <cell r="H428">
            <v>137239442</v>
          </cell>
          <cell r="I428" t="str">
            <v>424</v>
          </cell>
        </row>
        <row r="429">
          <cell r="A429" t="str">
            <v>ARS</v>
          </cell>
          <cell r="B429" t="str">
            <v>424000109</v>
          </cell>
          <cell r="C429" t="str">
            <v>Eduardo, Weisz</v>
          </cell>
          <cell r="G429">
            <v>4495436.8</v>
          </cell>
          <cell r="H429">
            <v>4495436.8</v>
          </cell>
          <cell r="I429" t="str">
            <v>424</v>
          </cell>
        </row>
        <row r="430">
          <cell r="A430" t="str">
            <v>ARS</v>
          </cell>
          <cell r="B430" t="str">
            <v>424000129</v>
          </cell>
          <cell r="C430" t="str">
            <v>Maria Andrea Riquelme</v>
          </cell>
          <cell r="G430">
            <v>8454030.4000000004</v>
          </cell>
          <cell r="H430">
            <v>8454030.4000000004</v>
          </cell>
          <cell r="I430" t="str">
            <v>424</v>
          </cell>
        </row>
        <row r="431">
          <cell r="A431" t="str">
            <v>ARS</v>
          </cell>
          <cell r="B431" t="str">
            <v>424000139</v>
          </cell>
          <cell r="C431" t="str">
            <v>Bartolomé Doiny</v>
          </cell>
          <cell r="G431">
            <v>25323893.109999999</v>
          </cell>
          <cell r="H431">
            <v>25323893.109999999</v>
          </cell>
          <cell r="I431" t="str">
            <v>424</v>
          </cell>
        </row>
        <row r="432">
          <cell r="A432" t="str">
            <v>ARS</v>
          </cell>
          <cell r="B432" t="str">
            <v>424000153</v>
          </cell>
          <cell r="C432" t="str">
            <v>Etchevarne Quimbel, Julian Lionel</v>
          </cell>
          <cell r="G432">
            <v>1654415</v>
          </cell>
          <cell r="H432">
            <v>1654415</v>
          </cell>
          <cell r="I432" t="str">
            <v>424</v>
          </cell>
        </row>
        <row r="433">
          <cell r="A433" t="str">
            <v>ARS</v>
          </cell>
          <cell r="B433" t="str">
            <v>424000156</v>
          </cell>
          <cell r="C433" t="str">
            <v xml:space="preserve">5th Essence </v>
          </cell>
          <cell r="G433">
            <v>14207564.300000001</v>
          </cell>
          <cell r="H433">
            <v>14207564.300000001</v>
          </cell>
          <cell r="I433" t="str">
            <v>424</v>
          </cell>
        </row>
        <row r="434">
          <cell r="A434" t="str">
            <v>ARS</v>
          </cell>
          <cell r="B434" t="str">
            <v>424000157</v>
          </cell>
          <cell r="C434" t="str">
            <v>Nevola SA</v>
          </cell>
          <cell r="G434">
            <v>332753563</v>
          </cell>
          <cell r="H434">
            <v>332753563</v>
          </cell>
          <cell r="I434" t="str">
            <v>424</v>
          </cell>
        </row>
        <row r="435">
          <cell r="A435" t="str">
            <v>ARS</v>
          </cell>
          <cell r="B435" t="str">
            <v>424000159</v>
          </cell>
          <cell r="C435" t="str">
            <v>Alaci S.A.</v>
          </cell>
          <cell r="G435">
            <v>150531988</v>
          </cell>
          <cell r="H435">
            <v>150531988</v>
          </cell>
          <cell r="I435" t="str">
            <v>424</v>
          </cell>
        </row>
        <row r="436">
          <cell r="A436" t="str">
            <v>ARS</v>
          </cell>
          <cell r="B436" t="str">
            <v>424000160</v>
          </cell>
          <cell r="C436" t="str">
            <v>Damariel S.A.</v>
          </cell>
          <cell r="G436">
            <v>33846612.520000003</v>
          </cell>
          <cell r="H436">
            <v>33846612.520000003</v>
          </cell>
          <cell r="I436" t="str">
            <v>424</v>
          </cell>
        </row>
        <row r="437">
          <cell r="A437" t="str">
            <v>ARS</v>
          </cell>
          <cell r="B437" t="str">
            <v>424000176</v>
          </cell>
          <cell r="C437" t="str">
            <v>Aguilar, Fernando Martín</v>
          </cell>
          <cell r="G437">
            <v>5171590</v>
          </cell>
          <cell r="H437">
            <v>5171590</v>
          </cell>
          <cell r="I437" t="str">
            <v>424</v>
          </cell>
        </row>
        <row r="438">
          <cell r="A438" t="str">
            <v>ARS</v>
          </cell>
          <cell r="B438" t="str">
            <v>424000186</v>
          </cell>
          <cell r="C438" t="str">
            <v>ANIMA FILMS SRL</v>
          </cell>
          <cell r="G438">
            <v>41189629</v>
          </cell>
          <cell r="H438">
            <v>41189629</v>
          </cell>
          <cell r="I438" t="str">
            <v>424</v>
          </cell>
        </row>
        <row r="439">
          <cell r="A439" t="str">
            <v>ARS</v>
          </cell>
          <cell r="B439" t="str">
            <v>424000201</v>
          </cell>
          <cell r="C439" t="str">
            <v>Scheimberg Sebastian Alberto</v>
          </cell>
          <cell r="G439">
            <v>1534319.7</v>
          </cell>
          <cell r="H439">
            <v>1534319.7</v>
          </cell>
          <cell r="I439" t="str">
            <v>424</v>
          </cell>
        </row>
        <row r="440">
          <cell r="A440" t="str">
            <v>ARS</v>
          </cell>
          <cell r="B440" t="str">
            <v>424000222</v>
          </cell>
          <cell r="C440" t="str">
            <v>Paula Claudia Budich</v>
          </cell>
          <cell r="G440">
            <v>46014.3</v>
          </cell>
          <cell r="H440">
            <v>46014.3</v>
          </cell>
          <cell r="I440" t="str">
            <v>424</v>
          </cell>
        </row>
        <row r="441">
          <cell r="A441" t="str">
            <v>ARS</v>
          </cell>
          <cell r="B441" t="str">
            <v>424000228</v>
          </cell>
          <cell r="C441" t="str">
            <v>Lorenzo Azicri</v>
          </cell>
          <cell r="G441">
            <v>259345</v>
          </cell>
          <cell r="H441">
            <v>259345</v>
          </cell>
          <cell r="I441" t="str">
            <v>424</v>
          </cell>
        </row>
        <row r="442">
          <cell r="A442" t="str">
            <v>ARS</v>
          </cell>
          <cell r="B442" t="str">
            <v>424000237</v>
          </cell>
          <cell r="C442" t="str">
            <v>Tendencia Textil SA</v>
          </cell>
          <cell r="G442">
            <v>13216446.029999999</v>
          </cell>
          <cell r="H442">
            <v>13216446.029999999</v>
          </cell>
          <cell r="I442" t="str">
            <v>424</v>
          </cell>
        </row>
        <row r="443">
          <cell r="A443" t="str">
            <v>ARS</v>
          </cell>
          <cell r="B443" t="str">
            <v>424000238</v>
          </cell>
          <cell r="C443" t="str">
            <v>JI JI RETAIL SA</v>
          </cell>
          <cell r="G443">
            <v>8794463.4700000007</v>
          </cell>
          <cell r="H443">
            <v>8794463.4700000007</v>
          </cell>
          <cell r="I443" t="str">
            <v>424</v>
          </cell>
        </row>
        <row r="444">
          <cell r="A444" t="str">
            <v>ARS</v>
          </cell>
          <cell r="B444" t="str">
            <v>424000239</v>
          </cell>
          <cell r="C444" t="str">
            <v>Mariano Teubal</v>
          </cell>
          <cell r="G444">
            <v>619647.5</v>
          </cell>
          <cell r="H444">
            <v>619647.5</v>
          </cell>
          <cell r="I444" t="str">
            <v>424</v>
          </cell>
        </row>
        <row r="445">
          <cell r="A445" t="str">
            <v>ARS</v>
          </cell>
          <cell r="B445" t="str">
            <v>424000241</v>
          </cell>
          <cell r="C445" t="str">
            <v>Facundo Nahum</v>
          </cell>
          <cell r="G445">
            <v>266257.82</v>
          </cell>
          <cell r="H445">
            <v>266257.82</v>
          </cell>
          <cell r="I445" t="str">
            <v>424</v>
          </cell>
        </row>
        <row r="446">
          <cell r="A446" t="str">
            <v>ARS</v>
          </cell>
          <cell r="B446" t="str">
            <v>424000242</v>
          </cell>
          <cell r="C446" t="str">
            <v>Galo Szewkies</v>
          </cell>
          <cell r="G446">
            <v>789432.5</v>
          </cell>
          <cell r="H446">
            <v>789432.5</v>
          </cell>
          <cell r="I446" t="str">
            <v>424</v>
          </cell>
        </row>
        <row r="447">
          <cell r="A447" t="str">
            <v>ARS</v>
          </cell>
          <cell r="B447" t="str">
            <v>424000243</v>
          </cell>
          <cell r="C447" t="str">
            <v>FIDEICOMISO CIPRESALES</v>
          </cell>
          <cell r="G447">
            <v>100700937.2</v>
          </cell>
          <cell r="H447">
            <v>100700937.2</v>
          </cell>
          <cell r="I447" t="str">
            <v>424</v>
          </cell>
        </row>
        <row r="448">
          <cell r="A448" t="str">
            <v>ARS</v>
          </cell>
          <cell r="B448" t="str">
            <v>424000300</v>
          </cell>
          <cell r="C448" t="str">
            <v>[C.E.R.A.] Hugo Enrique Doiny</v>
          </cell>
          <cell r="G448">
            <v>59778556.600000001</v>
          </cell>
          <cell r="H448">
            <v>59778556.600000001</v>
          </cell>
          <cell r="I448" t="str">
            <v>424</v>
          </cell>
        </row>
        <row r="449">
          <cell r="A449" t="str">
            <v>ARS</v>
          </cell>
          <cell r="B449" t="str">
            <v>424001000</v>
          </cell>
          <cell r="C449" t="str">
            <v>Vector Investments S.A.</v>
          </cell>
          <cell r="G449">
            <v>6255849.5</v>
          </cell>
          <cell r="H449">
            <v>6255849.5</v>
          </cell>
          <cell r="I449" t="str">
            <v>424</v>
          </cell>
        </row>
        <row r="450">
          <cell r="A450" t="str">
            <v>ARS</v>
          </cell>
          <cell r="B450" t="str">
            <v>432000006</v>
          </cell>
          <cell r="C450" t="str">
            <v>Cristiá, Pedro Alejandro</v>
          </cell>
          <cell r="G450">
            <v>3374649.05</v>
          </cell>
          <cell r="H450">
            <v>3374649.05</v>
          </cell>
          <cell r="I450" t="str">
            <v>432</v>
          </cell>
        </row>
        <row r="451">
          <cell r="A451" t="str">
            <v>ARS</v>
          </cell>
          <cell r="B451" t="str">
            <v>432000007</v>
          </cell>
          <cell r="C451" t="str">
            <v>Garófalo, José Luis</v>
          </cell>
          <cell r="G451">
            <v>405271119.89999998</v>
          </cell>
          <cell r="H451">
            <v>405271119.89999998</v>
          </cell>
          <cell r="I451" t="str">
            <v>432</v>
          </cell>
        </row>
        <row r="452">
          <cell r="A452" t="str">
            <v>ARS</v>
          </cell>
          <cell r="B452" t="str">
            <v>432000008</v>
          </cell>
          <cell r="C452" t="str">
            <v>Arrigoni, Miguel Angel</v>
          </cell>
          <cell r="G452">
            <v>491664921.19999999</v>
          </cell>
          <cell r="H452">
            <v>491664921.19999999</v>
          </cell>
          <cell r="I452" t="str">
            <v>432</v>
          </cell>
        </row>
        <row r="453">
          <cell r="A453" t="str">
            <v>ARS</v>
          </cell>
          <cell r="B453" t="str">
            <v>432000010</v>
          </cell>
          <cell r="C453" t="str">
            <v>First Capital Markets SA</v>
          </cell>
          <cell r="G453">
            <v>91976447461.679993</v>
          </cell>
          <cell r="H453">
            <v>91976447461.679993</v>
          </cell>
          <cell r="I453" t="str">
            <v>432</v>
          </cell>
        </row>
        <row r="454">
          <cell r="A454" t="str">
            <v>ARS</v>
          </cell>
          <cell r="B454" t="str">
            <v>432000011</v>
          </cell>
          <cell r="C454" t="str">
            <v>Caramella, Alejandro Diego</v>
          </cell>
          <cell r="G454">
            <v>2017948926.3699999</v>
          </cell>
          <cell r="H454">
            <v>2017948926.3699999</v>
          </cell>
          <cell r="I454" t="str">
            <v>432</v>
          </cell>
        </row>
        <row r="455">
          <cell r="A455" t="str">
            <v>ARS</v>
          </cell>
          <cell r="B455" t="str">
            <v>432000012</v>
          </cell>
          <cell r="C455" t="str">
            <v>Barbero, Guillermo Alberto</v>
          </cell>
          <cell r="G455">
            <v>202769452.84999999</v>
          </cell>
          <cell r="H455">
            <v>202769452.84999999</v>
          </cell>
          <cell r="I455" t="str">
            <v>432</v>
          </cell>
        </row>
        <row r="456">
          <cell r="A456" t="str">
            <v>ARS</v>
          </cell>
          <cell r="B456" t="str">
            <v>432000021</v>
          </cell>
          <cell r="C456" t="str">
            <v>Dubiski, Luis Alberto o Gherman, Teresa Estefania</v>
          </cell>
          <cell r="G456">
            <v>1830873.6</v>
          </cell>
          <cell r="H456">
            <v>1830873.6</v>
          </cell>
          <cell r="I456" t="str">
            <v>432</v>
          </cell>
        </row>
        <row r="457">
          <cell r="A457" t="str">
            <v>ARS</v>
          </cell>
          <cell r="B457" t="str">
            <v>432000025</v>
          </cell>
          <cell r="C457" t="str">
            <v>Industrias John Deere Argentina S.A.</v>
          </cell>
          <cell r="G457">
            <v>349000000</v>
          </cell>
          <cell r="H457">
            <v>349000000</v>
          </cell>
          <cell r="I457" t="str">
            <v>432</v>
          </cell>
        </row>
        <row r="458">
          <cell r="A458" t="str">
            <v>ARS</v>
          </cell>
          <cell r="B458" t="str">
            <v>432000036</v>
          </cell>
          <cell r="C458" t="str">
            <v>Carsa S.A.</v>
          </cell>
          <cell r="G458">
            <v>3487485747.8800001</v>
          </cell>
          <cell r="H458">
            <v>3487485747.8800001</v>
          </cell>
          <cell r="I458" t="str">
            <v>432</v>
          </cell>
        </row>
        <row r="459">
          <cell r="A459" t="str">
            <v>ARS</v>
          </cell>
          <cell r="B459" t="str">
            <v>432000043</v>
          </cell>
          <cell r="C459" t="str">
            <v>Buyatti, Cristian Andres o De Abaroa, Florencia</v>
          </cell>
          <cell r="G459">
            <v>1471289907.3099999</v>
          </cell>
          <cell r="H459">
            <v>1471289907.3099999</v>
          </cell>
          <cell r="I459" t="str">
            <v>432</v>
          </cell>
        </row>
        <row r="460">
          <cell r="A460" t="str">
            <v>ARS</v>
          </cell>
          <cell r="B460" t="str">
            <v>432000111</v>
          </cell>
          <cell r="C460" t="str">
            <v xml:space="preserve">Alberio, Sebastián  </v>
          </cell>
          <cell r="G460">
            <v>20423503.399999999</v>
          </cell>
          <cell r="H460">
            <v>20423503.399999999</v>
          </cell>
          <cell r="I460" t="str">
            <v>432</v>
          </cell>
        </row>
        <row r="461">
          <cell r="A461" t="str">
            <v>ARS</v>
          </cell>
          <cell r="B461" t="str">
            <v>432000125</v>
          </cell>
          <cell r="C461" t="str">
            <v>Oyarzabal, Fermín o Ferranti, María Eugenia</v>
          </cell>
          <cell r="G461">
            <v>91350</v>
          </cell>
          <cell r="H461">
            <v>91350</v>
          </cell>
          <cell r="I461" t="str">
            <v>432</v>
          </cell>
        </row>
        <row r="462">
          <cell r="A462" t="str">
            <v>ARS</v>
          </cell>
          <cell r="B462" t="str">
            <v>432000128</v>
          </cell>
          <cell r="C462" t="str">
            <v>Petrolo, Eduardo Alberto (CARTERA)</v>
          </cell>
          <cell r="G462">
            <v>29092.799999999999</v>
          </cell>
          <cell r="H462">
            <v>29092.799999999999</v>
          </cell>
          <cell r="I462" t="str">
            <v>432</v>
          </cell>
        </row>
        <row r="463">
          <cell r="A463" t="str">
            <v>ARS</v>
          </cell>
          <cell r="B463" t="str">
            <v>432000129</v>
          </cell>
          <cell r="C463" t="str">
            <v>Fittante, Luciano</v>
          </cell>
          <cell r="G463">
            <v>846960</v>
          </cell>
          <cell r="H463">
            <v>846960</v>
          </cell>
          <cell r="I463" t="str">
            <v>432</v>
          </cell>
        </row>
        <row r="464">
          <cell r="A464" t="str">
            <v>ARS</v>
          </cell>
          <cell r="B464" t="str">
            <v>432000130</v>
          </cell>
          <cell r="C464" t="str">
            <v>Caramella, Federico Guillermo</v>
          </cell>
          <cell r="G464">
            <v>28350</v>
          </cell>
          <cell r="H464">
            <v>28350</v>
          </cell>
          <cell r="I464" t="str">
            <v>432</v>
          </cell>
        </row>
        <row r="465">
          <cell r="A465" t="str">
            <v>ARS</v>
          </cell>
          <cell r="B465" t="str">
            <v>432000192</v>
          </cell>
          <cell r="C465" t="str">
            <v>Alassia, Alejandro Jesús o Alassia, Marcelo Gustavo</v>
          </cell>
          <cell r="G465">
            <v>496929110.39999998</v>
          </cell>
          <cell r="H465">
            <v>496929110.39999998</v>
          </cell>
          <cell r="I465" t="str">
            <v>432</v>
          </cell>
        </row>
        <row r="466">
          <cell r="A466" t="str">
            <v>ARS</v>
          </cell>
          <cell r="B466" t="str">
            <v>432000222</v>
          </cell>
          <cell r="C466" t="str">
            <v>Romano, Alejandra Gabriela</v>
          </cell>
          <cell r="G466">
            <v>480434.22</v>
          </cell>
          <cell r="H466">
            <v>480434.22</v>
          </cell>
          <cell r="I466" t="str">
            <v>432</v>
          </cell>
        </row>
        <row r="467">
          <cell r="A467" t="str">
            <v>ARS</v>
          </cell>
          <cell r="B467" t="str">
            <v>432000248</v>
          </cell>
          <cell r="C467" t="str">
            <v>Rebecchi, Sergio Ricardo (CARTERA)</v>
          </cell>
          <cell r="G467">
            <v>2919846.8</v>
          </cell>
          <cell r="H467">
            <v>2919846.8</v>
          </cell>
          <cell r="I467" t="str">
            <v>432</v>
          </cell>
        </row>
        <row r="468">
          <cell r="A468" t="str">
            <v>ARS</v>
          </cell>
          <cell r="B468" t="str">
            <v>432000259</v>
          </cell>
          <cell r="C468" t="str">
            <v>Bustos, Javier Leonardo o Díaz, Marcela Adriana</v>
          </cell>
          <cell r="G468">
            <v>14928431.699999999</v>
          </cell>
          <cell r="H468">
            <v>14928431.699999999</v>
          </cell>
          <cell r="I468" t="str">
            <v>432</v>
          </cell>
        </row>
        <row r="469">
          <cell r="A469" t="str">
            <v>ARS</v>
          </cell>
          <cell r="B469" t="str">
            <v>432000267</v>
          </cell>
          <cell r="C469" t="str">
            <v>Calcagnino, Julio Roque</v>
          </cell>
          <cell r="G469">
            <v>8098132.7699999996</v>
          </cell>
          <cell r="H469">
            <v>8098132.7699999996</v>
          </cell>
          <cell r="I469" t="str">
            <v>432</v>
          </cell>
        </row>
        <row r="470">
          <cell r="A470" t="str">
            <v>ARS</v>
          </cell>
          <cell r="B470" t="str">
            <v>432000285</v>
          </cell>
          <cell r="C470" t="str">
            <v>MUTUAL INTEGRAL DE SERVICIOS</v>
          </cell>
          <cell r="G470">
            <v>72504818.099999994</v>
          </cell>
          <cell r="H470">
            <v>72504818.099999994</v>
          </cell>
          <cell r="I470" t="str">
            <v>432</v>
          </cell>
        </row>
        <row r="471">
          <cell r="A471" t="str">
            <v>ARS</v>
          </cell>
          <cell r="B471" t="str">
            <v>432000286</v>
          </cell>
          <cell r="C471" t="str">
            <v>Huayra Camargo, Cristian Abelardo</v>
          </cell>
          <cell r="G471">
            <v>42037640.159999996</v>
          </cell>
          <cell r="H471">
            <v>42037640.159999996</v>
          </cell>
          <cell r="I471" t="str">
            <v>432</v>
          </cell>
        </row>
        <row r="472">
          <cell r="A472" t="str">
            <v>ARS</v>
          </cell>
          <cell r="B472" t="str">
            <v>432000297</v>
          </cell>
          <cell r="C472" t="str">
            <v>Boveda, Roberto Fabian o Infantil, Daniela Alejandra</v>
          </cell>
          <cell r="G472">
            <v>120316</v>
          </cell>
          <cell r="H472">
            <v>120316</v>
          </cell>
          <cell r="I472" t="str">
            <v>432</v>
          </cell>
        </row>
        <row r="473">
          <cell r="A473" t="str">
            <v>ARS</v>
          </cell>
          <cell r="B473" t="str">
            <v>432000305</v>
          </cell>
          <cell r="C473" t="str">
            <v>Santana, Clarisa Mónica</v>
          </cell>
          <cell r="G473">
            <v>2108000</v>
          </cell>
          <cell r="H473">
            <v>2108000</v>
          </cell>
          <cell r="I473" t="str">
            <v>432</v>
          </cell>
        </row>
        <row r="474">
          <cell r="A474" t="str">
            <v>ARS</v>
          </cell>
          <cell r="B474" t="str">
            <v>432000319</v>
          </cell>
          <cell r="C474" t="str">
            <v>Dalla Bona Maini, Guido</v>
          </cell>
          <cell r="G474">
            <v>335235774.60000002</v>
          </cell>
          <cell r="H474">
            <v>335235774.60000002</v>
          </cell>
          <cell r="I474" t="str">
            <v>432</v>
          </cell>
        </row>
        <row r="475">
          <cell r="A475" t="str">
            <v>ARS</v>
          </cell>
          <cell r="B475" t="str">
            <v>432000335</v>
          </cell>
          <cell r="C475" t="str">
            <v>Alberio, Guillermo Roberto</v>
          </cell>
          <cell r="G475">
            <v>128029719.48</v>
          </cell>
          <cell r="H475">
            <v>128029719.48</v>
          </cell>
          <cell r="I475" t="str">
            <v>432</v>
          </cell>
        </row>
        <row r="476">
          <cell r="A476" t="str">
            <v>ARS</v>
          </cell>
          <cell r="B476" t="str">
            <v>432000362</v>
          </cell>
          <cell r="C476" t="str">
            <v>Blanco, Victoria Antonia o Balmas, Claudia Beatriz</v>
          </cell>
          <cell r="G476">
            <v>656019</v>
          </cell>
          <cell r="H476">
            <v>656019</v>
          </cell>
          <cell r="I476" t="str">
            <v>432</v>
          </cell>
        </row>
        <row r="477">
          <cell r="A477" t="str">
            <v>ARS</v>
          </cell>
          <cell r="B477" t="str">
            <v>432000368</v>
          </cell>
          <cell r="C477" t="str">
            <v>Duscher, Aldo Pedro</v>
          </cell>
          <cell r="G477">
            <v>23297837.199999999</v>
          </cell>
          <cell r="H477">
            <v>23297837.199999999</v>
          </cell>
          <cell r="I477" t="str">
            <v>432</v>
          </cell>
        </row>
        <row r="478">
          <cell r="A478" t="str">
            <v>ARS</v>
          </cell>
          <cell r="B478" t="str">
            <v>432000384</v>
          </cell>
          <cell r="C478" t="str">
            <v>Fundación Nuevo Hogar y Centro de Ancianos para la Comunidad Judía</v>
          </cell>
          <cell r="G478">
            <v>178300209.80000001</v>
          </cell>
          <cell r="H478">
            <v>178300209.80000001</v>
          </cell>
          <cell r="I478" t="str">
            <v>432</v>
          </cell>
        </row>
        <row r="479">
          <cell r="A479" t="str">
            <v>ARS</v>
          </cell>
          <cell r="B479" t="str">
            <v>432000395</v>
          </cell>
          <cell r="C479" t="str">
            <v>BVSA SD FIRST RENTA PESOS</v>
          </cell>
          <cell r="G479">
            <v>18563403</v>
          </cell>
          <cell r="H479">
            <v>18563403</v>
          </cell>
          <cell r="I479" t="str">
            <v>432</v>
          </cell>
        </row>
        <row r="480">
          <cell r="A480" t="str">
            <v>ARS</v>
          </cell>
          <cell r="B480" t="str">
            <v>432000399</v>
          </cell>
          <cell r="C480" t="str">
            <v>Di Loreto, Héctor Emir (CARTERA)</v>
          </cell>
          <cell r="G480">
            <v>2924381</v>
          </cell>
          <cell r="H480">
            <v>2924381</v>
          </cell>
          <cell r="I480" t="str">
            <v>432</v>
          </cell>
        </row>
        <row r="481">
          <cell r="A481" t="str">
            <v>ARS</v>
          </cell>
          <cell r="B481" t="str">
            <v>432000422</v>
          </cell>
          <cell r="C481" t="str">
            <v>Mapsa S.R.L</v>
          </cell>
          <cell r="G481">
            <v>24477278054.779999</v>
          </cell>
          <cell r="H481">
            <v>24477278054.779999</v>
          </cell>
          <cell r="I481" t="str">
            <v>432</v>
          </cell>
        </row>
        <row r="482">
          <cell r="A482" t="str">
            <v>ARS</v>
          </cell>
          <cell r="B482" t="str">
            <v>432000498</v>
          </cell>
          <cell r="C482" t="str">
            <v>Bazar Avenida S.A.</v>
          </cell>
          <cell r="G482">
            <v>1644712320</v>
          </cell>
          <cell r="H482">
            <v>1644712320</v>
          </cell>
          <cell r="I482" t="str">
            <v>432</v>
          </cell>
        </row>
        <row r="483">
          <cell r="A483" t="str">
            <v>ARS</v>
          </cell>
          <cell r="B483" t="str">
            <v>432000525</v>
          </cell>
          <cell r="C483" t="str">
            <v>BCSA SD GAINVEST CAPITAL III FCI</v>
          </cell>
          <cell r="G483">
            <v>105164315.72</v>
          </cell>
          <cell r="H483">
            <v>105164315.72</v>
          </cell>
          <cell r="I483" t="str">
            <v>432</v>
          </cell>
        </row>
        <row r="484">
          <cell r="A484" t="str">
            <v>ARS</v>
          </cell>
          <cell r="B484" t="str">
            <v>432000533</v>
          </cell>
          <cell r="C484" t="str">
            <v>Martinolich, Alejandro o Magri, María Soledad</v>
          </cell>
          <cell r="G484">
            <v>8701</v>
          </cell>
          <cell r="H484">
            <v>8701</v>
          </cell>
          <cell r="I484" t="str">
            <v>432</v>
          </cell>
        </row>
        <row r="485">
          <cell r="A485" t="str">
            <v>ARS</v>
          </cell>
          <cell r="B485" t="str">
            <v>432000594</v>
          </cell>
          <cell r="C485" t="str">
            <v>Montemurri, David Eduardo o Cisneros, Sonia del Carmen</v>
          </cell>
          <cell r="G485">
            <v>13452349.6</v>
          </cell>
          <cell r="H485">
            <v>13452349.6</v>
          </cell>
          <cell r="I485" t="str">
            <v>432</v>
          </cell>
        </row>
        <row r="486">
          <cell r="A486" t="str">
            <v>ARS</v>
          </cell>
          <cell r="B486" t="str">
            <v>432000597</v>
          </cell>
          <cell r="C486" t="str">
            <v>Tenaglia, Mauro Nicolás</v>
          </cell>
          <cell r="G486">
            <v>600923.38</v>
          </cell>
          <cell r="H486">
            <v>600923.38</v>
          </cell>
          <cell r="I486" t="str">
            <v>432</v>
          </cell>
        </row>
        <row r="487">
          <cell r="A487" t="str">
            <v>ARS</v>
          </cell>
          <cell r="B487" t="str">
            <v>432000605</v>
          </cell>
          <cell r="C487" t="str">
            <v xml:space="preserve">Bonino, Alicia Mónica </v>
          </cell>
          <cell r="G487">
            <v>679678.9</v>
          </cell>
          <cell r="H487">
            <v>679678.9</v>
          </cell>
          <cell r="I487" t="str">
            <v>432</v>
          </cell>
        </row>
        <row r="488">
          <cell r="A488" t="str">
            <v>ARS</v>
          </cell>
          <cell r="B488" t="str">
            <v>432000612</v>
          </cell>
          <cell r="C488" t="str">
            <v>IATEC S.A. (INDUSTRIA AUSTRAL DE TECNOLOGIA S.A.)</v>
          </cell>
          <cell r="G488">
            <v>27314588207.029999</v>
          </cell>
          <cell r="H488">
            <v>27314588207.029999</v>
          </cell>
          <cell r="I488" t="str">
            <v>432</v>
          </cell>
        </row>
        <row r="489">
          <cell r="A489" t="str">
            <v>ARS</v>
          </cell>
          <cell r="B489" t="str">
            <v>432000620</v>
          </cell>
          <cell r="C489" t="str">
            <v>BCSA SD GAINVEST CRECIMIENTO II FCI</v>
          </cell>
          <cell r="G489">
            <v>420657262.87</v>
          </cell>
          <cell r="H489">
            <v>420657262.87</v>
          </cell>
          <cell r="I489" t="str">
            <v>432</v>
          </cell>
        </row>
        <row r="490">
          <cell r="A490" t="str">
            <v>ARS</v>
          </cell>
          <cell r="B490" t="str">
            <v>432000657</v>
          </cell>
          <cell r="C490" t="str">
            <v>Córdoba, Sergio Luis</v>
          </cell>
          <cell r="G490">
            <v>3360380</v>
          </cell>
          <cell r="H490">
            <v>3360380</v>
          </cell>
          <cell r="I490" t="str">
            <v>432</v>
          </cell>
        </row>
        <row r="491">
          <cell r="A491" t="str">
            <v>ARS</v>
          </cell>
          <cell r="B491" t="str">
            <v>432000659</v>
          </cell>
          <cell r="C491" t="str">
            <v>ERO constructora S.A</v>
          </cell>
          <cell r="G491">
            <v>137569632.19999999</v>
          </cell>
          <cell r="H491">
            <v>137569632.19999999</v>
          </cell>
          <cell r="I491" t="str">
            <v>432</v>
          </cell>
        </row>
        <row r="492">
          <cell r="A492" t="str">
            <v>ARS</v>
          </cell>
          <cell r="B492" t="str">
            <v>432000662</v>
          </cell>
          <cell r="C492" t="str">
            <v>BANCO VALORES AG CUSTODIA FIRST RENTA PYMES I FCI ABIERTO PYMES</v>
          </cell>
          <cell r="G492">
            <v>4245722670.1799998</v>
          </cell>
          <cell r="H492">
            <v>4245722670.1799998</v>
          </cell>
          <cell r="I492" t="str">
            <v>432</v>
          </cell>
        </row>
        <row r="493">
          <cell r="A493" t="str">
            <v>ARS</v>
          </cell>
          <cell r="B493" t="str">
            <v>432000677</v>
          </cell>
          <cell r="C493" t="str">
            <v>FIRST CORPORATE FINANCE ADVISORS S.A.</v>
          </cell>
          <cell r="G493">
            <v>200190572.40000001</v>
          </cell>
          <cell r="H493">
            <v>200190572.40000001</v>
          </cell>
          <cell r="I493" t="str">
            <v>432</v>
          </cell>
        </row>
        <row r="494">
          <cell r="A494" t="str">
            <v>ARS</v>
          </cell>
          <cell r="B494" t="str">
            <v>432000679</v>
          </cell>
          <cell r="C494" t="str">
            <v>Castagnino, Mario Alejandro</v>
          </cell>
          <cell r="G494">
            <v>4382440</v>
          </cell>
          <cell r="H494">
            <v>4382440</v>
          </cell>
          <cell r="I494" t="str">
            <v>432</v>
          </cell>
        </row>
        <row r="495">
          <cell r="A495" t="str">
            <v>ARS</v>
          </cell>
          <cell r="B495" t="str">
            <v>432000683</v>
          </cell>
          <cell r="C495" t="str">
            <v>Interpack S.A.</v>
          </cell>
          <cell r="G495">
            <v>3000000000</v>
          </cell>
          <cell r="H495">
            <v>3000000000</v>
          </cell>
          <cell r="I495" t="str">
            <v>432</v>
          </cell>
        </row>
        <row r="496">
          <cell r="A496" t="str">
            <v>ARS</v>
          </cell>
          <cell r="B496" t="str">
            <v>432000714</v>
          </cell>
          <cell r="C496" t="str">
            <v>Oportunidad Microfinanciera Latinoamericana OMLA S.A</v>
          </cell>
          <cell r="G496">
            <v>3519255</v>
          </cell>
          <cell r="H496">
            <v>3519255</v>
          </cell>
          <cell r="I496" t="str">
            <v>432</v>
          </cell>
        </row>
        <row r="497">
          <cell r="A497" t="str">
            <v>ARS</v>
          </cell>
          <cell r="B497" t="str">
            <v>432000723</v>
          </cell>
          <cell r="C497" t="str">
            <v>BANCO VALORES AG CUSTODIA FIRST Crecimiento FCI</v>
          </cell>
          <cell r="G497">
            <v>232042537.5</v>
          </cell>
          <cell r="H497">
            <v>232042537.5</v>
          </cell>
          <cell r="I497" t="str">
            <v>432</v>
          </cell>
        </row>
        <row r="498">
          <cell r="A498" t="str">
            <v>ARS</v>
          </cell>
          <cell r="B498" t="str">
            <v>432000726</v>
          </cell>
          <cell r="C498" t="str">
            <v>SAN CRISTOBAL CAJA MUTUAL ENTRE ASOCIADOS DE SAN CRISTOBAL SMSG</v>
          </cell>
          <cell r="G498">
            <v>8734955912.25</v>
          </cell>
          <cell r="H498">
            <v>8734955912.25</v>
          </cell>
          <cell r="I498" t="str">
            <v>432</v>
          </cell>
        </row>
        <row r="499">
          <cell r="A499" t="str">
            <v>ARS</v>
          </cell>
          <cell r="B499" t="str">
            <v>432000744</v>
          </cell>
          <cell r="C499" t="str">
            <v>OYARZABAL , MARIA INES</v>
          </cell>
          <cell r="G499">
            <v>4828489.57</v>
          </cell>
          <cell r="H499">
            <v>4828489.57</v>
          </cell>
          <cell r="I499" t="str">
            <v>432</v>
          </cell>
        </row>
        <row r="500">
          <cell r="A500" t="str">
            <v>ARS</v>
          </cell>
          <cell r="B500" t="str">
            <v>432000747</v>
          </cell>
          <cell r="C500" t="str">
            <v>Seineldin, Fidel o Corbo, Daniela Claudia</v>
          </cell>
          <cell r="G500">
            <v>12261715.800000001</v>
          </cell>
          <cell r="H500">
            <v>12261715.800000001</v>
          </cell>
          <cell r="I500" t="str">
            <v>432</v>
          </cell>
        </row>
        <row r="501">
          <cell r="A501" t="str">
            <v>ARS</v>
          </cell>
          <cell r="B501" t="str">
            <v>432000751</v>
          </cell>
          <cell r="C501" t="str">
            <v>Franchino, José María</v>
          </cell>
          <cell r="G501">
            <v>10253151.369999999</v>
          </cell>
          <cell r="H501">
            <v>10253151.369999999</v>
          </cell>
          <cell r="I501" t="str">
            <v>432</v>
          </cell>
        </row>
        <row r="502">
          <cell r="A502" t="str">
            <v>ARS</v>
          </cell>
          <cell r="B502" t="str">
            <v>432000752</v>
          </cell>
          <cell r="C502" t="str">
            <v>Saez, Gines Roberto</v>
          </cell>
          <cell r="G502">
            <v>8202521.0999999996</v>
          </cell>
          <cell r="H502">
            <v>8202521.0999999996</v>
          </cell>
          <cell r="I502" t="str">
            <v>432</v>
          </cell>
        </row>
        <row r="503">
          <cell r="A503" t="str">
            <v>ARS</v>
          </cell>
          <cell r="B503" t="str">
            <v>432000790</v>
          </cell>
          <cell r="C503" t="str">
            <v xml:space="preserve">Ferrand, Fabián Marcelo o ROCCA, VANESA SUSANA </v>
          </cell>
          <cell r="G503">
            <v>1437828864.9400001</v>
          </cell>
          <cell r="H503">
            <v>1437828864.9400001</v>
          </cell>
          <cell r="I503" t="str">
            <v>432</v>
          </cell>
        </row>
        <row r="504">
          <cell r="A504" t="str">
            <v>ARS</v>
          </cell>
          <cell r="B504" t="str">
            <v>432000799</v>
          </cell>
          <cell r="C504" t="str">
            <v>Perez Edgardo Enrique Y Dolce Pablo Adrián Sociedad de Hecho</v>
          </cell>
          <cell r="G504">
            <v>579441041.82000005</v>
          </cell>
          <cell r="H504">
            <v>579441041.82000005</v>
          </cell>
          <cell r="I504" t="str">
            <v>432</v>
          </cell>
        </row>
        <row r="505">
          <cell r="A505" t="str">
            <v>ARS</v>
          </cell>
          <cell r="B505" t="str">
            <v>432000811</v>
          </cell>
          <cell r="C505" t="str">
            <v>Asociacion Mutual 23 de Septiembre</v>
          </cell>
          <cell r="G505">
            <v>175156584.65000001</v>
          </cell>
          <cell r="H505">
            <v>175156584.65000001</v>
          </cell>
          <cell r="I505" t="str">
            <v>432</v>
          </cell>
        </row>
        <row r="506">
          <cell r="A506" t="str">
            <v>ARS</v>
          </cell>
          <cell r="B506" t="str">
            <v>432000812</v>
          </cell>
          <cell r="C506" t="str">
            <v>SANTA MONICA SA</v>
          </cell>
          <cell r="G506">
            <v>2246028340.6599998</v>
          </cell>
          <cell r="H506">
            <v>2246028340.6599998</v>
          </cell>
          <cell r="I506" t="str">
            <v>432</v>
          </cell>
        </row>
        <row r="507">
          <cell r="A507" t="str">
            <v>ARS</v>
          </cell>
          <cell r="B507" t="str">
            <v>432000825</v>
          </cell>
          <cell r="C507" t="str">
            <v>TALLERES METALURGICOS CRUCIANELLI S.A</v>
          </cell>
          <cell r="G507">
            <v>10922406420.540001</v>
          </cell>
          <cell r="H507">
            <v>10922406420.540001</v>
          </cell>
          <cell r="I507" t="str">
            <v>432</v>
          </cell>
        </row>
        <row r="508">
          <cell r="A508" t="str">
            <v>ARS</v>
          </cell>
          <cell r="B508" t="str">
            <v>432000867</v>
          </cell>
          <cell r="C508" t="str">
            <v>OTOK SA</v>
          </cell>
          <cell r="G508">
            <v>2934165049.75</v>
          </cell>
          <cell r="H508">
            <v>2934165049.75</v>
          </cell>
          <cell r="I508" t="str">
            <v>432</v>
          </cell>
        </row>
        <row r="509">
          <cell r="A509" t="str">
            <v>ARS</v>
          </cell>
          <cell r="B509" t="str">
            <v>432000868</v>
          </cell>
          <cell r="C509" t="str">
            <v>Dellarossa, Maria Betina</v>
          </cell>
          <cell r="G509">
            <v>7536344.4000000004</v>
          </cell>
          <cell r="H509">
            <v>7536344.4000000004</v>
          </cell>
          <cell r="I509" t="str">
            <v>432</v>
          </cell>
        </row>
        <row r="510">
          <cell r="A510" t="str">
            <v>ARS</v>
          </cell>
          <cell r="B510" t="str">
            <v>432000870</v>
          </cell>
          <cell r="C510" t="str">
            <v>OVER ORGANIZACION VETERINARIA REGIONAL S.R.L.</v>
          </cell>
          <cell r="G510">
            <v>782709715</v>
          </cell>
          <cell r="H510">
            <v>782709715</v>
          </cell>
          <cell r="I510" t="str">
            <v>432</v>
          </cell>
        </row>
        <row r="511">
          <cell r="A511" t="str">
            <v>ARS</v>
          </cell>
          <cell r="B511" t="str">
            <v>432000876</v>
          </cell>
          <cell r="C511" t="str">
            <v>Giancaterino, Graciela Ethel</v>
          </cell>
          <cell r="G511">
            <v>19762049.699999999</v>
          </cell>
          <cell r="H511">
            <v>19762049.699999999</v>
          </cell>
          <cell r="I511" t="str">
            <v>432</v>
          </cell>
        </row>
        <row r="512">
          <cell r="A512" t="str">
            <v>ARS</v>
          </cell>
          <cell r="B512" t="str">
            <v>432000878</v>
          </cell>
          <cell r="C512" t="str">
            <v>MARCON, SUSANA BEATRIZ</v>
          </cell>
          <cell r="G512">
            <v>2134498.7999999998</v>
          </cell>
          <cell r="H512">
            <v>2134498.7999999998</v>
          </cell>
          <cell r="I512" t="str">
            <v>432</v>
          </cell>
        </row>
        <row r="513">
          <cell r="A513" t="str">
            <v>ARS</v>
          </cell>
          <cell r="B513" t="str">
            <v>432000885</v>
          </cell>
          <cell r="C513" t="str">
            <v>JAWORSKI, MARIA EUGENIA</v>
          </cell>
          <cell r="G513">
            <v>74295.399999999994</v>
          </cell>
          <cell r="H513">
            <v>74295.399999999994</v>
          </cell>
          <cell r="I513" t="str">
            <v>432</v>
          </cell>
        </row>
        <row r="514">
          <cell r="A514" t="str">
            <v>ARS</v>
          </cell>
          <cell r="B514" t="str">
            <v>432000890</v>
          </cell>
          <cell r="C514" t="str">
            <v>Jaworski, Maria Lucia</v>
          </cell>
          <cell r="G514">
            <v>149979.4</v>
          </cell>
          <cell r="H514">
            <v>149979.4</v>
          </cell>
          <cell r="I514" t="str">
            <v>432</v>
          </cell>
        </row>
        <row r="515">
          <cell r="A515" t="str">
            <v>ARS</v>
          </cell>
          <cell r="B515" t="str">
            <v>432000904</v>
          </cell>
          <cell r="C515" t="str">
            <v>AGRONORTE SRL</v>
          </cell>
          <cell r="G515">
            <v>10424435154</v>
          </cell>
          <cell r="H515">
            <v>10424435154</v>
          </cell>
          <cell r="I515" t="str">
            <v>432</v>
          </cell>
        </row>
        <row r="516">
          <cell r="A516" t="str">
            <v>ARS</v>
          </cell>
          <cell r="B516" t="str">
            <v>432000908</v>
          </cell>
          <cell r="C516" t="str">
            <v>Doña Tita SAS</v>
          </cell>
          <cell r="G516">
            <v>193312240.09</v>
          </cell>
          <cell r="H516">
            <v>193312240.09</v>
          </cell>
          <cell r="I516" t="str">
            <v>432</v>
          </cell>
        </row>
        <row r="517">
          <cell r="A517" t="str">
            <v>ARS</v>
          </cell>
          <cell r="B517" t="str">
            <v>432000911</v>
          </cell>
          <cell r="C517" t="str">
            <v>BANCO VALORES AG CUSTODIA FIRST RENTA MIXTA III FCI</v>
          </cell>
          <cell r="G517">
            <v>3045134030</v>
          </cell>
          <cell r="H517">
            <v>3045134030</v>
          </cell>
          <cell r="I517" t="str">
            <v>432</v>
          </cell>
        </row>
        <row r="518">
          <cell r="A518" t="str">
            <v>ARS</v>
          </cell>
          <cell r="B518" t="str">
            <v>432000927</v>
          </cell>
          <cell r="C518" t="str">
            <v>STAGNARO DI CROCE, CAMILA</v>
          </cell>
          <cell r="G518">
            <v>593400</v>
          </cell>
          <cell r="H518">
            <v>593400</v>
          </cell>
          <cell r="I518" t="str">
            <v>432</v>
          </cell>
        </row>
        <row r="519">
          <cell r="A519" t="str">
            <v>ARS</v>
          </cell>
          <cell r="B519" t="str">
            <v>432000928</v>
          </cell>
          <cell r="C519" t="str">
            <v xml:space="preserve">NIGRA, ALESSANDRO JOSE </v>
          </cell>
          <cell r="G519">
            <v>29602.799999999999</v>
          </cell>
          <cell r="H519">
            <v>29602.799999999999</v>
          </cell>
          <cell r="I519" t="str">
            <v>432</v>
          </cell>
        </row>
        <row r="520">
          <cell r="A520" t="str">
            <v>ARS</v>
          </cell>
          <cell r="B520" t="str">
            <v>432000946</v>
          </cell>
          <cell r="C520" t="str">
            <v>BUYATTI, GERARDO LUIS</v>
          </cell>
          <cell r="G520">
            <v>149558146.91</v>
          </cell>
          <cell r="H520">
            <v>149558146.91</v>
          </cell>
          <cell r="I520" t="str">
            <v>432</v>
          </cell>
        </row>
        <row r="521">
          <cell r="A521" t="str">
            <v>ARS</v>
          </cell>
          <cell r="B521" t="str">
            <v>432000958</v>
          </cell>
          <cell r="C521" t="str">
            <v>Dolce, Pablo Adrián</v>
          </cell>
          <cell r="G521">
            <v>3121952713.8800001</v>
          </cell>
          <cell r="H521">
            <v>3121952713.8800001</v>
          </cell>
          <cell r="I521" t="str">
            <v>432</v>
          </cell>
        </row>
        <row r="522">
          <cell r="A522" t="str">
            <v>ARS</v>
          </cell>
          <cell r="B522" t="str">
            <v>432000966</v>
          </cell>
          <cell r="C522" t="str">
            <v>CURIOTTI, ALFREDO JUAN o CURIOTTI, JORGELINA</v>
          </cell>
          <cell r="G522">
            <v>774900</v>
          </cell>
          <cell r="H522">
            <v>774900</v>
          </cell>
          <cell r="I522" t="str">
            <v>432</v>
          </cell>
        </row>
        <row r="523">
          <cell r="A523" t="str">
            <v>ARS</v>
          </cell>
          <cell r="B523" t="str">
            <v>432000983</v>
          </cell>
          <cell r="C523" t="str">
            <v>BANCO VALORES AG CUSTODIA FIRST RENTA MIXTA V FCI</v>
          </cell>
          <cell r="G523">
            <v>46408507.5</v>
          </cell>
          <cell r="H523">
            <v>46408507.5</v>
          </cell>
          <cell r="I523" t="str">
            <v>432</v>
          </cell>
        </row>
        <row r="524">
          <cell r="A524" t="str">
            <v>ARS</v>
          </cell>
          <cell r="B524" t="str">
            <v>432000994</v>
          </cell>
          <cell r="C524" t="str">
            <v>BVSA SD FIRST RENTA MIXTA IV</v>
          </cell>
          <cell r="G524">
            <v>1961366380.52</v>
          </cell>
          <cell r="H524">
            <v>1961366380.52</v>
          </cell>
          <cell r="I524" t="str">
            <v>432</v>
          </cell>
        </row>
        <row r="525">
          <cell r="A525" t="str">
            <v>ARS</v>
          </cell>
          <cell r="B525" t="str">
            <v>432000995</v>
          </cell>
          <cell r="C525" t="str">
            <v>BVSA SD FIRST RENTA MIXTA VI</v>
          </cell>
          <cell r="G525">
            <v>110298414.06</v>
          </cell>
          <cell r="H525">
            <v>110298414.06</v>
          </cell>
          <cell r="I525" t="str">
            <v>432</v>
          </cell>
        </row>
        <row r="526">
          <cell r="A526" t="str">
            <v>ARS</v>
          </cell>
          <cell r="B526" t="str">
            <v>432001005</v>
          </cell>
          <cell r="C526" t="str">
            <v>Boggione, Fernando Carlos</v>
          </cell>
          <cell r="G526">
            <v>146368148.56</v>
          </cell>
          <cell r="H526">
            <v>146368148.56</v>
          </cell>
          <cell r="I526" t="str">
            <v>432</v>
          </cell>
        </row>
        <row r="527">
          <cell r="A527" t="str">
            <v>ARS</v>
          </cell>
          <cell r="B527" t="str">
            <v>432001027</v>
          </cell>
          <cell r="C527" t="str">
            <v>BRION, MARIANA NOELIA</v>
          </cell>
          <cell r="G527">
            <v>1160631</v>
          </cell>
          <cell r="H527">
            <v>1160631</v>
          </cell>
          <cell r="I527" t="str">
            <v>432</v>
          </cell>
        </row>
        <row r="528">
          <cell r="A528" t="str">
            <v>ARS</v>
          </cell>
          <cell r="B528" t="str">
            <v>432001029</v>
          </cell>
          <cell r="C528" t="str">
            <v>DISEÑO, LUZ Y SENTIDO S.R.L.</v>
          </cell>
          <cell r="G528">
            <v>45638752</v>
          </cell>
          <cell r="H528">
            <v>45638752</v>
          </cell>
          <cell r="I528" t="str">
            <v>432</v>
          </cell>
        </row>
        <row r="529">
          <cell r="A529" t="str">
            <v>ARS</v>
          </cell>
          <cell r="B529" t="str">
            <v>432001050</v>
          </cell>
          <cell r="C529" t="str">
            <v>BAÑON, MARIA FLORENCIA o BAÑON, RAUL ALFREDO</v>
          </cell>
          <cell r="G529">
            <v>8024648</v>
          </cell>
          <cell r="H529">
            <v>8024648</v>
          </cell>
          <cell r="I529" t="str">
            <v>432</v>
          </cell>
        </row>
        <row r="530">
          <cell r="A530" t="str">
            <v>ARS</v>
          </cell>
          <cell r="B530" t="str">
            <v>432001072</v>
          </cell>
          <cell r="C530" t="str">
            <v>BVSA SD FIRST RENTA MIXTA VII</v>
          </cell>
          <cell r="G530">
            <v>1952565497.5799999</v>
          </cell>
          <cell r="H530">
            <v>1952565497.5799999</v>
          </cell>
          <cell r="I530" t="str">
            <v>432</v>
          </cell>
        </row>
        <row r="531">
          <cell r="A531" t="str">
            <v>ARS</v>
          </cell>
          <cell r="B531" t="str">
            <v>432001087</v>
          </cell>
          <cell r="C531" t="str">
            <v>De Abaroa, Florencia</v>
          </cell>
          <cell r="G531">
            <v>2943793.1</v>
          </cell>
          <cell r="H531">
            <v>2943793.1</v>
          </cell>
          <cell r="I531" t="str">
            <v>432</v>
          </cell>
        </row>
        <row r="532">
          <cell r="A532" t="str">
            <v>ARS</v>
          </cell>
          <cell r="B532" t="str">
            <v>432001099</v>
          </cell>
          <cell r="C532" t="str">
            <v xml:space="preserve">DALLA BONA, INES  o DALLA BONA, ANA </v>
          </cell>
          <cell r="G532">
            <v>26374551.260000002</v>
          </cell>
          <cell r="H532">
            <v>26374551.260000002</v>
          </cell>
          <cell r="I532" t="str">
            <v>432</v>
          </cell>
        </row>
        <row r="533">
          <cell r="A533" t="str">
            <v>ARS</v>
          </cell>
          <cell r="B533" t="str">
            <v>432001120</v>
          </cell>
          <cell r="C533" t="str">
            <v>SOLOVEI, THIAGO TOMAS</v>
          </cell>
          <cell r="G533">
            <v>299203486.33999997</v>
          </cell>
          <cell r="H533">
            <v>299203486.33999997</v>
          </cell>
          <cell r="I533" t="str">
            <v>432</v>
          </cell>
        </row>
        <row r="534">
          <cell r="A534" t="str">
            <v>ARS</v>
          </cell>
          <cell r="B534" t="str">
            <v>432001141</v>
          </cell>
          <cell r="C534" t="str">
            <v>SOLOVEI SRL</v>
          </cell>
          <cell r="G534">
            <v>336739354.02999997</v>
          </cell>
          <cell r="H534">
            <v>336739354.02999997</v>
          </cell>
          <cell r="I534" t="str">
            <v>432</v>
          </cell>
        </row>
        <row r="535">
          <cell r="A535" t="str">
            <v>ARS</v>
          </cell>
          <cell r="B535" t="str">
            <v>432001162</v>
          </cell>
          <cell r="C535" t="str">
            <v>FABRE, HECTOR EDUARDO o DIAZ, ANA MARIA</v>
          </cell>
          <cell r="G535">
            <v>107323023.25</v>
          </cell>
          <cell r="H535">
            <v>107323023.25</v>
          </cell>
          <cell r="I535" t="str">
            <v>432</v>
          </cell>
        </row>
        <row r="536">
          <cell r="A536" t="str">
            <v>ARS</v>
          </cell>
          <cell r="B536" t="str">
            <v>432001164</v>
          </cell>
          <cell r="C536" t="str">
            <v>BASSANINI, DIEGO OMAR</v>
          </cell>
          <cell r="G536">
            <v>278235077.93000001</v>
          </cell>
          <cell r="H536">
            <v>278235077.93000001</v>
          </cell>
          <cell r="I536" t="str">
            <v>432</v>
          </cell>
        </row>
        <row r="537">
          <cell r="A537" t="str">
            <v>ARS</v>
          </cell>
          <cell r="B537" t="str">
            <v>432001165</v>
          </cell>
          <cell r="C537" t="str">
            <v>BASSANINI, VANINA PAOLA</v>
          </cell>
          <cell r="G537">
            <v>276235007.31</v>
          </cell>
          <cell r="H537">
            <v>276235007.31</v>
          </cell>
          <cell r="I537" t="str">
            <v>432</v>
          </cell>
        </row>
        <row r="538">
          <cell r="A538" t="str">
            <v>ARS</v>
          </cell>
          <cell r="B538" t="str">
            <v>432001185</v>
          </cell>
          <cell r="C538" t="str">
            <v>MAISNER, CANDELA AGUSTINA</v>
          </cell>
          <cell r="G538">
            <v>377947.5</v>
          </cell>
          <cell r="H538">
            <v>377947.5</v>
          </cell>
          <cell r="I538" t="str">
            <v>432</v>
          </cell>
        </row>
        <row r="539">
          <cell r="A539" t="str">
            <v>ARS</v>
          </cell>
          <cell r="B539" t="str">
            <v>432001188</v>
          </cell>
          <cell r="C539" t="str">
            <v>PROCESOS INDUSTRIALES METALLO SA</v>
          </cell>
          <cell r="G539">
            <v>3586741284.0900002</v>
          </cell>
          <cell r="H539">
            <v>3586741284.0900002</v>
          </cell>
          <cell r="I539" t="str">
            <v>432</v>
          </cell>
        </row>
        <row r="540">
          <cell r="A540" t="str">
            <v>ARS</v>
          </cell>
          <cell r="B540" t="str">
            <v>432001189</v>
          </cell>
          <cell r="C540" t="str">
            <v xml:space="preserve">OPTILINK S.R.L. </v>
          </cell>
          <cell r="G540">
            <v>69353345.599999994</v>
          </cell>
          <cell r="H540">
            <v>69353345.599999994</v>
          </cell>
          <cell r="I540" t="str">
            <v>432</v>
          </cell>
        </row>
        <row r="541">
          <cell r="A541" t="str">
            <v>ARS</v>
          </cell>
          <cell r="B541" t="str">
            <v>432001192</v>
          </cell>
          <cell r="C541" t="str">
            <v xml:space="preserve"> DISTRIBUIDORA BASSANINI S.R.L. </v>
          </cell>
          <cell r="G541">
            <v>6026150</v>
          </cell>
          <cell r="H541">
            <v>6026150</v>
          </cell>
          <cell r="I541" t="str">
            <v>432</v>
          </cell>
        </row>
        <row r="542">
          <cell r="A542" t="str">
            <v>ARS</v>
          </cell>
          <cell r="B542" t="str">
            <v>432001199</v>
          </cell>
          <cell r="C542" t="str">
            <v>FONDO ARGENTINO SA</v>
          </cell>
          <cell r="G542">
            <v>286226310.51999998</v>
          </cell>
          <cell r="H542">
            <v>286226310.51999998</v>
          </cell>
          <cell r="I542" t="str">
            <v>432</v>
          </cell>
        </row>
        <row r="543">
          <cell r="A543" t="str">
            <v>ARS</v>
          </cell>
          <cell r="B543" t="str">
            <v>432001207</v>
          </cell>
          <cell r="C543" t="str">
            <v>ARRIGONI, BARBARA o ARRIGONI MIGUEL o BALMAS CLAUDIA</v>
          </cell>
          <cell r="G543">
            <v>45684</v>
          </cell>
          <cell r="H543">
            <v>45684</v>
          </cell>
          <cell r="I543" t="str">
            <v>432</v>
          </cell>
        </row>
        <row r="544">
          <cell r="A544" t="str">
            <v>ARS</v>
          </cell>
          <cell r="B544" t="str">
            <v>432001214</v>
          </cell>
          <cell r="C544" t="str">
            <v xml:space="preserve"> [C.E.R.A] Carsa S.A.</v>
          </cell>
          <cell r="G544">
            <v>319084250.30000001</v>
          </cell>
          <cell r="H544">
            <v>319084250.30000001</v>
          </cell>
          <cell r="I544" t="str">
            <v>432</v>
          </cell>
        </row>
        <row r="545">
          <cell r="A545" t="str">
            <v>ARS</v>
          </cell>
          <cell r="B545" t="str">
            <v>432001242</v>
          </cell>
          <cell r="C545" t="str">
            <v xml:space="preserve">MANSFIELD MINERA S A </v>
          </cell>
          <cell r="G545">
            <v>43426456882.940002</v>
          </cell>
          <cell r="H545">
            <v>43426456882.940002</v>
          </cell>
          <cell r="I545" t="str">
            <v>432</v>
          </cell>
        </row>
        <row r="546">
          <cell r="A546" t="str">
            <v>ARS</v>
          </cell>
          <cell r="B546" t="str">
            <v>432001247</v>
          </cell>
          <cell r="C546" t="str">
            <v>Bo, Diego Maximiliano</v>
          </cell>
          <cell r="G546">
            <v>7263651.4699999997</v>
          </cell>
          <cell r="H546">
            <v>7263651.4699999997</v>
          </cell>
          <cell r="I546" t="str">
            <v>432</v>
          </cell>
        </row>
        <row r="547">
          <cell r="A547" t="str">
            <v>ARS</v>
          </cell>
          <cell r="B547" t="str">
            <v>432001248</v>
          </cell>
          <cell r="C547" t="str">
            <v>BISCAY, MATIAS  o YERRO, MARISA SILVINA</v>
          </cell>
          <cell r="G547">
            <v>126459413.7</v>
          </cell>
          <cell r="H547">
            <v>126459413.7</v>
          </cell>
          <cell r="I547" t="str">
            <v>432</v>
          </cell>
        </row>
        <row r="548">
          <cell r="A548" t="str">
            <v>ARS</v>
          </cell>
          <cell r="B548" t="str">
            <v>432001250</v>
          </cell>
          <cell r="C548" t="str">
            <v>H&amp;S MANAGEMENT S. A. S.</v>
          </cell>
          <cell r="G548">
            <v>1923700</v>
          </cell>
          <cell r="H548">
            <v>1923700</v>
          </cell>
          <cell r="I548" t="str">
            <v>432</v>
          </cell>
        </row>
        <row r="549">
          <cell r="A549" t="str">
            <v>ARS</v>
          </cell>
          <cell r="B549" t="str">
            <v>432001251</v>
          </cell>
          <cell r="C549" t="str">
            <v>RODRIGUEZ, HUGO FERNANDO o Mendes Novo, Maisa</v>
          </cell>
          <cell r="G549">
            <v>19690.3</v>
          </cell>
          <cell r="H549">
            <v>19690.3</v>
          </cell>
          <cell r="I549" t="str">
            <v>432</v>
          </cell>
        </row>
        <row r="550">
          <cell r="A550" t="str">
            <v>ARS</v>
          </cell>
          <cell r="B550" t="str">
            <v>432001269</v>
          </cell>
          <cell r="C550" t="str">
            <v>GARFINKEL,  VICTOR BERNARDO o GARFINKEL, VICTORIA</v>
          </cell>
          <cell r="G550">
            <v>4959855</v>
          </cell>
          <cell r="H550">
            <v>4959855</v>
          </cell>
          <cell r="I550" t="str">
            <v>432</v>
          </cell>
        </row>
        <row r="551">
          <cell r="A551" t="str">
            <v>ARS</v>
          </cell>
          <cell r="B551" t="str">
            <v>432001272</v>
          </cell>
          <cell r="C551" t="str">
            <v>DI CROCE, SUSANA BEATRIZ</v>
          </cell>
          <cell r="G551">
            <v>4428158.76</v>
          </cell>
          <cell r="H551">
            <v>4428158.76</v>
          </cell>
          <cell r="I551" t="str">
            <v>432</v>
          </cell>
        </row>
        <row r="552">
          <cell r="A552" t="str">
            <v>ARS</v>
          </cell>
          <cell r="B552" t="str">
            <v>432001273</v>
          </cell>
          <cell r="C552" t="str">
            <v>STAGNARO, RANDY PAUL</v>
          </cell>
          <cell r="G552">
            <v>21808344.399999999</v>
          </cell>
          <cell r="H552">
            <v>21808344.399999999</v>
          </cell>
          <cell r="I552" t="str">
            <v>432</v>
          </cell>
        </row>
        <row r="553">
          <cell r="A553" t="str">
            <v>ARS</v>
          </cell>
          <cell r="B553" t="str">
            <v>432001275</v>
          </cell>
          <cell r="C553" t="str">
            <v>LOS GROBO AGROPECUARIA S. A. s/CONCURSO PREVENTIVO (Expte145/2025)</v>
          </cell>
          <cell r="G553">
            <v>1689578</v>
          </cell>
          <cell r="H553">
            <v>1689578</v>
          </cell>
          <cell r="I553" t="str">
            <v>432</v>
          </cell>
        </row>
        <row r="554">
          <cell r="A554" t="str">
            <v>ARS</v>
          </cell>
          <cell r="B554" t="str">
            <v>432001280</v>
          </cell>
          <cell r="C554" t="str">
            <v>100 BARES PRODUCCIONES SA</v>
          </cell>
          <cell r="G554">
            <v>149557387.16999999</v>
          </cell>
          <cell r="H554">
            <v>149557387.16999999</v>
          </cell>
          <cell r="I554" t="str">
            <v>432</v>
          </cell>
        </row>
        <row r="555">
          <cell r="A555" t="str">
            <v>ARS</v>
          </cell>
          <cell r="B555" t="str">
            <v>435000005</v>
          </cell>
          <cell r="C555" t="str">
            <v>Inverstart S.A.- Contrapartida Líquida -</v>
          </cell>
          <cell r="G555">
            <v>6775</v>
          </cell>
          <cell r="H555">
            <v>6775</v>
          </cell>
          <cell r="I555" t="str">
            <v>435</v>
          </cell>
        </row>
        <row r="556">
          <cell r="A556" t="str">
            <v>ARS</v>
          </cell>
          <cell r="B556" t="str">
            <v>435000006</v>
          </cell>
          <cell r="C556" t="str">
            <v>Inverstart S.A.</v>
          </cell>
          <cell r="G556">
            <v>240995085.33000001</v>
          </cell>
          <cell r="H556">
            <v>240995085.33000001</v>
          </cell>
          <cell r="I556" t="str">
            <v>435</v>
          </cell>
        </row>
        <row r="557">
          <cell r="A557" t="str">
            <v>ARS</v>
          </cell>
          <cell r="B557" t="str">
            <v>435000007</v>
          </cell>
          <cell r="C557" t="str">
            <v>Conti, Sergio Horacio o Dominguez, Viviana Beatriz</v>
          </cell>
          <cell r="G557">
            <v>1897683573.04</v>
          </cell>
          <cell r="H557">
            <v>1897683573.04</v>
          </cell>
          <cell r="I557" t="str">
            <v>435</v>
          </cell>
        </row>
        <row r="558">
          <cell r="A558" t="str">
            <v>ARS</v>
          </cell>
          <cell r="B558" t="str">
            <v>435000009</v>
          </cell>
          <cell r="C558" t="str">
            <v>Repuestos Pesados SAS</v>
          </cell>
          <cell r="G558">
            <v>1986522553.05</v>
          </cell>
          <cell r="H558">
            <v>1986522553.05</v>
          </cell>
          <cell r="I558" t="str">
            <v>435</v>
          </cell>
        </row>
        <row r="559">
          <cell r="A559" t="str">
            <v>ARS</v>
          </cell>
          <cell r="B559" t="str">
            <v>435000010</v>
          </cell>
          <cell r="C559" t="str">
            <v>Romero, Raúl Javier</v>
          </cell>
          <cell r="G559">
            <v>6881672.8399999999</v>
          </cell>
          <cell r="H559">
            <v>6881672.8399999999</v>
          </cell>
          <cell r="I559" t="str">
            <v>435</v>
          </cell>
        </row>
        <row r="560">
          <cell r="A560" t="str">
            <v>ARS</v>
          </cell>
          <cell r="B560" t="str">
            <v>435000011</v>
          </cell>
          <cell r="C560" t="str">
            <v>Diesel Service S.R.L.</v>
          </cell>
          <cell r="G560">
            <v>53287001.329999998</v>
          </cell>
          <cell r="H560">
            <v>53287001.329999998</v>
          </cell>
          <cell r="I560" t="str">
            <v>435</v>
          </cell>
        </row>
        <row r="561">
          <cell r="A561" t="str">
            <v>ARS</v>
          </cell>
          <cell r="B561" t="str">
            <v>435000014</v>
          </cell>
          <cell r="C561" t="str">
            <v>Muñoz, Leandro Adrián Evaristo  o Boulet, Marisol Liliana</v>
          </cell>
          <cell r="G561">
            <v>123343337.56999999</v>
          </cell>
          <cell r="H561">
            <v>123343337.56999999</v>
          </cell>
          <cell r="I561" t="str">
            <v>435</v>
          </cell>
        </row>
        <row r="562">
          <cell r="A562" t="str">
            <v>ARS</v>
          </cell>
          <cell r="B562" t="str">
            <v>435000015</v>
          </cell>
          <cell r="C562" t="str">
            <v>Nieto, Lucio Edgardo</v>
          </cell>
          <cell r="G562">
            <v>172559019.30000001</v>
          </cell>
          <cell r="H562">
            <v>172559019.30000001</v>
          </cell>
          <cell r="I562" t="str">
            <v>435</v>
          </cell>
        </row>
        <row r="563">
          <cell r="A563" t="str">
            <v>ARS</v>
          </cell>
          <cell r="B563" t="str">
            <v>435000020</v>
          </cell>
          <cell r="C563" t="str">
            <v>Bolognesi, Roberto Oscar o Massaro, Silvia Edith o Nieto, Lucio Edgardo</v>
          </cell>
          <cell r="G563">
            <v>24060214</v>
          </cell>
          <cell r="H563">
            <v>24060214</v>
          </cell>
          <cell r="I563" t="str">
            <v>435</v>
          </cell>
        </row>
        <row r="564">
          <cell r="A564" t="str">
            <v>ARS</v>
          </cell>
          <cell r="B564" t="str">
            <v>435000023</v>
          </cell>
          <cell r="C564" t="str">
            <v>Instecmec S.A.</v>
          </cell>
          <cell r="G564">
            <v>224482823.75999999</v>
          </cell>
          <cell r="H564">
            <v>224482823.75999999</v>
          </cell>
          <cell r="I564" t="str">
            <v>435</v>
          </cell>
        </row>
        <row r="565">
          <cell r="A565" t="str">
            <v>ARS</v>
          </cell>
          <cell r="B565" t="str">
            <v>435000024</v>
          </cell>
          <cell r="C565" t="str">
            <v xml:space="preserve">Aguilera, Domingo Vicente o Hidalgo, Susana </v>
          </cell>
          <cell r="G565">
            <v>4524552.68</v>
          </cell>
          <cell r="H565">
            <v>4524552.68</v>
          </cell>
          <cell r="I565" t="str">
            <v>435</v>
          </cell>
        </row>
        <row r="566">
          <cell r="A566" t="str">
            <v>ARS</v>
          </cell>
          <cell r="B566" t="str">
            <v>435000027</v>
          </cell>
          <cell r="C566" t="str">
            <v>Salaceta, Alberto Orlando o Muñoz, Leandro Adrián Evaristo  o Nieto, Lucio Edgardo</v>
          </cell>
          <cell r="G566">
            <v>38319832.729999997</v>
          </cell>
          <cell r="H566">
            <v>38319832.729999997</v>
          </cell>
          <cell r="I566" t="str">
            <v>435</v>
          </cell>
        </row>
        <row r="567">
          <cell r="A567" t="str">
            <v>ARS</v>
          </cell>
          <cell r="B567" t="str">
            <v>435000028</v>
          </cell>
          <cell r="C567" t="str">
            <v xml:space="preserve">Salaceta, Alberto Orlando o Salaceta Ortiz, Emilio Nicolas </v>
          </cell>
          <cell r="G567">
            <v>175605390.94999999</v>
          </cell>
          <cell r="H567">
            <v>175605390.94999999</v>
          </cell>
          <cell r="I567" t="str">
            <v>435</v>
          </cell>
        </row>
        <row r="568">
          <cell r="A568" t="str">
            <v>ARS</v>
          </cell>
          <cell r="B568" t="str">
            <v>435000032</v>
          </cell>
          <cell r="C568" t="str">
            <v>Muñoz, Leandro Adrián Evaristo  o Nieto, Lucio Edgardo o Salaceta, Alberto Orlando</v>
          </cell>
          <cell r="G568">
            <v>26848932.039999999</v>
          </cell>
          <cell r="H568">
            <v>26848932.039999999</v>
          </cell>
          <cell r="I568" t="str">
            <v>435</v>
          </cell>
        </row>
        <row r="569">
          <cell r="A569" t="str">
            <v>ARS</v>
          </cell>
          <cell r="B569" t="str">
            <v>435000035</v>
          </cell>
          <cell r="C569" t="str">
            <v>[C.E.R.A.] Conti, Sergio Horacio</v>
          </cell>
          <cell r="G569">
            <v>284604.59999999998</v>
          </cell>
          <cell r="H569">
            <v>284604.59999999998</v>
          </cell>
          <cell r="I569" t="str">
            <v>435</v>
          </cell>
        </row>
        <row r="570">
          <cell r="A570" t="str">
            <v>ARS</v>
          </cell>
          <cell r="B570" t="str">
            <v>435000036</v>
          </cell>
          <cell r="C570" t="str">
            <v>[C.E.R.A.] De Marchi Alejandra</v>
          </cell>
          <cell r="G570">
            <v>2824197.5</v>
          </cell>
          <cell r="H570">
            <v>2824197.5</v>
          </cell>
          <cell r="I570" t="str">
            <v>435</v>
          </cell>
        </row>
        <row r="571">
          <cell r="A571" t="str">
            <v>ARS</v>
          </cell>
          <cell r="B571" t="str">
            <v>435000037</v>
          </cell>
          <cell r="C571" t="str">
            <v xml:space="preserve"> [C.E.R.A.] De Marchi, Gabriel Luis</v>
          </cell>
          <cell r="G571">
            <v>3088997.5</v>
          </cell>
          <cell r="H571">
            <v>3088997.5</v>
          </cell>
          <cell r="I571" t="str">
            <v>435</v>
          </cell>
        </row>
        <row r="572">
          <cell r="A572" t="str">
            <v>ARS</v>
          </cell>
          <cell r="B572" t="str">
            <v>435000038</v>
          </cell>
          <cell r="C572" t="str">
            <v>[C.E.R.A.] Proyectar AC SRL</v>
          </cell>
          <cell r="G572">
            <v>3268880</v>
          </cell>
          <cell r="H572">
            <v>3268880</v>
          </cell>
          <cell r="I572" t="str">
            <v>435</v>
          </cell>
        </row>
        <row r="573">
          <cell r="A573" t="str">
            <v>ARS</v>
          </cell>
          <cell r="B573" t="str">
            <v>435000087</v>
          </cell>
          <cell r="C573" t="str">
            <v>Fabre, Eduardo Anselmo</v>
          </cell>
          <cell r="G573">
            <v>14588</v>
          </cell>
          <cell r="H573">
            <v>14588</v>
          </cell>
          <cell r="I573" t="str">
            <v>435</v>
          </cell>
        </row>
        <row r="574">
          <cell r="A574" t="str">
            <v>ARS</v>
          </cell>
          <cell r="B574" t="str">
            <v>435000091</v>
          </cell>
          <cell r="C574" t="str">
            <v>Garcia, Oscar Alberto o Garcia, Natacha Jimena del Rosario o Volpe, Darío Javier</v>
          </cell>
          <cell r="G574">
            <v>59108560</v>
          </cell>
          <cell r="H574">
            <v>59108560</v>
          </cell>
          <cell r="I574" t="str">
            <v>435</v>
          </cell>
        </row>
        <row r="575">
          <cell r="A575" t="str">
            <v>ARS</v>
          </cell>
          <cell r="B575" t="str">
            <v>435000100</v>
          </cell>
          <cell r="C575" t="str">
            <v>Paolantonio, Roque Arturo o Gamboa, Elisa Beatriz</v>
          </cell>
          <cell r="G575">
            <v>47249648</v>
          </cell>
          <cell r="H575">
            <v>47249648</v>
          </cell>
          <cell r="I575" t="str">
            <v>435</v>
          </cell>
        </row>
        <row r="576">
          <cell r="A576" t="str">
            <v>ARS</v>
          </cell>
          <cell r="B576" t="str">
            <v>435000101</v>
          </cell>
          <cell r="C576" t="str">
            <v>Fabre, Eduardo Anselmo o Fabre, Paula</v>
          </cell>
          <cell r="G576">
            <v>83270649.200000003</v>
          </cell>
          <cell r="H576">
            <v>83270649.200000003</v>
          </cell>
          <cell r="I576" t="str">
            <v>435</v>
          </cell>
        </row>
        <row r="577">
          <cell r="A577" t="str">
            <v>ARS</v>
          </cell>
          <cell r="B577" t="str">
            <v>435000103</v>
          </cell>
          <cell r="C577" t="str">
            <v>Cardenas, Gustavo Alfredo</v>
          </cell>
          <cell r="G577">
            <v>33692787.159999996</v>
          </cell>
          <cell r="H577">
            <v>33692787.159999996</v>
          </cell>
          <cell r="I577" t="str">
            <v>435</v>
          </cell>
        </row>
        <row r="578">
          <cell r="A578" t="str">
            <v>ARS</v>
          </cell>
          <cell r="B578" t="str">
            <v>435000104</v>
          </cell>
          <cell r="C578" t="str">
            <v>Peralta, Osvaldo Darío o Capotosti, Daniela</v>
          </cell>
          <cell r="G578">
            <v>1731884.59</v>
          </cell>
          <cell r="H578">
            <v>1731884.59</v>
          </cell>
          <cell r="I578" t="str">
            <v>435</v>
          </cell>
        </row>
        <row r="579">
          <cell r="A579" t="str">
            <v>ARS</v>
          </cell>
          <cell r="B579" t="str">
            <v>435000105</v>
          </cell>
          <cell r="C579" t="str">
            <v>Espinós, Mariela Andrea o Espinós, Eliseo Leopoldo Enrique</v>
          </cell>
          <cell r="G579">
            <v>184414472.80000001</v>
          </cell>
          <cell r="H579">
            <v>184414472.80000001</v>
          </cell>
          <cell r="I579" t="str">
            <v>435</v>
          </cell>
        </row>
        <row r="580">
          <cell r="A580" t="str">
            <v>ARS</v>
          </cell>
          <cell r="B580" t="str">
            <v>435000112</v>
          </cell>
          <cell r="C580" t="str">
            <v>Karup, Nora Cristina o Coletto, Federico Enrique o Coletto, Gianina Anabella</v>
          </cell>
          <cell r="G580">
            <v>39081841.060000002</v>
          </cell>
          <cell r="H580">
            <v>39081841.060000002</v>
          </cell>
          <cell r="I580" t="str">
            <v>435</v>
          </cell>
        </row>
        <row r="581">
          <cell r="A581" t="str">
            <v>ARS</v>
          </cell>
          <cell r="B581" t="str">
            <v>435000119</v>
          </cell>
          <cell r="C581" t="str">
            <v>Dominguez, Viviana Beatriz o Conti, Sergio Horacio</v>
          </cell>
          <cell r="G581">
            <v>19375</v>
          </cell>
          <cell r="H581">
            <v>19375</v>
          </cell>
          <cell r="I581" t="str">
            <v>435</v>
          </cell>
        </row>
        <row r="582">
          <cell r="A582" t="str">
            <v>ARS</v>
          </cell>
          <cell r="B582" t="str">
            <v>435000120</v>
          </cell>
          <cell r="C582" t="str">
            <v>Sudamericana de Servicios S.A.</v>
          </cell>
          <cell r="G582">
            <v>7573659</v>
          </cell>
          <cell r="H582">
            <v>7573659</v>
          </cell>
          <cell r="I582" t="str">
            <v>435</v>
          </cell>
        </row>
        <row r="583">
          <cell r="A583" t="str">
            <v>ARS</v>
          </cell>
          <cell r="B583" t="str">
            <v>435000122</v>
          </cell>
          <cell r="C583" t="str">
            <v>Andreu, Raúl Fabián</v>
          </cell>
          <cell r="G583">
            <v>100602.36</v>
          </cell>
          <cell r="H583">
            <v>100602.36</v>
          </cell>
          <cell r="I583" t="str">
            <v>435</v>
          </cell>
        </row>
        <row r="584">
          <cell r="A584" t="str">
            <v>ARS</v>
          </cell>
          <cell r="B584" t="str">
            <v>435000123</v>
          </cell>
          <cell r="C584" t="str">
            <v>Costanzo, José Tomás</v>
          </cell>
          <cell r="G584">
            <v>31943.4</v>
          </cell>
          <cell r="H584">
            <v>31943.4</v>
          </cell>
          <cell r="I584" t="str">
            <v>435</v>
          </cell>
        </row>
        <row r="585">
          <cell r="A585" t="str">
            <v>ARS</v>
          </cell>
          <cell r="B585" t="str">
            <v>435000129</v>
          </cell>
          <cell r="C585" t="str">
            <v>Orozco, Pedro Efrayn o Martinez, Brian Ariel u Olmos, Maria Rosa</v>
          </cell>
          <cell r="G585">
            <v>116527</v>
          </cell>
          <cell r="H585">
            <v>116527</v>
          </cell>
          <cell r="I585" t="str">
            <v>435</v>
          </cell>
        </row>
        <row r="586">
          <cell r="A586" t="str">
            <v>ARS</v>
          </cell>
          <cell r="B586" t="str">
            <v>435000140</v>
          </cell>
          <cell r="C586" t="str">
            <v>Espinosa, Raul Enrique o Espinosa, Maria Evelina</v>
          </cell>
          <cell r="G586">
            <v>20167</v>
          </cell>
          <cell r="H586">
            <v>20167</v>
          </cell>
          <cell r="I586" t="str">
            <v>435</v>
          </cell>
        </row>
        <row r="587">
          <cell r="A587" t="str">
            <v>ARS</v>
          </cell>
          <cell r="B587" t="str">
            <v>435000144</v>
          </cell>
          <cell r="C587" t="str">
            <v>Ambrosi, Luis Alfredo o Solorza, Alicia</v>
          </cell>
          <cell r="G587">
            <v>699106</v>
          </cell>
          <cell r="H587">
            <v>699106</v>
          </cell>
          <cell r="I587" t="str">
            <v>435</v>
          </cell>
        </row>
        <row r="588">
          <cell r="A588" t="str">
            <v>ARS</v>
          </cell>
          <cell r="B588" t="str">
            <v>435000145</v>
          </cell>
          <cell r="C588" t="str">
            <v>Gomila, Pedro Lorenzo</v>
          </cell>
          <cell r="G588">
            <v>1051451</v>
          </cell>
          <cell r="H588">
            <v>1051451</v>
          </cell>
          <cell r="I588" t="str">
            <v>435</v>
          </cell>
        </row>
        <row r="589">
          <cell r="A589" t="str">
            <v>ARS</v>
          </cell>
          <cell r="B589" t="str">
            <v>435000146</v>
          </cell>
          <cell r="C589" t="str">
            <v>Ortega, Leandro Martin</v>
          </cell>
          <cell r="G589">
            <v>6079948.7000000002</v>
          </cell>
          <cell r="H589">
            <v>6079948.7000000002</v>
          </cell>
          <cell r="I589" t="str">
            <v>435</v>
          </cell>
        </row>
        <row r="590">
          <cell r="A590" t="str">
            <v>ARS</v>
          </cell>
          <cell r="B590" t="str">
            <v>435000147</v>
          </cell>
          <cell r="C590" t="str">
            <v>Oyola, Ricardo Walter</v>
          </cell>
          <cell r="G590">
            <v>19365</v>
          </cell>
          <cell r="H590">
            <v>19365</v>
          </cell>
          <cell r="I590" t="str">
            <v>435</v>
          </cell>
        </row>
        <row r="591">
          <cell r="A591" t="str">
            <v>ARS</v>
          </cell>
          <cell r="B591" t="str">
            <v>435000156</v>
          </cell>
          <cell r="C591" t="str">
            <v>Boulet, Vanesa Lidia o Boulet, Magali Isabel</v>
          </cell>
          <cell r="G591">
            <v>261828</v>
          </cell>
          <cell r="H591">
            <v>261828</v>
          </cell>
          <cell r="I591" t="str">
            <v>435</v>
          </cell>
        </row>
        <row r="592">
          <cell r="A592" t="str">
            <v>ARS</v>
          </cell>
          <cell r="B592" t="str">
            <v>435000158</v>
          </cell>
          <cell r="C592" t="str">
            <v>Los Virreyes S.A.</v>
          </cell>
          <cell r="G592">
            <v>1089620.5</v>
          </cell>
          <cell r="H592">
            <v>1089620.5</v>
          </cell>
          <cell r="I592" t="str">
            <v>435</v>
          </cell>
        </row>
        <row r="593">
          <cell r="A593" t="str">
            <v>ARS</v>
          </cell>
          <cell r="B593" t="str">
            <v>435000164</v>
          </cell>
          <cell r="C593" t="str">
            <v xml:space="preserve">Ortiz, Myrna Beatriz o Salaceta Ortiz, Emilio Nicolas </v>
          </cell>
          <cell r="G593">
            <v>1869475.4</v>
          </cell>
          <cell r="H593">
            <v>1869475.4</v>
          </cell>
          <cell r="I593" t="str">
            <v>435</v>
          </cell>
        </row>
        <row r="594">
          <cell r="A594" t="str">
            <v>ARS</v>
          </cell>
          <cell r="B594" t="str">
            <v>435000165</v>
          </cell>
          <cell r="C594" t="str">
            <v>Staiti, Antonio Salvador o Staiti, Federico</v>
          </cell>
          <cell r="G594">
            <v>171784.4</v>
          </cell>
          <cell r="H594">
            <v>171784.4</v>
          </cell>
          <cell r="I594" t="str">
            <v>435</v>
          </cell>
        </row>
        <row r="595">
          <cell r="A595" t="str">
            <v>ARS</v>
          </cell>
          <cell r="B595" t="str">
            <v>435000169</v>
          </cell>
          <cell r="C595" t="str">
            <v>Aguilar, Norberto Eduardo o Aguilar, Rodrigo Eduardo</v>
          </cell>
          <cell r="G595">
            <v>152652</v>
          </cell>
          <cell r="H595">
            <v>152652</v>
          </cell>
          <cell r="I595" t="str">
            <v>435</v>
          </cell>
        </row>
        <row r="596">
          <cell r="A596" t="str">
            <v>ARS</v>
          </cell>
          <cell r="B596" t="str">
            <v>435000181</v>
          </cell>
          <cell r="C596" t="str">
            <v>Briones, Carlos Alberto o Matus, America Sulma</v>
          </cell>
          <cell r="G596">
            <v>12388.8</v>
          </cell>
          <cell r="H596">
            <v>12388.8</v>
          </cell>
          <cell r="I596" t="str">
            <v>435</v>
          </cell>
        </row>
        <row r="597">
          <cell r="A597" t="str">
            <v>ARS</v>
          </cell>
          <cell r="B597" t="str">
            <v>435000183</v>
          </cell>
          <cell r="C597" t="str">
            <v>Vissio, Daniel o Vissio, Daniel Claudio o Vissio, Franco Jesus</v>
          </cell>
          <cell r="G597">
            <v>445374969</v>
          </cell>
          <cell r="H597">
            <v>445374969</v>
          </cell>
          <cell r="I597" t="str">
            <v>435</v>
          </cell>
        </row>
        <row r="598">
          <cell r="A598" t="str">
            <v>ARS</v>
          </cell>
          <cell r="B598" t="str">
            <v>435000184</v>
          </cell>
          <cell r="C598" t="str">
            <v>Funes, Juan Aristides o Funes Marty, Juan Adolfo Javier  o Funes Marty, Gonzalo Jesus</v>
          </cell>
          <cell r="G598">
            <v>737624.83</v>
          </cell>
          <cell r="H598">
            <v>737624.83</v>
          </cell>
          <cell r="I598" t="str">
            <v>435</v>
          </cell>
        </row>
        <row r="599">
          <cell r="A599" t="str">
            <v>ARS</v>
          </cell>
          <cell r="B599" t="str">
            <v>435000189</v>
          </cell>
          <cell r="C599" t="str">
            <v>Castillo, Eduardo Ulises o Romero Hernandez, Gloria Helena</v>
          </cell>
          <cell r="G599">
            <v>15911440</v>
          </cell>
          <cell r="H599">
            <v>15911440</v>
          </cell>
          <cell r="I599" t="str">
            <v>435</v>
          </cell>
        </row>
        <row r="600">
          <cell r="A600" t="str">
            <v>ARS</v>
          </cell>
          <cell r="B600" t="str">
            <v>435000191</v>
          </cell>
          <cell r="C600" t="str">
            <v>Coletto, Mario Enrique o Coletto, Federico Enrique</v>
          </cell>
          <cell r="G600">
            <v>3418664.7</v>
          </cell>
          <cell r="H600">
            <v>3418664.7</v>
          </cell>
          <cell r="I600" t="str">
            <v>435</v>
          </cell>
        </row>
        <row r="601">
          <cell r="A601" t="str">
            <v>ARS</v>
          </cell>
          <cell r="B601" t="str">
            <v>435000192</v>
          </cell>
          <cell r="C601" t="str">
            <v>Zaniuk, Juan Ignacio Nicolas o Martin, Norma Susana Angelica</v>
          </cell>
          <cell r="G601">
            <v>1757527</v>
          </cell>
          <cell r="H601">
            <v>1757527</v>
          </cell>
          <cell r="I601" t="str">
            <v>435</v>
          </cell>
        </row>
        <row r="602">
          <cell r="A602" t="str">
            <v>ARS</v>
          </cell>
          <cell r="B602" t="str">
            <v>435000215</v>
          </cell>
          <cell r="C602" t="str">
            <v>Hawaii Distribucion S.A.</v>
          </cell>
          <cell r="G602">
            <v>1519000</v>
          </cell>
          <cell r="H602">
            <v>1519000</v>
          </cell>
          <cell r="I602" t="str">
            <v>435</v>
          </cell>
        </row>
        <row r="603">
          <cell r="A603" t="str">
            <v>ARS</v>
          </cell>
          <cell r="B603" t="str">
            <v>435000222</v>
          </cell>
          <cell r="C603" t="str">
            <v>Paez, Oscar Alexander o Lencina, Nancy Susana</v>
          </cell>
          <cell r="G603">
            <v>85025</v>
          </cell>
          <cell r="H603">
            <v>85025</v>
          </cell>
          <cell r="I603" t="str">
            <v>435</v>
          </cell>
        </row>
        <row r="604">
          <cell r="A604" t="str">
            <v>ARS</v>
          </cell>
          <cell r="B604" t="str">
            <v>435000223</v>
          </cell>
          <cell r="C604" t="str">
            <v>Lencina, Nancy Susana o Paez, Oscar Alexander</v>
          </cell>
          <cell r="G604">
            <v>371129</v>
          </cell>
          <cell r="H604">
            <v>371129</v>
          </cell>
          <cell r="I604" t="str">
            <v>435</v>
          </cell>
        </row>
        <row r="605">
          <cell r="A605" t="str">
            <v>ARS</v>
          </cell>
          <cell r="B605" t="str">
            <v>435000232</v>
          </cell>
          <cell r="C605" t="str">
            <v>Ruiz, María Gracia o Vasquez, Carlos Alberto o Vasquez Ruiz, Martín u otros</v>
          </cell>
          <cell r="G605">
            <v>26232</v>
          </cell>
          <cell r="H605">
            <v>26232</v>
          </cell>
          <cell r="I605" t="str">
            <v>435</v>
          </cell>
        </row>
        <row r="606">
          <cell r="A606" t="str">
            <v>ARS</v>
          </cell>
          <cell r="B606" t="str">
            <v>435000235</v>
          </cell>
          <cell r="C606" t="str">
            <v>Romano, Humberto Antonio o Romano, Mariano Hernan</v>
          </cell>
          <cell r="G606">
            <v>8767479</v>
          </cell>
          <cell r="H606">
            <v>8767479</v>
          </cell>
          <cell r="I606" t="str">
            <v>435</v>
          </cell>
        </row>
        <row r="607">
          <cell r="A607" t="str">
            <v>ARS</v>
          </cell>
          <cell r="B607" t="str">
            <v>435000236</v>
          </cell>
          <cell r="C607" t="str">
            <v>Abraham, Elena Maria de las Nieves</v>
          </cell>
          <cell r="G607">
            <v>832587</v>
          </cell>
          <cell r="H607">
            <v>832587</v>
          </cell>
          <cell r="I607" t="str">
            <v>435</v>
          </cell>
        </row>
        <row r="608">
          <cell r="A608" t="str">
            <v>ARS</v>
          </cell>
          <cell r="B608" t="str">
            <v>435000239</v>
          </cell>
          <cell r="C608" t="str">
            <v>Vasquez Ruiz, Martín o Ruiz, María Gracia o Vasquez, Carlos Alberto u otros</v>
          </cell>
          <cell r="G608">
            <v>7064418</v>
          </cell>
          <cell r="H608">
            <v>7064418</v>
          </cell>
          <cell r="I608" t="str">
            <v>435</v>
          </cell>
        </row>
        <row r="609">
          <cell r="A609" t="str">
            <v>ARS</v>
          </cell>
          <cell r="B609" t="str">
            <v>435000245</v>
          </cell>
          <cell r="C609" t="str">
            <v>Vedia, Francisco Ruperto o Barroso, Ester del Carmen</v>
          </cell>
          <cell r="G609">
            <v>370840</v>
          </cell>
          <cell r="H609">
            <v>370840</v>
          </cell>
          <cell r="I609" t="str">
            <v>435</v>
          </cell>
        </row>
        <row r="610">
          <cell r="A610" t="str">
            <v>ARS</v>
          </cell>
          <cell r="B610" t="str">
            <v>435000251</v>
          </cell>
          <cell r="C610" t="str">
            <v>Bolognesi, Hector Luis</v>
          </cell>
          <cell r="G610">
            <v>29720181</v>
          </cell>
          <cell r="H610">
            <v>29720181</v>
          </cell>
          <cell r="I610" t="str">
            <v>435</v>
          </cell>
        </row>
        <row r="611">
          <cell r="A611" t="str">
            <v>ARS</v>
          </cell>
          <cell r="B611" t="str">
            <v>435000257</v>
          </cell>
          <cell r="C611" t="str">
            <v>Muscara, Lorena Alejandra o Muscara, Sandra Elisabeth o Romano, Anunciada Carmela</v>
          </cell>
          <cell r="G611">
            <v>2649310</v>
          </cell>
          <cell r="H611">
            <v>2649310</v>
          </cell>
          <cell r="I611" t="str">
            <v>435</v>
          </cell>
        </row>
        <row r="612">
          <cell r="A612" t="str">
            <v>ARS</v>
          </cell>
          <cell r="B612" t="str">
            <v>435000260</v>
          </cell>
          <cell r="C612" t="str">
            <v>Papaianni Pose, Alejandro Raul</v>
          </cell>
          <cell r="G612">
            <v>375663849.89999998</v>
          </cell>
          <cell r="H612">
            <v>375663849.89999998</v>
          </cell>
          <cell r="I612" t="str">
            <v>435</v>
          </cell>
        </row>
        <row r="613">
          <cell r="A613" t="str">
            <v>ARS</v>
          </cell>
          <cell r="B613" t="str">
            <v>435000263</v>
          </cell>
          <cell r="C613" t="str">
            <v>Franco, Graciela Amalia o Mignani, Exequiel Agustin</v>
          </cell>
          <cell r="G613">
            <v>342661</v>
          </cell>
          <cell r="H613">
            <v>342661</v>
          </cell>
          <cell r="I613" t="str">
            <v>435</v>
          </cell>
        </row>
        <row r="614">
          <cell r="A614" t="str">
            <v>ARS</v>
          </cell>
          <cell r="B614" t="str">
            <v>435000265</v>
          </cell>
          <cell r="C614" t="str">
            <v xml:space="preserve">Vissio, Marcos Robertino </v>
          </cell>
          <cell r="G614">
            <v>1567952.7</v>
          </cell>
          <cell r="H614">
            <v>1567952.7</v>
          </cell>
          <cell r="I614" t="str">
            <v>435</v>
          </cell>
        </row>
        <row r="615">
          <cell r="A615" t="str">
            <v>ARS</v>
          </cell>
          <cell r="B615" t="str">
            <v>435000271</v>
          </cell>
          <cell r="C615" t="str">
            <v>Turcuman, Ronaldo German o Flaviani, Natalia Elizabeth o Perez, Graciela Alicia</v>
          </cell>
          <cell r="G615">
            <v>20440343.68</v>
          </cell>
          <cell r="H615">
            <v>20440343.68</v>
          </cell>
          <cell r="I615" t="str">
            <v>435</v>
          </cell>
        </row>
        <row r="616">
          <cell r="A616" t="str">
            <v>ARS</v>
          </cell>
          <cell r="B616" t="str">
            <v>435000272</v>
          </cell>
          <cell r="C616" t="str">
            <v xml:space="preserve">Olagaray, Esther Patricia </v>
          </cell>
          <cell r="G616">
            <v>216244115</v>
          </cell>
          <cell r="H616">
            <v>216244115</v>
          </cell>
          <cell r="I616" t="str">
            <v>435</v>
          </cell>
        </row>
        <row r="617">
          <cell r="A617" t="str">
            <v>ARS</v>
          </cell>
          <cell r="B617" t="str">
            <v>435000273</v>
          </cell>
          <cell r="C617" t="str">
            <v>Sosa, Gonzalo Agustin</v>
          </cell>
          <cell r="G617">
            <v>1256263</v>
          </cell>
          <cell r="H617">
            <v>1256263</v>
          </cell>
          <cell r="I617" t="str">
            <v>435</v>
          </cell>
        </row>
        <row r="618">
          <cell r="A618" t="str">
            <v>ARS</v>
          </cell>
          <cell r="B618" t="str">
            <v>435000276</v>
          </cell>
          <cell r="C618" t="str">
            <v>Gibbs, Jose Guillermo o Gibbs Moreira, Guillermo Damian o Gibbs Moreira, Andres Enrique</v>
          </cell>
          <cell r="G618">
            <v>326277186</v>
          </cell>
          <cell r="H618">
            <v>326277186</v>
          </cell>
          <cell r="I618" t="str">
            <v>435</v>
          </cell>
        </row>
        <row r="619">
          <cell r="A619" t="str">
            <v>ARS</v>
          </cell>
          <cell r="B619" t="str">
            <v>435000291</v>
          </cell>
          <cell r="C619" t="str">
            <v>Rutas del Sol S.A.</v>
          </cell>
          <cell r="G619">
            <v>30838020.489999998</v>
          </cell>
          <cell r="H619">
            <v>30838020.489999998</v>
          </cell>
          <cell r="I619" t="str">
            <v>435</v>
          </cell>
        </row>
        <row r="620">
          <cell r="A620" t="str">
            <v>ARS</v>
          </cell>
          <cell r="B620" t="str">
            <v>435000292</v>
          </cell>
          <cell r="C620" t="str">
            <v>Vignoni, Susana Vicenta o Gonzalez, Juan Horacio</v>
          </cell>
          <cell r="G620">
            <v>85099.6</v>
          </cell>
          <cell r="H620">
            <v>85099.6</v>
          </cell>
          <cell r="I620" t="str">
            <v>435</v>
          </cell>
        </row>
        <row r="621">
          <cell r="A621" t="str">
            <v>ARS</v>
          </cell>
          <cell r="B621" t="str">
            <v>435000293</v>
          </cell>
          <cell r="C621" t="str">
            <v>G y V S.A.</v>
          </cell>
          <cell r="G621">
            <v>736208.8</v>
          </cell>
          <cell r="H621">
            <v>736208.8</v>
          </cell>
          <cell r="I621" t="str">
            <v>435</v>
          </cell>
        </row>
        <row r="622">
          <cell r="A622" t="str">
            <v>ARS</v>
          </cell>
          <cell r="B622" t="str">
            <v>435000296</v>
          </cell>
          <cell r="C622" t="str">
            <v>Volpe, Darío Javier o Pelegrina, Maria Belen</v>
          </cell>
          <cell r="G622">
            <v>3013317.4</v>
          </cell>
          <cell r="H622">
            <v>3013317.4</v>
          </cell>
          <cell r="I622" t="str">
            <v>435</v>
          </cell>
        </row>
        <row r="623">
          <cell r="A623" t="str">
            <v>ARS</v>
          </cell>
          <cell r="B623" t="str">
            <v>435000298</v>
          </cell>
          <cell r="C623" t="str">
            <v>Volpe, Domingo Américo o Volpe, Darío Javier</v>
          </cell>
          <cell r="G623">
            <v>78917</v>
          </cell>
          <cell r="H623">
            <v>78917</v>
          </cell>
          <cell r="I623" t="str">
            <v>435</v>
          </cell>
        </row>
        <row r="624">
          <cell r="A624" t="str">
            <v>ARS</v>
          </cell>
          <cell r="B624" t="str">
            <v>435000299</v>
          </cell>
          <cell r="C624" t="str">
            <v>Pefer Construcciones S.A.</v>
          </cell>
          <cell r="G624">
            <v>410959.3</v>
          </cell>
          <cell r="H624">
            <v>410959.3</v>
          </cell>
          <cell r="I624" t="str">
            <v>435</v>
          </cell>
        </row>
        <row r="625">
          <cell r="A625" t="str">
            <v>ARS</v>
          </cell>
          <cell r="B625" t="str">
            <v>435000305</v>
          </cell>
          <cell r="C625" t="str">
            <v>Fredes, Adriana Cecilia  o Llaver, Rodolfo Jesus o Llaver Fredes, Fatima Yamila u otros</v>
          </cell>
          <cell r="G625">
            <v>1600932</v>
          </cell>
          <cell r="H625">
            <v>1600932</v>
          </cell>
          <cell r="I625" t="str">
            <v>435</v>
          </cell>
        </row>
        <row r="626">
          <cell r="A626" t="str">
            <v>ARS</v>
          </cell>
          <cell r="B626" t="str">
            <v>435000310</v>
          </cell>
          <cell r="C626" t="str">
            <v>Francica, Natalia Carolina</v>
          </cell>
          <cell r="G626">
            <v>79422399</v>
          </cell>
          <cell r="H626">
            <v>79422399</v>
          </cell>
          <cell r="I626" t="str">
            <v>435</v>
          </cell>
        </row>
        <row r="627">
          <cell r="A627" t="str">
            <v>ARS</v>
          </cell>
          <cell r="B627" t="str">
            <v>435000311</v>
          </cell>
          <cell r="C627" t="str">
            <v>Yanzon, Roberto Horacio</v>
          </cell>
          <cell r="G627">
            <v>166792</v>
          </cell>
          <cell r="H627">
            <v>166792</v>
          </cell>
          <cell r="I627" t="str">
            <v>435</v>
          </cell>
        </row>
        <row r="628">
          <cell r="A628" t="str">
            <v>ARS</v>
          </cell>
          <cell r="B628" t="str">
            <v>435000322</v>
          </cell>
          <cell r="C628" t="str">
            <v>Pozzi, Andres o Pozzi, Carolina</v>
          </cell>
          <cell r="G628">
            <v>3821316</v>
          </cell>
          <cell r="H628">
            <v>3821316</v>
          </cell>
          <cell r="I628" t="str">
            <v>435</v>
          </cell>
        </row>
        <row r="629">
          <cell r="A629" t="str">
            <v>ARS</v>
          </cell>
          <cell r="B629" t="str">
            <v>435000326</v>
          </cell>
          <cell r="C629" t="str">
            <v xml:space="preserve">Amerio, Andrea Fabiana </v>
          </cell>
          <cell r="G629">
            <v>19774037</v>
          </cell>
          <cell r="H629">
            <v>19774037</v>
          </cell>
          <cell r="I629" t="str">
            <v>435</v>
          </cell>
        </row>
        <row r="630">
          <cell r="A630" t="str">
            <v>ARS</v>
          </cell>
          <cell r="B630" t="str">
            <v>435000329</v>
          </cell>
          <cell r="C630" t="str">
            <v>Báscolo de Iriondo, Juán Martín o Bourguet, María Cecilia</v>
          </cell>
          <cell r="G630">
            <v>10150</v>
          </cell>
          <cell r="H630">
            <v>10150</v>
          </cell>
          <cell r="I630" t="str">
            <v>435</v>
          </cell>
        </row>
        <row r="631">
          <cell r="A631" t="str">
            <v>ARS</v>
          </cell>
          <cell r="B631" t="str">
            <v>435000334</v>
          </cell>
          <cell r="C631" t="str">
            <v>Bourguet, María Cecilia o Báscolo de Iriondo, José Luis</v>
          </cell>
          <cell r="G631">
            <v>20293</v>
          </cell>
          <cell r="H631">
            <v>20293</v>
          </cell>
          <cell r="I631" t="str">
            <v>435</v>
          </cell>
        </row>
        <row r="632">
          <cell r="A632" t="str">
            <v>ARS</v>
          </cell>
          <cell r="B632" t="str">
            <v>435000338</v>
          </cell>
          <cell r="C632" t="str">
            <v>Piulats, Elsa Libertad o Marin, Norma Beatriz</v>
          </cell>
          <cell r="G632">
            <v>11427740</v>
          </cell>
          <cell r="H632">
            <v>11427740</v>
          </cell>
          <cell r="I632" t="str">
            <v>435</v>
          </cell>
        </row>
        <row r="633">
          <cell r="A633" t="str">
            <v>ARS</v>
          </cell>
          <cell r="B633" t="str">
            <v>435000340</v>
          </cell>
          <cell r="C633" t="str">
            <v>Pelegrina, Carlos Alberto o Volpe, Darío Javier o Pelegrina, Maria Belen</v>
          </cell>
          <cell r="G633">
            <v>16853288</v>
          </cell>
          <cell r="H633">
            <v>16853288</v>
          </cell>
          <cell r="I633" t="str">
            <v>435</v>
          </cell>
        </row>
        <row r="634">
          <cell r="A634" t="str">
            <v>ARS</v>
          </cell>
          <cell r="B634" t="str">
            <v>435000341</v>
          </cell>
          <cell r="C634" t="str">
            <v>Ares Argentina S.R.L.</v>
          </cell>
          <cell r="G634">
            <v>5821191.8099999996</v>
          </cell>
          <cell r="H634">
            <v>5821191.8099999996</v>
          </cell>
          <cell r="I634" t="str">
            <v>435</v>
          </cell>
        </row>
        <row r="635">
          <cell r="A635" t="str">
            <v>ARS</v>
          </cell>
          <cell r="B635" t="str">
            <v>435000347</v>
          </cell>
          <cell r="C635" t="str">
            <v>Tecno Service S.R.L.</v>
          </cell>
          <cell r="G635">
            <v>221053402</v>
          </cell>
          <cell r="H635">
            <v>221053402</v>
          </cell>
          <cell r="I635" t="str">
            <v>435</v>
          </cell>
        </row>
        <row r="636">
          <cell r="A636" t="str">
            <v>ARS</v>
          </cell>
          <cell r="B636" t="str">
            <v>435000361</v>
          </cell>
          <cell r="C636" t="str">
            <v>Costigliolo, Luciano Andrea o Rodriguez, Claudia Patricia</v>
          </cell>
          <cell r="G636">
            <v>18843.5</v>
          </cell>
          <cell r="H636">
            <v>18843.5</v>
          </cell>
          <cell r="I636" t="str">
            <v>435</v>
          </cell>
        </row>
        <row r="637">
          <cell r="A637" t="str">
            <v>ARS</v>
          </cell>
          <cell r="B637" t="str">
            <v>435000370</v>
          </cell>
          <cell r="C637" t="str">
            <v>Frutofe SA</v>
          </cell>
          <cell r="G637">
            <v>830079</v>
          </cell>
          <cell r="H637">
            <v>830079</v>
          </cell>
          <cell r="I637" t="str">
            <v>435</v>
          </cell>
        </row>
        <row r="638">
          <cell r="A638" t="str">
            <v>ARS</v>
          </cell>
          <cell r="B638" t="str">
            <v>435000372</v>
          </cell>
          <cell r="C638" t="str">
            <v>Vicino, Esteban David</v>
          </cell>
          <cell r="G638">
            <v>10231152</v>
          </cell>
          <cell r="H638">
            <v>10231152</v>
          </cell>
          <cell r="I638" t="str">
            <v>435</v>
          </cell>
        </row>
        <row r="639">
          <cell r="A639" t="str">
            <v>ARS</v>
          </cell>
          <cell r="B639" t="str">
            <v>435000379</v>
          </cell>
          <cell r="C639" t="str">
            <v>ML Lonas y Carpas Maipú S.A.</v>
          </cell>
          <cell r="G639">
            <v>551378637</v>
          </cell>
          <cell r="H639">
            <v>551378637</v>
          </cell>
          <cell r="I639" t="str">
            <v>435</v>
          </cell>
        </row>
        <row r="640">
          <cell r="A640" t="str">
            <v>ARS</v>
          </cell>
          <cell r="B640" t="str">
            <v>435000385</v>
          </cell>
          <cell r="C640" t="str">
            <v>Malnis, Alejandro Antonio</v>
          </cell>
          <cell r="G640">
            <v>71046733.200000003</v>
          </cell>
          <cell r="H640">
            <v>71046733.200000003</v>
          </cell>
          <cell r="I640" t="str">
            <v>435</v>
          </cell>
        </row>
        <row r="641">
          <cell r="A641" t="str">
            <v>ARS</v>
          </cell>
          <cell r="B641" t="str">
            <v>435000386</v>
          </cell>
          <cell r="C641" t="str">
            <v>TRAIL S.A.</v>
          </cell>
          <cell r="G641">
            <v>21402379.789999999</v>
          </cell>
          <cell r="H641">
            <v>21402379.789999999</v>
          </cell>
          <cell r="I641" t="str">
            <v>435</v>
          </cell>
        </row>
        <row r="642">
          <cell r="A642" t="str">
            <v>ARS</v>
          </cell>
          <cell r="B642" t="str">
            <v>435000397</v>
          </cell>
          <cell r="C642" t="str">
            <v>Sarmiento, Sergio Mauricio</v>
          </cell>
          <cell r="G642">
            <v>61307370</v>
          </cell>
          <cell r="H642">
            <v>61307370</v>
          </cell>
          <cell r="I642" t="str">
            <v>435</v>
          </cell>
        </row>
        <row r="643">
          <cell r="A643" t="str">
            <v>ARS</v>
          </cell>
          <cell r="B643" t="str">
            <v>435000402</v>
          </cell>
          <cell r="C643" t="str">
            <v>Boninu, Silvia Rosana</v>
          </cell>
          <cell r="G643">
            <v>6192592</v>
          </cell>
          <cell r="H643">
            <v>6192592</v>
          </cell>
          <cell r="I643" t="str">
            <v>435</v>
          </cell>
        </row>
        <row r="644">
          <cell r="A644" t="str">
            <v>ARS</v>
          </cell>
          <cell r="B644" t="str">
            <v>435000406</v>
          </cell>
          <cell r="C644" t="str">
            <v xml:space="preserve">Fernandez Fernandez, Macarena </v>
          </cell>
          <cell r="G644">
            <v>8921494</v>
          </cell>
          <cell r="H644">
            <v>8921494</v>
          </cell>
          <cell r="I644" t="str">
            <v>435</v>
          </cell>
        </row>
        <row r="645">
          <cell r="A645" t="str">
            <v>ARS</v>
          </cell>
          <cell r="B645" t="str">
            <v>435000409</v>
          </cell>
          <cell r="C645" t="str">
            <v>Pellerano, Carlos Nicolas o Cunsolo, Antonella</v>
          </cell>
          <cell r="G645">
            <v>1277252</v>
          </cell>
          <cell r="H645">
            <v>1277252</v>
          </cell>
          <cell r="I645" t="str">
            <v>435</v>
          </cell>
        </row>
        <row r="646">
          <cell r="A646" t="str">
            <v>ARS</v>
          </cell>
          <cell r="B646" t="str">
            <v>435000417</v>
          </cell>
          <cell r="C646" t="str">
            <v xml:space="preserve">Aguilera, Natalia Carina </v>
          </cell>
          <cell r="G646">
            <v>84935670</v>
          </cell>
          <cell r="H646">
            <v>84935670</v>
          </cell>
          <cell r="I646" t="str">
            <v>435</v>
          </cell>
        </row>
        <row r="647">
          <cell r="A647" t="str">
            <v>ARS</v>
          </cell>
          <cell r="B647" t="str">
            <v>435000422</v>
          </cell>
          <cell r="C647" t="str">
            <v>Gil, Hector Jesus o Miranda, Mariela Alejandra</v>
          </cell>
          <cell r="G647">
            <v>4175428</v>
          </cell>
          <cell r="H647">
            <v>4175428</v>
          </cell>
          <cell r="I647" t="str">
            <v>435</v>
          </cell>
        </row>
        <row r="648">
          <cell r="A648" t="str">
            <v>ARS</v>
          </cell>
          <cell r="B648" t="str">
            <v>435000426</v>
          </cell>
          <cell r="C648" t="str">
            <v>Robello, Andrés Leonardo</v>
          </cell>
          <cell r="G648">
            <v>14256525</v>
          </cell>
          <cell r="H648">
            <v>14256525</v>
          </cell>
          <cell r="I648" t="str">
            <v>435</v>
          </cell>
        </row>
        <row r="649">
          <cell r="A649" t="str">
            <v>ARS</v>
          </cell>
          <cell r="B649" t="str">
            <v>435000430</v>
          </cell>
          <cell r="C649" t="str">
            <v>Dique Potrerillos S.A.</v>
          </cell>
          <cell r="G649">
            <v>302677.64</v>
          </cell>
          <cell r="H649">
            <v>302677.64</v>
          </cell>
          <cell r="I649" t="str">
            <v>435</v>
          </cell>
        </row>
        <row r="650">
          <cell r="A650" t="str">
            <v>ARS</v>
          </cell>
          <cell r="B650" t="str">
            <v>435000433</v>
          </cell>
          <cell r="C650" t="str">
            <v>Seoane, Leonardo Gaston</v>
          </cell>
          <cell r="G650">
            <v>26639962.75</v>
          </cell>
          <cell r="H650">
            <v>26639962.75</v>
          </cell>
          <cell r="I650" t="str">
            <v>435</v>
          </cell>
        </row>
        <row r="651">
          <cell r="A651" t="str">
            <v>ARS</v>
          </cell>
          <cell r="B651" t="str">
            <v>435000436</v>
          </cell>
          <cell r="C651" t="str">
            <v>Muscara, Lorena Alejandra</v>
          </cell>
          <cell r="G651">
            <v>138939</v>
          </cell>
          <cell r="H651">
            <v>138939</v>
          </cell>
          <cell r="I651" t="str">
            <v>435</v>
          </cell>
        </row>
        <row r="652">
          <cell r="A652" t="str">
            <v>ARS</v>
          </cell>
          <cell r="B652" t="str">
            <v>435000437</v>
          </cell>
          <cell r="C652" t="str">
            <v>Muscara, Sandra Elisabeth</v>
          </cell>
          <cell r="G652">
            <v>62832</v>
          </cell>
          <cell r="H652">
            <v>62832</v>
          </cell>
          <cell r="I652" t="str">
            <v>435</v>
          </cell>
        </row>
        <row r="653">
          <cell r="A653" t="str">
            <v>ARS</v>
          </cell>
          <cell r="B653" t="str">
            <v>435000444</v>
          </cell>
          <cell r="C653" t="str">
            <v>Sola, Maria Ines</v>
          </cell>
          <cell r="G653">
            <v>2371704</v>
          </cell>
          <cell r="H653">
            <v>2371704</v>
          </cell>
          <cell r="I653" t="str">
            <v>435</v>
          </cell>
        </row>
        <row r="654">
          <cell r="A654" t="str">
            <v>ARS</v>
          </cell>
          <cell r="B654" t="str">
            <v>435000446</v>
          </cell>
          <cell r="C654" t="str">
            <v>Manzano, Mabel o Sola, Maria Ines</v>
          </cell>
          <cell r="G654">
            <v>17562314.100000001</v>
          </cell>
          <cell r="H654">
            <v>17562314.100000001</v>
          </cell>
          <cell r="I654" t="str">
            <v>435</v>
          </cell>
        </row>
        <row r="655">
          <cell r="A655" t="str">
            <v>ARS</v>
          </cell>
          <cell r="B655" t="str">
            <v>435000447</v>
          </cell>
          <cell r="C655" t="str">
            <v>Muñoz, Rosana Emilce o Dellabarba, Agustin Daniel</v>
          </cell>
          <cell r="G655">
            <v>26833414</v>
          </cell>
          <cell r="H655">
            <v>26833414</v>
          </cell>
          <cell r="I655" t="str">
            <v>435</v>
          </cell>
        </row>
        <row r="656">
          <cell r="A656" t="str">
            <v>ARS</v>
          </cell>
          <cell r="B656" t="str">
            <v>435000448</v>
          </cell>
          <cell r="C656" t="str">
            <v>Peralta Calderón, Lucas José o De la Mota Marti, Rosario</v>
          </cell>
          <cell r="G656">
            <v>7437572.3700000001</v>
          </cell>
          <cell r="H656">
            <v>7437572.3700000001</v>
          </cell>
          <cell r="I656" t="str">
            <v>435</v>
          </cell>
        </row>
        <row r="657">
          <cell r="A657" t="str">
            <v>ARS</v>
          </cell>
          <cell r="B657" t="str">
            <v>435000449</v>
          </cell>
          <cell r="C657" t="str">
            <v>Bustos, Ignacio Alejandro o Calderon, Maria Celeste</v>
          </cell>
          <cell r="G657">
            <v>2198737</v>
          </cell>
          <cell r="H657">
            <v>2198737</v>
          </cell>
          <cell r="I657" t="str">
            <v>435</v>
          </cell>
        </row>
        <row r="658">
          <cell r="A658" t="str">
            <v>ARS</v>
          </cell>
          <cell r="B658" t="str">
            <v>435000451</v>
          </cell>
          <cell r="C658" t="str">
            <v>Seoane, Federico Martin o Duarte, Sabrina Elizabeth</v>
          </cell>
          <cell r="G658">
            <v>3615448.89</v>
          </cell>
          <cell r="H658">
            <v>3615448.89</v>
          </cell>
          <cell r="I658" t="str">
            <v>435</v>
          </cell>
        </row>
        <row r="659">
          <cell r="A659" t="str">
            <v>ARS</v>
          </cell>
          <cell r="B659" t="str">
            <v>435000452</v>
          </cell>
          <cell r="C659" t="str">
            <v>Pelegrina, Maria Belen o Volpe, Darío Javier</v>
          </cell>
          <cell r="G659">
            <v>208534</v>
          </cell>
          <cell r="H659">
            <v>208534</v>
          </cell>
          <cell r="I659" t="str">
            <v>435</v>
          </cell>
        </row>
        <row r="660">
          <cell r="A660" t="str">
            <v>ARS</v>
          </cell>
          <cell r="B660" t="str">
            <v>435000453</v>
          </cell>
          <cell r="C660" t="str">
            <v>Atencio, Anabela Janet o Atencio, Osvaldo Juan</v>
          </cell>
          <cell r="G660">
            <v>35807065</v>
          </cell>
          <cell r="H660">
            <v>35807065</v>
          </cell>
          <cell r="I660" t="str">
            <v>435</v>
          </cell>
        </row>
        <row r="661">
          <cell r="A661" t="str">
            <v>ARS</v>
          </cell>
          <cell r="B661" t="str">
            <v>435000454</v>
          </cell>
          <cell r="C661" t="str">
            <v xml:space="preserve">Vidal, Maria Alejandra o Cerraro, Edgardo Ruben </v>
          </cell>
          <cell r="G661">
            <v>144527929</v>
          </cell>
          <cell r="H661">
            <v>144527929</v>
          </cell>
          <cell r="I661" t="str">
            <v>435</v>
          </cell>
        </row>
        <row r="662">
          <cell r="A662" t="str">
            <v>ARS</v>
          </cell>
          <cell r="B662" t="str">
            <v>435000455</v>
          </cell>
          <cell r="C662" t="str">
            <v>Berman, Julieta o Berman, Andres</v>
          </cell>
          <cell r="G662">
            <v>3676318</v>
          </cell>
          <cell r="H662">
            <v>3676318</v>
          </cell>
          <cell r="I662" t="str">
            <v>435</v>
          </cell>
        </row>
        <row r="663">
          <cell r="A663" t="str">
            <v>ARS</v>
          </cell>
          <cell r="B663" t="str">
            <v>435000456</v>
          </cell>
          <cell r="C663" t="str">
            <v>Gibbs Moreira, Guillermo Damian o Gibbs Moreira, Andres Enrique</v>
          </cell>
          <cell r="G663">
            <v>42719705</v>
          </cell>
          <cell r="H663">
            <v>42719705</v>
          </cell>
          <cell r="I663" t="str">
            <v>435</v>
          </cell>
        </row>
        <row r="664">
          <cell r="A664" t="str">
            <v>ARS</v>
          </cell>
          <cell r="B664" t="str">
            <v>435000457</v>
          </cell>
          <cell r="C664" t="str">
            <v>Olivera Salomon, Marcelo Alejandro o Aranda, Aldana Natali</v>
          </cell>
          <cell r="G664">
            <v>471900</v>
          </cell>
          <cell r="H664">
            <v>471900</v>
          </cell>
          <cell r="I664" t="str">
            <v>435</v>
          </cell>
        </row>
        <row r="665">
          <cell r="A665" t="str">
            <v>ARS</v>
          </cell>
          <cell r="B665" t="str">
            <v>435000458</v>
          </cell>
          <cell r="C665" t="str">
            <v>Muyeruane, Patricio Gabriel o Gimenez, Analia Carina</v>
          </cell>
          <cell r="G665">
            <v>583887</v>
          </cell>
          <cell r="H665">
            <v>583887</v>
          </cell>
          <cell r="I665" t="str">
            <v>435</v>
          </cell>
        </row>
        <row r="666">
          <cell r="A666" t="str">
            <v>ARS</v>
          </cell>
          <cell r="B666" t="str">
            <v>435000460</v>
          </cell>
          <cell r="C666" t="str">
            <v>Santamaría Guevara, Marcos</v>
          </cell>
          <cell r="G666">
            <v>6895192.0099999998</v>
          </cell>
          <cell r="H666">
            <v>6895192.0099999998</v>
          </cell>
          <cell r="I666" t="str">
            <v>435</v>
          </cell>
        </row>
        <row r="667">
          <cell r="A667" t="str">
            <v>ARS</v>
          </cell>
          <cell r="B667" t="str">
            <v>435000461</v>
          </cell>
          <cell r="C667" t="str">
            <v>Solorza, Alicia o Ambrosi, Leticia Lorena</v>
          </cell>
          <cell r="G667">
            <v>14740.2</v>
          </cell>
          <cell r="H667">
            <v>14740.2</v>
          </cell>
          <cell r="I667" t="str">
            <v>435</v>
          </cell>
        </row>
        <row r="668">
          <cell r="A668" t="str">
            <v>ARS</v>
          </cell>
          <cell r="B668" t="str">
            <v>435000462</v>
          </cell>
          <cell r="C668" t="str">
            <v>Guevara, Rafael Gustavo</v>
          </cell>
          <cell r="G668">
            <v>14475469.26</v>
          </cell>
          <cell r="H668">
            <v>14475469.26</v>
          </cell>
          <cell r="I668" t="str">
            <v>435</v>
          </cell>
        </row>
        <row r="669">
          <cell r="A669" t="str">
            <v>ARS</v>
          </cell>
          <cell r="B669" t="str">
            <v>435000464</v>
          </cell>
          <cell r="C669" t="str">
            <v>Alfonsin, Mariano Matias  o Tucci Gibbs, Maria Angeles</v>
          </cell>
          <cell r="G669">
            <v>7758</v>
          </cell>
          <cell r="H669">
            <v>7758</v>
          </cell>
          <cell r="I669" t="str">
            <v>435</v>
          </cell>
        </row>
        <row r="670">
          <cell r="A670" t="str">
            <v>ARS</v>
          </cell>
          <cell r="B670" t="str">
            <v>435000465</v>
          </cell>
          <cell r="C670" t="str">
            <v xml:space="preserve">Tucci Gibbs, Maria Angeles o Alfonsin, Mariano Matias </v>
          </cell>
          <cell r="G670">
            <v>132525.20000000001</v>
          </cell>
          <cell r="H670">
            <v>132525.20000000001</v>
          </cell>
          <cell r="I670" t="str">
            <v>435</v>
          </cell>
        </row>
        <row r="671">
          <cell r="A671" t="str">
            <v>ARS</v>
          </cell>
          <cell r="B671" t="str">
            <v>435000466</v>
          </cell>
          <cell r="C671" t="str">
            <v>Gibbs, Maria Esther o Tucci Gibbs, Maria Angeles</v>
          </cell>
          <cell r="G671">
            <v>17478.3</v>
          </cell>
          <cell r="H671">
            <v>17478.3</v>
          </cell>
          <cell r="I671" t="str">
            <v>435</v>
          </cell>
        </row>
        <row r="672">
          <cell r="A672" t="str">
            <v>ARS</v>
          </cell>
          <cell r="B672" t="str">
            <v>435000467</v>
          </cell>
          <cell r="C672" t="str">
            <v>Cuellar, Federico Ezequiel</v>
          </cell>
          <cell r="G672">
            <v>65543.5</v>
          </cell>
          <cell r="H672">
            <v>65543.5</v>
          </cell>
          <cell r="I672" t="str">
            <v>435</v>
          </cell>
        </row>
        <row r="673">
          <cell r="A673" t="str">
            <v>ARS</v>
          </cell>
          <cell r="B673" t="str">
            <v>435000469</v>
          </cell>
          <cell r="C673" t="str">
            <v>Gibbs Moreira, Guillermo Damian o Moreira Bort, Silvia Ximena</v>
          </cell>
          <cell r="G673">
            <v>40091607.799999997</v>
          </cell>
          <cell r="H673">
            <v>40091607.799999997</v>
          </cell>
          <cell r="I673" t="str">
            <v>435</v>
          </cell>
        </row>
        <row r="674">
          <cell r="A674" t="str">
            <v>ARS</v>
          </cell>
          <cell r="B674" t="str">
            <v>435000470</v>
          </cell>
          <cell r="C674" t="str">
            <v>Marin, Gustavo Javier</v>
          </cell>
          <cell r="G674">
            <v>20000</v>
          </cell>
          <cell r="H674">
            <v>20000</v>
          </cell>
          <cell r="I674" t="str">
            <v>435</v>
          </cell>
        </row>
        <row r="675">
          <cell r="A675" t="str">
            <v>ARS</v>
          </cell>
          <cell r="B675" t="str">
            <v>435000472</v>
          </cell>
          <cell r="C675" t="str">
            <v xml:space="preserve"> COOP DE VIVIENDA, URBANIZACION, SERVICIOS PUBLICOS Y CONSUMO TRABAJADORES DE FECOVITA LTDA </v>
          </cell>
          <cell r="G675">
            <v>11998654.67</v>
          </cell>
          <cell r="H675">
            <v>11998654.67</v>
          </cell>
          <cell r="I675" t="str">
            <v>435</v>
          </cell>
        </row>
        <row r="676">
          <cell r="A676" t="str">
            <v>ARS</v>
          </cell>
          <cell r="B676" t="str">
            <v>435000475</v>
          </cell>
          <cell r="C676" t="str">
            <v>Cuervo, Tomás Silverio</v>
          </cell>
          <cell r="G676">
            <v>37228090</v>
          </cell>
          <cell r="H676">
            <v>37228090</v>
          </cell>
          <cell r="I676" t="str">
            <v>435</v>
          </cell>
        </row>
        <row r="677">
          <cell r="A677" t="str">
            <v>ARS</v>
          </cell>
          <cell r="B677" t="str">
            <v>435000476</v>
          </cell>
          <cell r="C677" t="str">
            <v>Fabre, Paula</v>
          </cell>
          <cell r="G677">
            <v>3532425</v>
          </cell>
          <cell r="H677">
            <v>3532425</v>
          </cell>
          <cell r="I677" t="str">
            <v>435</v>
          </cell>
        </row>
        <row r="678">
          <cell r="A678" t="str">
            <v>ARS</v>
          </cell>
          <cell r="B678" t="str">
            <v>435000480</v>
          </cell>
          <cell r="C678" t="str">
            <v>Liberatore, Maria Eugenia o Bertolani, German Antonio</v>
          </cell>
          <cell r="G678">
            <v>1706757</v>
          </cell>
          <cell r="H678">
            <v>1706757</v>
          </cell>
          <cell r="I678" t="str">
            <v>435</v>
          </cell>
        </row>
        <row r="679">
          <cell r="A679" t="str">
            <v>ARS</v>
          </cell>
          <cell r="B679" t="str">
            <v>435000487</v>
          </cell>
          <cell r="C679" t="str">
            <v>Gonzalez Gaviola, Miguel Gustavo o Pizarro, Andrea</v>
          </cell>
          <cell r="G679">
            <v>16300.2</v>
          </cell>
          <cell r="H679">
            <v>16300.2</v>
          </cell>
          <cell r="I679" t="str">
            <v>435</v>
          </cell>
        </row>
        <row r="680">
          <cell r="A680" t="str">
            <v>ARS</v>
          </cell>
          <cell r="B680" t="str">
            <v>435000488</v>
          </cell>
          <cell r="C680" t="str">
            <v>De Borbon, Cesar Ernesto o De Borbon, Macarena</v>
          </cell>
          <cell r="G680">
            <v>36882700</v>
          </cell>
          <cell r="H680">
            <v>36882700</v>
          </cell>
          <cell r="I680" t="str">
            <v>435</v>
          </cell>
        </row>
        <row r="681">
          <cell r="A681" t="str">
            <v>ARS</v>
          </cell>
          <cell r="B681" t="str">
            <v>435000497</v>
          </cell>
          <cell r="C681" t="str">
            <v>Musri, María Cecilia o Aranega, Guadalupe Camila</v>
          </cell>
          <cell r="G681">
            <v>420790982.25999999</v>
          </cell>
          <cell r="H681">
            <v>420790982.25999999</v>
          </cell>
          <cell r="I681" t="str">
            <v>435</v>
          </cell>
        </row>
        <row r="682">
          <cell r="A682" t="str">
            <v>ARS</v>
          </cell>
          <cell r="B682" t="str">
            <v>435000499</v>
          </cell>
          <cell r="C682" t="str">
            <v>Ferroner Argentina S.A.</v>
          </cell>
          <cell r="G682">
            <v>637913427.96000004</v>
          </cell>
          <cell r="H682">
            <v>637913427.96000004</v>
          </cell>
          <cell r="I682" t="str">
            <v>435</v>
          </cell>
        </row>
        <row r="683">
          <cell r="A683" t="str">
            <v>ARS</v>
          </cell>
          <cell r="B683" t="str">
            <v>435000503</v>
          </cell>
          <cell r="C683" t="str">
            <v>Prieto, Juan Andres o Silvestrini, Elena Amalia</v>
          </cell>
          <cell r="G683">
            <v>6063140.5</v>
          </cell>
          <cell r="H683">
            <v>6063140.5</v>
          </cell>
          <cell r="I683" t="str">
            <v>435</v>
          </cell>
        </row>
        <row r="684">
          <cell r="A684" t="str">
            <v>ARS</v>
          </cell>
          <cell r="B684" t="str">
            <v>435000506</v>
          </cell>
          <cell r="C684" t="str">
            <v>Hintuchi, Maria Cecilia</v>
          </cell>
          <cell r="G684">
            <v>24650</v>
          </cell>
          <cell r="H684">
            <v>24650</v>
          </cell>
          <cell r="I684" t="str">
            <v>435</v>
          </cell>
        </row>
        <row r="685">
          <cell r="A685" t="str">
            <v>ARS</v>
          </cell>
          <cell r="B685" t="str">
            <v>435000509</v>
          </cell>
          <cell r="C685" t="str">
            <v>Groen Trade S.A.</v>
          </cell>
          <cell r="G685">
            <v>61417361.100000001</v>
          </cell>
          <cell r="H685">
            <v>61417361.100000001</v>
          </cell>
          <cell r="I685" t="str">
            <v>435</v>
          </cell>
        </row>
        <row r="686">
          <cell r="A686" t="str">
            <v>ARS</v>
          </cell>
          <cell r="B686" t="str">
            <v>435000510</v>
          </cell>
          <cell r="C686" t="str">
            <v>Costigliolo, Enrique Andrés o Rodriguez, Claudia Patricia</v>
          </cell>
          <cell r="G686">
            <v>12189104</v>
          </cell>
          <cell r="H686">
            <v>12189104</v>
          </cell>
          <cell r="I686" t="str">
            <v>435</v>
          </cell>
        </row>
        <row r="687">
          <cell r="A687" t="str">
            <v>ARS</v>
          </cell>
          <cell r="B687" t="str">
            <v>435000511</v>
          </cell>
          <cell r="C687" t="str">
            <v>Villarruel, Carmen Graciela</v>
          </cell>
          <cell r="G687">
            <v>3679668</v>
          </cell>
          <cell r="H687">
            <v>3679668</v>
          </cell>
          <cell r="I687" t="str">
            <v>435</v>
          </cell>
        </row>
        <row r="688">
          <cell r="A688" t="str">
            <v>ARS</v>
          </cell>
          <cell r="B688" t="str">
            <v>435000512</v>
          </cell>
          <cell r="C688" t="str">
            <v>Barrera Oro, Elena Maria o Troncoso Flores, Paulo Roberto</v>
          </cell>
          <cell r="G688">
            <v>18152401.600000001</v>
          </cell>
          <cell r="H688">
            <v>18152401.600000001</v>
          </cell>
          <cell r="I688" t="str">
            <v>435</v>
          </cell>
        </row>
        <row r="689">
          <cell r="A689" t="str">
            <v>ARS</v>
          </cell>
          <cell r="B689" t="str">
            <v>435000516</v>
          </cell>
          <cell r="C689" t="str">
            <v xml:space="preserve">Beliveau, Horacio Rafael o Romeo, Maria Violeta </v>
          </cell>
          <cell r="G689">
            <v>28276</v>
          </cell>
          <cell r="H689">
            <v>28276</v>
          </cell>
          <cell r="I689" t="str">
            <v>435</v>
          </cell>
        </row>
        <row r="690">
          <cell r="A690" t="str">
            <v>ARS</v>
          </cell>
          <cell r="B690" t="str">
            <v>435000517</v>
          </cell>
          <cell r="C690" t="str">
            <v xml:space="preserve">Muñoz, Karen Valeria o Muñoz, Leandro Adrián Evaristo </v>
          </cell>
          <cell r="G690">
            <v>1731921</v>
          </cell>
          <cell r="H690">
            <v>1731921</v>
          </cell>
          <cell r="I690" t="str">
            <v>435</v>
          </cell>
        </row>
        <row r="691">
          <cell r="A691" t="str">
            <v>ARS</v>
          </cell>
          <cell r="B691" t="str">
            <v>435000518</v>
          </cell>
          <cell r="C691" t="str">
            <v>Cerraro, Pablo Alberto o Vidal, Maria Alejandra</v>
          </cell>
          <cell r="G691">
            <v>475334</v>
          </cell>
          <cell r="H691">
            <v>475334</v>
          </cell>
          <cell r="I691" t="str">
            <v>435</v>
          </cell>
        </row>
        <row r="692">
          <cell r="A692" t="str">
            <v>ARS</v>
          </cell>
          <cell r="B692" t="str">
            <v>435000519</v>
          </cell>
          <cell r="C692" t="str">
            <v>Daou, Maria Cielo</v>
          </cell>
          <cell r="G692">
            <v>1963055</v>
          </cell>
          <cell r="H692">
            <v>1963055</v>
          </cell>
          <cell r="I692" t="str">
            <v>435</v>
          </cell>
        </row>
        <row r="693">
          <cell r="A693" t="str">
            <v>ARS</v>
          </cell>
          <cell r="B693" t="str">
            <v>435000520</v>
          </cell>
          <cell r="C693" t="str">
            <v>Lopez, Rodrigo o Girala, Leticia</v>
          </cell>
          <cell r="G693">
            <v>5467300</v>
          </cell>
          <cell r="H693">
            <v>5467300</v>
          </cell>
          <cell r="I693" t="str">
            <v>435</v>
          </cell>
        </row>
        <row r="694">
          <cell r="A694" t="str">
            <v>ARS</v>
          </cell>
          <cell r="B694" t="str">
            <v>435000521</v>
          </cell>
          <cell r="C694" t="str">
            <v>Marti, Gustavo Horacio</v>
          </cell>
          <cell r="G694">
            <v>29490018.57</v>
          </cell>
          <cell r="H694">
            <v>29490018.57</v>
          </cell>
          <cell r="I694" t="str">
            <v>435</v>
          </cell>
        </row>
        <row r="695">
          <cell r="A695" t="str">
            <v>ARS</v>
          </cell>
          <cell r="B695" t="str">
            <v>435000522</v>
          </cell>
          <cell r="C695" t="str">
            <v>Portabella, Roberto Juán</v>
          </cell>
          <cell r="G695">
            <v>46655.1</v>
          </cell>
          <cell r="H695">
            <v>46655.1</v>
          </cell>
          <cell r="I695" t="str">
            <v>435</v>
          </cell>
        </row>
        <row r="696">
          <cell r="A696" t="str">
            <v>ARS</v>
          </cell>
          <cell r="B696" t="str">
            <v>435000523</v>
          </cell>
          <cell r="C696" t="str">
            <v>De la Mota Marti, Rosario</v>
          </cell>
          <cell r="G696">
            <v>722512.88</v>
          </cell>
          <cell r="H696">
            <v>722512.88</v>
          </cell>
          <cell r="I696" t="str">
            <v>435</v>
          </cell>
        </row>
        <row r="697">
          <cell r="A697" t="str">
            <v>ARS</v>
          </cell>
          <cell r="B697" t="str">
            <v>435000524</v>
          </cell>
          <cell r="C697" t="str">
            <v>Honorato, Juan Alberto</v>
          </cell>
          <cell r="G697">
            <v>155889828</v>
          </cell>
          <cell r="H697">
            <v>155889828</v>
          </cell>
          <cell r="I697" t="str">
            <v>435</v>
          </cell>
        </row>
        <row r="698">
          <cell r="A698" t="str">
            <v>ARS</v>
          </cell>
          <cell r="B698" t="str">
            <v>435000525</v>
          </cell>
          <cell r="C698" t="str">
            <v>Lanati, Alberto Luis o Javier, Nahuel Emilio o Lanati Volpe, Victoria De Los Angeles</v>
          </cell>
          <cell r="G698">
            <v>20000</v>
          </cell>
          <cell r="H698">
            <v>20000</v>
          </cell>
          <cell r="I698" t="str">
            <v>435</v>
          </cell>
        </row>
        <row r="699">
          <cell r="A699" t="str">
            <v>ARS</v>
          </cell>
          <cell r="B699" t="str">
            <v>447000012</v>
          </cell>
          <cell r="C699" t="str">
            <v>AGRIFEX</v>
          </cell>
          <cell r="G699">
            <v>39017020.969999999</v>
          </cell>
          <cell r="H699">
            <v>39017020.969999999</v>
          </cell>
          <cell r="I699" t="str">
            <v>447</v>
          </cell>
        </row>
        <row r="700">
          <cell r="A700" t="str">
            <v>ARS</v>
          </cell>
          <cell r="B700" t="str">
            <v>447000014</v>
          </cell>
          <cell r="C700" t="str">
            <v>ARGENSUN</v>
          </cell>
          <cell r="G700">
            <v>48466339.130000003</v>
          </cell>
          <cell r="H700">
            <v>48466339.130000003</v>
          </cell>
          <cell r="I700" t="str">
            <v>447</v>
          </cell>
        </row>
        <row r="701">
          <cell r="A701" t="str">
            <v>ARS</v>
          </cell>
          <cell r="B701" t="str">
            <v>447000015</v>
          </cell>
          <cell r="C701" t="str">
            <v>BAMBA SA</v>
          </cell>
          <cell r="G701">
            <v>635109424.42999995</v>
          </cell>
          <cell r="H701">
            <v>635109424.42999995</v>
          </cell>
          <cell r="I701" t="str">
            <v>447</v>
          </cell>
        </row>
        <row r="702">
          <cell r="A702" t="str">
            <v>ARS</v>
          </cell>
          <cell r="B702" t="str">
            <v>447000023</v>
          </cell>
          <cell r="C702" t="str">
            <v>COOPERATIVA DE PROVISION DE SERVICIOS AGRICOLAS CRIADERO SANTA ROSA LIMITADA</v>
          </cell>
          <cell r="G702">
            <v>77850270.079999998</v>
          </cell>
          <cell r="H702">
            <v>77850270.079999998</v>
          </cell>
          <cell r="I702" t="str">
            <v>447</v>
          </cell>
        </row>
        <row r="703">
          <cell r="A703" t="str">
            <v>ARS</v>
          </cell>
          <cell r="B703" t="str">
            <v>447000045</v>
          </cell>
          <cell r="C703" t="str">
            <v>Fernando Diaz Colodrero</v>
          </cell>
          <cell r="G703">
            <v>254042499.06999999</v>
          </cell>
          <cell r="H703">
            <v>254042499.06999999</v>
          </cell>
          <cell r="I703" t="str">
            <v>447</v>
          </cell>
        </row>
        <row r="704">
          <cell r="A704" t="str">
            <v>ARS</v>
          </cell>
          <cell r="B704" t="str">
            <v>447000055</v>
          </cell>
          <cell r="C704" t="str">
            <v>BAMBA VALORES S.A</v>
          </cell>
          <cell r="G704">
            <v>179643737.84</v>
          </cell>
          <cell r="H704">
            <v>179643737.84</v>
          </cell>
          <cell r="I704" t="str">
            <v>447</v>
          </cell>
        </row>
        <row r="705">
          <cell r="A705" t="str">
            <v>ARS</v>
          </cell>
          <cell r="B705" t="str">
            <v>447000238</v>
          </cell>
          <cell r="C705" t="str">
            <v>NUEVE LAGUNAS SA</v>
          </cell>
          <cell r="G705">
            <v>428036867.70999998</v>
          </cell>
          <cell r="H705">
            <v>428036867.70999998</v>
          </cell>
          <cell r="I705" t="str">
            <v>447</v>
          </cell>
        </row>
        <row r="706">
          <cell r="A706" t="str">
            <v>ARS</v>
          </cell>
          <cell r="B706" t="str">
            <v>447000241</v>
          </cell>
          <cell r="C706" t="str">
            <v>AYUCHELEN S A</v>
          </cell>
          <cell r="G706">
            <v>477391235.52999997</v>
          </cell>
          <cell r="H706">
            <v>477391235.52999997</v>
          </cell>
          <cell r="I706" t="str">
            <v>447</v>
          </cell>
        </row>
        <row r="707">
          <cell r="A707" t="str">
            <v>ARS</v>
          </cell>
          <cell r="B707" t="str">
            <v>447000252</v>
          </cell>
          <cell r="C707" t="str">
            <v>PRO NOVELTIES SA</v>
          </cell>
          <cell r="G707">
            <v>43555647.520000003</v>
          </cell>
          <cell r="H707">
            <v>43555647.520000003</v>
          </cell>
          <cell r="I707" t="str">
            <v>447</v>
          </cell>
        </row>
        <row r="708">
          <cell r="A708" t="str">
            <v>ARS</v>
          </cell>
          <cell r="B708" t="str">
            <v>447000575</v>
          </cell>
          <cell r="C708" t="str">
            <v>Kozak Eduardo Dante</v>
          </cell>
          <cell r="G708">
            <v>22481815.739999998</v>
          </cell>
          <cell r="H708">
            <v>22481815.739999998</v>
          </cell>
          <cell r="I708" t="str">
            <v>447</v>
          </cell>
        </row>
        <row r="709">
          <cell r="A709" t="str">
            <v>ARS</v>
          </cell>
          <cell r="B709" t="str">
            <v>465001001</v>
          </cell>
          <cell r="C709" t="str">
            <v>Rodríguez Machado, Argos</v>
          </cell>
          <cell r="G709">
            <v>3759337.5</v>
          </cell>
          <cell r="H709">
            <v>3759337.5</v>
          </cell>
          <cell r="I709" t="str">
            <v>465</v>
          </cell>
        </row>
        <row r="710">
          <cell r="A710" t="str">
            <v>ARS</v>
          </cell>
          <cell r="B710" t="str">
            <v>465001004</v>
          </cell>
          <cell r="C710" t="str">
            <v>Industria Compañia Bursatil S.A</v>
          </cell>
          <cell r="G710">
            <v>33994582.579999998</v>
          </cell>
          <cell r="H710">
            <v>33994582.579999998</v>
          </cell>
          <cell r="I710" t="str">
            <v>465</v>
          </cell>
        </row>
        <row r="711">
          <cell r="A711" t="str">
            <v>ARS</v>
          </cell>
          <cell r="B711" t="str">
            <v>465001005</v>
          </cell>
          <cell r="C711" t="str">
            <v>Farmandat S.A.</v>
          </cell>
          <cell r="G711">
            <v>11287029.5</v>
          </cell>
          <cell r="H711">
            <v>11287029.5</v>
          </cell>
          <cell r="I711" t="str">
            <v>465</v>
          </cell>
        </row>
        <row r="712">
          <cell r="A712" t="str">
            <v>ARS</v>
          </cell>
          <cell r="B712" t="str">
            <v>465001010</v>
          </cell>
          <cell r="C712" t="str">
            <v>Collivadino, Diego</v>
          </cell>
          <cell r="G712">
            <v>5735183</v>
          </cell>
          <cell r="H712">
            <v>5735183</v>
          </cell>
          <cell r="I712" t="str">
            <v>465</v>
          </cell>
        </row>
        <row r="713">
          <cell r="A713" t="str">
            <v>ARS</v>
          </cell>
          <cell r="B713" t="str">
            <v>465001013</v>
          </cell>
          <cell r="C713" t="str">
            <v>Dubersarsky, Walter Cesar</v>
          </cell>
          <cell r="G713">
            <v>119217</v>
          </cell>
          <cell r="H713">
            <v>119217</v>
          </cell>
          <cell r="I713" t="str">
            <v>465</v>
          </cell>
        </row>
        <row r="714">
          <cell r="A714" t="str">
            <v>ARS</v>
          </cell>
          <cell r="B714" t="str">
            <v>465001016</v>
          </cell>
          <cell r="C714" t="str">
            <v>Bonangelino, Oscar Hugo Alejandro</v>
          </cell>
          <cell r="G714">
            <v>717566497.82000005</v>
          </cell>
          <cell r="H714">
            <v>717566497.82000005</v>
          </cell>
          <cell r="I714" t="str">
            <v>465</v>
          </cell>
        </row>
        <row r="715">
          <cell r="A715" t="str">
            <v>ARS</v>
          </cell>
          <cell r="B715" t="str">
            <v>465001019</v>
          </cell>
          <cell r="C715" t="str">
            <v>Warma S.A.</v>
          </cell>
          <cell r="G715">
            <v>116642</v>
          </cell>
          <cell r="H715">
            <v>116642</v>
          </cell>
          <cell r="I715" t="str">
            <v>465</v>
          </cell>
        </row>
        <row r="716">
          <cell r="A716" t="str">
            <v>ARS</v>
          </cell>
          <cell r="B716" t="str">
            <v>465001030</v>
          </cell>
          <cell r="C716" t="str">
            <v>Ciprian, Alejandro Oscar</v>
          </cell>
          <cell r="G716">
            <v>1148816</v>
          </cell>
          <cell r="H716">
            <v>1148816</v>
          </cell>
          <cell r="I716" t="str">
            <v>465</v>
          </cell>
        </row>
        <row r="717">
          <cell r="A717" t="str">
            <v>ARS</v>
          </cell>
          <cell r="B717" t="str">
            <v>465001032</v>
          </cell>
          <cell r="C717" t="str">
            <v>Canziani, Miriam Elizabeth</v>
          </cell>
          <cell r="G717">
            <v>297580</v>
          </cell>
          <cell r="H717">
            <v>297580</v>
          </cell>
          <cell r="I717" t="str">
            <v>465</v>
          </cell>
        </row>
        <row r="718">
          <cell r="A718" t="str">
            <v>ARS</v>
          </cell>
          <cell r="B718" t="str">
            <v>465001041</v>
          </cell>
          <cell r="C718" t="str">
            <v>Twins Ingeniería S.R.L.</v>
          </cell>
          <cell r="G718">
            <v>179867</v>
          </cell>
          <cell r="H718">
            <v>179867</v>
          </cell>
          <cell r="I718" t="str">
            <v>465</v>
          </cell>
        </row>
        <row r="719">
          <cell r="A719" t="str">
            <v>ARS</v>
          </cell>
          <cell r="B719" t="str">
            <v>465001062</v>
          </cell>
          <cell r="C719" t="str">
            <v>Movalli, Camilo Andres</v>
          </cell>
          <cell r="G719">
            <v>30014469</v>
          </cell>
          <cell r="H719">
            <v>30014469</v>
          </cell>
          <cell r="I719" t="str">
            <v>465</v>
          </cell>
        </row>
        <row r="720">
          <cell r="A720" t="str">
            <v>ARS</v>
          </cell>
          <cell r="B720" t="str">
            <v>465001069</v>
          </cell>
          <cell r="C720" t="str">
            <v>Khaliq Anwar S.R.L.</v>
          </cell>
          <cell r="G720">
            <v>3797540</v>
          </cell>
          <cell r="H720">
            <v>3797540</v>
          </cell>
          <cell r="I720" t="str">
            <v>465</v>
          </cell>
        </row>
        <row r="721">
          <cell r="A721" t="str">
            <v>ARS</v>
          </cell>
          <cell r="B721" t="str">
            <v>465001083</v>
          </cell>
          <cell r="C721" t="str">
            <v>Gandia, Ana Maria</v>
          </cell>
          <cell r="G721">
            <v>4084421.6</v>
          </cell>
          <cell r="H721">
            <v>4084421.6</v>
          </cell>
          <cell r="I721" t="str">
            <v>465</v>
          </cell>
        </row>
        <row r="722">
          <cell r="A722" t="str">
            <v>ARS</v>
          </cell>
          <cell r="B722" t="str">
            <v>465001092</v>
          </cell>
          <cell r="C722" t="str">
            <v>Escobar, Federico</v>
          </cell>
          <cell r="G722">
            <v>1382400</v>
          </cell>
          <cell r="H722">
            <v>1382400</v>
          </cell>
          <cell r="I722" t="str">
            <v>465</v>
          </cell>
        </row>
        <row r="723">
          <cell r="A723" t="str">
            <v>ARS</v>
          </cell>
          <cell r="B723" t="str">
            <v>465001095</v>
          </cell>
          <cell r="C723" t="str">
            <v>Ripada S.R.L.</v>
          </cell>
          <cell r="G723">
            <v>2954859</v>
          </cell>
          <cell r="H723">
            <v>2954859</v>
          </cell>
          <cell r="I723" t="str">
            <v>465</v>
          </cell>
        </row>
        <row r="724">
          <cell r="A724" t="str">
            <v>ARS</v>
          </cell>
          <cell r="B724" t="str">
            <v>465001097</v>
          </cell>
          <cell r="C724" t="str">
            <v>Guillen, Eduardo</v>
          </cell>
          <cell r="G724">
            <v>18777444.969999999</v>
          </cell>
          <cell r="H724">
            <v>18777444.969999999</v>
          </cell>
          <cell r="I724" t="str">
            <v>465</v>
          </cell>
        </row>
        <row r="725">
          <cell r="A725" t="str">
            <v>ARS</v>
          </cell>
          <cell r="B725" t="str">
            <v>465001106</v>
          </cell>
          <cell r="C725" t="str">
            <v>Alimentaria S.R.L.</v>
          </cell>
          <cell r="G725">
            <v>2653286209.5100002</v>
          </cell>
          <cell r="H725">
            <v>2653286209.5100002</v>
          </cell>
          <cell r="I725" t="str">
            <v>465</v>
          </cell>
        </row>
        <row r="726">
          <cell r="A726" t="str">
            <v>ARS</v>
          </cell>
          <cell r="B726" t="str">
            <v>465001111</v>
          </cell>
          <cell r="C726" t="str">
            <v>Lopez Ferla, Nicolás</v>
          </cell>
          <cell r="G726">
            <v>65050.5</v>
          </cell>
          <cell r="H726">
            <v>65050.5</v>
          </cell>
          <cell r="I726" t="str">
            <v>465</v>
          </cell>
        </row>
        <row r="727">
          <cell r="A727" t="str">
            <v>ARS</v>
          </cell>
          <cell r="B727" t="str">
            <v>465001118</v>
          </cell>
          <cell r="C727" t="str">
            <v>Campero Cuello, Juan Cruz</v>
          </cell>
          <cell r="G727">
            <v>1041000</v>
          </cell>
          <cell r="H727">
            <v>1041000</v>
          </cell>
          <cell r="I727" t="str">
            <v>465</v>
          </cell>
        </row>
        <row r="728">
          <cell r="A728" t="str">
            <v>ARS</v>
          </cell>
          <cell r="B728" t="str">
            <v>465001121</v>
          </cell>
          <cell r="C728" t="str">
            <v>Burdisso, Matias Ezequiel</v>
          </cell>
          <cell r="G728">
            <v>4717480</v>
          </cell>
          <cell r="H728">
            <v>4717480</v>
          </cell>
          <cell r="I728" t="str">
            <v>465</v>
          </cell>
        </row>
        <row r="729">
          <cell r="A729" t="str">
            <v>ARS</v>
          </cell>
          <cell r="B729" t="str">
            <v>465001135</v>
          </cell>
          <cell r="C729" t="str">
            <v>Odetti, Ivana Leticia</v>
          </cell>
          <cell r="G729">
            <v>31435188.600000001</v>
          </cell>
          <cell r="H729">
            <v>31435188.600000001</v>
          </cell>
          <cell r="I729" t="str">
            <v>465</v>
          </cell>
        </row>
        <row r="730">
          <cell r="A730" t="str">
            <v>ARS</v>
          </cell>
          <cell r="B730" t="str">
            <v>465001152</v>
          </cell>
          <cell r="C730" t="str">
            <v>VERSACI S.A.S</v>
          </cell>
          <cell r="G730">
            <v>262201715.27000001</v>
          </cell>
          <cell r="H730">
            <v>262201715.27000001</v>
          </cell>
          <cell r="I730" t="str">
            <v>465</v>
          </cell>
        </row>
        <row r="731">
          <cell r="A731" t="str">
            <v>ARS</v>
          </cell>
          <cell r="B731" t="str">
            <v>465001153</v>
          </cell>
          <cell r="C731" t="str">
            <v>COOPERATIVA TELEFONICA Y DE OBRAS Y SERVICIOS PUBLICOS Y SOCIALES SALSIPUEDES LTDA.</v>
          </cell>
          <cell r="G731">
            <v>6502543.2000000002</v>
          </cell>
          <cell r="H731">
            <v>6502543.2000000002</v>
          </cell>
          <cell r="I731" t="str">
            <v>465</v>
          </cell>
        </row>
        <row r="732">
          <cell r="A732" t="str">
            <v>ARS</v>
          </cell>
          <cell r="B732" t="str">
            <v>465001161</v>
          </cell>
          <cell r="C732" t="str">
            <v xml:space="preserve">Enplas S.A.S </v>
          </cell>
          <cell r="G732">
            <v>47606194.030000001</v>
          </cell>
          <cell r="H732">
            <v>47606194.030000001</v>
          </cell>
          <cell r="I732" t="str">
            <v>465</v>
          </cell>
        </row>
        <row r="733">
          <cell r="A733" t="str">
            <v>ARS</v>
          </cell>
          <cell r="B733" t="str">
            <v>465001167</v>
          </cell>
          <cell r="C733" t="str">
            <v xml:space="preserve"> GOLOSINAS O.E.N.P. S.A</v>
          </cell>
          <cell r="G733">
            <v>178402950.25999999</v>
          </cell>
          <cell r="H733">
            <v>178402950.25999999</v>
          </cell>
          <cell r="I733" t="str">
            <v>465</v>
          </cell>
        </row>
        <row r="734">
          <cell r="A734" t="str">
            <v>ARS</v>
          </cell>
          <cell r="B734" t="str">
            <v>465001168</v>
          </cell>
          <cell r="C734" t="str">
            <v>Carpio, Natalia Soledad</v>
          </cell>
          <cell r="G734">
            <v>140736</v>
          </cell>
          <cell r="H734">
            <v>140736</v>
          </cell>
          <cell r="I734" t="str">
            <v>465</v>
          </cell>
        </row>
        <row r="735">
          <cell r="A735" t="str">
            <v>ARS</v>
          </cell>
          <cell r="B735" t="str">
            <v>465001171</v>
          </cell>
          <cell r="C735" t="str">
            <v>LA COMPAÑIA PANES Y CAFE S.R.L</v>
          </cell>
          <cell r="G735">
            <v>14733827.1</v>
          </cell>
          <cell r="H735">
            <v>14733827.1</v>
          </cell>
          <cell r="I735" t="str">
            <v>465</v>
          </cell>
        </row>
        <row r="736">
          <cell r="A736" t="str">
            <v>ARS</v>
          </cell>
          <cell r="B736" t="str">
            <v>465001186</v>
          </cell>
          <cell r="C736" t="str">
            <v>Vocos Brouwer De Koning Ruy, Augusto</v>
          </cell>
          <cell r="G736">
            <v>5510.04</v>
          </cell>
          <cell r="H736">
            <v>5510.04</v>
          </cell>
          <cell r="I736" t="str">
            <v>465</v>
          </cell>
        </row>
        <row r="737">
          <cell r="A737" t="str">
            <v>ARS</v>
          </cell>
          <cell r="B737" t="str">
            <v>465001188</v>
          </cell>
          <cell r="C737" t="str">
            <v>Ruiz, Roberto Sebastian</v>
          </cell>
          <cell r="G737">
            <v>139928576.08000001</v>
          </cell>
          <cell r="H737">
            <v>139928576.08000001</v>
          </cell>
          <cell r="I737" t="str">
            <v>465</v>
          </cell>
        </row>
        <row r="738">
          <cell r="A738" t="str">
            <v>ARS</v>
          </cell>
          <cell r="B738" t="str">
            <v>465001194</v>
          </cell>
          <cell r="C738" t="str">
            <v>COMPAÑÍA DE NEGOCIOS FIDUCIARIOS S.A.</v>
          </cell>
          <cell r="G738">
            <v>3541257.55</v>
          </cell>
          <cell r="H738">
            <v>3541257.55</v>
          </cell>
          <cell r="I738" t="str">
            <v>465</v>
          </cell>
        </row>
        <row r="739">
          <cell r="A739" t="str">
            <v>ARS</v>
          </cell>
          <cell r="B739" t="str">
            <v>465001198</v>
          </cell>
          <cell r="C739" t="str">
            <v>Gallo, Claudia Andrea</v>
          </cell>
          <cell r="G739">
            <v>10729069.199999999</v>
          </cell>
          <cell r="H739">
            <v>10729069.199999999</v>
          </cell>
          <cell r="I739" t="str">
            <v>465</v>
          </cell>
        </row>
        <row r="740">
          <cell r="A740" t="str">
            <v>ARS</v>
          </cell>
          <cell r="B740" t="str">
            <v>465001199</v>
          </cell>
          <cell r="C740" t="str">
            <v>Torres, Cesar Gabriel</v>
          </cell>
          <cell r="G740">
            <v>2881972</v>
          </cell>
          <cell r="H740">
            <v>2881972</v>
          </cell>
          <cell r="I740" t="str">
            <v>465</v>
          </cell>
        </row>
        <row r="741">
          <cell r="A741" t="str">
            <v>ARS</v>
          </cell>
          <cell r="B741" t="str">
            <v>465001204</v>
          </cell>
          <cell r="C741" t="str">
            <v>Cardeilhac, Rene</v>
          </cell>
          <cell r="G741">
            <v>1499438</v>
          </cell>
          <cell r="H741">
            <v>1499438</v>
          </cell>
          <cell r="I741" t="str">
            <v>465</v>
          </cell>
        </row>
        <row r="742">
          <cell r="A742" t="str">
            <v>ARS</v>
          </cell>
          <cell r="B742" t="str">
            <v>465001206</v>
          </cell>
          <cell r="C742" t="str">
            <v>Martinez Thompson, Maria Agustina</v>
          </cell>
          <cell r="G742">
            <v>3876411</v>
          </cell>
          <cell r="H742">
            <v>3876411</v>
          </cell>
          <cell r="I742" t="str">
            <v>465</v>
          </cell>
        </row>
        <row r="743">
          <cell r="A743" t="str">
            <v>ARS</v>
          </cell>
          <cell r="B743" t="str">
            <v>465001212</v>
          </cell>
          <cell r="C743" t="str">
            <v>Urdapilleta, Santiago</v>
          </cell>
          <cell r="G743">
            <v>4044497.8</v>
          </cell>
          <cell r="H743">
            <v>4044497.8</v>
          </cell>
          <cell r="I743" t="str">
            <v>465</v>
          </cell>
        </row>
        <row r="744">
          <cell r="A744" t="str">
            <v>ARS</v>
          </cell>
          <cell r="B744" t="str">
            <v>465001213</v>
          </cell>
          <cell r="C744" t="str">
            <v>Mujica, Pablo Antonio</v>
          </cell>
          <cell r="G744">
            <v>5243897.17</v>
          </cell>
          <cell r="H744">
            <v>5243897.17</v>
          </cell>
          <cell r="I744" t="str">
            <v>465</v>
          </cell>
        </row>
        <row r="745">
          <cell r="A745" t="str">
            <v>ARS</v>
          </cell>
          <cell r="B745" t="str">
            <v>465001215</v>
          </cell>
          <cell r="C745" t="str">
            <v>Rodriguez De Marco, Diego Alejandro</v>
          </cell>
          <cell r="G745">
            <v>11075205</v>
          </cell>
          <cell r="H745">
            <v>11075205</v>
          </cell>
          <cell r="I745" t="str">
            <v>465</v>
          </cell>
        </row>
        <row r="746">
          <cell r="A746" t="str">
            <v>ARS</v>
          </cell>
          <cell r="B746" t="str">
            <v>465001219</v>
          </cell>
          <cell r="C746" t="str">
            <v>Zanini, Diego Javier</v>
          </cell>
          <cell r="G746">
            <v>1326240</v>
          </cell>
          <cell r="H746">
            <v>1326240</v>
          </cell>
          <cell r="I746" t="str">
            <v>465</v>
          </cell>
        </row>
        <row r="747">
          <cell r="A747" t="str">
            <v>ARS</v>
          </cell>
          <cell r="B747" t="str">
            <v>465001222</v>
          </cell>
          <cell r="C747" t="str">
            <v>Escobar, Mariano Andres</v>
          </cell>
          <cell r="G747">
            <v>3160600</v>
          </cell>
          <cell r="H747">
            <v>3160600</v>
          </cell>
          <cell r="I747" t="str">
            <v>465</v>
          </cell>
        </row>
        <row r="748">
          <cell r="A748" t="str">
            <v>ARS</v>
          </cell>
          <cell r="B748" t="str">
            <v>465001223</v>
          </cell>
          <cell r="C748" t="str">
            <v>Go Print SAS</v>
          </cell>
          <cell r="G748">
            <v>31599551.100000001</v>
          </cell>
          <cell r="H748">
            <v>31599551.100000001</v>
          </cell>
          <cell r="I748" t="str">
            <v>465</v>
          </cell>
        </row>
        <row r="749">
          <cell r="A749" t="str">
            <v>ARS</v>
          </cell>
          <cell r="B749" t="str">
            <v>465001226</v>
          </cell>
          <cell r="C749" t="str">
            <v>Bonangelino, Giovanni Bautista</v>
          </cell>
          <cell r="G749">
            <v>1624534166.9300001</v>
          </cell>
          <cell r="H749">
            <v>1624534166.9300001</v>
          </cell>
          <cell r="I749" t="str">
            <v>465</v>
          </cell>
        </row>
        <row r="750">
          <cell r="A750" t="str">
            <v>ARS</v>
          </cell>
          <cell r="B750" t="str">
            <v>465001235</v>
          </cell>
          <cell r="C750" t="str">
            <v>LM AMOBLAMIENTOS SRL</v>
          </cell>
          <cell r="G750">
            <v>234352</v>
          </cell>
          <cell r="H750">
            <v>234352</v>
          </cell>
          <cell r="I750" t="str">
            <v>465</v>
          </cell>
        </row>
        <row r="751">
          <cell r="A751" t="str">
            <v>ARS</v>
          </cell>
          <cell r="B751" t="str">
            <v>465001236</v>
          </cell>
          <cell r="C751" t="str">
            <v>Vargas Alonso, Amalia Mariel</v>
          </cell>
          <cell r="G751">
            <v>2710378.5</v>
          </cell>
          <cell r="H751">
            <v>2710378.5</v>
          </cell>
          <cell r="I751" t="str">
            <v>465</v>
          </cell>
        </row>
        <row r="752">
          <cell r="A752" t="str">
            <v>ARS</v>
          </cell>
          <cell r="B752" t="str">
            <v>465001239</v>
          </cell>
          <cell r="C752" t="str">
            <v>Pucheta Bonaparte, Lino Esteban</v>
          </cell>
          <cell r="G752">
            <v>20872326.5</v>
          </cell>
          <cell r="H752">
            <v>20872326.5</v>
          </cell>
          <cell r="I752" t="str">
            <v>465</v>
          </cell>
        </row>
        <row r="753">
          <cell r="A753" t="str">
            <v>ARS</v>
          </cell>
          <cell r="B753" t="str">
            <v>465001240</v>
          </cell>
          <cell r="C753" t="str">
            <v>Audisio , Maria Carolina</v>
          </cell>
          <cell r="G753">
            <v>950400</v>
          </cell>
          <cell r="H753">
            <v>950400</v>
          </cell>
          <cell r="I753" t="str">
            <v>465</v>
          </cell>
        </row>
        <row r="754">
          <cell r="A754" t="str">
            <v>ARS</v>
          </cell>
          <cell r="B754" t="str">
            <v>465001241</v>
          </cell>
          <cell r="C754" t="str">
            <v>Fauda, Eduardo Diego</v>
          </cell>
          <cell r="G754">
            <v>1531096</v>
          </cell>
          <cell r="H754">
            <v>1531096</v>
          </cell>
          <cell r="I754" t="str">
            <v>465</v>
          </cell>
        </row>
        <row r="755">
          <cell r="A755" t="str">
            <v>ARS</v>
          </cell>
          <cell r="B755" t="str">
            <v>465001242</v>
          </cell>
          <cell r="C755" t="str">
            <v>EL TRIUNFO S.A.</v>
          </cell>
          <cell r="G755">
            <v>36470610.380000003</v>
          </cell>
          <cell r="H755">
            <v>36470610.380000003</v>
          </cell>
          <cell r="I755" t="str">
            <v>465</v>
          </cell>
        </row>
        <row r="756">
          <cell r="A756" t="str">
            <v>ARS</v>
          </cell>
          <cell r="B756" t="str">
            <v>465001243</v>
          </cell>
          <cell r="C756" t="str">
            <v>INNOVACIÓN ONCATIVO SA</v>
          </cell>
          <cell r="G756">
            <v>126172079.64</v>
          </cell>
          <cell r="H756">
            <v>126172079.64</v>
          </cell>
          <cell r="I756" t="str">
            <v>465</v>
          </cell>
        </row>
        <row r="757">
          <cell r="A757" t="str">
            <v>ARS</v>
          </cell>
          <cell r="B757" t="str">
            <v>465001246</v>
          </cell>
          <cell r="C757" t="str">
            <v>Abate Daga, Mario Alberto</v>
          </cell>
          <cell r="G757">
            <v>44767109.299999997</v>
          </cell>
          <cell r="H757">
            <v>44767109.299999997</v>
          </cell>
          <cell r="I757" t="str">
            <v>465</v>
          </cell>
        </row>
        <row r="758">
          <cell r="A758" t="str">
            <v>ARS</v>
          </cell>
          <cell r="B758" t="str">
            <v>465001247</v>
          </cell>
          <cell r="C758" t="str">
            <v>Canovas, Silvia Del Carmen</v>
          </cell>
          <cell r="G758">
            <v>45677239.399999999</v>
          </cell>
          <cell r="H758">
            <v>45677239.399999999</v>
          </cell>
          <cell r="I758" t="str">
            <v>465</v>
          </cell>
        </row>
        <row r="759">
          <cell r="A759" t="str">
            <v>ARS</v>
          </cell>
          <cell r="B759" t="str">
            <v>465001248</v>
          </cell>
          <cell r="C759" t="str">
            <v>Castello, Hector Luis</v>
          </cell>
          <cell r="G759">
            <v>29203588.640000001</v>
          </cell>
          <cell r="H759">
            <v>29203588.640000001</v>
          </cell>
          <cell r="I759" t="str">
            <v>465</v>
          </cell>
        </row>
        <row r="760">
          <cell r="A760" t="str">
            <v>ARS</v>
          </cell>
          <cell r="B760" t="str">
            <v>465001251</v>
          </cell>
          <cell r="C760" t="str">
            <v>Rodas, Esteban</v>
          </cell>
          <cell r="G760">
            <v>3236334</v>
          </cell>
          <cell r="H760">
            <v>3236334</v>
          </cell>
          <cell r="I760" t="str">
            <v>465</v>
          </cell>
        </row>
        <row r="761">
          <cell r="A761" t="str">
            <v>ARS</v>
          </cell>
          <cell r="B761" t="str">
            <v>465001254</v>
          </cell>
          <cell r="C761" t="str">
            <v>Remonda, Jose Ignacio</v>
          </cell>
          <cell r="G761">
            <v>46271951.899999999</v>
          </cell>
          <cell r="H761">
            <v>46271951.899999999</v>
          </cell>
          <cell r="I761" t="str">
            <v>465</v>
          </cell>
        </row>
        <row r="762">
          <cell r="A762" t="str">
            <v>ARS</v>
          </cell>
          <cell r="B762" t="str">
            <v>465001255</v>
          </cell>
          <cell r="C762" t="str">
            <v>Remonda, Ana Teresa o REMONDA, JOSÉ Ignacio</v>
          </cell>
          <cell r="G762">
            <v>1829597.8</v>
          </cell>
          <cell r="H762">
            <v>1829597.8</v>
          </cell>
          <cell r="I762" t="str">
            <v>465</v>
          </cell>
        </row>
        <row r="763">
          <cell r="A763" t="str">
            <v>ARS</v>
          </cell>
          <cell r="B763" t="str">
            <v>465001257</v>
          </cell>
          <cell r="C763" t="str">
            <v>COMAR Construcciones SRL</v>
          </cell>
          <cell r="G763">
            <v>136499177.12</v>
          </cell>
          <cell r="H763">
            <v>136499177.12</v>
          </cell>
          <cell r="I763" t="str">
            <v>465</v>
          </cell>
        </row>
        <row r="764">
          <cell r="A764" t="str">
            <v>ARS</v>
          </cell>
          <cell r="B764" t="str">
            <v>465001261</v>
          </cell>
          <cell r="C764" t="str">
            <v>Argeo SRL</v>
          </cell>
          <cell r="G764">
            <v>284022301.58999997</v>
          </cell>
          <cell r="H764">
            <v>284022301.58999997</v>
          </cell>
          <cell r="I764" t="str">
            <v>465</v>
          </cell>
        </row>
        <row r="765">
          <cell r="A765" t="str">
            <v>ARS</v>
          </cell>
          <cell r="B765" t="str">
            <v>465001269</v>
          </cell>
          <cell r="C765" t="str">
            <v>Depretto MONTOYA, Ismael SEBASTIAN</v>
          </cell>
          <cell r="G765">
            <v>418672.27</v>
          </cell>
          <cell r="H765">
            <v>418672.27</v>
          </cell>
          <cell r="I765" t="str">
            <v>465</v>
          </cell>
        </row>
        <row r="766">
          <cell r="A766" t="str">
            <v>ARS</v>
          </cell>
          <cell r="B766" t="str">
            <v>465001270</v>
          </cell>
          <cell r="C766" t="str">
            <v>Trener, Karen Aylen</v>
          </cell>
          <cell r="G766">
            <v>9244355.9199999999</v>
          </cell>
          <cell r="H766">
            <v>9244355.9199999999</v>
          </cell>
          <cell r="I766" t="str">
            <v>465</v>
          </cell>
        </row>
        <row r="767">
          <cell r="A767" t="str">
            <v>ARS</v>
          </cell>
          <cell r="B767" t="str">
            <v>465001279</v>
          </cell>
          <cell r="C767" t="str">
            <v>[C.E.R.A] - De Francisco Angel Eduardo</v>
          </cell>
          <cell r="G767">
            <v>841.4</v>
          </cell>
          <cell r="H767">
            <v>841.4</v>
          </cell>
          <cell r="I767" t="str">
            <v>465</v>
          </cell>
        </row>
        <row r="768">
          <cell r="A768" t="str">
            <v>ARS</v>
          </cell>
          <cell r="B768" t="str">
            <v>465001283</v>
          </cell>
          <cell r="C768" t="str">
            <v xml:space="preserve"> [C.E.R.A] - Vocos Brouwer De Koning Ruy , Augusto</v>
          </cell>
          <cell r="G768">
            <v>239430</v>
          </cell>
          <cell r="H768">
            <v>239430</v>
          </cell>
          <cell r="I768" t="str">
            <v>465</v>
          </cell>
        </row>
        <row r="769">
          <cell r="A769" t="str">
            <v>ARS</v>
          </cell>
          <cell r="B769" t="str">
            <v>465001285</v>
          </cell>
          <cell r="C769" t="str">
            <v>Gancedo, Sofia</v>
          </cell>
          <cell r="G769">
            <v>63094.9</v>
          </cell>
          <cell r="H769">
            <v>63094.9</v>
          </cell>
          <cell r="I769" t="str">
            <v>465</v>
          </cell>
        </row>
        <row r="770">
          <cell r="A770" t="str">
            <v>ARS</v>
          </cell>
          <cell r="B770" t="str">
            <v>465001287</v>
          </cell>
          <cell r="C770" t="str">
            <v>Daghero, Fabian</v>
          </cell>
          <cell r="G770">
            <v>20289512.129999999</v>
          </cell>
          <cell r="H770">
            <v>20289512.129999999</v>
          </cell>
          <cell r="I770" t="str">
            <v>465</v>
          </cell>
        </row>
        <row r="771">
          <cell r="A771" t="str">
            <v>ARS</v>
          </cell>
          <cell r="B771" t="str">
            <v>465001293</v>
          </cell>
          <cell r="C771" t="str">
            <v>Vignau, Santiago Tomas</v>
          </cell>
          <cell r="G771">
            <v>3569545.57</v>
          </cell>
          <cell r="H771">
            <v>3569545.57</v>
          </cell>
          <cell r="I771" t="str">
            <v>465</v>
          </cell>
        </row>
        <row r="772">
          <cell r="A772" t="str">
            <v>ARS</v>
          </cell>
          <cell r="B772" t="str">
            <v>465001295</v>
          </cell>
          <cell r="C772" t="str">
            <v>Marrama, Gabriel</v>
          </cell>
          <cell r="G772">
            <v>100223377.09999999</v>
          </cell>
          <cell r="H772">
            <v>100223377.09999999</v>
          </cell>
          <cell r="I772" t="str">
            <v>465</v>
          </cell>
        </row>
        <row r="773">
          <cell r="A773" t="str">
            <v>ARS</v>
          </cell>
          <cell r="B773" t="str">
            <v>465001296</v>
          </cell>
          <cell r="C773" t="str">
            <v>RYSER David Enrique</v>
          </cell>
          <cell r="G773">
            <v>3278745</v>
          </cell>
          <cell r="H773">
            <v>3278745</v>
          </cell>
          <cell r="I773" t="str">
            <v>465</v>
          </cell>
        </row>
        <row r="774">
          <cell r="A774" t="str">
            <v>ARS</v>
          </cell>
          <cell r="B774" t="str">
            <v>465001297</v>
          </cell>
          <cell r="C774" t="str">
            <v>RC PLEGADOS SAS</v>
          </cell>
          <cell r="G774">
            <v>10423604.5</v>
          </cell>
          <cell r="H774">
            <v>10423604.5</v>
          </cell>
          <cell r="I774" t="str">
            <v>465</v>
          </cell>
        </row>
        <row r="775">
          <cell r="A775" t="str">
            <v>ARS</v>
          </cell>
          <cell r="B775" t="str">
            <v>465001305</v>
          </cell>
          <cell r="C775" t="str">
            <v>Trener, Ariel Arturo</v>
          </cell>
          <cell r="G775">
            <v>27800</v>
          </cell>
          <cell r="H775">
            <v>27800</v>
          </cell>
          <cell r="I775" t="str">
            <v>465</v>
          </cell>
        </row>
        <row r="776">
          <cell r="A776" t="str">
            <v>ARS</v>
          </cell>
          <cell r="B776" t="str">
            <v>465001306</v>
          </cell>
          <cell r="C776" t="str">
            <v>Zablosky, Tomas</v>
          </cell>
          <cell r="G776">
            <v>33679038.840000004</v>
          </cell>
          <cell r="H776">
            <v>33679038.840000004</v>
          </cell>
          <cell r="I776" t="str">
            <v>465</v>
          </cell>
        </row>
        <row r="777">
          <cell r="A777" t="str">
            <v>ARS</v>
          </cell>
          <cell r="B777" t="str">
            <v>465001314</v>
          </cell>
          <cell r="C777" t="str">
            <v>Quintal Agross SRL</v>
          </cell>
          <cell r="G777">
            <v>31549695.690000001</v>
          </cell>
          <cell r="H777">
            <v>31549695.690000001</v>
          </cell>
          <cell r="I777" t="str">
            <v>465</v>
          </cell>
        </row>
        <row r="778">
          <cell r="A778" t="str">
            <v>ARS</v>
          </cell>
          <cell r="B778" t="str">
            <v>465001315</v>
          </cell>
          <cell r="C778" t="str">
            <v>Castelló, Julieta María</v>
          </cell>
          <cell r="G778">
            <v>13054905.039999999</v>
          </cell>
          <cell r="H778">
            <v>13054905.039999999</v>
          </cell>
          <cell r="I778" t="str">
            <v>465</v>
          </cell>
        </row>
        <row r="779">
          <cell r="A779" t="str">
            <v>ARS</v>
          </cell>
          <cell r="B779" t="str">
            <v>465001317</v>
          </cell>
          <cell r="C779" t="str">
            <v>Lopez, Vanina Soledad De Lourdes</v>
          </cell>
          <cell r="G779">
            <v>3194809.33</v>
          </cell>
          <cell r="H779">
            <v>3194809.33</v>
          </cell>
          <cell r="I779" t="str">
            <v>465</v>
          </cell>
        </row>
        <row r="780">
          <cell r="A780" t="str">
            <v>ARS</v>
          </cell>
          <cell r="B780" t="str">
            <v>465001318</v>
          </cell>
          <cell r="C780" t="str">
            <v>Grimaux, Laura María</v>
          </cell>
          <cell r="G780">
            <v>11757322.449999999</v>
          </cell>
          <cell r="H780">
            <v>11757322.449999999</v>
          </cell>
          <cell r="I780" t="str">
            <v>465</v>
          </cell>
        </row>
        <row r="781">
          <cell r="A781" t="str">
            <v>ARS</v>
          </cell>
          <cell r="B781" t="str">
            <v>465001320</v>
          </cell>
          <cell r="C781" t="str">
            <v>[C.E.R.A.] Gallo, Alejandro Gustavo</v>
          </cell>
          <cell r="G781">
            <v>306812527</v>
          </cell>
          <cell r="H781">
            <v>306812527</v>
          </cell>
          <cell r="I781" t="str">
            <v>465</v>
          </cell>
        </row>
        <row r="782">
          <cell r="A782" t="str">
            <v>ARS</v>
          </cell>
          <cell r="B782" t="str">
            <v>465001322</v>
          </cell>
          <cell r="C782" t="str">
            <v>Rosenberg, Luis</v>
          </cell>
          <cell r="G782">
            <v>8062898.5</v>
          </cell>
          <cell r="H782">
            <v>8062898.5</v>
          </cell>
          <cell r="I782" t="str">
            <v>465</v>
          </cell>
        </row>
        <row r="783">
          <cell r="A783" t="str">
            <v>ARS</v>
          </cell>
          <cell r="B783" t="str">
            <v>465001325</v>
          </cell>
          <cell r="C783" t="str">
            <v>RUBIANO IVAN Y CRISTIAN SH</v>
          </cell>
          <cell r="G783">
            <v>6949702</v>
          </cell>
          <cell r="H783">
            <v>6949702</v>
          </cell>
          <cell r="I783" t="str">
            <v>465</v>
          </cell>
        </row>
        <row r="784">
          <cell r="A784" t="str">
            <v>ARS</v>
          </cell>
          <cell r="B784" t="str">
            <v>465001327</v>
          </cell>
          <cell r="C784" t="str">
            <v xml:space="preserve">Castro, Juan Manuel </v>
          </cell>
          <cell r="G784">
            <v>4632598</v>
          </cell>
          <cell r="H784">
            <v>4632598</v>
          </cell>
          <cell r="I784" t="str">
            <v>465</v>
          </cell>
        </row>
        <row r="785">
          <cell r="A785" t="str">
            <v>ARS</v>
          </cell>
          <cell r="B785" t="str">
            <v>465001329</v>
          </cell>
          <cell r="C785" t="str">
            <v>Gallo, Alejandro Gustavo</v>
          </cell>
          <cell r="G785">
            <v>191825501.00999999</v>
          </cell>
          <cell r="H785">
            <v>191825501.00999999</v>
          </cell>
          <cell r="I785" t="str">
            <v>465</v>
          </cell>
        </row>
        <row r="786">
          <cell r="A786" t="str">
            <v>ARS</v>
          </cell>
          <cell r="B786" t="str">
            <v>465001330</v>
          </cell>
          <cell r="C786" t="str">
            <v>LUIS ANGEL LANCIONI S.R.L.</v>
          </cell>
          <cell r="G786">
            <v>68439514.079999998</v>
          </cell>
          <cell r="H786">
            <v>68439514.079999998</v>
          </cell>
          <cell r="I786" t="str">
            <v>465</v>
          </cell>
        </row>
        <row r="787">
          <cell r="A787" t="str">
            <v>ARS</v>
          </cell>
          <cell r="B787" t="str">
            <v>465001332</v>
          </cell>
          <cell r="C787" t="str">
            <v>Rencoret, Maria Mercedes</v>
          </cell>
          <cell r="G787">
            <v>4566725</v>
          </cell>
          <cell r="H787">
            <v>4566725</v>
          </cell>
          <cell r="I787" t="str">
            <v>465</v>
          </cell>
        </row>
        <row r="788">
          <cell r="A788" t="str">
            <v>ARS</v>
          </cell>
          <cell r="B788" t="str">
            <v>465001333</v>
          </cell>
          <cell r="C788" t="str">
            <v>Chacon, Guillermo Raul</v>
          </cell>
          <cell r="G788">
            <v>18095256.23</v>
          </cell>
          <cell r="H788">
            <v>18095256.23</v>
          </cell>
          <cell r="I788" t="str">
            <v>465</v>
          </cell>
        </row>
        <row r="789">
          <cell r="A789" t="str">
            <v>ARS</v>
          </cell>
          <cell r="B789" t="str">
            <v>465001334</v>
          </cell>
          <cell r="C789" t="str">
            <v>Palomeque, Ivana Cecilia</v>
          </cell>
          <cell r="G789">
            <v>7436270.7999999998</v>
          </cell>
          <cell r="H789">
            <v>7436270.7999999998</v>
          </cell>
          <cell r="I789" t="str">
            <v>465</v>
          </cell>
        </row>
        <row r="790">
          <cell r="A790" t="str">
            <v>ARS</v>
          </cell>
          <cell r="B790" t="str">
            <v>465001338</v>
          </cell>
          <cell r="C790" t="str">
            <v>Gaido, Maria Fernanda</v>
          </cell>
          <cell r="G790">
            <v>257944</v>
          </cell>
          <cell r="H790">
            <v>257944</v>
          </cell>
          <cell r="I790" t="str">
            <v>465</v>
          </cell>
        </row>
        <row r="791">
          <cell r="A791" t="str">
            <v>ARS</v>
          </cell>
          <cell r="B791" t="str">
            <v>465001342</v>
          </cell>
          <cell r="C791" t="str">
            <v>Hernandorena, Walter Claudio</v>
          </cell>
          <cell r="G791">
            <v>12084722</v>
          </cell>
          <cell r="H791">
            <v>12084722</v>
          </cell>
          <cell r="I791" t="str">
            <v>465</v>
          </cell>
        </row>
        <row r="792">
          <cell r="A792" t="str">
            <v>ARS</v>
          </cell>
          <cell r="B792" t="str">
            <v>465001344</v>
          </cell>
          <cell r="C792" t="str">
            <v xml:space="preserve">Trener, Melanie </v>
          </cell>
          <cell r="G792">
            <v>450604.79999999999</v>
          </cell>
          <cell r="H792">
            <v>450604.79999999999</v>
          </cell>
          <cell r="I792" t="str">
            <v>465</v>
          </cell>
        </row>
        <row r="793">
          <cell r="A793" t="str">
            <v>ARS</v>
          </cell>
          <cell r="B793" t="str">
            <v>465001345</v>
          </cell>
          <cell r="C793" t="str">
            <v>Faustini, Jorge Ariel</v>
          </cell>
          <cell r="G793">
            <v>12087600</v>
          </cell>
          <cell r="H793">
            <v>12087600</v>
          </cell>
          <cell r="I793" t="str">
            <v>465</v>
          </cell>
        </row>
        <row r="794">
          <cell r="A794" t="str">
            <v>ARS</v>
          </cell>
          <cell r="B794" t="str">
            <v>465001349</v>
          </cell>
          <cell r="C794" t="str">
            <v>EL CARRIZAL S.R.L.</v>
          </cell>
          <cell r="G794">
            <v>68568591.900000006</v>
          </cell>
          <cell r="H794">
            <v>68568591.900000006</v>
          </cell>
          <cell r="I794" t="str">
            <v>465</v>
          </cell>
        </row>
        <row r="795">
          <cell r="A795" t="str">
            <v>ARS</v>
          </cell>
          <cell r="B795" t="str">
            <v>465001351</v>
          </cell>
          <cell r="C795" t="str">
            <v>Maza, Pablo Cesar</v>
          </cell>
          <cell r="G795">
            <v>30115244</v>
          </cell>
          <cell r="H795">
            <v>30115244</v>
          </cell>
          <cell r="I795" t="str">
            <v>465</v>
          </cell>
        </row>
        <row r="796">
          <cell r="A796" t="str">
            <v>ARS</v>
          </cell>
          <cell r="B796" t="str">
            <v>465001353</v>
          </cell>
          <cell r="C796" t="str">
            <v>LA UTOPIA SAS</v>
          </cell>
          <cell r="G796">
            <v>1487094640.6900001</v>
          </cell>
          <cell r="H796">
            <v>1487094640.6900001</v>
          </cell>
          <cell r="I796" t="str">
            <v>465</v>
          </cell>
        </row>
        <row r="797">
          <cell r="A797" t="str">
            <v>ARS</v>
          </cell>
          <cell r="B797" t="str">
            <v>465001354</v>
          </cell>
          <cell r="C797" t="str">
            <v>Molina, Natalia Lucila</v>
          </cell>
          <cell r="G797">
            <v>56062.5</v>
          </cell>
          <cell r="H797">
            <v>56062.5</v>
          </cell>
          <cell r="I797" t="str">
            <v>465</v>
          </cell>
        </row>
        <row r="798">
          <cell r="A798" t="str">
            <v>ARS</v>
          </cell>
          <cell r="B798" t="str">
            <v>465001355</v>
          </cell>
          <cell r="C798" t="str">
            <v>Bizzarri, Maria Soledad</v>
          </cell>
          <cell r="G798">
            <v>13767033.73</v>
          </cell>
          <cell r="H798">
            <v>13767033.73</v>
          </cell>
          <cell r="I798" t="str">
            <v>465</v>
          </cell>
        </row>
        <row r="799">
          <cell r="A799" t="str">
            <v>ARS</v>
          </cell>
          <cell r="B799" t="str">
            <v>465001356</v>
          </cell>
          <cell r="C799" t="str">
            <v>Leal Marchena, Mauro Augusto</v>
          </cell>
          <cell r="G799">
            <v>2367750</v>
          </cell>
          <cell r="H799">
            <v>2367750</v>
          </cell>
          <cell r="I799" t="str">
            <v>465</v>
          </cell>
        </row>
        <row r="800">
          <cell r="A800" t="str">
            <v>ARS</v>
          </cell>
          <cell r="B800" t="str">
            <v>465001358</v>
          </cell>
          <cell r="C800" t="str">
            <v>CASNEM S.A.</v>
          </cell>
          <cell r="G800">
            <v>73998673.189999998</v>
          </cell>
          <cell r="H800">
            <v>73998673.189999998</v>
          </cell>
          <cell r="I800" t="str">
            <v>465</v>
          </cell>
        </row>
        <row r="801">
          <cell r="A801" t="str">
            <v>ARS</v>
          </cell>
          <cell r="B801" t="str">
            <v>465001359</v>
          </cell>
          <cell r="C801" t="str">
            <v>GUACALUZ S.R.L.</v>
          </cell>
          <cell r="G801">
            <v>34346758.159999996</v>
          </cell>
          <cell r="H801">
            <v>34346758.159999996</v>
          </cell>
          <cell r="I801" t="str">
            <v>465</v>
          </cell>
        </row>
        <row r="802">
          <cell r="A802" t="str">
            <v>ARS</v>
          </cell>
          <cell r="B802" t="str">
            <v>465001360</v>
          </cell>
          <cell r="C802" t="str">
            <v>ESTANCIA MARIA GLORIA S.A.</v>
          </cell>
          <cell r="G802">
            <v>34338941.140000001</v>
          </cell>
          <cell r="H802">
            <v>34338941.140000001</v>
          </cell>
          <cell r="I802" t="str">
            <v>465</v>
          </cell>
        </row>
        <row r="803">
          <cell r="A803" t="str">
            <v>ARS</v>
          </cell>
          <cell r="B803" t="str">
            <v>465001365</v>
          </cell>
          <cell r="C803" t="str">
            <v>MOCASSINO S.A.</v>
          </cell>
          <cell r="G803">
            <v>12717086.24</v>
          </cell>
          <cell r="H803">
            <v>12717086.24</v>
          </cell>
          <cell r="I803" t="str">
            <v>465</v>
          </cell>
        </row>
        <row r="804">
          <cell r="A804" t="str">
            <v>ARS</v>
          </cell>
          <cell r="B804" t="str">
            <v>465001367</v>
          </cell>
          <cell r="C804" t="str">
            <v>Ramos, Gustavo Jose</v>
          </cell>
          <cell r="G804">
            <v>39830263</v>
          </cell>
          <cell r="H804">
            <v>39830263</v>
          </cell>
          <cell r="I804" t="str">
            <v>465</v>
          </cell>
        </row>
        <row r="805">
          <cell r="A805" t="str">
            <v>ARS</v>
          </cell>
          <cell r="B805" t="str">
            <v>465001369</v>
          </cell>
          <cell r="C805" t="str">
            <v>Guzman, Alejandro Agustin</v>
          </cell>
          <cell r="G805">
            <v>70232781</v>
          </cell>
          <cell r="H805">
            <v>70232781</v>
          </cell>
          <cell r="I805" t="str">
            <v>465</v>
          </cell>
        </row>
        <row r="806">
          <cell r="A806" t="str">
            <v>ARS</v>
          </cell>
          <cell r="B806" t="str">
            <v>465001370</v>
          </cell>
          <cell r="C806" t="str">
            <v>S.GR.A CREATIN S.A.S.</v>
          </cell>
          <cell r="G806">
            <v>16717379.68</v>
          </cell>
          <cell r="H806">
            <v>16717379.68</v>
          </cell>
          <cell r="I806" t="str">
            <v>465</v>
          </cell>
        </row>
        <row r="807">
          <cell r="A807" t="str">
            <v>ARS</v>
          </cell>
          <cell r="B807" t="str">
            <v>465001371</v>
          </cell>
          <cell r="C807" t="str">
            <v>Bonangelino, Valentino Hugo</v>
          </cell>
          <cell r="G807">
            <v>994523432.22000003</v>
          </cell>
          <cell r="H807">
            <v>994523432.22000003</v>
          </cell>
          <cell r="I807" t="str">
            <v>465</v>
          </cell>
        </row>
        <row r="808">
          <cell r="A808" t="str">
            <v>ARS</v>
          </cell>
          <cell r="B808" t="str">
            <v>465001377</v>
          </cell>
          <cell r="C808" t="str">
            <v>Garcia Vieyra Gigena, Carlos Elias</v>
          </cell>
          <cell r="G808">
            <v>10813892.779999999</v>
          </cell>
          <cell r="H808">
            <v>10813892.779999999</v>
          </cell>
          <cell r="I808" t="str">
            <v>465</v>
          </cell>
        </row>
        <row r="809">
          <cell r="A809" t="str">
            <v>ARS</v>
          </cell>
          <cell r="B809" t="str">
            <v>465001378</v>
          </cell>
          <cell r="C809" t="str">
            <v>Tropini, Sebastián Alberto</v>
          </cell>
          <cell r="G809">
            <v>50893037.920000002</v>
          </cell>
          <cell r="H809">
            <v>50893037.920000002</v>
          </cell>
          <cell r="I809" t="str">
            <v>465</v>
          </cell>
        </row>
        <row r="810">
          <cell r="A810" t="str">
            <v>ARS</v>
          </cell>
          <cell r="B810" t="str">
            <v>465001381</v>
          </cell>
          <cell r="C810" t="str">
            <v>Ratti, Marcelo Julio</v>
          </cell>
          <cell r="G810">
            <v>96424</v>
          </cell>
          <cell r="H810">
            <v>96424</v>
          </cell>
          <cell r="I810" t="str">
            <v>465</v>
          </cell>
        </row>
        <row r="811">
          <cell r="A811" t="str">
            <v>ARS</v>
          </cell>
          <cell r="B811" t="str">
            <v>465001386</v>
          </cell>
          <cell r="C811" t="str">
            <v>R&amp;R INGENIERIA S.A</v>
          </cell>
          <cell r="G811">
            <v>18777871.800000001</v>
          </cell>
          <cell r="H811">
            <v>18777871.800000001</v>
          </cell>
          <cell r="I811" t="str">
            <v>465</v>
          </cell>
        </row>
        <row r="812">
          <cell r="A812" t="str">
            <v>ARS</v>
          </cell>
          <cell r="B812" t="str">
            <v>465001387</v>
          </cell>
          <cell r="C812" t="str">
            <v>CERAMICOS MARGARITA S.R.L.</v>
          </cell>
          <cell r="G812">
            <v>8498037.0700000003</v>
          </cell>
          <cell r="H812">
            <v>8498037.0700000003</v>
          </cell>
          <cell r="I812" t="str">
            <v>465</v>
          </cell>
        </row>
        <row r="813">
          <cell r="A813" t="str">
            <v>ARS</v>
          </cell>
          <cell r="B813" t="str">
            <v>465001393</v>
          </cell>
          <cell r="C813" t="str">
            <v>HIDROTECH ARGENTINA S.A.</v>
          </cell>
          <cell r="G813">
            <v>1068427</v>
          </cell>
          <cell r="H813">
            <v>1068427</v>
          </cell>
          <cell r="I813" t="str">
            <v>465</v>
          </cell>
        </row>
        <row r="814">
          <cell r="A814" t="str">
            <v>ARS</v>
          </cell>
          <cell r="B814" t="str">
            <v>465001394</v>
          </cell>
          <cell r="C814" t="str">
            <v xml:space="preserve">Staricco, Claudio Leonardo </v>
          </cell>
          <cell r="G814">
            <v>1282885696.5</v>
          </cell>
          <cell r="H814">
            <v>1282885696.5</v>
          </cell>
          <cell r="I814" t="str">
            <v>465</v>
          </cell>
        </row>
        <row r="815">
          <cell r="A815" t="str">
            <v>ARS</v>
          </cell>
          <cell r="B815" t="str">
            <v>465001395</v>
          </cell>
          <cell r="C815" t="str">
            <v>Mercado, Claudio Federico</v>
          </cell>
          <cell r="G815">
            <v>27603565</v>
          </cell>
          <cell r="H815">
            <v>27603565</v>
          </cell>
          <cell r="I815" t="str">
            <v>465</v>
          </cell>
        </row>
        <row r="816">
          <cell r="A816" t="str">
            <v>ARS</v>
          </cell>
          <cell r="B816" t="str">
            <v>465001399</v>
          </cell>
          <cell r="C816" t="str">
            <v>Martinez, David Ariel</v>
          </cell>
          <cell r="G816">
            <v>7867195</v>
          </cell>
          <cell r="H816">
            <v>7867195</v>
          </cell>
          <cell r="I816" t="str">
            <v>465</v>
          </cell>
        </row>
        <row r="817">
          <cell r="A817" t="str">
            <v>ARS</v>
          </cell>
          <cell r="B817" t="str">
            <v>465001400</v>
          </cell>
          <cell r="C817" t="str">
            <v>Castillo, Servando del Rosario</v>
          </cell>
          <cell r="G817">
            <v>29974571.530000001</v>
          </cell>
          <cell r="H817">
            <v>29974571.530000001</v>
          </cell>
          <cell r="I817" t="str">
            <v>465</v>
          </cell>
        </row>
        <row r="818">
          <cell r="A818" t="str">
            <v>ARS</v>
          </cell>
          <cell r="B818" t="str">
            <v>465001401</v>
          </cell>
          <cell r="C818" t="str">
            <v>Rossi, Velia Maria</v>
          </cell>
          <cell r="G818">
            <v>3001241.2</v>
          </cell>
          <cell r="H818">
            <v>3001241.2</v>
          </cell>
          <cell r="I818" t="str">
            <v>465</v>
          </cell>
        </row>
        <row r="819">
          <cell r="A819" t="str">
            <v>ARS</v>
          </cell>
          <cell r="B819" t="str">
            <v>465001407</v>
          </cell>
          <cell r="C819" t="str">
            <v>Sager, Leandro Emanuel</v>
          </cell>
          <cell r="G819">
            <v>4111380</v>
          </cell>
          <cell r="H819">
            <v>4111380</v>
          </cell>
          <cell r="I819" t="str">
            <v>465</v>
          </cell>
        </row>
        <row r="820">
          <cell r="A820" t="str">
            <v>ARS</v>
          </cell>
          <cell r="B820" t="str">
            <v>465001410</v>
          </cell>
          <cell r="C820" t="str">
            <v>Bazan, Hugo Eduardo</v>
          </cell>
          <cell r="G820">
            <v>10868925.960000001</v>
          </cell>
          <cell r="H820">
            <v>10868925.960000001</v>
          </cell>
          <cell r="I820" t="str">
            <v>465</v>
          </cell>
        </row>
        <row r="821">
          <cell r="A821" t="str">
            <v>ARS</v>
          </cell>
          <cell r="B821" t="str">
            <v>465001411</v>
          </cell>
          <cell r="C821" t="str">
            <v>BERTINO, CARLOS OMAR</v>
          </cell>
          <cell r="G821">
            <v>5006224</v>
          </cell>
          <cell r="H821">
            <v>5006224</v>
          </cell>
          <cell r="I821" t="str">
            <v>465</v>
          </cell>
        </row>
        <row r="822">
          <cell r="A822" t="str">
            <v>ARS</v>
          </cell>
          <cell r="B822" t="str">
            <v>465001412</v>
          </cell>
          <cell r="C822" t="str">
            <v>Padilla, Maria Susana</v>
          </cell>
          <cell r="G822">
            <v>3880168.66</v>
          </cell>
          <cell r="H822">
            <v>3880168.66</v>
          </cell>
          <cell r="I822" t="str">
            <v>465</v>
          </cell>
        </row>
        <row r="823">
          <cell r="A823" t="str">
            <v>ARS</v>
          </cell>
          <cell r="B823" t="str">
            <v>465001413</v>
          </cell>
          <cell r="C823" t="str">
            <v>ALIMENTARIA SAN FRANCISCO S.A</v>
          </cell>
          <cell r="G823">
            <v>48970319.869999997</v>
          </cell>
          <cell r="H823">
            <v>48970319.869999997</v>
          </cell>
          <cell r="I823" t="str">
            <v>465</v>
          </cell>
        </row>
        <row r="824">
          <cell r="A824" t="str">
            <v>ARS</v>
          </cell>
          <cell r="B824" t="str">
            <v>465001418</v>
          </cell>
          <cell r="C824" t="str">
            <v>FIORI COMERCIAL SRL</v>
          </cell>
          <cell r="G824">
            <v>170972741.84999999</v>
          </cell>
          <cell r="H824">
            <v>170972741.84999999</v>
          </cell>
          <cell r="I824" t="str">
            <v>465</v>
          </cell>
        </row>
        <row r="825">
          <cell r="A825" t="str">
            <v>ARS</v>
          </cell>
          <cell r="B825" t="str">
            <v>465001423</v>
          </cell>
          <cell r="C825" t="str">
            <v>ADJ S.R.L.</v>
          </cell>
          <cell r="G825">
            <v>31442889.780000001</v>
          </cell>
          <cell r="H825">
            <v>31442889.780000001</v>
          </cell>
          <cell r="I825" t="str">
            <v>465</v>
          </cell>
        </row>
        <row r="826">
          <cell r="A826" t="str">
            <v>ARS</v>
          </cell>
          <cell r="B826" t="str">
            <v>465001424</v>
          </cell>
          <cell r="C826" t="str">
            <v>FADISAL SRL</v>
          </cell>
          <cell r="G826">
            <v>30452985</v>
          </cell>
          <cell r="H826">
            <v>30452985</v>
          </cell>
          <cell r="I826" t="str">
            <v>465</v>
          </cell>
        </row>
        <row r="827">
          <cell r="A827" t="str">
            <v>ARS</v>
          </cell>
          <cell r="B827" t="str">
            <v>479005000</v>
          </cell>
          <cell r="C827" t="str">
            <v>CUENTA ERROR ( SUPERVIELLE AGENTE DE NEGOCIACION S.A.U)</v>
          </cell>
          <cell r="G827">
            <v>85031044829</v>
          </cell>
          <cell r="H827">
            <v>85031044829</v>
          </cell>
          <cell r="I827" t="str">
            <v>479</v>
          </cell>
        </row>
        <row r="828">
          <cell r="A828" t="str">
            <v>ARS</v>
          </cell>
          <cell r="B828" t="str">
            <v>479005014</v>
          </cell>
          <cell r="C828" t="str">
            <v>CORPORACION MEDICA DE GRAL SAN MARTIN S A</v>
          </cell>
          <cell r="G828">
            <v>99457354</v>
          </cell>
          <cell r="H828">
            <v>99457354</v>
          </cell>
          <cell r="I828" t="str">
            <v>479</v>
          </cell>
        </row>
        <row r="829">
          <cell r="A829" t="str">
            <v>ARS</v>
          </cell>
          <cell r="B829" t="str">
            <v>479005018</v>
          </cell>
          <cell r="C829" t="str">
            <v>SUPERVIELLE ASSET MANAGEMENT S.A</v>
          </cell>
          <cell r="G829">
            <v>1338260000</v>
          </cell>
          <cell r="H829">
            <v>1338260000</v>
          </cell>
          <cell r="I829" t="str">
            <v>479</v>
          </cell>
        </row>
        <row r="830">
          <cell r="A830" t="str">
            <v>ARS</v>
          </cell>
          <cell r="B830" t="str">
            <v>479005019</v>
          </cell>
          <cell r="C830" t="str">
            <v>SUPERVIELLE SEGUROS S.A.</v>
          </cell>
          <cell r="G830">
            <v>1854430500</v>
          </cell>
          <cell r="H830">
            <v>1854430500</v>
          </cell>
          <cell r="I830" t="str">
            <v>479</v>
          </cell>
        </row>
        <row r="831">
          <cell r="A831" t="str">
            <v>ARS</v>
          </cell>
          <cell r="B831" t="str">
            <v>479005023</v>
          </cell>
          <cell r="C831" t="str">
            <v>EMPRESA DISTRIBUIDORA DE ELECTRICIDAD DEL ESTE SOCIEDAD ANONIMA</v>
          </cell>
          <cell r="G831">
            <v>2853000000</v>
          </cell>
          <cell r="H831">
            <v>2853000000</v>
          </cell>
          <cell r="I831" t="str">
            <v>479</v>
          </cell>
        </row>
        <row r="832">
          <cell r="A832" t="str">
            <v>ARS</v>
          </cell>
          <cell r="B832" t="str">
            <v>479005028</v>
          </cell>
          <cell r="C832" t="str">
            <v>LA MORALEJA SOCIEDAD ANONIMA</v>
          </cell>
          <cell r="G832">
            <v>416721551.38</v>
          </cell>
          <cell r="H832">
            <v>416721551.38</v>
          </cell>
          <cell r="I832" t="str">
            <v>479</v>
          </cell>
        </row>
        <row r="833">
          <cell r="A833" t="str">
            <v>ARS</v>
          </cell>
          <cell r="B833" t="str">
            <v>479005036</v>
          </cell>
          <cell r="C833" t="str">
            <v>HECTOR A. BERTONE S.A.</v>
          </cell>
          <cell r="G833">
            <v>838883080.13999999</v>
          </cell>
          <cell r="H833">
            <v>838883080.13999999</v>
          </cell>
          <cell r="I833" t="str">
            <v>479</v>
          </cell>
        </row>
        <row r="834">
          <cell r="A834" t="str">
            <v>ARS</v>
          </cell>
          <cell r="B834" t="str">
            <v>479005048</v>
          </cell>
          <cell r="C834" t="str">
            <v>MURESCO S.A.</v>
          </cell>
          <cell r="G834">
            <v>100000384</v>
          </cell>
          <cell r="H834">
            <v>100000384</v>
          </cell>
          <cell r="I834" t="str">
            <v>479</v>
          </cell>
        </row>
        <row r="835">
          <cell r="A835" t="str">
            <v>ARS</v>
          </cell>
          <cell r="B835" t="str">
            <v>479005065</v>
          </cell>
          <cell r="C835" t="str">
            <v>DESDELSUR S A</v>
          </cell>
          <cell r="G835">
            <v>647248231.75999999</v>
          </cell>
          <cell r="H835">
            <v>647248231.75999999</v>
          </cell>
          <cell r="I835" t="str">
            <v>479</v>
          </cell>
        </row>
        <row r="836">
          <cell r="A836" t="str">
            <v>ARS</v>
          </cell>
          <cell r="B836" t="str">
            <v>479005072</v>
          </cell>
          <cell r="C836" t="str">
            <v>CECSAGAL</v>
          </cell>
          <cell r="G836">
            <v>813773442.47000003</v>
          </cell>
          <cell r="H836">
            <v>813773442.47000003</v>
          </cell>
          <cell r="I836" t="str">
            <v>479</v>
          </cell>
        </row>
        <row r="837">
          <cell r="A837" t="str">
            <v>ARS</v>
          </cell>
          <cell r="B837" t="str">
            <v>479005100</v>
          </cell>
          <cell r="C837" t="str">
            <v>MILLAN S A</v>
          </cell>
          <cell r="G837">
            <v>2000000000.3699999</v>
          </cell>
          <cell r="H837">
            <v>2000000000.3699999</v>
          </cell>
          <cell r="I837" t="str">
            <v>479</v>
          </cell>
        </row>
        <row r="838">
          <cell r="A838" t="str">
            <v>ARS</v>
          </cell>
          <cell r="B838" t="str">
            <v>479005134</v>
          </cell>
          <cell r="C838" t="str">
            <v>SUPERVIELLE PRODUCTORES ASESORES DE SEGUROS S.A.</v>
          </cell>
          <cell r="G838">
            <v>299906400</v>
          </cell>
          <cell r="H838">
            <v>299906400</v>
          </cell>
          <cell r="I838" t="str">
            <v>479</v>
          </cell>
        </row>
        <row r="839">
          <cell r="A839" t="str">
            <v>ARS</v>
          </cell>
          <cell r="B839" t="str">
            <v>479005171</v>
          </cell>
          <cell r="C839" t="str">
            <v>S.N.F. ARGENTINA S.R.L.</v>
          </cell>
          <cell r="G839">
            <v>438200001.13999999</v>
          </cell>
          <cell r="H839">
            <v>438200001.13999999</v>
          </cell>
          <cell r="I839" t="str">
            <v>479</v>
          </cell>
        </row>
        <row r="840">
          <cell r="A840" t="str">
            <v>ARS</v>
          </cell>
          <cell r="B840" t="str">
            <v>479005203</v>
          </cell>
          <cell r="C840" t="str">
            <v>Newsan S.A</v>
          </cell>
          <cell r="G840">
            <v>203585751115.42999</v>
          </cell>
          <cell r="H840">
            <v>203585751115.42999</v>
          </cell>
          <cell r="I840" t="str">
            <v>479</v>
          </cell>
        </row>
        <row r="841">
          <cell r="A841" t="str">
            <v>ARS</v>
          </cell>
          <cell r="B841" t="str">
            <v>479005269</v>
          </cell>
          <cell r="C841" t="str">
            <v>RICARDO VENTURINO S.A.</v>
          </cell>
          <cell r="G841">
            <v>728431037.00999999</v>
          </cell>
          <cell r="H841">
            <v>728431037.00999999</v>
          </cell>
          <cell r="I841" t="str">
            <v>479</v>
          </cell>
        </row>
        <row r="842">
          <cell r="A842" t="str">
            <v>ARS</v>
          </cell>
          <cell r="B842" t="str">
            <v>479005285</v>
          </cell>
          <cell r="C842" t="str">
            <v>Fideicomiso de Afectación Específica para Garantizar a Pymes NSC</v>
          </cell>
          <cell r="G842">
            <v>18430665.670000002</v>
          </cell>
          <cell r="H842">
            <v>18430665.670000002</v>
          </cell>
          <cell r="I842" t="str">
            <v>479</v>
          </cell>
        </row>
        <row r="843">
          <cell r="A843" t="str">
            <v>ARS</v>
          </cell>
          <cell r="B843" t="str">
            <v>479005298</v>
          </cell>
          <cell r="C843" t="str">
            <v>Talleres Metalúrgicos Crucianelli S.A.</v>
          </cell>
          <cell r="G843">
            <v>1985176352.55</v>
          </cell>
          <cell r="H843">
            <v>1985176352.55</v>
          </cell>
          <cell r="I843" t="str">
            <v>479</v>
          </cell>
        </row>
        <row r="844">
          <cell r="A844" t="str">
            <v>ARS</v>
          </cell>
          <cell r="B844" t="str">
            <v>479005305</v>
          </cell>
          <cell r="C844" t="str">
            <v>SERVICIOS DRILL SA</v>
          </cell>
          <cell r="G844">
            <v>249999999.52000001</v>
          </cell>
          <cell r="H844">
            <v>249999999.52000001</v>
          </cell>
          <cell r="I844" t="str">
            <v>479</v>
          </cell>
        </row>
        <row r="845">
          <cell r="A845" t="str">
            <v>ARS</v>
          </cell>
          <cell r="B845" t="str">
            <v>479005341</v>
          </cell>
          <cell r="C845" t="str">
            <v>B G H S A</v>
          </cell>
          <cell r="G845">
            <v>343073501819.62</v>
          </cell>
          <cell r="H845">
            <v>343073501819.62</v>
          </cell>
          <cell r="I845" t="str">
            <v>479</v>
          </cell>
        </row>
        <row r="846">
          <cell r="A846" t="str">
            <v>ARS</v>
          </cell>
          <cell r="B846" t="str">
            <v>479005344</v>
          </cell>
          <cell r="C846" t="str">
            <v>TABACALERA SARANDI SA</v>
          </cell>
          <cell r="G846">
            <v>1299000000</v>
          </cell>
          <cell r="H846">
            <v>1299000000</v>
          </cell>
          <cell r="I846" t="str">
            <v>479</v>
          </cell>
        </row>
        <row r="847">
          <cell r="A847" t="str">
            <v>ARS</v>
          </cell>
          <cell r="B847" t="str">
            <v>479005352</v>
          </cell>
          <cell r="C847" t="str">
            <v>CUYO AVAL SGR</v>
          </cell>
          <cell r="G847">
            <v>52999999.990000002</v>
          </cell>
          <cell r="H847">
            <v>52999999.990000002</v>
          </cell>
          <cell r="I847" t="str">
            <v>479</v>
          </cell>
        </row>
        <row r="848">
          <cell r="A848" t="str">
            <v>ARS</v>
          </cell>
          <cell r="B848" t="str">
            <v>479005356</v>
          </cell>
          <cell r="C848" t="str">
            <v>CELA SA</v>
          </cell>
          <cell r="G848">
            <v>817225001.57000005</v>
          </cell>
          <cell r="H848">
            <v>817225001.57000005</v>
          </cell>
          <cell r="I848" t="str">
            <v>479</v>
          </cell>
        </row>
        <row r="849">
          <cell r="A849" t="str">
            <v>ARS</v>
          </cell>
          <cell r="B849" t="str">
            <v>479005372</v>
          </cell>
          <cell r="C849" t="str">
            <v>CATTORINI HNOS S A I C F E I</v>
          </cell>
          <cell r="G849">
            <v>208175077101.29999</v>
          </cell>
          <cell r="H849">
            <v>208175077101.29999</v>
          </cell>
          <cell r="I849" t="str">
            <v>479</v>
          </cell>
        </row>
        <row r="850">
          <cell r="A850" t="str">
            <v>ARS</v>
          </cell>
          <cell r="B850" t="str">
            <v>479005388</v>
          </cell>
          <cell r="C850" t="str">
            <v>HORNERO CHICO SA</v>
          </cell>
          <cell r="G850">
            <v>2259888858.6999998</v>
          </cell>
          <cell r="H850">
            <v>2259888858.6999998</v>
          </cell>
          <cell r="I850" t="str">
            <v>479</v>
          </cell>
        </row>
        <row r="851">
          <cell r="A851" t="str">
            <v>ARS</v>
          </cell>
          <cell r="B851" t="str">
            <v>479005403</v>
          </cell>
          <cell r="C851" t="str">
            <v>AGROPECUARIA MISTOL ANCHO S A</v>
          </cell>
          <cell r="G851">
            <v>348499999.12</v>
          </cell>
          <cell r="H851">
            <v>348499999.12</v>
          </cell>
          <cell r="I851" t="str">
            <v>479</v>
          </cell>
        </row>
        <row r="852">
          <cell r="A852" t="str">
            <v>ARS</v>
          </cell>
          <cell r="B852" t="str">
            <v>479005406</v>
          </cell>
          <cell r="C852" t="str">
            <v>TONOS DE VERDE S.R.L.</v>
          </cell>
          <cell r="G852">
            <v>274640706.10000002</v>
          </cell>
          <cell r="H852">
            <v>274640706.10000002</v>
          </cell>
          <cell r="I852" t="str">
            <v>479</v>
          </cell>
        </row>
        <row r="853">
          <cell r="A853" t="str">
            <v>ARS</v>
          </cell>
          <cell r="B853" t="str">
            <v>479005411</v>
          </cell>
          <cell r="C853" t="str">
            <v>COMPAÑIA AEROMECANICA ARGENTINA SRL</v>
          </cell>
          <cell r="G853">
            <v>134719532.80000001</v>
          </cell>
          <cell r="H853">
            <v>134719532.80000001</v>
          </cell>
          <cell r="I853" t="str">
            <v>479</v>
          </cell>
        </row>
        <row r="854">
          <cell r="A854" t="str">
            <v>ARS</v>
          </cell>
          <cell r="B854" t="str">
            <v>479005415</v>
          </cell>
          <cell r="C854" t="str">
            <v>CHECK MOVILIDAD S.A</v>
          </cell>
          <cell r="G854">
            <v>667799999.74000001</v>
          </cell>
          <cell r="H854">
            <v>667799999.74000001</v>
          </cell>
          <cell r="I854" t="str">
            <v>479</v>
          </cell>
        </row>
        <row r="855">
          <cell r="A855" t="str">
            <v>ARS</v>
          </cell>
          <cell r="B855" t="str">
            <v>479005435</v>
          </cell>
          <cell r="C855" t="str">
            <v>Eucadera S.A.</v>
          </cell>
          <cell r="G855">
            <v>480876000.45999998</v>
          </cell>
          <cell r="H855">
            <v>480876000.45999998</v>
          </cell>
          <cell r="I855" t="str">
            <v>479</v>
          </cell>
        </row>
        <row r="856">
          <cell r="A856" t="str">
            <v>ARS</v>
          </cell>
          <cell r="B856" t="str">
            <v>479005439</v>
          </cell>
          <cell r="C856" t="str">
            <v>P.D.I. S.A</v>
          </cell>
          <cell r="G856">
            <v>106529999.98999999</v>
          </cell>
          <cell r="H856">
            <v>106529999.98999999</v>
          </cell>
          <cell r="I856" t="str">
            <v>479</v>
          </cell>
        </row>
        <row r="857">
          <cell r="A857" t="str">
            <v>ARS</v>
          </cell>
          <cell r="B857" t="str">
            <v>479005460</v>
          </cell>
          <cell r="C857" t="str">
            <v>LOCADORA POPULAR SA</v>
          </cell>
          <cell r="G857">
            <v>19999999.960000001</v>
          </cell>
          <cell r="H857">
            <v>19999999.960000001</v>
          </cell>
          <cell r="I857" t="str">
            <v>479</v>
          </cell>
        </row>
        <row r="858">
          <cell r="A858" t="str">
            <v>ARS</v>
          </cell>
          <cell r="B858" t="str">
            <v>479005462</v>
          </cell>
          <cell r="C858" t="str">
            <v>URBANA AVELLANEDA S.A.</v>
          </cell>
          <cell r="G858">
            <v>710000000.98000002</v>
          </cell>
          <cell r="H858">
            <v>710000000.98000002</v>
          </cell>
          <cell r="I858" t="str">
            <v>479</v>
          </cell>
        </row>
        <row r="859">
          <cell r="A859" t="str">
            <v>ARS</v>
          </cell>
          <cell r="B859" t="str">
            <v>479005463</v>
          </cell>
          <cell r="C859" t="str">
            <v>DON CLEMENTE S A I F C E I</v>
          </cell>
          <cell r="G859">
            <v>9999999.9800000004</v>
          </cell>
          <cell r="H859">
            <v>9999999.9800000004</v>
          </cell>
          <cell r="I859" t="str">
            <v>479</v>
          </cell>
        </row>
        <row r="860">
          <cell r="A860" t="str">
            <v>ARS</v>
          </cell>
          <cell r="B860" t="str">
            <v>479005465</v>
          </cell>
          <cell r="C860" t="str">
            <v>ATRAPALO S.R.L.</v>
          </cell>
          <cell r="G860">
            <v>630235000.77999997</v>
          </cell>
          <cell r="H860">
            <v>630235000.77999997</v>
          </cell>
          <cell r="I860" t="str">
            <v>479</v>
          </cell>
        </row>
        <row r="861">
          <cell r="A861" t="str">
            <v>ARS</v>
          </cell>
          <cell r="B861" t="str">
            <v>479005479</v>
          </cell>
          <cell r="C861" t="str">
            <v>MARIANO S A</v>
          </cell>
          <cell r="G861">
            <v>2402551770.0799999</v>
          </cell>
          <cell r="H861">
            <v>2402551770.0799999</v>
          </cell>
          <cell r="I861" t="str">
            <v>479</v>
          </cell>
        </row>
        <row r="862">
          <cell r="A862" t="str">
            <v>ARS</v>
          </cell>
          <cell r="B862" t="str">
            <v>479005482</v>
          </cell>
          <cell r="C862" t="str">
            <v>AUTOMOVILES SAN JORGE S A</v>
          </cell>
          <cell r="G862">
            <v>1581736601.9200001</v>
          </cell>
          <cell r="H862">
            <v>1581736601.9200001</v>
          </cell>
          <cell r="I862" t="str">
            <v>479</v>
          </cell>
        </row>
        <row r="863">
          <cell r="A863" t="str">
            <v>ARS</v>
          </cell>
          <cell r="B863" t="str">
            <v>479005487</v>
          </cell>
          <cell r="C863" t="str">
            <v>INVERSORA JURAMENTO S.A.</v>
          </cell>
          <cell r="G863">
            <v>1500304877.1600001</v>
          </cell>
          <cell r="H863">
            <v>1500304877.1600001</v>
          </cell>
          <cell r="I863" t="str">
            <v>479</v>
          </cell>
        </row>
        <row r="864">
          <cell r="A864" t="str">
            <v>ARS</v>
          </cell>
          <cell r="B864" t="str">
            <v>479005488</v>
          </cell>
          <cell r="C864" t="str">
            <v>ALAU TECNOLOGIA S.A.U.</v>
          </cell>
          <cell r="G864">
            <v>479203865.13999999</v>
          </cell>
          <cell r="H864">
            <v>479203865.13999999</v>
          </cell>
          <cell r="I864" t="str">
            <v>479</v>
          </cell>
        </row>
        <row r="865">
          <cell r="A865" t="str">
            <v>ARS</v>
          </cell>
          <cell r="B865" t="str">
            <v>479005493</v>
          </cell>
          <cell r="C865" t="str">
            <v>CINCA S.A.</v>
          </cell>
          <cell r="G865">
            <v>386993999.55000001</v>
          </cell>
          <cell r="H865">
            <v>386993999.55000001</v>
          </cell>
          <cell r="I865" t="str">
            <v>479</v>
          </cell>
        </row>
        <row r="866">
          <cell r="A866" t="str">
            <v>ARS</v>
          </cell>
          <cell r="B866" t="str">
            <v>479005499</v>
          </cell>
          <cell r="C866" t="str">
            <v>SERVICIOS LOGISTICOS INTEGRADOS SOCIEDAD RESPONSABILIDAD LIMITADA</v>
          </cell>
          <cell r="G866">
            <v>45675000</v>
          </cell>
          <cell r="H866">
            <v>45675000</v>
          </cell>
          <cell r="I866" t="str">
            <v>479</v>
          </cell>
        </row>
        <row r="867">
          <cell r="A867" t="str">
            <v>ARS</v>
          </cell>
          <cell r="B867" t="str">
            <v>479005509</v>
          </cell>
          <cell r="C867" t="str">
            <v>LAMB WESTON ALIMENTOS MODERNOS S. A</v>
          </cell>
          <cell r="G867">
            <v>336526748.57999998</v>
          </cell>
          <cell r="H867">
            <v>336526748.57999998</v>
          </cell>
          <cell r="I867" t="str">
            <v>479</v>
          </cell>
        </row>
        <row r="868">
          <cell r="A868" t="str">
            <v>ARS</v>
          </cell>
          <cell r="B868" t="str">
            <v>479005510</v>
          </cell>
          <cell r="C868" t="str">
            <v>ALENCO S A I C</v>
          </cell>
          <cell r="G868">
            <v>497999998.25999999</v>
          </cell>
          <cell r="H868">
            <v>497999998.25999999</v>
          </cell>
          <cell r="I868" t="str">
            <v>479</v>
          </cell>
        </row>
        <row r="869">
          <cell r="A869" t="str">
            <v>ARS</v>
          </cell>
          <cell r="B869" t="str">
            <v>479005535</v>
          </cell>
          <cell r="C869" t="str">
            <v>GIMNASIOS ARGENTINOS S A</v>
          </cell>
          <cell r="G869">
            <v>144600000</v>
          </cell>
          <cell r="H869">
            <v>144600000</v>
          </cell>
          <cell r="I869" t="str">
            <v>479</v>
          </cell>
        </row>
        <row r="870">
          <cell r="A870" t="str">
            <v>ARS</v>
          </cell>
          <cell r="B870" t="str">
            <v>479005557</v>
          </cell>
          <cell r="C870" t="str">
            <v>CLIMO SA</v>
          </cell>
          <cell r="G870">
            <v>499999999.76999998</v>
          </cell>
          <cell r="H870">
            <v>499999999.76999998</v>
          </cell>
          <cell r="I870" t="str">
            <v>479</v>
          </cell>
        </row>
        <row r="871">
          <cell r="A871" t="str">
            <v>ARS</v>
          </cell>
          <cell r="B871" t="str">
            <v>479005560</v>
          </cell>
          <cell r="C871" t="str">
            <v>UNIMACO S.A</v>
          </cell>
          <cell r="G871">
            <v>13289120560.18</v>
          </cell>
          <cell r="H871">
            <v>13289120560.18</v>
          </cell>
          <cell r="I871" t="str">
            <v>479</v>
          </cell>
        </row>
        <row r="872">
          <cell r="A872" t="str">
            <v>ARS</v>
          </cell>
          <cell r="B872" t="str">
            <v>479005562</v>
          </cell>
          <cell r="C872" t="str">
            <v>GLOBAL RACE S.A.</v>
          </cell>
          <cell r="G872">
            <v>29500000.02</v>
          </cell>
          <cell r="H872">
            <v>29500000.02</v>
          </cell>
          <cell r="I872" t="str">
            <v>479</v>
          </cell>
        </row>
        <row r="873">
          <cell r="A873" t="str">
            <v>ARS</v>
          </cell>
          <cell r="B873" t="str">
            <v>479005564</v>
          </cell>
          <cell r="C873" t="str">
            <v>CASCIA GASES S. A. S</v>
          </cell>
          <cell r="G873">
            <v>13800624</v>
          </cell>
          <cell r="H873">
            <v>13800624</v>
          </cell>
          <cell r="I873" t="str">
            <v>479</v>
          </cell>
        </row>
        <row r="874">
          <cell r="A874" t="str">
            <v>ARS</v>
          </cell>
          <cell r="B874" t="str">
            <v>479005565</v>
          </cell>
          <cell r="C874" t="str">
            <v>BCSA SD ADCAP AHORRO PESOS</v>
          </cell>
          <cell r="G874">
            <v>788180632811.27002</v>
          </cell>
          <cell r="H874">
            <v>788180632811.27002</v>
          </cell>
          <cell r="I874" t="str">
            <v>479</v>
          </cell>
        </row>
        <row r="875">
          <cell r="A875" t="str">
            <v>ARS</v>
          </cell>
          <cell r="B875" t="str">
            <v>479005567</v>
          </cell>
          <cell r="C875" t="str">
            <v>VERSSION S.A</v>
          </cell>
          <cell r="G875">
            <v>812263621</v>
          </cell>
          <cell r="H875">
            <v>812263621</v>
          </cell>
          <cell r="I875" t="str">
            <v>479</v>
          </cell>
        </row>
        <row r="876">
          <cell r="A876" t="str">
            <v>ARS</v>
          </cell>
          <cell r="B876" t="str">
            <v>479005575</v>
          </cell>
          <cell r="C876" t="str">
            <v>LA PIAMONTESA S.A.</v>
          </cell>
          <cell r="G876">
            <v>135610080</v>
          </cell>
          <cell r="H876">
            <v>135610080</v>
          </cell>
          <cell r="I876" t="str">
            <v>479</v>
          </cell>
        </row>
        <row r="877">
          <cell r="A877" t="str">
            <v>ARS</v>
          </cell>
          <cell r="B877" t="str">
            <v>479005596</v>
          </cell>
          <cell r="C877" t="str">
            <v>LOMA NEGRA CIA INDUSTRIAL ARGENTINA S. A</v>
          </cell>
          <cell r="G877">
            <v>337616433676.52002</v>
          </cell>
          <cell r="H877">
            <v>337616433676.52002</v>
          </cell>
          <cell r="I877" t="str">
            <v>479</v>
          </cell>
        </row>
        <row r="878">
          <cell r="A878" t="str">
            <v>ARS</v>
          </cell>
          <cell r="B878" t="str">
            <v>479005597</v>
          </cell>
          <cell r="C878" t="str">
            <v>PILISAR S. A.</v>
          </cell>
          <cell r="G878">
            <v>59280639396.410004</v>
          </cell>
          <cell r="H878">
            <v>59280639396.410004</v>
          </cell>
          <cell r="I878" t="str">
            <v>479</v>
          </cell>
        </row>
        <row r="879">
          <cell r="A879" t="str">
            <v>ARS</v>
          </cell>
          <cell r="B879" t="str">
            <v>479005605</v>
          </cell>
          <cell r="C879" t="str">
            <v>BENTIA ENERGY SA</v>
          </cell>
          <cell r="G879">
            <v>1724544602.4300001</v>
          </cell>
          <cell r="H879">
            <v>1724544602.4300001</v>
          </cell>
          <cell r="I879" t="str">
            <v>479</v>
          </cell>
        </row>
        <row r="880">
          <cell r="A880" t="str">
            <v>ARS</v>
          </cell>
          <cell r="B880" t="str">
            <v>479005606</v>
          </cell>
          <cell r="C880" t="str">
            <v>ORBIS MERTIG S A I C</v>
          </cell>
          <cell r="G880">
            <v>32146579903.169998</v>
          </cell>
          <cell r="H880">
            <v>32146579903.169998</v>
          </cell>
          <cell r="I880" t="str">
            <v>479</v>
          </cell>
        </row>
        <row r="881">
          <cell r="A881" t="str">
            <v>ARS</v>
          </cell>
          <cell r="B881" t="str">
            <v>479005615</v>
          </cell>
          <cell r="C881" t="str">
            <v>ORTOPEDIA ITALIANA SAS</v>
          </cell>
          <cell r="G881">
            <v>32499059.600000001</v>
          </cell>
          <cell r="H881">
            <v>32499059.600000001</v>
          </cell>
          <cell r="I881" t="str">
            <v>479</v>
          </cell>
        </row>
        <row r="882">
          <cell r="A882" t="str">
            <v>ARS</v>
          </cell>
          <cell r="B882" t="str">
            <v>479005618</v>
          </cell>
          <cell r="C882" t="str">
            <v>AUTOSERVICIO MAYORISTA DIARCO SA</v>
          </cell>
          <cell r="G882">
            <v>121164005378.78</v>
          </cell>
          <cell r="H882">
            <v>121164005378.78</v>
          </cell>
          <cell r="I882" t="str">
            <v>479</v>
          </cell>
        </row>
        <row r="883">
          <cell r="A883" t="str">
            <v>ARS</v>
          </cell>
          <cell r="B883" t="str">
            <v>479005620</v>
          </cell>
          <cell r="C883" t="str">
            <v>LA NATURALEZA S R L</v>
          </cell>
          <cell r="G883">
            <v>24999999.539999999</v>
          </cell>
          <cell r="H883">
            <v>24999999.539999999</v>
          </cell>
          <cell r="I883" t="str">
            <v>479</v>
          </cell>
        </row>
        <row r="884">
          <cell r="A884" t="str">
            <v>ARS</v>
          </cell>
          <cell r="B884" t="str">
            <v>479005621</v>
          </cell>
          <cell r="C884" t="str">
            <v>CASA PAVIOTTI S. R. L.</v>
          </cell>
          <cell r="G884">
            <v>29999999.829999998</v>
          </cell>
          <cell r="H884">
            <v>29999999.829999998</v>
          </cell>
          <cell r="I884" t="str">
            <v>479</v>
          </cell>
        </row>
        <row r="885">
          <cell r="A885" t="str">
            <v>ARS</v>
          </cell>
          <cell r="B885" t="str">
            <v>479005622</v>
          </cell>
          <cell r="C885" t="str">
            <v>SERVICIOS SOCIALES PAVIOTTI S. R. L.</v>
          </cell>
          <cell r="G885">
            <v>59999999.659999996</v>
          </cell>
          <cell r="H885">
            <v>59999999.659999996</v>
          </cell>
          <cell r="I885" t="str">
            <v>479</v>
          </cell>
        </row>
        <row r="886">
          <cell r="A886" t="str">
            <v>ARS</v>
          </cell>
          <cell r="B886" t="str">
            <v>479005623</v>
          </cell>
          <cell r="C886" t="str">
            <v>ASOCIACION MUTUAL DE SERVICIOS SOCIALES INTEGRALES</v>
          </cell>
          <cell r="G886">
            <v>25999999.98</v>
          </cell>
          <cell r="H886">
            <v>25999999.98</v>
          </cell>
          <cell r="I886" t="str">
            <v>479</v>
          </cell>
        </row>
        <row r="887">
          <cell r="A887" t="str">
            <v>ARS</v>
          </cell>
          <cell r="B887" t="str">
            <v>479005624</v>
          </cell>
          <cell r="C887" t="str">
            <v>GENERAC TECHNOLOGY MANAGEMENT S A</v>
          </cell>
          <cell r="G887">
            <v>8483791619.4300003</v>
          </cell>
          <cell r="H887">
            <v>8483791619.4300003</v>
          </cell>
          <cell r="I887" t="str">
            <v>479</v>
          </cell>
        </row>
        <row r="888">
          <cell r="A888" t="str">
            <v>ARS</v>
          </cell>
          <cell r="B888" t="str">
            <v>479005628</v>
          </cell>
          <cell r="C888" t="str">
            <v>BIOFARMA S A</v>
          </cell>
          <cell r="G888">
            <v>127709731465.69</v>
          </cell>
          <cell r="H888">
            <v>127709731465.69</v>
          </cell>
          <cell r="I888" t="str">
            <v>479</v>
          </cell>
        </row>
        <row r="889">
          <cell r="A889" t="str">
            <v>ARS</v>
          </cell>
          <cell r="B889" t="str">
            <v>479005631</v>
          </cell>
          <cell r="C889" t="str">
            <v>BIOFARMA AGROPECUARIA S.A. S. A</v>
          </cell>
          <cell r="G889">
            <v>39217236767.550003</v>
          </cell>
          <cell r="H889">
            <v>39217236767.550003</v>
          </cell>
          <cell r="I889" t="str">
            <v>479</v>
          </cell>
        </row>
        <row r="890">
          <cell r="A890" t="str">
            <v>ARS</v>
          </cell>
          <cell r="B890" t="str">
            <v>479005634</v>
          </cell>
          <cell r="C890" t="str">
            <v>GRUPO EDITORIAL PLANETA SAIC S.A.</v>
          </cell>
          <cell r="G890">
            <v>641999999.94000006</v>
          </cell>
          <cell r="H890">
            <v>641999999.94000006</v>
          </cell>
          <cell r="I890" t="str">
            <v>479</v>
          </cell>
        </row>
        <row r="891">
          <cell r="A891" t="str">
            <v>ARS</v>
          </cell>
          <cell r="B891" t="str">
            <v>479005643</v>
          </cell>
          <cell r="C891" t="str">
            <v>LODISER S.A.</v>
          </cell>
          <cell r="G891">
            <v>1413497016</v>
          </cell>
          <cell r="H891">
            <v>1413497016</v>
          </cell>
          <cell r="I891" t="str">
            <v>479</v>
          </cell>
        </row>
        <row r="892">
          <cell r="A892" t="str">
            <v>ARS</v>
          </cell>
          <cell r="B892" t="str">
            <v>479005645</v>
          </cell>
          <cell r="C892" t="str">
            <v>INTERALMAR S.A.</v>
          </cell>
          <cell r="G892">
            <v>156000000.81</v>
          </cell>
          <cell r="H892">
            <v>156000000.81</v>
          </cell>
          <cell r="I892" t="str">
            <v>479</v>
          </cell>
        </row>
        <row r="893">
          <cell r="A893" t="str">
            <v>ARS</v>
          </cell>
          <cell r="B893" t="str">
            <v>479005646</v>
          </cell>
          <cell r="C893" t="str">
            <v>T.C.B. TRANSPORTE DE CARGAS BERISSO S.A.</v>
          </cell>
          <cell r="G893">
            <v>1059999999</v>
          </cell>
          <cell r="H893">
            <v>1059999999</v>
          </cell>
          <cell r="I893" t="str">
            <v>479</v>
          </cell>
        </row>
        <row r="894">
          <cell r="A894" t="str">
            <v>ARS</v>
          </cell>
          <cell r="B894" t="str">
            <v>479005655</v>
          </cell>
          <cell r="C894" t="str">
            <v>LABORATORIO CDC SA</v>
          </cell>
          <cell r="G894">
            <v>423906082</v>
          </cell>
          <cell r="H894">
            <v>423906082</v>
          </cell>
          <cell r="I894" t="str">
            <v>479</v>
          </cell>
        </row>
        <row r="895">
          <cell r="A895" t="str">
            <v>ARS</v>
          </cell>
          <cell r="B895" t="str">
            <v>479005657</v>
          </cell>
          <cell r="C895" t="str">
            <v>CUYO CENTRO DE IMAGENES SOCIEDAD ANONIMA</v>
          </cell>
          <cell r="G895">
            <v>13257000.57</v>
          </cell>
          <cell r="H895">
            <v>13257000.57</v>
          </cell>
          <cell r="I895" t="str">
            <v>479</v>
          </cell>
        </row>
        <row r="896">
          <cell r="A896" t="str">
            <v>ARS</v>
          </cell>
          <cell r="B896" t="str">
            <v>479005658</v>
          </cell>
          <cell r="C896" t="str">
            <v>CLINICA DE CUYO S.A.</v>
          </cell>
          <cell r="G896">
            <v>848448706</v>
          </cell>
          <cell r="H896">
            <v>848448706</v>
          </cell>
          <cell r="I896" t="str">
            <v>479</v>
          </cell>
        </row>
        <row r="897">
          <cell r="A897" t="str">
            <v>ARS</v>
          </cell>
          <cell r="B897" t="str">
            <v>479005659</v>
          </cell>
          <cell r="C897" t="str">
            <v>CDC CENTRO MEDICO S.A.</v>
          </cell>
          <cell r="G897">
            <v>636840484</v>
          </cell>
          <cell r="H897">
            <v>636840484</v>
          </cell>
          <cell r="I897" t="str">
            <v>479</v>
          </cell>
        </row>
        <row r="898">
          <cell r="A898" t="str">
            <v>ARS</v>
          </cell>
          <cell r="B898" t="str">
            <v>479005661</v>
          </cell>
          <cell r="C898" t="str">
            <v>SERMISUR S. A.</v>
          </cell>
          <cell r="G898">
            <v>2599999998.6900001</v>
          </cell>
          <cell r="H898">
            <v>2599999998.6900001</v>
          </cell>
          <cell r="I898" t="str">
            <v>479</v>
          </cell>
        </row>
        <row r="899">
          <cell r="A899" t="str">
            <v>ARS</v>
          </cell>
          <cell r="B899" t="str">
            <v>479005663</v>
          </cell>
          <cell r="C899" t="str">
            <v>DEL FABRO HNOS Y CIA S A</v>
          </cell>
          <cell r="G899">
            <v>495031878.94</v>
          </cell>
          <cell r="H899">
            <v>495031878.94</v>
          </cell>
          <cell r="I899" t="str">
            <v>479</v>
          </cell>
        </row>
        <row r="900">
          <cell r="A900" t="str">
            <v>ARS</v>
          </cell>
          <cell r="B900" t="str">
            <v>479005665</v>
          </cell>
          <cell r="C900" t="str">
            <v>PATAGONIAN SEA TRAVEL SOCIEDAD ANONIMA</v>
          </cell>
          <cell r="G900">
            <v>39998790</v>
          </cell>
          <cell r="H900">
            <v>39998790</v>
          </cell>
          <cell r="I900" t="str">
            <v>479</v>
          </cell>
        </row>
        <row r="901">
          <cell r="A901" t="str">
            <v>ARS</v>
          </cell>
          <cell r="B901" t="str">
            <v>479005666</v>
          </cell>
          <cell r="C901" t="str">
            <v>RICCITELLI WINE COMPANY S. A.</v>
          </cell>
          <cell r="G901">
            <v>175339998.78</v>
          </cell>
          <cell r="H901">
            <v>175339998.78</v>
          </cell>
          <cell r="I901" t="str">
            <v>479</v>
          </cell>
        </row>
        <row r="902">
          <cell r="A902" t="str">
            <v>ARS</v>
          </cell>
          <cell r="B902" t="str">
            <v>479005667</v>
          </cell>
          <cell r="C902" t="str">
            <v>GENCO MATERIALES ELECTRICOS SOCIEDAD ANONIMA</v>
          </cell>
          <cell r="G902">
            <v>236075999.69</v>
          </cell>
          <cell r="H902">
            <v>236075999.69</v>
          </cell>
          <cell r="I902" t="str">
            <v>479</v>
          </cell>
        </row>
        <row r="903">
          <cell r="A903" t="str">
            <v>ARS</v>
          </cell>
          <cell r="B903" t="str">
            <v>479005669</v>
          </cell>
          <cell r="C903" t="str">
            <v>MUTUAL MUTUAL DEL PERSONAL DE AGUA Y ENERGIA DE MENDOZA</v>
          </cell>
          <cell r="G903">
            <v>28387800.84</v>
          </cell>
          <cell r="H903">
            <v>28387800.84</v>
          </cell>
          <cell r="I903" t="str">
            <v>479</v>
          </cell>
        </row>
        <row r="904">
          <cell r="A904" t="str">
            <v>ARS</v>
          </cell>
          <cell r="B904" t="str">
            <v>479005671</v>
          </cell>
          <cell r="C904" t="str">
            <v>YACOPINI INVERSORA S.A.</v>
          </cell>
          <cell r="G904">
            <v>923479002.19000006</v>
          </cell>
          <cell r="H904">
            <v>923479002.19000006</v>
          </cell>
          <cell r="I904" t="str">
            <v>479</v>
          </cell>
        </row>
        <row r="905">
          <cell r="A905" t="str">
            <v>ARS</v>
          </cell>
          <cell r="B905" t="str">
            <v>479005672</v>
          </cell>
          <cell r="C905" t="str">
            <v>CITRUSVIL S.A.</v>
          </cell>
          <cell r="G905">
            <v>2938920000</v>
          </cell>
          <cell r="H905">
            <v>2938920000</v>
          </cell>
          <cell r="I905" t="str">
            <v>479</v>
          </cell>
        </row>
        <row r="906">
          <cell r="A906" t="str">
            <v>ARS</v>
          </cell>
          <cell r="B906" t="str">
            <v>479005673</v>
          </cell>
          <cell r="C906" t="str">
            <v>MEDICAMENTOS PARA TODOS SRL</v>
          </cell>
          <cell r="G906">
            <v>569999999.24000001</v>
          </cell>
          <cell r="H906">
            <v>569999999.24000001</v>
          </cell>
          <cell r="I906" t="str">
            <v>479</v>
          </cell>
        </row>
        <row r="907">
          <cell r="A907" t="str">
            <v>ARS</v>
          </cell>
          <cell r="B907" t="str">
            <v>479005674</v>
          </cell>
          <cell r="C907" t="str">
            <v>LOMAS BLANCAS S.R.L</v>
          </cell>
          <cell r="G907">
            <v>800499429.58000004</v>
          </cell>
          <cell r="H907">
            <v>800499429.58000004</v>
          </cell>
          <cell r="I907" t="str">
            <v>479</v>
          </cell>
        </row>
        <row r="908">
          <cell r="A908" t="str">
            <v>ARS</v>
          </cell>
          <cell r="B908" t="str">
            <v>479005678</v>
          </cell>
          <cell r="C908" t="str">
            <v>DISTRIFAR S.A.</v>
          </cell>
          <cell r="G908">
            <v>999999999.20000005</v>
          </cell>
          <cell r="H908">
            <v>999999999.20000005</v>
          </cell>
          <cell r="I908" t="str">
            <v>479</v>
          </cell>
        </row>
        <row r="909">
          <cell r="A909" t="str">
            <v>ARS</v>
          </cell>
          <cell r="B909" t="str">
            <v>479005679</v>
          </cell>
          <cell r="C909" t="str">
            <v>OXY NET SA</v>
          </cell>
          <cell r="G909">
            <v>999999865.14999998</v>
          </cell>
          <cell r="H909">
            <v>999999865.14999998</v>
          </cell>
          <cell r="I909" t="str">
            <v>479</v>
          </cell>
        </row>
        <row r="910">
          <cell r="A910" t="str">
            <v>ARS</v>
          </cell>
          <cell r="B910" t="str">
            <v>479005682</v>
          </cell>
          <cell r="C910" t="str">
            <v>FELIPE ANDREU E HIJOS S A</v>
          </cell>
          <cell r="G910">
            <v>266256000.25999999</v>
          </cell>
          <cell r="H910">
            <v>266256000.25999999</v>
          </cell>
          <cell r="I910" t="str">
            <v>479</v>
          </cell>
        </row>
        <row r="911">
          <cell r="A911" t="str">
            <v>ARS</v>
          </cell>
          <cell r="B911" t="str">
            <v>479005684</v>
          </cell>
          <cell r="C911" t="str">
            <v>CLUB ALEMAN DE MENDOZA</v>
          </cell>
          <cell r="G911">
            <v>24998903.260000002</v>
          </cell>
          <cell r="H911">
            <v>24998903.260000002</v>
          </cell>
          <cell r="I911" t="str">
            <v>479</v>
          </cell>
        </row>
        <row r="912">
          <cell r="A912" t="str">
            <v>ARS</v>
          </cell>
          <cell r="B912" t="str">
            <v>479040602</v>
          </cell>
          <cell r="C912" t="str">
            <v>SUPERVIELLE AGENTE DE NEGOCIACION S.A.U.</v>
          </cell>
          <cell r="G912">
            <v>2396368941938.79</v>
          </cell>
          <cell r="H912">
            <v>2396368941938.79</v>
          </cell>
          <cell r="I912" t="str">
            <v>479</v>
          </cell>
        </row>
        <row r="913">
          <cell r="A913" t="str">
            <v>ARS</v>
          </cell>
          <cell r="B913" t="str">
            <v>483000004</v>
          </cell>
          <cell r="C913" t="str">
            <v>COPPOLA INVERSIONES S.A.</v>
          </cell>
          <cell r="G913">
            <v>38877782191.959999</v>
          </cell>
          <cell r="H913">
            <v>38877782191.959999</v>
          </cell>
          <cell r="I913" t="str">
            <v>483</v>
          </cell>
        </row>
        <row r="914">
          <cell r="A914" t="str">
            <v>ARS</v>
          </cell>
          <cell r="B914" t="str">
            <v>483000100</v>
          </cell>
          <cell r="C914" t="str">
            <v>COPPOLA, JUAN CRUZ</v>
          </cell>
          <cell r="G914">
            <v>50615962.770000003</v>
          </cell>
          <cell r="H914">
            <v>50615962.770000003</v>
          </cell>
          <cell r="I914" t="str">
            <v>483</v>
          </cell>
        </row>
        <row r="915">
          <cell r="A915" t="str">
            <v>ARS</v>
          </cell>
          <cell r="B915" t="str">
            <v>483000101</v>
          </cell>
          <cell r="C915" t="str">
            <v>ACEVEDO MARIA JULIA</v>
          </cell>
          <cell r="G915">
            <v>6055311.1699999999</v>
          </cell>
          <cell r="H915">
            <v>6055311.1699999999</v>
          </cell>
          <cell r="I915" t="str">
            <v>483</v>
          </cell>
        </row>
        <row r="916">
          <cell r="A916" t="str">
            <v>ARS</v>
          </cell>
          <cell r="B916" t="str">
            <v>483000102</v>
          </cell>
          <cell r="C916" t="str">
            <v>FUNDEMAP SA</v>
          </cell>
          <cell r="G916">
            <v>9939980411.5900002</v>
          </cell>
          <cell r="H916">
            <v>9939980411.5900002</v>
          </cell>
          <cell r="I916" t="str">
            <v>483</v>
          </cell>
        </row>
        <row r="917">
          <cell r="A917" t="str">
            <v>ARS</v>
          </cell>
          <cell r="B917" t="str">
            <v>483000105</v>
          </cell>
          <cell r="C917" t="str">
            <v>TUTTO PORKY'S SRL</v>
          </cell>
          <cell r="G917">
            <v>2209924296.1199999</v>
          </cell>
          <cell r="H917">
            <v>2209924296.1199999</v>
          </cell>
          <cell r="I917" t="str">
            <v>483</v>
          </cell>
        </row>
        <row r="918">
          <cell r="A918" t="str">
            <v>ARS</v>
          </cell>
          <cell r="B918" t="str">
            <v>483000106</v>
          </cell>
          <cell r="C918" t="str">
            <v>MURABITO MARIA CARMEN</v>
          </cell>
          <cell r="G918">
            <v>1109783632.3699999</v>
          </cell>
          <cell r="H918">
            <v>1109783632.3699999</v>
          </cell>
          <cell r="I918" t="str">
            <v>483</v>
          </cell>
        </row>
        <row r="919">
          <cell r="A919" t="str">
            <v>ARS</v>
          </cell>
          <cell r="B919" t="str">
            <v>483000108</v>
          </cell>
          <cell r="C919" t="str">
            <v>GONZALEZ DAVIS GUILLERMO JULIAN</v>
          </cell>
          <cell r="G919">
            <v>262581190.83000001</v>
          </cell>
          <cell r="H919">
            <v>262581190.83000001</v>
          </cell>
          <cell r="I919" t="str">
            <v>483</v>
          </cell>
        </row>
        <row r="920">
          <cell r="A920" t="str">
            <v>ARS</v>
          </cell>
          <cell r="B920" t="str">
            <v>483000109</v>
          </cell>
          <cell r="C920" t="str">
            <v>LA BULONERA DE VILA SRL</v>
          </cell>
          <cell r="G920">
            <v>8435618983.1400003</v>
          </cell>
          <cell r="H920">
            <v>8435618983.1400003</v>
          </cell>
          <cell r="I920" t="str">
            <v>483</v>
          </cell>
        </row>
        <row r="921">
          <cell r="A921" t="str">
            <v>ARS</v>
          </cell>
          <cell r="B921" t="str">
            <v>483000112</v>
          </cell>
          <cell r="C921" t="str">
            <v>INSUGRAF SRL</v>
          </cell>
          <cell r="G921">
            <v>277509916.83999997</v>
          </cell>
          <cell r="H921">
            <v>277509916.83999997</v>
          </cell>
          <cell r="I921" t="str">
            <v>483</v>
          </cell>
        </row>
        <row r="922">
          <cell r="A922" t="str">
            <v>ARS</v>
          </cell>
          <cell r="B922" t="str">
            <v>483000116</v>
          </cell>
          <cell r="C922" t="str">
            <v>PONTICELLI VANINA DANISA</v>
          </cell>
          <cell r="G922">
            <v>16000000</v>
          </cell>
          <cell r="H922">
            <v>16000000</v>
          </cell>
          <cell r="I922" t="str">
            <v>483</v>
          </cell>
        </row>
        <row r="923">
          <cell r="A923" t="str">
            <v>ARS</v>
          </cell>
          <cell r="B923" t="str">
            <v>483000117</v>
          </cell>
          <cell r="C923" t="str">
            <v xml:space="preserve">SHORTON ARGENTINA SRL </v>
          </cell>
          <cell r="G923">
            <v>107477665.03</v>
          </cell>
          <cell r="H923">
            <v>107477665.03</v>
          </cell>
          <cell r="I923" t="str">
            <v>483</v>
          </cell>
        </row>
        <row r="924">
          <cell r="A924" t="str">
            <v>ARS</v>
          </cell>
          <cell r="B924" t="str">
            <v>483000118</v>
          </cell>
          <cell r="C924" t="str">
            <v>PONTICELLI HERMANOS SA</v>
          </cell>
          <cell r="G924">
            <v>142310635</v>
          </cell>
          <cell r="H924">
            <v>142310635</v>
          </cell>
          <cell r="I924" t="str">
            <v>483</v>
          </cell>
        </row>
        <row r="925">
          <cell r="A925" t="str">
            <v>ARS</v>
          </cell>
          <cell r="B925" t="str">
            <v>483000119</v>
          </cell>
          <cell r="C925" t="str">
            <v>FIGUEROA LUCIANO GABRIEL</v>
          </cell>
          <cell r="G925">
            <v>4460613.5</v>
          </cell>
          <cell r="H925">
            <v>4460613.5</v>
          </cell>
          <cell r="I925" t="str">
            <v>483</v>
          </cell>
        </row>
        <row r="926">
          <cell r="A926" t="str">
            <v>ARS</v>
          </cell>
          <cell r="B926" t="str">
            <v>483000120</v>
          </cell>
          <cell r="C926" t="str">
            <v>VILA, FEDERICO ARMANDO</v>
          </cell>
          <cell r="G926">
            <v>98044.4</v>
          </cell>
          <cell r="H926">
            <v>98044.4</v>
          </cell>
          <cell r="I926" t="str">
            <v>483</v>
          </cell>
        </row>
        <row r="927">
          <cell r="A927" t="str">
            <v>ARS</v>
          </cell>
          <cell r="B927" t="str">
            <v>483000121</v>
          </cell>
          <cell r="C927" t="str">
            <v>SEMILLAS BISCAYART SA</v>
          </cell>
          <cell r="G927">
            <v>1081385478.55</v>
          </cell>
          <cell r="H927">
            <v>1081385478.55</v>
          </cell>
          <cell r="I927" t="str">
            <v>483</v>
          </cell>
        </row>
        <row r="928">
          <cell r="A928" t="str">
            <v>ARS</v>
          </cell>
          <cell r="B928" t="str">
            <v>483000122</v>
          </cell>
          <cell r="C928" t="str">
            <v>CARLOS BISCAYART SA</v>
          </cell>
          <cell r="G928">
            <v>21563480.609999999</v>
          </cell>
          <cell r="H928">
            <v>21563480.609999999</v>
          </cell>
          <cell r="I928" t="str">
            <v>483</v>
          </cell>
        </row>
        <row r="929">
          <cell r="A929" t="str">
            <v>ARS</v>
          </cell>
          <cell r="B929" t="str">
            <v>483000123</v>
          </cell>
          <cell r="C929" t="str">
            <v>LOPEZ RAQUEL NELIDA EUGENIA</v>
          </cell>
          <cell r="G929">
            <v>3000331.42</v>
          </cell>
          <cell r="H929">
            <v>3000331.42</v>
          </cell>
          <cell r="I929" t="str">
            <v>483</v>
          </cell>
        </row>
        <row r="930">
          <cell r="A930" t="str">
            <v>ARS</v>
          </cell>
          <cell r="B930" t="str">
            <v>483000124</v>
          </cell>
          <cell r="C930" t="str">
            <v>BENVENUTO, CASANDRA</v>
          </cell>
          <cell r="G930">
            <v>3000158.38</v>
          </cell>
          <cell r="H930">
            <v>3000158.38</v>
          </cell>
          <cell r="I930" t="str">
            <v>483</v>
          </cell>
        </row>
        <row r="931">
          <cell r="A931" t="str">
            <v>ARS</v>
          </cell>
          <cell r="B931" t="str">
            <v>483000127</v>
          </cell>
          <cell r="C931" t="str">
            <v>SA LA SIBILA</v>
          </cell>
          <cell r="G931">
            <v>22412055273.52</v>
          </cell>
          <cell r="H931">
            <v>22412055273.52</v>
          </cell>
          <cell r="I931" t="str">
            <v>483</v>
          </cell>
        </row>
        <row r="932">
          <cell r="A932" t="str">
            <v>ARS</v>
          </cell>
          <cell r="B932" t="str">
            <v>483000137</v>
          </cell>
          <cell r="C932" t="str">
            <v>ROSSI SRL</v>
          </cell>
          <cell r="G932">
            <v>85333176.090000004</v>
          </cell>
          <cell r="H932">
            <v>85333176.090000004</v>
          </cell>
          <cell r="I932" t="str">
            <v>483</v>
          </cell>
        </row>
        <row r="933">
          <cell r="A933" t="str">
            <v>ARS</v>
          </cell>
          <cell r="B933" t="str">
            <v>483000144</v>
          </cell>
          <cell r="C933" t="str">
            <v>PAIS, MARCELA LETICIA</v>
          </cell>
          <cell r="G933">
            <v>26047891.940000001</v>
          </cell>
          <cell r="H933">
            <v>26047891.940000001</v>
          </cell>
          <cell r="I933" t="str">
            <v>483</v>
          </cell>
        </row>
        <row r="934">
          <cell r="A934" t="str">
            <v>ARS</v>
          </cell>
          <cell r="B934" t="str">
            <v>483000146</v>
          </cell>
          <cell r="C934" t="str">
            <v>ACOPIO AREQUITO SA</v>
          </cell>
          <cell r="G934">
            <v>1130151348.1900001</v>
          </cell>
          <cell r="H934">
            <v>1130151348.1900001</v>
          </cell>
          <cell r="I934" t="str">
            <v>483</v>
          </cell>
        </row>
        <row r="935">
          <cell r="A935" t="str">
            <v>ARS</v>
          </cell>
          <cell r="B935" t="str">
            <v>483000148</v>
          </cell>
          <cell r="C935" t="str">
            <v>DE MARTIN JUAN MANUEL</v>
          </cell>
          <cell r="G935">
            <v>13628907.939999999</v>
          </cell>
          <cell r="H935">
            <v>13628907.939999999</v>
          </cell>
          <cell r="I935" t="str">
            <v>483</v>
          </cell>
        </row>
        <row r="936">
          <cell r="A936" t="str">
            <v>ARS</v>
          </cell>
          <cell r="B936" t="str">
            <v>483000151</v>
          </cell>
          <cell r="C936" t="str">
            <v>CRIGNA MARIANO OSCAR</v>
          </cell>
          <cell r="G936">
            <v>3504783.77</v>
          </cell>
          <cell r="H936">
            <v>3504783.77</v>
          </cell>
          <cell r="I936" t="str">
            <v>483</v>
          </cell>
        </row>
        <row r="937">
          <cell r="A937" t="str">
            <v>ARS</v>
          </cell>
          <cell r="B937" t="str">
            <v>483000157</v>
          </cell>
          <cell r="C937" t="str">
            <v>ACERMA SOCIEDAD ANÓNIMA</v>
          </cell>
          <cell r="G937">
            <v>6054716773.5</v>
          </cell>
          <cell r="H937">
            <v>6054716773.5</v>
          </cell>
          <cell r="I937" t="str">
            <v>483</v>
          </cell>
        </row>
        <row r="938">
          <cell r="A938" t="str">
            <v>ARS</v>
          </cell>
          <cell r="B938" t="str">
            <v>483000159</v>
          </cell>
          <cell r="C938" t="str">
            <v>ESTABLECIMIENTO AVICOLA LA MOROCHA SA</v>
          </cell>
          <cell r="G938">
            <v>144932079.33000001</v>
          </cell>
          <cell r="H938">
            <v>144932079.33000001</v>
          </cell>
          <cell r="I938" t="str">
            <v>483</v>
          </cell>
        </row>
        <row r="939">
          <cell r="A939" t="str">
            <v>ARS</v>
          </cell>
          <cell r="B939" t="str">
            <v>483000162</v>
          </cell>
          <cell r="C939" t="str">
            <v>CERDOS SAN JUAN SA</v>
          </cell>
          <cell r="G939">
            <v>3370548733.6100001</v>
          </cell>
          <cell r="H939">
            <v>3370548733.6100001</v>
          </cell>
          <cell r="I939" t="str">
            <v>483</v>
          </cell>
        </row>
        <row r="940">
          <cell r="A940" t="str">
            <v>ARS</v>
          </cell>
          <cell r="B940" t="str">
            <v>483000165</v>
          </cell>
          <cell r="C940" t="str">
            <v>PELTEC SA</v>
          </cell>
          <cell r="G940">
            <v>31212777.219999999</v>
          </cell>
          <cell r="H940">
            <v>31212777.219999999</v>
          </cell>
          <cell r="I940" t="str">
            <v>483</v>
          </cell>
        </row>
        <row r="941">
          <cell r="A941" t="str">
            <v>ARS</v>
          </cell>
          <cell r="B941" t="str">
            <v>483000168</v>
          </cell>
          <cell r="C941" t="str">
            <v>COPPOLA CARLOS MARIA</v>
          </cell>
          <cell r="G941">
            <v>27068188.120000001</v>
          </cell>
          <cell r="H941">
            <v>27068188.120000001</v>
          </cell>
          <cell r="I941" t="str">
            <v>483</v>
          </cell>
        </row>
        <row r="942">
          <cell r="A942" t="str">
            <v>ARS</v>
          </cell>
          <cell r="B942" t="str">
            <v>483000170</v>
          </cell>
          <cell r="C942" t="str">
            <v>BASILICO BERNARDO</v>
          </cell>
          <cell r="G942">
            <v>17009940.75</v>
          </cell>
          <cell r="H942">
            <v>17009940.75</v>
          </cell>
          <cell r="I942" t="str">
            <v>483</v>
          </cell>
        </row>
        <row r="943">
          <cell r="A943" t="str">
            <v>ARS</v>
          </cell>
          <cell r="B943" t="str">
            <v>483000172</v>
          </cell>
          <cell r="C943" t="str">
            <v>COPPOLA, MARIA MILAGROS</v>
          </cell>
          <cell r="G943">
            <v>20816928.539999999</v>
          </cell>
          <cell r="H943">
            <v>20816928.539999999</v>
          </cell>
          <cell r="I943" t="str">
            <v>483</v>
          </cell>
        </row>
        <row r="944">
          <cell r="A944" t="str">
            <v>ARS</v>
          </cell>
          <cell r="B944" t="str">
            <v>483000178</v>
          </cell>
          <cell r="C944" t="str">
            <v>BUTTICE, CARLA LORENA</v>
          </cell>
          <cell r="G944">
            <v>20211656.920000002</v>
          </cell>
          <cell r="H944">
            <v>20211656.920000002</v>
          </cell>
          <cell r="I944" t="str">
            <v>483</v>
          </cell>
        </row>
        <row r="945">
          <cell r="A945" t="str">
            <v>ARS</v>
          </cell>
          <cell r="B945" t="str">
            <v>483000180</v>
          </cell>
          <cell r="C945" t="str">
            <v>GRAMAGLIA, DIEGO ANDRES</v>
          </cell>
          <cell r="G945">
            <v>12663232.710000001</v>
          </cell>
          <cell r="H945">
            <v>12663232.710000001</v>
          </cell>
          <cell r="I945" t="str">
            <v>483</v>
          </cell>
        </row>
        <row r="946">
          <cell r="A946" t="str">
            <v>ARS</v>
          </cell>
          <cell r="B946" t="str">
            <v>483000184</v>
          </cell>
          <cell r="C946" t="str">
            <v>CORENGIA ANTONELA</v>
          </cell>
          <cell r="G946">
            <v>6536504.8799999999</v>
          </cell>
          <cell r="H946">
            <v>6536504.8799999999</v>
          </cell>
          <cell r="I946" t="str">
            <v>483</v>
          </cell>
        </row>
        <row r="947">
          <cell r="A947" t="str">
            <v>ARS</v>
          </cell>
          <cell r="B947" t="str">
            <v>483000185</v>
          </cell>
          <cell r="C947" t="str">
            <v>RUIZ, YAMIL MATIAS</v>
          </cell>
          <cell r="G947">
            <v>5276853.7</v>
          </cell>
          <cell r="H947">
            <v>5276853.7</v>
          </cell>
          <cell r="I947" t="str">
            <v>483</v>
          </cell>
        </row>
        <row r="948">
          <cell r="A948" t="str">
            <v>ARS</v>
          </cell>
          <cell r="B948" t="str">
            <v>483000195</v>
          </cell>
          <cell r="C948" t="str">
            <v>COPPOLA, JUAN CARLOS JESUS</v>
          </cell>
          <cell r="G948">
            <v>57202747.600000001</v>
          </cell>
          <cell r="H948">
            <v>57202747.600000001</v>
          </cell>
          <cell r="I948" t="str">
            <v>483</v>
          </cell>
        </row>
        <row r="949">
          <cell r="A949" t="str">
            <v>ARS</v>
          </cell>
          <cell r="B949" t="str">
            <v>483000196</v>
          </cell>
          <cell r="C949" t="str">
            <v>SALVADOR BIZET, VIOLETA</v>
          </cell>
          <cell r="G949">
            <v>18834952.199999999</v>
          </cell>
          <cell r="H949">
            <v>18834952.199999999</v>
          </cell>
          <cell r="I949" t="str">
            <v>483</v>
          </cell>
        </row>
        <row r="950">
          <cell r="A950" t="str">
            <v>ARS</v>
          </cell>
          <cell r="B950" t="str">
            <v>483000199</v>
          </cell>
          <cell r="C950" t="str">
            <v>MEPATSA SRL</v>
          </cell>
          <cell r="G950">
            <v>258201881.19</v>
          </cell>
          <cell r="H950">
            <v>258201881.19</v>
          </cell>
          <cell r="I950" t="str">
            <v>483</v>
          </cell>
        </row>
        <row r="951">
          <cell r="A951" t="str">
            <v>ARS</v>
          </cell>
          <cell r="B951" t="str">
            <v>483000204</v>
          </cell>
          <cell r="C951" t="str">
            <v>YBAÑEZ CARRARA, MARIA DEL ROCIO</v>
          </cell>
          <cell r="G951">
            <v>1599783</v>
          </cell>
          <cell r="H951">
            <v>1599783</v>
          </cell>
          <cell r="I951" t="str">
            <v>483</v>
          </cell>
        </row>
        <row r="952">
          <cell r="A952" t="str">
            <v>ARS</v>
          </cell>
          <cell r="B952" t="str">
            <v>483000208</v>
          </cell>
          <cell r="C952" t="str">
            <v>SOLANS S.A.</v>
          </cell>
          <cell r="G952">
            <v>57185985.109999999</v>
          </cell>
          <cell r="H952">
            <v>57185985.109999999</v>
          </cell>
          <cell r="I952" t="str">
            <v>483</v>
          </cell>
        </row>
        <row r="953">
          <cell r="A953" t="str">
            <v>ARS</v>
          </cell>
          <cell r="B953" t="str">
            <v>483000211</v>
          </cell>
          <cell r="C953" t="str">
            <v>COPPOLA, HERMINIA - MUNINI, PATRICIA - MUNINI, CARLOS</v>
          </cell>
          <cell r="G953">
            <v>12913316.859999999</v>
          </cell>
          <cell r="H953">
            <v>12913316.859999999</v>
          </cell>
          <cell r="I953" t="str">
            <v>483</v>
          </cell>
        </row>
        <row r="954">
          <cell r="A954" t="str">
            <v>ARS</v>
          </cell>
          <cell r="B954" t="str">
            <v>483000214</v>
          </cell>
          <cell r="C954" t="str">
            <v>CIMINO, IGNACIO MARTIN</v>
          </cell>
          <cell r="G954">
            <v>87394994.5</v>
          </cell>
          <cell r="H954">
            <v>87394994.5</v>
          </cell>
          <cell r="I954" t="str">
            <v>483</v>
          </cell>
        </row>
        <row r="955">
          <cell r="A955" t="str">
            <v>ARS</v>
          </cell>
          <cell r="B955" t="str">
            <v>483000218</v>
          </cell>
          <cell r="C955" t="str">
            <v>INDUSTRIA GRAFICA PAGANI SA</v>
          </cell>
          <cell r="G955">
            <v>90212263.200000003</v>
          </cell>
          <cell r="H955">
            <v>90212263.200000003</v>
          </cell>
          <cell r="I955" t="str">
            <v>483</v>
          </cell>
        </row>
        <row r="956">
          <cell r="A956" t="str">
            <v>ARS</v>
          </cell>
          <cell r="B956" t="str">
            <v>483000238</v>
          </cell>
          <cell r="C956" t="str">
            <v>BASSO LEANDRO JUAN</v>
          </cell>
          <cell r="G956">
            <v>7048206.2800000003</v>
          </cell>
          <cell r="H956">
            <v>7048206.2800000003</v>
          </cell>
          <cell r="I956" t="str">
            <v>483</v>
          </cell>
        </row>
        <row r="957">
          <cell r="A957" t="str">
            <v>ARS</v>
          </cell>
          <cell r="B957" t="str">
            <v>483000240</v>
          </cell>
          <cell r="C957" t="str">
            <v>CASTILLO GABRIEL ALEJANDRO</v>
          </cell>
          <cell r="G957">
            <v>94273109</v>
          </cell>
          <cell r="H957">
            <v>94273109</v>
          </cell>
          <cell r="I957" t="str">
            <v>483</v>
          </cell>
        </row>
        <row r="958">
          <cell r="A958" t="str">
            <v>ARS</v>
          </cell>
          <cell r="B958" t="str">
            <v>483000241</v>
          </cell>
          <cell r="C958" t="str">
            <v>MENARA CORRALON SA</v>
          </cell>
          <cell r="G958">
            <v>488231266.17000002</v>
          </cell>
          <cell r="H958">
            <v>488231266.17000002</v>
          </cell>
          <cell r="I958" t="str">
            <v>483</v>
          </cell>
        </row>
        <row r="959">
          <cell r="A959" t="str">
            <v>ARS</v>
          </cell>
          <cell r="B959" t="str">
            <v>483000242</v>
          </cell>
          <cell r="C959" t="str">
            <v>SIPEL SRL</v>
          </cell>
          <cell r="G959">
            <v>145998539.24000001</v>
          </cell>
          <cell r="H959">
            <v>145998539.24000001</v>
          </cell>
          <cell r="I959" t="str">
            <v>483</v>
          </cell>
        </row>
        <row r="960">
          <cell r="A960" t="str">
            <v>ARS</v>
          </cell>
          <cell r="B960" t="str">
            <v>483000249</v>
          </cell>
          <cell r="C960" t="str">
            <v>LEVI FEDERICO</v>
          </cell>
          <cell r="G960">
            <v>4962200</v>
          </cell>
          <cell r="H960">
            <v>4962200</v>
          </cell>
          <cell r="I960" t="str">
            <v>483</v>
          </cell>
        </row>
        <row r="961">
          <cell r="A961" t="str">
            <v>ARS</v>
          </cell>
          <cell r="B961" t="str">
            <v>483000251</v>
          </cell>
          <cell r="C961" t="str">
            <v>MONDIGLIO JUAN IGNACIO</v>
          </cell>
          <cell r="G961">
            <v>17255434.579999998</v>
          </cell>
          <cell r="H961">
            <v>17255434.579999998</v>
          </cell>
          <cell r="I961" t="str">
            <v>483</v>
          </cell>
        </row>
        <row r="962">
          <cell r="A962" t="str">
            <v>ARS</v>
          </cell>
          <cell r="B962" t="str">
            <v>483000255</v>
          </cell>
          <cell r="C962" t="str">
            <v>LLORENS CAROLINA ANALI</v>
          </cell>
          <cell r="G962">
            <v>2388165</v>
          </cell>
          <cell r="H962">
            <v>2388165</v>
          </cell>
          <cell r="I962" t="str">
            <v>483</v>
          </cell>
        </row>
        <row r="963">
          <cell r="A963" t="str">
            <v>ARS</v>
          </cell>
          <cell r="B963" t="str">
            <v>483000257</v>
          </cell>
          <cell r="C963" t="str">
            <v>BASILICO BERNARDO y PAROLIN GISELA</v>
          </cell>
          <cell r="G963">
            <v>22073663.5</v>
          </cell>
          <cell r="H963">
            <v>22073663.5</v>
          </cell>
          <cell r="I963" t="str">
            <v>483</v>
          </cell>
        </row>
        <row r="964">
          <cell r="A964" t="str">
            <v>ARS</v>
          </cell>
          <cell r="B964" t="str">
            <v>483000264</v>
          </cell>
          <cell r="C964" t="str">
            <v>IZAGUIRRE PILAR y VEROLO ECHARRI TOMÁS</v>
          </cell>
          <cell r="G964">
            <v>25304054.129999999</v>
          </cell>
          <cell r="H964">
            <v>25304054.129999999</v>
          </cell>
          <cell r="I964" t="str">
            <v>483</v>
          </cell>
        </row>
        <row r="965">
          <cell r="A965" t="str">
            <v>ARS</v>
          </cell>
          <cell r="B965" t="str">
            <v>483000274</v>
          </cell>
          <cell r="C965" t="str">
            <v>COMINELLI, VALENTINA</v>
          </cell>
          <cell r="G965">
            <v>3193358.78</v>
          </cell>
          <cell r="H965">
            <v>3193358.78</v>
          </cell>
          <cell r="I965" t="str">
            <v>483</v>
          </cell>
        </row>
        <row r="966">
          <cell r="A966" t="str">
            <v>ARS</v>
          </cell>
          <cell r="B966" t="str">
            <v>483000275</v>
          </cell>
          <cell r="C966" t="str">
            <v>COMINELLI GUILLERMINA</v>
          </cell>
          <cell r="G966">
            <v>5786789.5</v>
          </cell>
          <cell r="H966">
            <v>5786789.5</v>
          </cell>
          <cell r="I966" t="str">
            <v>483</v>
          </cell>
        </row>
        <row r="967">
          <cell r="A967" t="str">
            <v>ARS</v>
          </cell>
          <cell r="B967" t="str">
            <v>483000276</v>
          </cell>
          <cell r="C967" t="str">
            <v xml:space="preserve">STORERO DIEGO </v>
          </cell>
          <cell r="G967">
            <v>747974.4</v>
          </cell>
          <cell r="H967">
            <v>747974.4</v>
          </cell>
          <cell r="I967" t="str">
            <v>483</v>
          </cell>
        </row>
        <row r="968">
          <cell r="A968" t="str">
            <v>ARS</v>
          </cell>
          <cell r="B968" t="str">
            <v>483000281</v>
          </cell>
          <cell r="C968" t="str">
            <v>TUR, LUCAS RICARDO</v>
          </cell>
          <cell r="G968">
            <v>27430750.219999999</v>
          </cell>
          <cell r="H968">
            <v>27430750.219999999</v>
          </cell>
          <cell r="I968" t="str">
            <v>483</v>
          </cell>
        </row>
        <row r="969">
          <cell r="A969" t="str">
            <v>ARS</v>
          </cell>
          <cell r="B969" t="str">
            <v>483000286</v>
          </cell>
          <cell r="C969" t="str">
            <v>GRAÑA, DAMIAN</v>
          </cell>
          <cell r="G969">
            <v>103223601.08</v>
          </cell>
          <cell r="H969">
            <v>103223601.08</v>
          </cell>
          <cell r="I969" t="str">
            <v>483</v>
          </cell>
        </row>
        <row r="970">
          <cell r="A970" t="str">
            <v>ARS</v>
          </cell>
          <cell r="B970" t="str">
            <v>483000287</v>
          </cell>
          <cell r="C970" t="str">
            <v>JUNTAS ILLINOIS S.A.</v>
          </cell>
          <cell r="G970">
            <v>11911846.25</v>
          </cell>
          <cell r="H970">
            <v>11911846.25</v>
          </cell>
          <cell r="I970" t="str">
            <v>483</v>
          </cell>
        </row>
        <row r="971">
          <cell r="A971" t="str">
            <v>ARS</v>
          </cell>
          <cell r="B971" t="str">
            <v>483000294</v>
          </cell>
          <cell r="C971" t="str">
            <v>LÓPEZ, ELENA BEATRIZ</v>
          </cell>
          <cell r="G971">
            <v>133149.39000000001</v>
          </cell>
          <cell r="H971">
            <v>133149.39000000001</v>
          </cell>
          <cell r="I971" t="str">
            <v>483</v>
          </cell>
        </row>
        <row r="972">
          <cell r="A972" t="str">
            <v>ARS</v>
          </cell>
          <cell r="B972" t="str">
            <v>483000297</v>
          </cell>
          <cell r="C972" t="str">
            <v>DE MATTIA, VANINA</v>
          </cell>
          <cell r="G972">
            <v>3403311.4</v>
          </cell>
          <cell r="H972">
            <v>3403311.4</v>
          </cell>
          <cell r="I972" t="str">
            <v>483</v>
          </cell>
        </row>
        <row r="973">
          <cell r="A973" t="str">
            <v>ARS</v>
          </cell>
          <cell r="B973" t="str">
            <v>483000301</v>
          </cell>
          <cell r="C973" t="str">
            <v>MOLINARI, OSCAR</v>
          </cell>
          <cell r="G973">
            <v>4568133.45</v>
          </cell>
          <cell r="H973">
            <v>4568133.45</v>
          </cell>
          <cell r="I973" t="str">
            <v>483</v>
          </cell>
        </row>
        <row r="974">
          <cell r="A974" t="str">
            <v>ARS</v>
          </cell>
          <cell r="B974" t="str">
            <v>483000302</v>
          </cell>
          <cell r="C974" t="str">
            <v>HY POWER HIDRAULICA S.A.</v>
          </cell>
          <cell r="G974">
            <v>180786326.74000001</v>
          </cell>
          <cell r="H974">
            <v>180786326.74000001</v>
          </cell>
          <cell r="I974" t="str">
            <v>483</v>
          </cell>
        </row>
        <row r="975">
          <cell r="A975" t="str">
            <v>ARS</v>
          </cell>
          <cell r="B975" t="str">
            <v>483000309</v>
          </cell>
          <cell r="C975" t="str">
            <v>CARABANTES, ANDRES ROMAN</v>
          </cell>
          <cell r="G975">
            <v>4300026.5999999996</v>
          </cell>
          <cell r="H975">
            <v>4300026.5999999996</v>
          </cell>
          <cell r="I975" t="str">
            <v>483</v>
          </cell>
        </row>
        <row r="976">
          <cell r="A976" t="str">
            <v>ARS</v>
          </cell>
          <cell r="B976" t="str">
            <v>483000314</v>
          </cell>
          <cell r="C976" t="str">
            <v>BUJAN, DIEGO ANDRES</v>
          </cell>
          <cell r="G976">
            <v>496825</v>
          </cell>
          <cell r="H976">
            <v>496825</v>
          </cell>
          <cell r="I976" t="str">
            <v>483</v>
          </cell>
        </row>
        <row r="977">
          <cell r="A977" t="str">
            <v>ARS</v>
          </cell>
          <cell r="B977" t="str">
            <v>483000315</v>
          </cell>
          <cell r="C977" t="str">
            <v>OBRING S.A.</v>
          </cell>
          <cell r="G977">
            <v>1632265694.3</v>
          </cell>
          <cell r="H977">
            <v>1632265694.3</v>
          </cell>
          <cell r="I977" t="str">
            <v>483</v>
          </cell>
        </row>
        <row r="978">
          <cell r="A978" t="str">
            <v>ARS</v>
          </cell>
          <cell r="B978" t="str">
            <v>483000317</v>
          </cell>
          <cell r="C978" t="str">
            <v>GAGLIARDO AGRÍCOLA GANADERA S.A.</v>
          </cell>
          <cell r="G978">
            <v>759619.02</v>
          </cell>
          <cell r="H978">
            <v>759619.02</v>
          </cell>
          <cell r="I978" t="str">
            <v>483</v>
          </cell>
        </row>
        <row r="979">
          <cell r="A979" t="str">
            <v>ARS</v>
          </cell>
          <cell r="B979" t="str">
            <v>483000320</v>
          </cell>
          <cell r="C979" t="str">
            <v>BISCAYART, TOMAS y GUILLERMO</v>
          </cell>
          <cell r="G979">
            <v>116204475.43000001</v>
          </cell>
          <cell r="H979">
            <v>116204475.43000001</v>
          </cell>
          <cell r="I979" t="str">
            <v>483</v>
          </cell>
        </row>
        <row r="980">
          <cell r="A980" t="str">
            <v>ARS</v>
          </cell>
          <cell r="B980" t="str">
            <v>483000326</v>
          </cell>
          <cell r="C980" t="str">
            <v>BASILICO, MATEO</v>
          </cell>
          <cell r="G980">
            <v>10672671.91</v>
          </cell>
          <cell r="H980">
            <v>10672671.91</v>
          </cell>
          <cell r="I980" t="str">
            <v>483</v>
          </cell>
        </row>
        <row r="981">
          <cell r="A981" t="str">
            <v>ARS</v>
          </cell>
          <cell r="B981" t="str">
            <v>483000327</v>
          </cell>
          <cell r="C981" t="str">
            <v>HERCORT HERRAMIENTAS SRL</v>
          </cell>
          <cell r="G981">
            <v>30819387.16</v>
          </cell>
          <cell r="H981">
            <v>30819387.16</v>
          </cell>
          <cell r="I981" t="str">
            <v>483</v>
          </cell>
        </row>
        <row r="982">
          <cell r="A982" t="str">
            <v>ARS</v>
          </cell>
          <cell r="B982" t="str">
            <v>483000330</v>
          </cell>
          <cell r="C982" t="str">
            <v>SEPULVEDA, DOMINGA NOEMI</v>
          </cell>
          <cell r="G982">
            <v>107258462.5</v>
          </cell>
          <cell r="H982">
            <v>107258462.5</v>
          </cell>
          <cell r="I982" t="str">
            <v>483</v>
          </cell>
        </row>
        <row r="983">
          <cell r="A983" t="str">
            <v>ARS</v>
          </cell>
          <cell r="B983" t="str">
            <v>483000334</v>
          </cell>
          <cell r="C983" t="str">
            <v>MUNINI, FRANCISCO</v>
          </cell>
          <cell r="G983">
            <v>33319042.469999999</v>
          </cell>
          <cell r="H983">
            <v>33319042.469999999</v>
          </cell>
          <cell r="I983" t="str">
            <v>483</v>
          </cell>
        </row>
        <row r="984">
          <cell r="A984" t="str">
            <v>ARS</v>
          </cell>
          <cell r="B984" t="str">
            <v>483000342</v>
          </cell>
          <cell r="C984" t="str">
            <v>IZAGUIRRE, PILAR</v>
          </cell>
          <cell r="G984">
            <v>506496.18</v>
          </cell>
          <cell r="H984">
            <v>506496.18</v>
          </cell>
          <cell r="I984" t="str">
            <v>483</v>
          </cell>
        </row>
        <row r="985">
          <cell r="A985" t="str">
            <v>ARS</v>
          </cell>
          <cell r="B985" t="str">
            <v>483000345</v>
          </cell>
          <cell r="C985" t="str">
            <v>CADENAS METALPLAS S.R.L.</v>
          </cell>
          <cell r="G985">
            <v>213763993.94999999</v>
          </cell>
          <cell r="H985">
            <v>213763993.94999999</v>
          </cell>
          <cell r="I985" t="str">
            <v>483</v>
          </cell>
        </row>
        <row r="986">
          <cell r="A986" t="str">
            <v>ARS</v>
          </cell>
          <cell r="B986" t="str">
            <v>483000346</v>
          </cell>
          <cell r="C986" t="str">
            <v>CIMINO, ALEJO AGUSTÍN</v>
          </cell>
          <cell r="G986">
            <v>1765558.83</v>
          </cell>
          <cell r="H986">
            <v>1765558.83</v>
          </cell>
          <cell r="I986" t="str">
            <v>483</v>
          </cell>
        </row>
        <row r="987">
          <cell r="A987" t="str">
            <v>ARS</v>
          </cell>
          <cell r="B987" t="str">
            <v>483000347</v>
          </cell>
          <cell r="C987" t="str">
            <v>YBAÑEZ CARRARA, IGNACIO MARTÍN</v>
          </cell>
          <cell r="G987">
            <v>2155238.96</v>
          </cell>
          <cell r="H987">
            <v>2155238.96</v>
          </cell>
          <cell r="I987" t="str">
            <v>483</v>
          </cell>
        </row>
        <row r="988">
          <cell r="A988" t="str">
            <v>ARS</v>
          </cell>
          <cell r="B988" t="str">
            <v>483000348</v>
          </cell>
          <cell r="C988" t="str">
            <v>DI BENE, VANESA</v>
          </cell>
          <cell r="G988">
            <v>1500495.2</v>
          </cell>
          <cell r="H988">
            <v>1500495.2</v>
          </cell>
          <cell r="I988" t="str">
            <v>483</v>
          </cell>
        </row>
        <row r="989">
          <cell r="A989" t="str">
            <v>ARS</v>
          </cell>
          <cell r="B989" t="str">
            <v>483000355</v>
          </cell>
          <cell r="C989" t="str">
            <v>RIVIERA PALACE S.A.</v>
          </cell>
          <cell r="G989">
            <v>251952237.66999999</v>
          </cell>
          <cell r="H989">
            <v>251952237.66999999</v>
          </cell>
          <cell r="I989" t="str">
            <v>483</v>
          </cell>
        </row>
        <row r="990">
          <cell r="A990" t="str">
            <v>ARS</v>
          </cell>
          <cell r="B990" t="str">
            <v>483000358</v>
          </cell>
          <cell r="C990" t="str">
            <v>COMINELLI, GERMÁN HECTOR</v>
          </cell>
          <cell r="G990">
            <v>10480.4</v>
          </cell>
          <cell r="H990">
            <v>10480.4</v>
          </cell>
          <cell r="I990" t="str">
            <v>483</v>
          </cell>
        </row>
        <row r="991">
          <cell r="A991" t="str">
            <v>ARS</v>
          </cell>
          <cell r="B991" t="str">
            <v>483000360</v>
          </cell>
          <cell r="C991" t="str">
            <v>RODRIGUEZ GUARAGLIA, JULIA</v>
          </cell>
          <cell r="G991">
            <v>296508.40000000002</v>
          </cell>
          <cell r="H991">
            <v>296508.40000000002</v>
          </cell>
          <cell r="I991" t="str">
            <v>483</v>
          </cell>
        </row>
        <row r="992">
          <cell r="A992" t="str">
            <v>ARS</v>
          </cell>
          <cell r="B992" t="str">
            <v>483000365</v>
          </cell>
          <cell r="C992" t="str">
            <v>IZAGUIRRE, LUIS</v>
          </cell>
          <cell r="G992">
            <v>2074578.58</v>
          </cell>
          <cell r="H992">
            <v>2074578.58</v>
          </cell>
          <cell r="I992" t="str">
            <v>483</v>
          </cell>
        </row>
        <row r="993">
          <cell r="A993" t="str">
            <v>ARS</v>
          </cell>
          <cell r="B993" t="str">
            <v>483000366</v>
          </cell>
          <cell r="C993" t="str">
            <v>CAVAR SACI</v>
          </cell>
          <cell r="G993">
            <v>245118</v>
          </cell>
          <cell r="H993">
            <v>245118</v>
          </cell>
          <cell r="I993" t="str">
            <v>483</v>
          </cell>
        </row>
        <row r="994">
          <cell r="A994" t="str">
            <v>ARS</v>
          </cell>
          <cell r="B994" t="str">
            <v>483000367</v>
          </cell>
          <cell r="C994" t="str">
            <v>PEREZ, JONATAN PABLO</v>
          </cell>
          <cell r="G994">
            <v>6226049</v>
          </cell>
          <cell r="H994">
            <v>6226049</v>
          </cell>
          <cell r="I994" t="str">
            <v>483</v>
          </cell>
        </row>
        <row r="995">
          <cell r="A995" t="str">
            <v>ARS</v>
          </cell>
          <cell r="B995" t="str">
            <v>483000369</v>
          </cell>
          <cell r="C995" t="str">
            <v>PATIÑO, HERNÁN LIONEL</v>
          </cell>
          <cell r="G995">
            <v>20743613.100000001</v>
          </cell>
          <cell r="H995">
            <v>20743613.100000001</v>
          </cell>
          <cell r="I995" t="str">
            <v>483</v>
          </cell>
        </row>
        <row r="996">
          <cell r="A996" t="str">
            <v>ARS</v>
          </cell>
          <cell r="B996" t="str">
            <v>483000370</v>
          </cell>
          <cell r="C996" t="str">
            <v>FILIPPINI, JOSE LUIS</v>
          </cell>
          <cell r="G996">
            <v>32800584.899999999</v>
          </cell>
          <cell r="H996">
            <v>32800584.899999999</v>
          </cell>
          <cell r="I996" t="str">
            <v>483</v>
          </cell>
        </row>
        <row r="997">
          <cell r="A997" t="str">
            <v>ARS</v>
          </cell>
          <cell r="B997" t="str">
            <v>483000372</v>
          </cell>
          <cell r="C997" t="str">
            <v xml:space="preserve">YBAÑEZ MARTÍN </v>
          </cell>
          <cell r="G997">
            <v>9794365.0800000001</v>
          </cell>
          <cell r="H997">
            <v>9794365.0800000001</v>
          </cell>
          <cell r="I997" t="str">
            <v>483</v>
          </cell>
        </row>
        <row r="998">
          <cell r="A998" t="str">
            <v>ARS</v>
          </cell>
          <cell r="B998" t="str">
            <v>483000376</v>
          </cell>
          <cell r="C998" t="str">
            <v>CHAVARRI, JUAN</v>
          </cell>
          <cell r="G998">
            <v>596120</v>
          </cell>
          <cell r="H998">
            <v>596120</v>
          </cell>
          <cell r="I998" t="str">
            <v>483</v>
          </cell>
        </row>
        <row r="999">
          <cell r="A999" t="str">
            <v>ARS</v>
          </cell>
          <cell r="B999" t="str">
            <v>483000380</v>
          </cell>
          <cell r="C999" t="str">
            <v>TUR, EZEQUIEL</v>
          </cell>
          <cell r="G999">
            <v>17073951.600000001</v>
          </cell>
          <cell r="H999">
            <v>17073951.600000001</v>
          </cell>
          <cell r="I999" t="str">
            <v>483</v>
          </cell>
        </row>
        <row r="1000">
          <cell r="A1000" t="str">
            <v>ARS</v>
          </cell>
          <cell r="B1000" t="str">
            <v>483000383</v>
          </cell>
          <cell r="C1000" t="str">
            <v>SETTECASE, MARÍA BELÉN</v>
          </cell>
          <cell r="G1000">
            <v>15275623.34</v>
          </cell>
          <cell r="H1000">
            <v>15275623.34</v>
          </cell>
          <cell r="I1000" t="str">
            <v>483</v>
          </cell>
        </row>
        <row r="1001">
          <cell r="A1001" t="str">
            <v>ARS</v>
          </cell>
          <cell r="B1001" t="str">
            <v>483000387</v>
          </cell>
          <cell r="C1001" t="str">
            <v>LOPEZ CANDIOTI, JUAN CARLOS</v>
          </cell>
          <cell r="G1001">
            <v>29593841.039999999</v>
          </cell>
          <cell r="H1001">
            <v>29593841.039999999</v>
          </cell>
          <cell r="I1001" t="str">
            <v>483</v>
          </cell>
        </row>
        <row r="1002">
          <cell r="A1002" t="str">
            <v>ARS</v>
          </cell>
          <cell r="B1002" t="str">
            <v>483000389</v>
          </cell>
          <cell r="C1002" t="str">
            <v>COEQUIPER SRL</v>
          </cell>
          <cell r="G1002">
            <v>913616</v>
          </cell>
          <cell r="H1002">
            <v>913616</v>
          </cell>
          <cell r="I1002" t="str">
            <v>483</v>
          </cell>
        </row>
        <row r="1003">
          <cell r="A1003" t="str">
            <v>ARS</v>
          </cell>
          <cell r="B1003" t="str">
            <v>483000395</v>
          </cell>
          <cell r="C1003" t="str">
            <v>CARROCERIAS SALDIVIA S.A.</v>
          </cell>
          <cell r="G1003">
            <v>168678895.12</v>
          </cell>
          <cell r="H1003">
            <v>168678895.12</v>
          </cell>
          <cell r="I1003" t="str">
            <v>483</v>
          </cell>
        </row>
        <row r="1004">
          <cell r="A1004" t="str">
            <v>ARS</v>
          </cell>
          <cell r="B1004" t="str">
            <v>483000402</v>
          </cell>
          <cell r="C1004" t="str">
            <v>WILLINER, RODOLFO JOSE</v>
          </cell>
          <cell r="G1004">
            <v>124376724.68000001</v>
          </cell>
          <cell r="H1004">
            <v>124376724.68000001</v>
          </cell>
          <cell r="I1004" t="str">
            <v>483</v>
          </cell>
        </row>
        <row r="1005">
          <cell r="A1005" t="str">
            <v>ARS</v>
          </cell>
          <cell r="B1005" t="str">
            <v>483000403</v>
          </cell>
          <cell r="C1005" t="str">
            <v>FRAGUEYRO, MARIA ELENA</v>
          </cell>
          <cell r="G1005">
            <v>5042992.1100000003</v>
          </cell>
          <cell r="H1005">
            <v>5042992.1100000003</v>
          </cell>
          <cell r="I1005" t="str">
            <v>483</v>
          </cell>
        </row>
        <row r="1006">
          <cell r="A1006" t="str">
            <v>ARS</v>
          </cell>
          <cell r="B1006" t="str">
            <v>483000406</v>
          </cell>
          <cell r="C1006" t="str">
            <v>SALAS, FERNANDO MAXIMILIANO</v>
          </cell>
          <cell r="G1006">
            <v>32656668.899999999</v>
          </cell>
          <cell r="H1006">
            <v>32656668.899999999</v>
          </cell>
          <cell r="I1006" t="str">
            <v>483</v>
          </cell>
        </row>
        <row r="1007">
          <cell r="A1007" t="str">
            <v>ARS</v>
          </cell>
          <cell r="B1007" t="str">
            <v>483000407</v>
          </cell>
          <cell r="C1007" t="str">
            <v>MONTENEGRO ESPASANDIN, MARIA LUCIA</v>
          </cell>
          <cell r="G1007">
            <v>5564917</v>
          </cell>
          <cell r="H1007">
            <v>5564917</v>
          </cell>
          <cell r="I1007" t="str">
            <v>483</v>
          </cell>
        </row>
        <row r="1008">
          <cell r="A1008" t="str">
            <v>ARS</v>
          </cell>
          <cell r="B1008" t="str">
            <v>483000408</v>
          </cell>
          <cell r="C1008" t="str">
            <v>LÓPEZ, ELENA BEATRIZ</v>
          </cell>
          <cell r="G1008">
            <v>44922364.770000003</v>
          </cell>
          <cell r="H1008">
            <v>44922364.770000003</v>
          </cell>
          <cell r="I1008" t="str">
            <v>483</v>
          </cell>
        </row>
        <row r="1009">
          <cell r="A1009" t="str">
            <v>ARS</v>
          </cell>
          <cell r="B1009" t="str">
            <v>483000409</v>
          </cell>
          <cell r="C1009" t="str">
            <v>CHAVARRI, IGNACIO</v>
          </cell>
          <cell r="G1009">
            <v>9411336.3599999994</v>
          </cell>
          <cell r="H1009">
            <v>9411336.3599999994</v>
          </cell>
          <cell r="I1009" t="str">
            <v>483</v>
          </cell>
        </row>
        <row r="1010">
          <cell r="A1010" t="str">
            <v>ARS</v>
          </cell>
          <cell r="B1010" t="str">
            <v>483000412</v>
          </cell>
          <cell r="C1010" t="str">
            <v>RUBINICH, LILIANA JORGELINA</v>
          </cell>
          <cell r="G1010">
            <v>4813775.4800000004</v>
          </cell>
          <cell r="H1010">
            <v>4813775.4800000004</v>
          </cell>
          <cell r="I1010" t="str">
            <v>483</v>
          </cell>
        </row>
        <row r="1011">
          <cell r="A1011" t="str">
            <v>ARS</v>
          </cell>
          <cell r="B1011" t="str">
            <v>483000419</v>
          </cell>
          <cell r="C1011" t="str">
            <v>MARTINEZ, MIGUEL GERARDO</v>
          </cell>
          <cell r="G1011">
            <v>6102908.5300000003</v>
          </cell>
          <cell r="H1011">
            <v>6102908.5300000003</v>
          </cell>
          <cell r="I1011" t="str">
            <v>483</v>
          </cell>
        </row>
        <row r="1012">
          <cell r="A1012" t="str">
            <v>ARS</v>
          </cell>
          <cell r="B1012" t="str">
            <v>483000422</v>
          </cell>
          <cell r="C1012" t="str">
            <v>COMERCIALIZADORA DEL NORDESTE SRL</v>
          </cell>
          <cell r="G1012">
            <v>8857773.6500000004</v>
          </cell>
          <cell r="H1012">
            <v>8857773.6500000004</v>
          </cell>
          <cell r="I1012" t="str">
            <v>483</v>
          </cell>
        </row>
        <row r="1013">
          <cell r="A1013" t="str">
            <v>ARS</v>
          </cell>
          <cell r="B1013" t="str">
            <v>483000424</v>
          </cell>
          <cell r="C1013" t="str">
            <v>MOVIL GROUP S.R.L.</v>
          </cell>
          <cell r="G1013">
            <v>89778616.920000002</v>
          </cell>
          <cell r="H1013">
            <v>89778616.920000002</v>
          </cell>
          <cell r="I1013" t="str">
            <v>483</v>
          </cell>
        </row>
        <row r="1014">
          <cell r="A1014" t="str">
            <v>ARS</v>
          </cell>
          <cell r="B1014" t="str">
            <v>483000426</v>
          </cell>
          <cell r="C1014" t="str">
            <v>TONELLI, MARIA PAMELA</v>
          </cell>
          <cell r="G1014">
            <v>24306628.609999999</v>
          </cell>
          <cell r="H1014">
            <v>24306628.609999999</v>
          </cell>
          <cell r="I1014" t="str">
            <v>483</v>
          </cell>
        </row>
        <row r="1015">
          <cell r="A1015" t="str">
            <v>ARS</v>
          </cell>
          <cell r="B1015" t="str">
            <v>483000427</v>
          </cell>
          <cell r="C1015" t="str">
            <v>MUNINI, PATRICIA MONICA.</v>
          </cell>
          <cell r="G1015">
            <v>174797.03</v>
          </cell>
          <cell r="H1015">
            <v>174797.03</v>
          </cell>
          <cell r="I1015" t="str">
            <v>483</v>
          </cell>
        </row>
        <row r="1016">
          <cell r="A1016" t="str">
            <v>ARS</v>
          </cell>
          <cell r="B1016" t="str">
            <v>483000429</v>
          </cell>
          <cell r="C1016" t="str">
            <v>Di Doménica, Gonzalo Luciano</v>
          </cell>
          <cell r="G1016">
            <v>38095308.369999997</v>
          </cell>
          <cell r="H1016">
            <v>38095308.369999997</v>
          </cell>
          <cell r="I1016" t="str">
            <v>483</v>
          </cell>
        </row>
        <row r="1017">
          <cell r="A1017" t="str">
            <v>ARS</v>
          </cell>
          <cell r="B1017" t="str">
            <v>483000431</v>
          </cell>
          <cell r="C1017" t="str">
            <v>YBAÑEZ PABLO y GHIDINELLI CAMILA</v>
          </cell>
          <cell r="G1017">
            <v>3996415.28</v>
          </cell>
          <cell r="H1017">
            <v>3996415.28</v>
          </cell>
          <cell r="I1017" t="str">
            <v>483</v>
          </cell>
        </row>
        <row r="1018">
          <cell r="A1018" t="str">
            <v>ARS</v>
          </cell>
          <cell r="B1018" t="str">
            <v>483000432</v>
          </cell>
          <cell r="C1018" t="str">
            <v>MACRO INTELL S.A.</v>
          </cell>
          <cell r="G1018">
            <v>30100495.719999999</v>
          </cell>
          <cell r="H1018">
            <v>30100495.719999999</v>
          </cell>
          <cell r="I1018" t="str">
            <v>483</v>
          </cell>
        </row>
        <row r="1019">
          <cell r="A1019" t="str">
            <v>ARS</v>
          </cell>
          <cell r="B1019" t="str">
            <v>483000436</v>
          </cell>
          <cell r="C1019" t="str">
            <v>ANGEL Y FRANCISCO FONTANET SRL</v>
          </cell>
          <cell r="G1019">
            <v>425451081.23000002</v>
          </cell>
          <cell r="H1019">
            <v>425451081.23000002</v>
          </cell>
          <cell r="I1019" t="str">
            <v>483</v>
          </cell>
        </row>
        <row r="1020">
          <cell r="A1020" t="str">
            <v>ARS</v>
          </cell>
          <cell r="B1020" t="str">
            <v>483000444</v>
          </cell>
          <cell r="C1020" t="str">
            <v>VEROLO, DIEGO DAVID</v>
          </cell>
          <cell r="G1020">
            <v>160281355.77000001</v>
          </cell>
          <cell r="H1020">
            <v>160281355.77000001</v>
          </cell>
          <cell r="I1020" t="str">
            <v>483</v>
          </cell>
        </row>
        <row r="1021">
          <cell r="A1021" t="str">
            <v>ARS</v>
          </cell>
          <cell r="B1021" t="str">
            <v>483005001</v>
          </cell>
          <cell r="C1021" t="str">
            <v>[C.E.R.A.] SANCHEZ, DIEGO ALBERTO</v>
          </cell>
          <cell r="G1021">
            <v>20957.3</v>
          </cell>
          <cell r="H1021">
            <v>20957.3</v>
          </cell>
          <cell r="I1021" t="str">
            <v>483</v>
          </cell>
        </row>
        <row r="1022">
          <cell r="A1022" t="str">
            <v>ARS</v>
          </cell>
          <cell r="B1022" t="str">
            <v>483005003</v>
          </cell>
          <cell r="C1022" t="str">
            <v>[C.E.R.A.] ACERMA S. A.</v>
          </cell>
          <cell r="G1022">
            <v>645217021.45000005</v>
          </cell>
          <cell r="H1022">
            <v>645217021.45000005</v>
          </cell>
          <cell r="I1022" t="str">
            <v>483</v>
          </cell>
        </row>
        <row r="1023">
          <cell r="A1023" t="str">
            <v>ARS</v>
          </cell>
          <cell r="B1023" t="str">
            <v>483005004</v>
          </cell>
          <cell r="C1023" t="str">
            <v>[C.E.R.A.] MENARA CORRALON S.A.</v>
          </cell>
          <cell r="G1023">
            <v>236269410.50999999</v>
          </cell>
          <cell r="H1023">
            <v>236269410.50999999</v>
          </cell>
          <cell r="I1023" t="str">
            <v>483</v>
          </cell>
        </row>
        <row r="1024">
          <cell r="A1024" t="str">
            <v>ARS</v>
          </cell>
          <cell r="B1024" t="str">
            <v>483005009</v>
          </cell>
          <cell r="C1024" t="str">
            <v>[C.E.R.A.] ELVIO YBAÑEZ S.R.L.</v>
          </cell>
          <cell r="G1024">
            <v>20251.5</v>
          </cell>
          <cell r="H1024">
            <v>20251.5</v>
          </cell>
          <cell r="I1024" t="str">
            <v>483</v>
          </cell>
        </row>
        <row r="1025">
          <cell r="A1025" t="str">
            <v>ARS</v>
          </cell>
          <cell r="B1025" t="str">
            <v>486000006</v>
          </cell>
          <cell r="C1025" t="str">
            <v>Unigestion S.A.</v>
          </cell>
          <cell r="G1025">
            <v>1209629284.6300001</v>
          </cell>
          <cell r="H1025">
            <v>1209629284.6300001</v>
          </cell>
          <cell r="I1025" t="str">
            <v>486</v>
          </cell>
        </row>
        <row r="1026">
          <cell r="A1026" t="str">
            <v>ARS</v>
          </cell>
          <cell r="B1026" t="str">
            <v>486000008</v>
          </cell>
          <cell r="C1026" t="str">
            <v>Achaval Rodriguez, Marcos Jose</v>
          </cell>
          <cell r="G1026">
            <v>771421414</v>
          </cell>
          <cell r="H1026">
            <v>771421414</v>
          </cell>
          <cell r="I1026" t="str">
            <v>486</v>
          </cell>
        </row>
        <row r="1027">
          <cell r="A1027" t="str">
            <v>ARS</v>
          </cell>
          <cell r="B1027" t="str">
            <v>486000009</v>
          </cell>
          <cell r="C1027" t="str">
            <v>Chevallier Boutell, Joaquin o Brochard, Mariana</v>
          </cell>
          <cell r="G1027">
            <v>6709383676.8999996</v>
          </cell>
          <cell r="H1027">
            <v>6709383676.8999996</v>
          </cell>
          <cell r="I1027" t="str">
            <v>486</v>
          </cell>
        </row>
        <row r="1028">
          <cell r="A1028" t="str">
            <v>ARS</v>
          </cell>
          <cell r="B1028" t="str">
            <v>486000012</v>
          </cell>
          <cell r="C1028" t="str">
            <v>Zamboni, Josefina</v>
          </cell>
          <cell r="G1028">
            <v>490245696</v>
          </cell>
          <cell r="H1028">
            <v>490245696</v>
          </cell>
          <cell r="I1028" t="str">
            <v>486</v>
          </cell>
        </row>
        <row r="1029">
          <cell r="A1029" t="str">
            <v>ARS</v>
          </cell>
          <cell r="B1029" t="str">
            <v>486000013</v>
          </cell>
          <cell r="C1029" t="str">
            <v>Simba Trading SA</v>
          </cell>
          <cell r="G1029">
            <v>190050086.25</v>
          </cell>
          <cell r="H1029">
            <v>190050086.25</v>
          </cell>
          <cell r="I1029" t="str">
            <v>486</v>
          </cell>
        </row>
        <row r="1030">
          <cell r="A1030" t="str">
            <v>ARS</v>
          </cell>
          <cell r="B1030" t="str">
            <v>486000015</v>
          </cell>
          <cell r="C1030" t="str">
            <v>Bence Pieres, María Susana</v>
          </cell>
          <cell r="G1030">
            <v>1479910565.25</v>
          </cell>
          <cell r="H1030">
            <v>1479910565.25</v>
          </cell>
          <cell r="I1030" t="str">
            <v>486</v>
          </cell>
        </row>
        <row r="1031">
          <cell r="A1031" t="str">
            <v>ARS</v>
          </cell>
          <cell r="B1031" t="str">
            <v>486000016</v>
          </cell>
          <cell r="C1031" t="str">
            <v>Sagarna Botet, Pedro</v>
          </cell>
          <cell r="G1031">
            <v>1469894537</v>
          </cell>
          <cell r="H1031">
            <v>1469894537</v>
          </cell>
          <cell r="I1031" t="str">
            <v>486</v>
          </cell>
        </row>
        <row r="1032">
          <cell r="A1032" t="str">
            <v>ARS</v>
          </cell>
          <cell r="B1032" t="str">
            <v>486000021</v>
          </cell>
          <cell r="C1032" t="str">
            <v xml:space="preserve">Villar, Ivan </v>
          </cell>
          <cell r="G1032">
            <v>15044905.689999999</v>
          </cell>
          <cell r="H1032">
            <v>15044905.689999999</v>
          </cell>
          <cell r="I1032" t="str">
            <v>486</v>
          </cell>
        </row>
        <row r="1033">
          <cell r="A1033" t="str">
            <v>ARS</v>
          </cell>
          <cell r="B1033" t="str">
            <v>486000026</v>
          </cell>
          <cell r="C1033" t="str">
            <v>Saenz, Alberto Alfonso</v>
          </cell>
          <cell r="G1033">
            <v>25811773.960000001</v>
          </cell>
          <cell r="H1033">
            <v>25811773.960000001</v>
          </cell>
          <cell r="I1033" t="str">
            <v>486</v>
          </cell>
        </row>
        <row r="1034">
          <cell r="A1034" t="str">
            <v>ARS</v>
          </cell>
          <cell r="B1034" t="str">
            <v>486000033</v>
          </cell>
          <cell r="C1034" t="str">
            <v>Sundblad, Santiago</v>
          </cell>
          <cell r="G1034">
            <v>13391823</v>
          </cell>
          <cell r="H1034">
            <v>13391823</v>
          </cell>
          <cell r="I1034" t="str">
            <v>486</v>
          </cell>
        </row>
        <row r="1035">
          <cell r="A1035" t="str">
            <v>ARS</v>
          </cell>
          <cell r="B1035" t="str">
            <v>486000035</v>
          </cell>
          <cell r="C1035" t="str">
            <v>PUESTO LAS MULAS S.A</v>
          </cell>
          <cell r="G1035">
            <v>64045357.799999997</v>
          </cell>
          <cell r="H1035">
            <v>64045357.799999997</v>
          </cell>
          <cell r="I1035" t="str">
            <v>486</v>
          </cell>
        </row>
        <row r="1036">
          <cell r="A1036" t="str">
            <v>ARS</v>
          </cell>
          <cell r="B1036" t="str">
            <v>486000036</v>
          </cell>
          <cell r="C1036" t="str">
            <v>Aguirre Holmberg, Delia Maria</v>
          </cell>
          <cell r="G1036">
            <v>8261339.9000000004</v>
          </cell>
          <cell r="H1036">
            <v>8261339.9000000004</v>
          </cell>
          <cell r="I1036" t="str">
            <v>486</v>
          </cell>
        </row>
        <row r="1037">
          <cell r="A1037" t="str">
            <v>ARS</v>
          </cell>
          <cell r="B1037" t="str">
            <v>486000054</v>
          </cell>
          <cell r="C1037" t="str">
            <v>Castellani, Leonardo</v>
          </cell>
          <cell r="G1037">
            <v>7843318298.8999996</v>
          </cell>
          <cell r="H1037">
            <v>7843318298.8999996</v>
          </cell>
          <cell r="I1037" t="str">
            <v>486</v>
          </cell>
        </row>
        <row r="1038">
          <cell r="A1038" t="str">
            <v>ARS</v>
          </cell>
          <cell r="B1038" t="str">
            <v>486000064</v>
          </cell>
          <cell r="C1038" t="str">
            <v>Sica Paravicini, Franco</v>
          </cell>
          <cell r="G1038">
            <v>14500000.890000001</v>
          </cell>
          <cell r="H1038">
            <v>14500000.890000001</v>
          </cell>
          <cell r="I1038" t="str">
            <v>486</v>
          </cell>
        </row>
        <row r="1039">
          <cell r="A1039" t="str">
            <v>ARS</v>
          </cell>
          <cell r="B1039" t="str">
            <v>486000090</v>
          </cell>
          <cell r="C1039" t="str">
            <v>Siro, Luis Horacio</v>
          </cell>
          <cell r="G1039">
            <v>5232523.8</v>
          </cell>
          <cell r="H1039">
            <v>5232523.8</v>
          </cell>
          <cell r="I1039" t="str">
            <v>486</v>
          </cell>
        </row>
        <row r="1040">
          <cell r="A1040" t="str">
            <v>ARS</v>
          </cell>
          <cell r="B1040" t="str">
            <v>486000101</v>
          </cell>
          <cell r="C1040" t="str">
            <v>Belli, María Clara</v>
          </cell>
          <cell r="G1040">
            <v>16801475.579999998</v>
          </cell>
          <cell r="H1040">
            <v>16801475.579999998</v>
          </cell>
          <cell r="I1040" t="str">
            <v>486</v>
          </cell>
        </row>
        <row r="1041">
          <cell r="A1041" t="str">
            <v>ARS</v>
          </cell>
          <cell r="B1041" t="str">
            <v>486000103</v>
          </cell>
          <cell r="C1041" t="str">
            <v>Mainero, Gustavo Daniel</v>
          </cell>
          <cell r="G1041">
            <v>3059673415.4499998</v>
          </cell>
          <cell r="H1041">
            <v>3059673415.4499998</v>
          </cell>
          <cell r="I1041" t="str">
            <v>486</v>
          </cell>
        </row>
        <row r="1042">
          <cell r="A1042" t="str">
            <v>ARS</v>
          </cell>
          <cell r="B1042" t="str">
            <v>486000115</v>
          </cell>
          <cell r="C1042" t="str">
            <v>Vilariño, Federico Manuel</v>
          </cell>
          <cell r="G1042">
            <v>4512370166.8000002</v>
          </cell>
          <cell r="H1042">
            <v>4512370166.8000002</v>
          </cell>
          <cell r="I1042" t="str">
            <v>486</v>
          </cell>
        </row>
        <row r="1043">
          <cell r="A1043" t="str">
            <v>ARS</v>
          </cell>
          <cell r="B1043" t="str">
            <v>486000124</v>
          </cell>
          <cell r="C1043" t="str">
            <v>Vilariño, Matias</v>
          </cell>
          <cell r="G1043">
            <v>233482764.90000001</v>
          </cell>
          <cell r="H1043">
            <v>233482764.90000001</v>
          </cell>
          <cell r="I1043" t="str">
            <v>486</v>
          </cell>
        </row>
        <row r="1044">
          <cell r="A1044" t="str">
            <v>ARS</v>
          </cell>
          <cell r="B1044" t="str">
            <v>486000128</v>
          </cell>
          <cell r="C1044" t="str">
            <v>Vilariño, Federico</v>
          </cell>
          <cell r="G1044">
            <v>1859915987.8</v>
          </cell>
          <cell r="H1044">
            <v>1859915987.8</v>
          </cell>
          <cell r="I1044" t="str">
            <v>486</v>
          </cell>
        </row>
        <row r="1045">
          <cell r="A1045" t="str">
            <v>ARS</v>
          </cell>
          <cell r="B1045" t="str">
            <v>486000129</v>
          </cell>
          <cell r="C1045" t="str">
            <v>Vilariño, Juan Cruz</v>
          </cell>
          <cell r="G1045">
            <v>2373545230.8000002</v>
          </cell>
          <cell r="H1045">
            <v>2373545230.8000002</v>
          </cell>
          <cell r="I1045" t="str">
            <v>486</v>
          </cell>
        </row>
        <row r="1046">
          <cell r="A1046" t="str">
            <v>ARS</v>
          </cell>
          <cell r="B1046" t="str">
            <v>486000130</v>
          </cell>
          <cell r="C1046" t="str">
            <v>Gude, Javier</v>
          </cell>
          <cell r="G1046">
            <v>279999.14</v>
          </cell>
          <cell r="H1046">
            <v>279999.14</v>
          </cell>
          <cell r="I1046" t="str">
            <v>486</v>
          </cell>
        </row>
        <row r="1047">
          <cell r="A1047" t="str">
            <v>ARS</v>
          </cell>
          <cell r="B1047" t="str">
            <v>486000149</v>
          </cell>
          <cell r="C1047" t="str">
            <v>Grinda, Ignacio</v>
          </cell>
          <cell r="G1047">
            <v>27026652</v>
          </cell>
          <cell r="H1047">
            <v>27026652</v>
          </cell>
          <cell r="I1047" t="str">
            <v>486</v>
          </cell>
        </row>
        <row r="1048">
          <cell r="A1048" t="str">
            <v>ARS</v>
          </cell>
          <cell r="B1048" t="str">
            <v>486000154</v>
          </cell>
          <cell r="C1048" t="str">
            <v xml:space="preserve">Lorenzo, Martin Angel </v>
          </cell>
          <cell r="G1048">
            <v>598116.19999999995</v>
          </cell>
          <cell r="H1048">
            <v>598116.19999999995</v>
          </cell>
          <cell r="I1048" t="str">
            <v>486</v>
          </cell>
        </row>
        <row r="1049">
          <cell r="A1049" t="str">
            <v>ARS</v>
          </cell>
          <cell r="B1049" t="str">
            <v>486000166</v>
          </cell>
          <cell r="C1049" t="str">
            <v>Doreski , Diego</v>
          </cell>
          <cell r="G1049">
            <v>447042262.55000001</v>
          </cell>
          <cell r="H1049">
            <v>447042262.55000001</v>
          </cell>
          <cell r="I1049" t="str">
            <v>486</v>
          </cell>
        </row>
        <row r="1050">
          <cell r="A1050" t="str">
            <v>ARS</v>
          </cell>
          <cell r="B1050" t="str">
            <v>486000167</v>
          </cell>
          <cell r="C1050" t="str">
            <v>Varela, Marcos Horacio</v>
          </cell>
          <cell r="G1050">
            <v>93492895.590000004</v>
          </cell>
          <cell r="H1050">
            <v>93492895.590000004</v>
          </cell>
          <cell r="I1050" t="str">
            <v>486</v>
          </cell>
        </row>
        <row r="1051">
          <cell r="A1051" t="str">
            <v>ARS</v>
          </cell>
          <cell r="B1051" t="str">
            <v>486000185</v>
          </cell>
          <cell r="C1051" t="str">
            <v>Lopez Mañan, Jose Maria</v>
          </cell>
          <cell r="G1051">
            <v>234856.2</v>
          </cell>
          <cell r="H1051">
            <v>234856.2</v>
          </cell>
          <cell r="I1051" t="str">
            <v>486</v>
          </cell>
        </row>
        <row r="1052">
          <cell r="A1052" t="str">
            <v>ARS</v>
          </cell>
          <cell r="B1052" t="str">
            <v>486000200</v>
          </cell>
          <cell r="C1052" t="str">
            <v>Marque, Joaquín Enrique TRADING</v>
          </cell>
          <cell r="G1052">
            <v>53554366.600000001</v>
          </cell>
          <cell r="H1052">
            <v>53554366.600000001</v>
          </cell>
          <cell r="I1052" t="str">
            <v>486</v>
          </cell>
        </row>
        <row r="1053">
          <cell r="A1053" t="str">
            <v>ARS</v>
          </cell>
          <cell r="B1053" t="str">
            <v>486000206</v>
          </cell>
          <cell r="C1053" t="str">
            <v xml:space="preserve">Schvartzman Jesica o Grehan Marcos Roman </v>
          </cell>
          <cell r="G1053">
            <v>6294807.9000000004</v>
          </cell>
          <cell r="H1053">
            <v>6294807.9000000004</v>
          </cell>
          <cell r="I1053" t="str">
            <v>486</v>
          </cell>
        </row>
        <row r="1054">
          <cell r="A1054" t="str">
            <v>ARS</v>
          </cell>
          <cell r="B1054" t="str">
            <v>486000229</v>
          </cell>
          <cell r="C1054" t="str">
            <v>Tadioli, Fabian Omar</v>
          </cell>
          <cell r="G1054">
            <v>1355403335</v>
          </cell>
          <cell r="H1054">
            <v>1355403335</v>
          </cell>
          <cell r="I1054" t="str">
            <v>486</v>
          </cell>
        </row>
        <row r="1055">
          <cell r="A1055" t="str">
            <v>ARS</v>
          </cell>
          <cell r="B1055" t="str">
            <v>486000237</v>
          </cell>
          <cell r="C1055" t="str">
            <v>Uriburu, María Inés</v>
          </cell>
          <cell r="G1055">
            <v>4649173.74</v>
          </cell>
          <cell r="H1055">
            <v>4649173.74</v>
          </cell>
          <cell r="I1055" t="str">
            <v>486</v>
          </cell>
        </row>
        <row r="1056">
          <cell r="A1056" t="str">
            <v>ARS</v>
          </cell>
          <cell r="B1056" t="str">
            <v>486000242</v>
          </cell>
          <cell r="C1056" t="str">
            <v>Krause, Jaime Otto / Funes, Dolores María</v>
          </cell>
          <cell r="G1056">
            <v>14811970</v>
          </cell>
          <cell r="H1056">
            <v>14811970</v>
          </cell>
          <cell r="I1056" t="str">
            <v>486</v>
          </cell>
        </row>
        <row r="1057">
          <cell r="A1057" t="str">
            <v>ARS</v>
          </cell>
          <cell r="B1057" t="str">
            <v>486000244</v>
          </cell>
          <cell r="C1057" t="str">
            <v>Rentero, Sergio Damián</v>
          </cell>
          <cell r="G1057">
            <v>2220986</v>
          </cell>
          <cell r="H1057">
            <v>2220986</v>
          </cell>
          <cell r="I1057" t="str">
            <v>486</v>
          </cell>
        </row>
        <row r="1058">
          <cell r="A1058" t="str">
            <v>ARS</v>
          </cell>
          <cell r="B1058" t="str">
            <v>486000248</v>
          </cell>
          <cell r="C1058" t="str">
            <v>Rossi, Daniel Hugo</v>
          </cell>
          <cell r="G1058">
            <v>26929831.91</v>
          </cell>
          <cell r="H1058">
            <v>26929831.91</v>
          </cell>
          <cell r="I1058" t="str">
            <v>486</v>
          </cell>
        </row>
        <row r="1059">
          <cell r="A1059" t="str">
            <v>ARS</v>
          </cell>
          <cell r="B1059" t="str">
            <v>486000254</v>
          </cell>
          <cell r="C1059" t="str">
            <v>Holmberg, Delia Ernestina</v>
          </cell>
          <cell r="G1059">
            <v>6656979</v>
          </cell>
          <cell r="H1059">
            <v>6656979</v>
          </cell>
          <cell r="I1059" t="str">
            <v>486</v>
          </cell>
        </row>
        <row r="1060">
          <cell r="A1060" t="str">
            <v>ARS</v>
          </cell>
          <cell r="B1060" t="str">
            <v>486000260</v>
          </cell>
          <cell r="C1060" t="str">
            <v>Steverlynck, María Sofía</v>
          </cell>
          <cell r="G1060">
            <v>101944</v>
          </cell>
          <cell r="H1060">
            <v>101944</v>
          </cell>
          <cell r="I1060" t="str">
            <v>486</v>
          </cell>
        </row>
        <row r="1061">
          <cell r="A1061" t="str">
            <v>ARS</v>
          </cell>
          <cell r="B1061" t="str">
            <v>486000262</v>
          </cell>
          <cell r="C1061" t="str">
            <v>Massollo, Anabella Bettina</v>
          </cell>
          <cell r="G1061">
            <v>5023234.5</v>
          </cell>
          <cell r="H1061">
            <v>5023234.5</v>
          </cell>
          <cell r="I1061" t="str">
            <v>486</v>
          </cell>
        </row>
        <row r="1062">
          <cell r="A1062" t="str">
            <v>ARS</v>
          </cell>
          <cell r="B1062" t="str">
            <v>486000268</v>
          </cell>
          <cell r="C1062" t="str">
            <v>Robles, Maria Paula</v>
          </cell>
          <cell r="G1062">
            <v>22000844.629999999</v>
          </cell>
          <cell r="H1062">
            <v>22000844.629999999</v>
          </cell>
          <cell r="I1062" t="str">
            <v>486</v>
          </cell>
        </row>
        <row r="1063">
          <cell r="A1063" t="str">
            <v>ARS</v>
          </cell>
          <cell r="B1063" t="str">
            <v>486000269</v>
          </cell>
          <cell r="C1063" t="str">
            <v>Vilariño, Agustín</v>
          </cell>
          <cell r="G1063">
            <v>26378070.219999999</v>
          </cell>
          <cell r="H1063">
            <v>26378070.219999999</v>
          </cell>
          <cell r="I1063" t="str">
            <v>486</v>
          </cell>
        </row>
        <row r="1064">
          <cell r="A1064" t="str">
            <v>ARS</v>
          </cell>
          <cell r="B1064" t="str">
            <v>486000272</v>
          </cell>
          <cell r="C1064" t="str">
            <v>Jaeger, Francisco</v>
          </cell>
          <cell r="G1064">
            <v>541430692</v>
          </cell>
          <cell r="H1064">
            <v>541430692</v>
          </cell>
          <cell r="I1064" t="str">
            <v>486</v>
          </cell>
        </row>
        <row r="1065">
          <cell r="A1065" t="str">
            <v>ARS</v>
          </cell>
          <cell r="B1065" t="str">
            <v>486000276</v>
          </cell>
          <cell r="C1065" t="str">
            <v xml:space="preserve">Marque, Maria Carolina </v>
          </cell>
          <cell r="G1065">
            <v>539278.69999999995</v>
          </cell>
          <cell r="H1065">
            <v>539278.69999999995</v>
          </cell>
          <cell r="I1065" t="str">
            <v>486</v>
          </cell>
        </row>
        <row r="1066">
          <cell r="A1066" t="str">
            <v>ARS</v>
          </cell>
          <cell r="B1066" t="str">
            <v>486000277</v>
          </cell>
          <cell r="C1066" t="str">
            <v>Baronzini, Lucia Mabel</v>
          </cell>
          <cell r="G1066">
            <v>28120</v>
          </cell>
          <cell r="H1066">
            <v>28120</v>
          </cell>
          <cell r="I1066" t="str">
            <v>486</v>
          </cell>
        </row>
        <row r="1067">
          <cell r="A1067" t="str">
            <v>ARS</v>
          </cell>
          <cell r="B1067" t="str">
            <v>486000286</v>
          </cell>
          <cell r="C1067" t="str">
            <v>Catalan, Matias Ezequiel</v>
          </cell>
          <cell r="G1067">
            <v>129568622.90000001</v>
          </cell>
          <cell r="H1067">
            <v>129568622.90000001</v>
          </cell>
          <cell r="I1067" t="str">
            <v>486</v>
          </cell>
        </row>
        <row r="1068">
          <cell r="A1068" t="str">
            <v>ARS</v>
          </cell>
          <cell r="B1068" t="str">
            <v>486000301</v>
          </cell>
          <cell r="C1068" t="str">
            <v>Camsi-X S.R.L.</v>
          </cell>
          <cell r="G1068">
            <v>220918003.65000001</v>
          </cell>
          <cell r="H1068">
            <v>220918003.65000001</v>
          </cell>
          <cell r="I1068" t="str">
            <v>486</v>
          </cell>
        </row>
        <row r="1069">
          <cell r="A1069" t="str">
            <v>ARS</v>
          </cell>
          <cell r="B1069" t="str">
            <v>486000302</v>
          </cell>
          <cell r="C1069" t="str">
            <v>CLOUDGAIA S.R.L</v>
          </cell>
          <cell r="G1069">
            <v>129232616.5</v>
          </cell>
          <cell r="H1069">
            <v>129232616.5</v>
          </cell>
          <cell r="I1069" t="str">
            <v>486</v>
          </cell>
        </row>
        <row r="1070">
          <cell r="A1070" t="str">
            <v>ARS</v>
          </cell>
          <cell r="B1070" t="str">
            <v>486000351</v>
          </cell>
          <cell r="C1070" t="str">
            <v>Chicharito S.A.</v>
          </cell>
          <cell r="G1070">
            <v>3474138.56</v>
          </cell>
          <cell r="H1070">
            <v>3474138.56</v>
          </cell>
          <cell r="I1070" t="str">
            <v>486</v>
          </cell>
        </row>
        <row r="1071">
          <cell r="A1071" t="str">
            <v>ARS</v>
          </cell>
          <cell r="B1071" t="str">
            <v>486000359</v>
          </cell>
          <cell r="C1071" t="str">
            <v>TIMON CAPITAL S.A.</v>
          </cell>
          <cell r="G1071">
            <v>1549251398.48</v>
          </cell>
          <cell r="H1071">
            <v>1549251398.48</v>
          </cell>
          <cell r="I1071" t="str">
            <v>486</v>
          </cell>
        </row>
        <row r="1072">
          <cell r="A1072" t="str">
            <v>ARS</v>
          </cell>
          <cell r="B1072" t="str">
            <v>486000366</v>
          </cell>
          <cell r="C1072" t="str">
            <v>Reliance Export S.A</v>
          </cell>
          <cell r="G1072">
            <v>175246621.69999999</v>
          </cell>
          <cell r="H1072">
            <v>175246621.69999999</v>
          </cell>
          <cell r="I1072" t="str">
            <v>486</v>
          </cell>
        </row>
        <row r="1073">
          <cell r="A1073" t="str">
            <v>ARS</v>
          </cell>
          <cell r="B1073" t="str">
            <v>486000369</v>
          </cell>
          <cell r="C1073" t="str">
            <v>SUCESIÓN ALBERTO S. ARECO S.A.</v>
          </cell>
          <cell r="G1073">
            <v>424813566.45999998</v>
          </cell>
          <cell r="H1073">
            <v>424813566.45999998</v>
          </cell>
          <cell r="I1073" t="str">
            <v>486</v>
          </cell>
        </row>
        <row r="1074">
          <cell r="A1074" t="str">
            <v>ARS</v>
          </cell>
          <cell r="B1074" t="str">
            <v>486000370</v>
          </cell>
          <cell r="C1074" t="str">
            <v>Llorente Hermanos SA</v>
          </cell>
          <cell r="G1074">
            <v>1989258491.5999999</v>
          </cell>
          <cell r="H1074">
            <v>1989258491.5999999</v>
          </cell>
          <cell r="I1074" t="str">
            <v>486</v>
          </cell>
        </row>
        <row r="1075">
          <cell r="A1075" t="str">
            <v>ARS</v>
          </cell>
          <cell r="B1075" t="str">
            <v>486000373</v>
          </cell>
          <cell r="C1075" t="str">
            <v>La Bebina SRL</v>
          </cell>
          <cell r="G1075">
            <v>64493682</v>
          </cell>
          <cell r="H1075">
            <v>64493682</v>
          </cell>
          <cell r="I1075" t="str">
            <v>486</v>
          </cell>
        </row>
        <row r="1076">
          <cell r="A1076" t="str">
            <v>ARS</v>
          </cell>
          <cell r="B1076" t="str">
            <v>486000375</v>
          </cell>
          <cell r="C1076" t="str">
            <v>ACUDIR S.A.</v>
          </cell>
          <cell r="G1076">
            <v>1009436797.34</v>
          </cell>
          <cell r="H1076">
            <v>1009436797.34</v>
          </cell>
          <cell r="I1076" t="str">
            <v>486</v>
          </cell>
        </row>
        <row r="1077">
          <cell r="A1077" t="str">
            <v>ARS</v>
          </cell>
          <cell r="B1077" t="str">
            <v>486000382</v>
          </cell>
          <cell r="C1077" t="str">
            <v>Eustaquio Daniel Manicone SA</v>
          </cell>
          <cell r="G1077">
            <v>110024327.79000001</v>
          </cell>
          <cell r="H1077">
            <v>110024327.79000001</v>
          </cell>
          <cell r="I1077" t="str">
            <v>486</v>
          </cell>
        </row>
        <row r="1078">
          <cell r="A1078" t="str">
            <v>ARS</v>
          </cell>
          <cell r="B1078" t="str">
            <v>486000385</v>
          </cell>
          <cell r="C1078" t="str">
            <v>Wayque S.A.</v>
          </cell>
          <cell r="G1078">
            <v>616244482.09000003</v>
          </cell>
          <cell r="H1078">
            <v>616244482.09000003</v>
          </cell>
          <cell r="I1078" t="str">
            <v>486</v>
          </cell>
        </row>
        <row r="1079">
          <cell r="A1079" t="str">
            <v>ARS</v>
          </cell>
          <cell r="B1079" t="str">
            <v>486000386</v>
          </cell>
          <cell r="C1079" t="str">
            <v>Timbo S.A</v>
          </cell>
          <cell r="G1079">
            <v>7945966.5999999996</v>
          </cell>
          <cell r="H1079">
            <v>7945966.5999999996</v>
          </cell>
          <cell r="I1079" t="str">
            <v>486</v>
          </cell>
        </row>
        <row r="1080">
          <cell r="A1080" t="str">
            <v>ARS</v>
          </cell>
          <cell r="B1080" t="str">
            <v>486000390</v>
          </cell>
          <cell r="C1080" t="str">
            <v>La Precesion S.A.U</v>
          </cell>
          <cell r="G1080">
            <v>788576061.32000005</v>
          </cell>
          <cell r="H1080">
            <v>788576061.32000005</v>
          </cell>
          <cell r="I1080" t="str">
            <v>486</v>
          </cell>
        </row>
        <row r="1081">
          <cell r="A1081" t="str">
            <v>ARS</v>
          </cell>
          <cell r="B1081" t="str">
            <v>486000396</v>
          </cell>
          <cell r="C1081" t="str">
            <v>Cabildo BLVD S.A</v>
          </cell>
          <cell r="G1081">
            <v>82361853.769999996</v>
          </cell>
          <cell r="H1081">
            <v>82361853.769999996</v>
          </cell>
          <cell r="I1081" t="str">
            <v>486</v>
          </cell>
        </row>
        <row r="1082">
          <cell r="A1082" t="str">
            <v>ARS</v>
          </cell>
          <cell r="B1082" t="str">
            <v>486000443</v>
          </cell>
          <cell r="C1082" t="str">
            <v>Gonzalez, Maria Cristina</v>
          </cell>
          <cell r="G1082">
            <v>65100</v>
          </cell>
          <cell r="H1082">
            <v>65100</v>
          </cell>
          <cell r="I1082" t="str">
            <v>486</v>
          </cell>
        </row>
        <row r="1083">
          <cell r="A1083" t="str">
            <v>ARS</v>
          </cell>
          <cell r="B1083" t="str">
            <v>486000444</v>
          </cell>
          <cell r="C1083" t="str">
            <v>Garbino, Maria Agustina</v>
          </cell>
          <cell r="G1083">
            <v>339025382.19999999</v>
          </cell>
          <cell r="H1083">
            <v>339025382.19999999</v>
          </cell>
          <cell r="I1083" t="str">
            <v>486</v>
          </cell>
        </row>
        <row r="1084">
          <cell r="A1084" t="str">
            <v>ARS</v>
          </cell>
          <cell r="B1084" t="str">
            <v>486000448</v>
          </cell>
          <cell r="C1084" t="str">
            <v>Sabate, Juan Francisco</v>
          </cell>
          <cell r="G1084">
            <v>105760560.7</v>
          </cell>
          <cell r="H1084">
            <v>105760560.7</v>
          </cell>
          <cell r="I1084" t="str">
            <v>486</v>
          </cell>
        </row>
        <row r="1085">
          <cell r="A1085" t="str">
            <v>ARS</v>
          </cell>
          <cell r="B1085" t="str">
            <v>486000455</v>
          </cell>
          <cell r="C1085" t="str">
            <v>Garcia Irizar, Servanda &amp; Maximo De La Vega</v>
          </cell>
          <cell r="G1085">
            <v>4564126.4400000004</v>
          </cell>
          <cell r="H1085">
            <v>4564126.4400000004</v>
          </cell>
          <cell r="I1085" t="str">
            <v>486</v>
          </cell>
        </row>
        <row r="1086">
          <cell r="A1086" t="str">
            <v>ARS</v>
          </cell>
          <cell r="B1086" t="str">
            <v>486000462</v>
          </cell>
          <cell r="C1086" t="str">
            <v>Manicone, Daniel &amp; Moreno, Ines</v>
          </cell>
          <cell r="G1086">
            <v>62596942.369999997</v>
          </cell>
          <cell r="H1086">
            <v>62596942.369999997</v>
          </cell>
          <cell r="I1086" t="str">
            <v>486</v>
          </cell>
        </row>
        <row r="1087">
          <cell r="A1087" t="str">
            <v>ARS</v>
          </cell>
          <cell r="B1087" t="str">
            <v>486000469</v>
          </cell>
          <cell r="C1087" t="str">
            <v>Lavezzi, Ezequiel Ivan</v>
          </cell>
          <cell r="G1087">
            <v>444101104.18000001</v>
          </cell>
          <cell r="H1087">
            <v>444101104.18000001</v>
          </cell>
          <cell r="I1087" t="str">
            <v>486</v>
          </cell>
        </row>
        <row r="1088">
          <cell r="A1088" t="str">
            <v>ARS</v>
          </cell>
          <cell r="B1088" t="str">
            <v>486000482</v>
          </cell>
          <cell r="C1088" t="str">
            <v>Olaizola, Bautista</v>
          </cell>
          <cell r="G1088">
            <v>139943290.34</v>
          </cell>
          <cell r="H1088">
            <v>139943290.34</v>
          </cell>
          <cell r="I1088" t="str">
            <v>486</v>
          </cell>
        </row>
        <row r="1089">
          <cell r="A1089" t="str">
            <v>ARS</v>
          </cell>
          <cell r="B1089" t="str">
            <v>486000491</v>
          </cell>
          <cell r="C1089" t="str">
            <v>Padula Iglesias, Andres</v>
          </cell>
          <cell r="G1089">
            <v>6212289.5</v>
          </cell>
          <cell r="H1089">
            <v>6212289.5</v>
          </cell>
          <cell r="I1089" t="str">
            <v>486</v>
          </cell>
        </row>
        <row r="1090">
          <cell r="A1090" t="str">
            <v>ARS</v>
          </cell>
          <cell r="B1090" t="str">
            <v>486000497</v>
          </cell>
          <cell r="C1090" t="str">
            <v>Propato Visini,  Hernan Ezequiel</v>
          </cell>
          <cell r="G1090">
            <v>299393882.25999999</v>
          </cell>
          <cell r="H1090">
            <v>299393882.25999999</v>
          </cell>
          <cell r="I1090" t="str">
            <v>486</v>
          </cell>
        </row>
        <row r="1091">
          <cell r="A1091" t="str">
            <v>ARS</v>
          </cell>
          <cell r="B1091" t="str">
            <v>486000498</v>
          </cell>
          <cell r="C1091" t="str">
            <v xml:space="preserve">Fernandez Arancibia, Martin &amp; Bru, Maria &amp; Fernandez Arancibia Macarena </v>
          </cell>
          <cell r="G1091">
            <v>28708318.600000001</v>
          </cell>
          <cell r="H1091">
            <v>28708318.600000001</v>
          </cell>
          <cell r="I1091" t="str">
            <v>486</v>
          </cell>
        </row>
        <row r="1092">
          <cell r="A1092" t="str">
            <v>ARS</v>
          </cell>
          <cell r="B1092" t="str">
            <v>486000505</v>
          </cell>
          <cell r="C1092" t="str">
            <v>Gaviña, Ricardo</v>
          </cell>
          <cell r="G1092">
            <v>144021710.30000001</v>
          </cell>
          <cell r="H1092">
            <v>144021710.30000001</v>
          </cell>
          <cell r="I1092" t="str">
            <v>486</v>
          </cell>
        </row>
        <row r="1093">
          <cell r="A1093" t="str">
            <v>ARS</v>
          </cell>
          <cell r="B1093" t="str">
            <v>486000509</v>
          </cell>
          <cell r="C1093" t="str">
            <v>Montoya, Santiago</v>
          </cell>
          <cell r="G1093">
            <v>2404364.46</v>
          </cell>
          <cell r="H1093">
            <v>2404364.46</v>
          </cell>
          <cell r="I1093" t="str">
            <v>486</v>
          </cell>
        </row>
        <row r="1094">
          <cell r="A1094" t="str">
            <v>ARS</v>
          </cell>
          <cell r="B1094" t="str">
            <v>486000511</v>
          </cell>
          <cell r="C1094" t="str">
            <v>Gutierrez Eguia, Patricio</v>
          </cell>
          <cell r="G1094">
            <v>6687249</v>
          </cell>
          <cell r="H1094">
            <v>6687249</v>
          </cell>
          <cell r="I1094" t="str">
            <v>486</v>
          </cell>
        </row>
        <row r="1095">
          <cell r="A1095" t="str">
            <v>ARS</v>
          </cell>
          <cell r="B1095" t="str">
            <v>486000516</v>
          </cell>
          <cell r="C1095" t="str">
            <v>Montoya, Marcelo Alejandro</v>
          </cell>
          <cell r="G1095">
            <v>6580135</v>
          </cell>
          <cell r="H1095">
            <v>6580135</v>
          </cell>
          <cell r="I1095" t="str">
            <v>486</v>
          </cell>
        </row>
        <row r="1096">
          <cell r="A1096" t="str">
            <v>ARS</v>
          </cell>
          <cell r="B1096" t="str">
            <v>486000517</v>
          </cell>
          <cell r="C1096" t="str">
            <v>Olaizola, Joaquin</v>
          </cell>
          <cell r="G1096">
            <v>3600359.22</v>
          </cell>
          <cell r="H1096">
            <v>3600359.22</v>
          </cell>
          <cell r="I1096" t="str">
            <v>486</v>
          </cell>
        </row>
        <row r="1097">
          <cell r="A1097" t="str">
            <v>ARS</v>
          </cell>
          <cell r="B1097" t="str">
            <v>486000518</v>
          </cell>
          <cell r="C1097" t="str">
            <v>Olaizola, Martin Simon</v>
          </cell>
          <cell r="G1097">
            <v>13000000</v>
          </cell>
          <cell r="H1097">
            <v>13000000</v>
          </cell>
          <cell r="I1097" t="str">
            <v>486</v>
          </cell>
        </row>
        <row r="1098">
          <cell r="A1098" t="str">
            <v>ARS</v>
          </cell>
          <cell r="B1098" t="str">
            <v>486000520</v>
          </cell>
          <cell r="C1098" t="str">
            <v>Arancibia, Jorge Hugo</v>
          </cell>
          <cell r="G1098">
            <v>205889373.19999999</v>
          </cell>
          <cell r="H1098">
            <v>205889373.19999999</v>
          </cell>
          <cell r="I1098" t="str">
            <v>486</v>
          </cell>
        </row>
        <row r="1099">
          <cell r="A1099" t="str">
            <v>ARS</v>
          </cell>
          <cell r="B1099" t="str">
            <v>486000522</v>
          </cell>
          <cell r="C1099" t="str">
            <v>Peres, Marcelo</v>
          </cell>
          <cell r="G1099">
            <v>3752010</v>
          </cell>
          <cell r="H1099">
            <v>3752010</v>
          </cell>
          <cell r="I1099" t="str">
            <v>486</v>
          </cell>
        </row>
        <row r="1100">
          <cell r="A1100" t="str">
            <v>ARS</v>
          </cell>
          <cell r="B1100" t="str">
            <v>486000523</v>
          </cell>
          <cell r="C1100" t="str">
            <v>Hayet, Martina</v>
          </cell>
          <cell r="G1100">
            <v>116967661.72</v>
          </cell>
          <cell r="H1100">
            <v>116967661.72</v>
          </cell>
          <cell r="I1100" t="str">
            <v>486</v>
          </cell>
        </row>
        <row r="1101">
          <cell r="A1101" t="str">
            <v>ARS</v>
          </cell>
          <cell r="B1101" t="str">
            <v>486002121</v>
          </cell>
          <cell r="C1101" t="str">
            <v>UG VALORES SA (TRADING)</v>
          </cell>
          <cell r="G1101">
            <v>15204902876.450001</v>
          </cell>
          <cell r="H1101">
            <v>15204902876.450001</v>
          </cell>
          <cell r="I1101" t="str">
            <v>486</v>
          </cell>
        </row>
        <row r="1102">
          <cell r="A1102" t="str">
            <v>ARS</v>
          </cell>
          <cell r="B1102" t="str">
            <v>486003030</v>
          </cell>
          <cell r="C1102" t="str">
            <v>Chevallier Boutell, Joaquin (trade senebi)</v>
          </cell>
          <cell r="G1102">
            <v>2018442381.6900001</v>
          </cell>
          <cell r="H1102">
            <v>2018442381.6900001</v>
          </cell>
          <cell r="I1102" t="str">
            <v>486</v>
          </cell>
        </row>
        <row r="1103">
          <cell r="A1103" t="str">
            <v>ARS</v>
          </cell>
          <cell r="B1103" t="str">
            <v>486003232</v>
          </cell>
          <cell r="C1103" t="str">
            <v>ZAFIRO CAPITAL SA</v>
          </cell>
          <cell r="G1103">
            <v>2376824051.1300001</v>
          </cell>
          <cell r="H1103">
            <v>2376824051.1300001</v>
          </cell>
          <cell r="I1103" t="str">
            <v>486</v>
          </cell>
        </row>
        <row r="1104">
          <cell r="A1104" t="str">
            <v>ARS</v>
          </cell>
          <cell r="B1104" t="str">
            <v>486004545</v>
          </cell>
          <cell r="C1104" t="str">
            <v>UG Valores SA (Trading2)</v>
          </cell>
          <cell r="G1104">
            <v>11448477.300000001</v>
          </cell>
          <cell r="H1104">
            <v>11448477.300000001</v>
          </cell>
          <cell r="I1104" t="str">
            <v>486</v>
          </cell>
        </row>
        <row r="1105">
          <cell r="A1105" t="str">
            <v>ARS</v>
          </cell>
          <cell r="B1105" t="str">
            <v>486005002</v>
          </cell>
          <cell r="C1105" t="str">
            <v>LA COMODIDAD MATA SRL</v>
          </cell>
          <cell r="G1105">
            <v>108168716.37</v>
          </cell>
          <cell r="H1105">
            <v>108168716.37</v>
          </cell>
          <cell r="I1105" t="str">
            <v>486</v>
          </cell>
        </row>
        <row r="1106">
          <cell r="A1106" t="str">
            <v>ARS</v>
          </cell>
          <cell r="B1106" t="str">
            <v>486005009</v>
          </cell>
          <cell r="C1106" t="str">
            <v>Fideicomiso Catedral HI y JK</v>
          </cell>
          <cell r="G1106">
            <v>4181069.1</v>
          </cell>
          <cell r="H1106">
            <v>4181069.1</v>
          </cell>
          <cell r="I1106" t="str">
            <v>486</v>
          </cell>
        </row>
        <row r="1107">
          <cell r="A1107" t="str">
            <v>ARS</v>
          </cell>
          <cell r="B1107" t="str">
            <v>486005010</v>
          </cell>
          <cell r="C1107" t="str">
            <v>NIUCAPITAL SRL</v>
          </cell>
          <cell r="G1107">
            <v>27565367.100000001</v>
          </cell>
          <cell r="H1107">
            <v>27565367.100000001</v>
          </cell>
          <cell r="I1107" t="str">
            <v>486</v>
          </cell>
        </row>
        <row r="1108">
          <cell r="A1108" t="str">
            <v>ARS</v>
          </cell>
          <cell r="B1108" t="str">
            <v>486005011</v>
          </cell>
          <cell r="C1108" t="str">
            <v>NIUCAPITAL SPA</v>
          </cell>
          <cell r="G1108">
            <v>26692164.84</v>
          </cell>
          <cell r="H1108">
            <v>26692164.84</v>
          </cell>
          <cell r="I1108" t="str">
            <v>486</v>
          </cell>
        </row>
        <row r="1109">
          <cell r="A1109" t="str">
            <v>ARS</v>
          </cell>
          <cell r="B1109" t="str">
            <v>486005012</v>
          </cell>
          <cell r="C1109" t="str">
            <v>ANDES AGROS</v>
          </cell>
          <cell r="G1109">
            <v>13904731.859999999</v>
          </cell>
          <cell r="H1109">
            <v>13904731.859999999</v>
          </cell>
          <cell r="I1109" t="str">
            <v>486</v>
          </cell>
        </row>
        <row r="1110">
          <cell r="A1110" t="str">
            <v>ARS</v>
          </cell>
          <cell r="B1110" t="str">
            <v>486005013</v>
          </cell>
          <cell r="C1110" t="str">
            <v xml:space="preserve"> PROCAN MATERIALES ELECTRICOS SRL</v>
          </cell>
          <cell r="G1110">
            <v>445749325.33999997</v>
          </cell>
          <cell r="H1110">
            <v>445749325.33999997</v>
          </cell>
          <cell r="I1110" t="str">
            <v>486</v>
          </cell>
        </row>
        <row r="1111">
          <cell r="A1111" t="str">
            <v>ARS</v>
          </cell>
          <cell r="B1111" t="str">
            <v>486005016</v>
          </cell>
          <cell r="C1111" t="str">
            <v>Hola Compañia de Seguros de Personas S.A.</v>
          </cell>
          <cell r="G1111">
            <v>149625848.19999999</v>
          </cell>
          <cell r="H1111">
            <v>149625848.19999999</v>
          </cell>
          <cell r="I1111" t="str">
            <v>486</v>
          </cell>
        </row>
        <row r="1112">
          <cell r="A1112" t="str">
            <v>ARS</v>
          </cell>
          <cell r="B1112" t="str">
            <v>486005021</v>
          </cell>
          <cell r="C1112" t="str">
            <v>Cinco Yardas S.R.L</v>
          </cell>
          <cell r="G1112">
            <v>1055275399.8</v>
          </cell>
          <cell r="H1112">
            <v>1055275399.8</v>
          </cell>
          <cell r="I1112" t="str">
            <v>486</v>
          </cell>
        </row>
        <row r="1113">
          <cell r="A1113" t="str">
            <v>ARS</v>
          </cell>
          <cell r="B1113" t="str">
            <v>486007373</v>
          </cell>
          <cell r="C1113" t="str">
            <v>Marque, Joaquín Enrique (BOT)</v>
          </cell>
          <cell r="G1113">
            <v>165833205716.5</v>
          </cell>
          <cell r="H1113">
            <v>165833205716.5</v>
          </cell>
          <cell r="I1113" t="str">
            <v>486</v>
          </cell>
        </row>
        <row r="1114">
          <cell r="A1114" t="str">
            <v>ARS</v>
          </cell>
          <cell r="B1114" t="str">
            <v>486100115</v>
          </cell>
          <cell r="C1114" t="str">
            <v>[C.E.R.A.] Vilariño, Federico Manuel</v>
          </cell>
          <cell r="G1114">
            <v>2266351337.6799998</v>
          </cell>
          <cell r="H1114">
            <v>2266351337.6799998</v>
          </cell>
          <cell r="I1114" t="str">
            <v>486</v>
          </cell>
        </row>
        <row r="1115">
          <cell r="A1115" t="str">
            <v>ARS</v>
          </cell>
          <cell r="B1115" t="str">
            <v>486100129</v>
          </cell>
          <cell r="C1115" t="str">
            <v>[C.E.R.A.] Vilariño, Juan Cruz</v>
          </cell>
          <cell r="G1115">
            <v>1716730105.2</v>
          </cell>
          <cell r="H1115">
            <v>1716730105.2</v>
          </cell>
          <cell r="I1115" t="str">
            <v>486</v>
          </cell>
        </row>
        <row r="1116">
          <cell r="A1116" t="str">
            <v>ARS</v>
          </cell>
          <cell r="B1116" t="str">
            <v>486100269</v>
          </cell>
          <cell r="C1116" t="str">
            <v>[C.E.R.A.] Vilariño, Agustin</v>
          </cell>
          <cell r="G1116">
            <v>20134458.5</v>
          </cell>
          <cell r="H1116">
            <v>20134458.5</v>
          </cell>
          <cell r="I1116" t="str">
            <v>486</v>
          </cell>
        </row>
        <row r="1117">
          <cell r="A1117" t="str">
            <v>ARS</v>
          </cell>
          <cell r="B1117" t="str">
            <v>492000007</v>
          </cell>
          <cell r="C1117" t="str">
            <v>EMELKA SA</v>
          </cell>
          <cell r="G1117">
            <v>211038357.19999999</v>
          </cell>
          <cell r="H1117">
            <v>211038357.19999999</v>
          </cell>
          <cell r="I1117" t="str">
            <v>492</v>
          </cell>
        </row>
        <row r="1118">
          <cell r="A1118" t="str">
            <v>ARS</v>
          </cell>
          <cell r="B1118" t="str">
            <v>492000010</v>
          </cell>
          <cell r="C1118" t="str">
            <v>POSSE SANTIAGO</v>
          </cell>
          <cell r="G1118">
            <v>16598640.1</v>
          </cell>
          <cell r="H1118">
            <v>16598640.1</v>
          </cell>
          <cell r="I1118" t="str">
            <v>492</v>
          </cell>
        </row>
        <row r="1119">
          <cell r="A1119" t="str">
            <v>ARS</v>
          </cell>
          <cell r="B1119" t="str">
            <v>492000028</v>
          </cell>
          <cell r="C1119" t="str">
            <v>SOUTHCROSS LOGISTICS S.A.</v>
          </cell>
          <cell r="G1119">
            <v>93293825.920000002</v>
          </cell>
          <cell r="H1119">
            <v>93293825.920000002</v>
          </cell>
          <cell r="I1119" t="str">
            <v>492</v>
          </cell>
        </row>
        <row r="1120">
          <cell r="A1120" t="str">
            <v>ARS</v>
          </cell>
          <cell r="B1120" t="str">
            <v>492000029</v>
          </cell>
          <cell r="C1120" t="str">
            <v>RICSA</v>
          </cell>
          <cell r="G1120">
            <v>224698014941.82001</v>
          </cell>
          <cell r="H1120">
            <v>224698014941.82001</v>
          </cell>
          <cell r="I1120" t="str">
            <v>492</v>
          </cell>
        </row>
        <row r="1121">
          <cell r="A1121" t="str">
            <v>ARS</v>
          </cell>
          <cell r="B1121" t="str">
            <v>492000030</v>
          </cell>
          <cell r="C1121" t="str">
            <v>PRECIADO, JUAN JOSE</v>
          </cell>
          <cell r="G1121">
            <v>22706934708.860001</v>
          </cell>
          <cell r="H1121">
            <v>22706934708.860001</v>
          </cell>
          <cell r="I1121" t="str">
            <v>492</v>
          </cell>
        </row>
        <row r="1122">
          <cell r="A1122" t="str">
            <v>ARS</v>
          </cell>
          <cell r="B1122" t="str">
            <v>492000034</v>
          </cell>
          <cell r="C1122" t="str">
            <v>CENTROCARD SA</v>
          </cell>
          <cell r="G1122">
            <v>1474030732.26</v>
          </cell>
          <cell r="H1122">
            <v>1474030732.26</v>
          </cell>
          <cell r="I1122" t="str">
            <v>492</v>
          </cell>
        </row>
        <row r="1123">
          <cell r="A1123" t="str">
            <v>ARS</v>
          </cell>
          <cell r="B1123" t="str">
            <v>492000059</v>
          </cell>
          <cell r="C1123" t="str">
            <v>Tear, Federico</v>
          </cell>
          <cell r="G1123">
            <v>97716880.260000005</v>
          </cell>
          <cell r="H1123">
            <v>97716880.260000005</v>
          </cell>
          <cell r="I1123" t="str">
            <v>492</v>
          </cell>
        </row>
        <row r="1124">
          <cell r="A1124" t="str">
            <v>ARS</v>
          </cell>
          <cell r="B1124" t="str">
            <v>492000077</v>
          </cell>
          <cell r="C1124" t="str">
            <v>LAYUN MARCELA</v>
          </cell>
          <cell r="G1124">
            <v>6515917.9000000004</v>
          </cell>
          <cell r="H1124">
            <v>6515917.9000000004</v>
          </cell>
          <cell r="I1124" t="str">
            <v>492</v>
          </cell>
        </row>
        <row r="1125">
          <cell r="A1125" t="str">
            <v>ARS</v>
          </cell>
          <cell r="B1125" t="str">
            <v>492000094</v>
          </cell>
          <cell r="C1125" t="str">
            <v>Silvina Hillar / Federico Tear</v>
          </cell>
          <cell r="G1125">
            <v>340417400</v>
          </cell>
          <cell r="H1125">
            <v>340417400</v>
          </cell>
          <cell r="I1125" t="str">
            <v>492</v>
          </cell>
        </row>
        <row r="1126">
          <cell r="A1126" t="str">
            <v>ARS</v>
          </cell>
          <cell r="B1126" t="str">
            <v>492000095</v>
          </cell>
          <cell r="C1126" t="str">
            <v>María Paula Tear</v>
          </cell>
          <cell r="G1126">
            <v>151411259</v>
          </cell>
          <cell r="H1126">
            <v>151411259</v>
          </cell>
          <cell r="I1126" t="str">
            <v>492</v>
          </cell>
        </row>
        <row r="1127">
          <cell r="A1127" t="str">
            <v>ARS</v>
          </cell>
          <cell r="B1127" t="str">
            <v>492000107</v>
          </cell>
          <cell r="C1127" t="str">
            <v>Carlos Alberto Diez</v>
          </cell>
          <cell r="G1127">
            <v>100000000</v>
          </cell>
          <cell r="H1127">
            <v>100000000</v>
          </cell>
          <cell r="I1127" t="str">
            <v>492</v>
          </cell>
        </row>
        <row r="1128">
          <cell r="A1128" t="str">
            <v>ARS</v>
          </cell>
          <cell r="B1128" t="str">
            <v>492000109</v>
          </cell>
          <cell r="C1128" t="str">
            <v xml:space="preserve">Olaizola Joaquín </v>
          </cell>
          <cell r="G1128">
            <v>5590.2</v>
          </cell>
          <cell r="H1128">
            <v>5590.2</v>
          </cell>
          <cell r="I1128" t="str">
            <v>492</v>
          </cell>
        </row>
        <row r="1129">
          <cell r="A1129" t="str">
            <v>ARS</v>
          </cell>
          <cell r="B1129" t="str">
            <v>492000110</v>
          </cell>
          <cell r="C1129" t="str">
            <v>Mini Mario Luigi</v>
          </cell>
          <cell r="G1129">
            <v>2188944.4</v>
          </cell>
          <cell r="H1129">
            <v>2188944.4</v>
          </cell>
          <cell r="I1129" t="str">
            <v>492</v>
          </cell>
        </row>
        <row r="1130">
          <cell r="A1130" t="str">
            <v>ARS</v>
          </cell>
          <cell r="B1130" t="str">
            <v>492000118</v>
          </cell>
          <cell r="C1130" t="str">
            <v>Federico Alberto Ceballos</v>
          </cell>
          <cell r="G1130">
            <v>5025431</v>
          </cell>
          <cell r="H1130">
            <v>5025431</v>
          </cell>
          <cell r="I1130" t="str">
            <v>492</v>
          </cell>
        </row>
        <row r="1131">
          <cell r="A1131" t="str">
            <v>ARS</v>
          </cell>
          <cell r="B1131" t="str">
            <v>492000125</v>
          </cell>
          <cell r="C1131" t="str">
            <v>Francisco Rivera Mirande</v>
          </cell>
          <cell r="G1131">
            <v>18228</v>
          </cell>
          <cell r="H1131">
            <v>18228</v>
          </cell>
          <cell r="I1131" t="str">
            <v>492</v>
          </cell>
        </row>
        <row r="1132">
          <cell r="A1132" t="str">
            <v>ARS</v>
          </cell>
          <cell r="B1132" t="str">
            <v>492000129</v>
          </cell>
          <cell r="C1132" t="str">
            <v>AXIS ESTRATEGIA 6 FCI</v>
          </cell>
          <cell r="G1132">
            <v>15981813785.370001</v>
          </cell>
          <cell r="H1132">
            <v>15981813785.370001</v>
          </cell>
          <cell r="I1132" t="str">
            <v>492</v>
          </cell>
        </row>
        <row r="1133">
          <cell r="A1133" t="str">
            <v>ARS</v>
          </cell>
          <cell r="B1133" t="str">
            <v>492000139</v>
          </cell>
          <cell r="C1133" t="str">
            <v>Kobeliovsky Simon Gustavo</v>
          </cell>
          <cell r="G1133">
            <v>13349106.300000001</v>
          </cell>
          <cell r="H1133">
            <v>13349106.300000001</v>
          </cell>
          <cell r="I1133" t="str">
            <v>492</v>
          </cell>
        </row>
        <row r="1134">
          <cell r="A1134" t="str">
            <v>ARS</v>
          </cell>
          <cell r="B1134" t="str">
            <v>492000164</v>
          </cell>
          <cell r="C1134" t="str">
            <v>Bizland SAU</v>
          </cell>
          <cell r="G1134">
            <v>874599675.03999996</v>
          </cell>
          <cell r="H1134">
            <v>874599675.03999996</v>
          </cell>
          <cell r="I1134" t="str">
            <v>492</v>
          </cell>
        </row>
        <row r="1135">
          <cell r="A1135" t="str">
            <v>ARS</v>
          </cell>
          <cell r="B1135" t="str">
            <v>492000181</v>
          </cell>
          <cell r="C1135" t="str">
            <v>Berenice Mariel Correa</v>
          </cell>
          <cell r="G1135">
            <v>127624</v>
          </cell>
          <cell r="H1135">
            <v>127624</v>
          </cell>
          <cell r="I1135" t="str">
            <v>492</v>
          </cell>
        </row>
        <row r="1136">
          <cell r="A1136" t="str">
            <v>ARS</v>
          </cell>
          <cell r="B1136" t="str">
            <v>492000184</v>
          </cell>
          <cell r="C1136" t="str">
            <v>Celotto Construcciones SRL</v>
          </cell>
          <cell r="G1136">
            <v>9376503.0399999991</v>
          </cell>
          <cell r="H1136">
            <v>9376503.0399999991</v>
          </cell>
          <cell r="I1136" t="str">
            <v>492</v>
          </cell>
        </row>
        <row r="1137">
          <cell r="A1137" t="str">
            <v>ARS</v>
          </cell>
          <cell r="B1137" t="str">
            <v>492000193</v>
          </cell>
          <cell r="C1137" t="str">
            <v>Dario Hernan Irigaray</v>
          </cell>
          <cell r="G1137">
            <v>34379527.200000003</v>
          </cell>
          <cell r="H1137">
            <v>34379527.200000003</v>
          </cell>
          <cell r="I1137" t="str">
            <v>492</v>
          </cell>
        </row>
        <row r="1138">
          <cell r="A1138" t="str">
            <v>ARS</v>
          </cell>
          <cell r="B1138" t="str">
            <v>492000197</v>
          </cell>
          <cell r="C1138" t="str">
            <v>TEAR, MARIA JOSE</v>
          </cell>
          <cell r="G1138">
            <v>20000000</v>
          </cell>
          <cell r="H1138">
            <v>20000000</v>
          </cell>
          <cell r="I1138" t="str">
            <v>492</v>
          </cell>
        </row>
        <row r="1139">
          <cell r="A1139" t="str">
            <v>ARS</v>
          </cell>
          <cell r="B1139" t="str">
            <v>492000199</v>
          </cell>
          <cell r="C1139" t="str">
            <v>Corralon Aconquija S.R.L</v>
          </cell>
          <cell r="G1139">
            <v>23267852.050000001</v>
          </cell>
          <cell r="H1139">
            <v>23267852.050000001</v>
          </cell>
          <cell r="I1139" t="str">
            <v>492</v>
          </cell>
        </row>
        <row r="1140">
          <cell r="A1140" t="str">
            <v>ARS</v>
          </cell>
          <cell r="B1140" t="str">
            <v>492000215</v>
          </cell>
          <cell r="C1140" t="str">
            <v>AGRO. ARG S.R.L.</v>
          </cell>
          <cell r="G1140">
            <v>32794762.859999999</v>
          </cell>
          <cell r="H1140">
            <v>32794762.859999999</v>
          </cell>
          <cell r="I1140" t="str">
            <v>492</v>
          </cell>
        </row>
        <row r="1141">
          <cell r="A1141" t="str">
            <v>ARS</v>
          </cell>
          <cell r="B1141" t="str">
            <v>492000239</v>
          </cell>
          <cell r="C1141" t="str">
            <v>KOBELIOVSKY, MATIAS</v>
          </cell>
          <cell r="G1141">
            <v>3554200</v>
          </cell>
          <cell r="H1141">
            <v>3554200</v>
          </cell>
          <cell r="I1141" t="str">
            <v>492</v>
          </cell>
        </row>
        <row r="1142">
          <cell r="A1142" t="str">
            <v>ARS</v>
          </cell>
          <cell r="B1142" t="str">
            <v>492000242</v>
          </cell>
          <cell r="C1142" t="str">
            <v>AFB AVALES SGR</v>
          </cell>
          <cell r="G1142">
            <v>213888958.40000001</v>
          </cell>
          <cell r="H1142">
            <v>213888958.40000001</v>
          </cell>
          <cell r="I1142" t="str">
            <v>492</v>
          </cell>
        </row>
        <row r="1143">
          <cell r="A1143" t="str">
            <v>ARS</v>
          </cell>
          <cell r="B1143" t="str">
            <v>492000256</v>
          </cell>
          <cell r="C1143" t="str">
            <v>BERGOGLIO, EMANUEL HORACIO</v>
          </cell>
          <cell r="G1143">
            <v>39994469.189999998</v>
          </cell>
          <cell r="H1143">
            <v>39994469.189999998</v>
          </cell>
          <cell r="I1143" t="str">
            <v>492</v>
          </cell>
        </row>
        <row r="1144">
          <cell r="A1144" t="str">
            <v>ARS</v>
          </cell>
          <cell r="B1144" t="str">
            <v>492000258</v>
          </cell>
          <cell r="C1144" t="str">
            <v>MAZZEO BARRERA, RAMIRO TOMAS</v>
          </cell>
          <cell r="G1144">
            <v>1594592.93</v>
          </cell>
          <cell r="H1144">
            <v>1594592.93</v>
          </cell>
          <cell r="I1144" t="str">
            <v>492</v>
          </cell>
        </row>
        <row r="1145">
          <cell r="A1145" t="str">
            <v>ARS</v>
          </cell>
          <cell r="B1145" t="str">
            <v>492000264</v>
          </cell>
          <cell r="C1145" t="str">
            <v>DIEZ, ALEJO CARLOS</v>
          </cell>
          <cell r="G1145">
            <v>1205482.3999999999</v>
          </cell>
          <cell r="H1145">
            <v>1205482.3999999999</v>
          </cell>
          <cell r="I1145" t="str">
            <v>492</v>
          </cell>
        </row>
        <row r="1146">
          <cell r="A1146" t="str">
            <v>ARS</v>
          </cell>
          <cell r="B1146" t="str">
            <v>492000266</v>
          </cell>
          <cell r="C1146" t="str">
            <v>CANTOCHAP S.A.</v>
          </cell>
          <cell r="G1146">
            <v>230842825.66</v>
          </cell>
          <cell r="H1146">
            <v>230842825.66</v>
          </cell>
          <cell r="I1146" t="str">
            <v>492</v>
          </cell>
        </row>
        <row r="1147">
          <cell r="A1147" t="str">
            <v>ARS</v>
          </cell>
          <cell r="B1147" t="str">
            <v>492000284</v>
          </cell>
          <cell r="C1147" t="str">
            <v>L K GLOBAL SA</v>
          </cell>
          <cell r="G1147">
            <v>23664330</v>
          </cell>
          <cell r="H1147">
            <v>23664330</v>
          </cell>
          <cell r="I1147" t="str">
            <v>492</v>
          </cell>
        </row>
        <row r="1148">
          <cell r="A1148" t="str">
            <v>ARS</v>
          </cell>
          <cell r="B1148" t="str">
            <v>492000285</v>
          </cell>
          <cell r="C1148" t="str">
            <v>EPA SAS</v>
          </cell>
          <cell r="G1148">
            <v>45678151.579999998</v>
          </cell>
          <cell r="H1148">
            <v>45678151.579999998</v>
          </cell>
          <cell r="I1148" t="str">
            <v>492</v>
          </cell>
        </row>
        <row r="1149">
          <cell r="A1149" t="str">
            <v>ARS</v>
          </cell>
          <cell r="B1149" t="str">
            <v>492000305</v>
          </cell>
          <cell r="C1149" t="str">
            <v>DIEZ, VICTORIA</v>
          </cell>
          <cell r="G1149">
            <v>1228153</v>
          </cell>
          <cell r="H1149">
            <v>1228153</v>
          </cell>
          <cell r="I1149" t="str">
            <v>492</v>
          </cell>
        </row>
        <row r="1150">
          <cell r="A1150" t="str">
            <v>ARS</v>
          </cell>
          <cell r="B1150" t="str">
            <v>492000310</v>
          </cell>
          <cell r="C1150" t="str">
            <v>RED INGENIERIA SRL</v>
          </cell>
          <cell r="G1150">
            <v>108699117</v>
          </cell>
          <cell r="H1150">
            <v>108699117</v>
          </cell>
          <cell r="I1150" t="str">
            <v>492</v>
          </cell>
        </row>
        <row r="1151">
          <cell r="A1151" t="str">
            <v>ARS</v>
          </cell>
          <cell r="B1151" t="str">
            <v>492000312</v>
          </cell>
          <cell r="C1151" t="str">
            <v>IND ERCO S A</v>
          </cell>
          <cell r="G1151">
            <v>49519200.009999998</v>
          </cell>
          <cell r="H1151">
            <v>49519200.009999998</v>
          </cell>
          <cell r="I1151" t="str">
            <v>492</v>
          </cell>
        </row>
        <row r="1152">
          <cell r="A1152" t="str">
            <v>ARS</v>
          </cell>
          <cell r="B1152" t="str">
            <v>492000313</v>
          </cell>
          <cell r="C1152" t="str">
            <v>SILICARO, REGINA MARTA</v>
          </cell>
          <cell r="G1152">
            <v>18132478.5</v>
          </cell>
          <cell r="H1152">
            <v>18132478.5</v>
          </cell>
          <cell r="I1152" t="str">
            <v>492</v>
          </cell>
        </row>
        <row r="1153">
          <cell r="A1153" t="str">
            <v>ARS</v>
          </cell>
          <cell r="B1153" t="str">
            <v>492000322</v>
          </cell>
          <cell r="C1153" t="str">
            <v>DOEYO, TOMAS o BUSTINGORRI, ANA INES</v>
          </cell>
          <cell r="G1153">
            <v>1943422.5</v>
          </cell>
          <cell r="H1153">
            <v>1943422.5</v>
          </cell>
          <cell r="I1153" t="str">
            <v>492</v>
          </cell>
        </row>
        <row r="1154">
          <cell r="A1154" t="str">
            <v>ARS</v>
          </cell>
          <cell r="B1154" t="str">
            <v>492000328</v>
          </cell>
          <cell r="C1154" t="str">
            <v>ANELO, MARCOS</v>
          </cell>
          <cell r="G1154">
            <v>682550019</v>
          </cell>
          <cell r="H1154">
            <v>682550019</v>
          </cell>
          <cell r="I1154" t="str">
            <v>492</v>
          </cell>
        </row>
        <row r="1155">
          <cell r="A1155" t="str">
            <v>ARS</v>
          </cell>
          <cell r="B1155" t="str">
            <v>492000330</v>
          </cell>
          <cell r="C1155" t="str">
            <v>CURCHOD, FERNANDO ALBERTO</v>
          </cell>
          <cell r="G1155">
            <v>12616079.449999999</v>
          </cell>
          <cell r="H1155">
            <v>12616079.449999999</v>
          </cell>
          <cell r="I1155" t="str">
            <v>492</v>
          </cell>
        </row>
        <row r="1156">
          <cell r="A1156" t="str">
            <v>ARS</v>
          </cell>
          <cell r="B1156" t="str">
            <v>492000332</v>
          </cell>
          <cell r="C1156" t="str">
            <v>ZAMMITTO S.R.L.</v>
          </cell>
          <cell r="G1156">
            <v>13742814.83</v>
          </cell>
          <cell r="H1156">
            <v>13742814.83</v>
          </cell>
          <cell r="I1156" t="str">
            <v>492</v>
          </cell>
        </row>
        <row r="1157">
          <cell r="A1157" t="str">
            <v>ARS</v>
          </cell>
          <cell r="B1157" t="str">
            <v>492000335</v>
          </cell>
          <cell r="C1157" t="str">
            <v xml:space="preserve">AXIS ESTRATEGIA 19 </v>
          </cell>
          <cell r="G1157">
            <v>24318802704.02</v>
          </cell>
          <cell r="H1157">
            <v>24318802704.02</v>
          </cell>
          <cell r="I1157" t="str">
            <v>492</v>
          </cell>
        </row>
        <row r="1158">
          <cell r="A1158" t="str">
            <v>ARS</v>
          </cell>
          <cell r="B1158" t="str">
            <v>492000345</v>
          </cell>
          <cell r="C1158" t="str">
            <v>INDEPENDENT AGENTS S.A.</v>
          </cell>
          <cell r="G1158">
            <v>82559591.280000001</v>
          </cell>
          <cell r="H1158">
            <v>82559591.280000001</v>
          </cell>
          <cell r="I1158" t="str">
            <v>492</v>
          </cell>
        </row>
        <row r="1159">
          <cell r="A1159" t="str">
            <v>ARS</v>
          </cell>
          <cell r="B1159" t="str">
            <v>492000348</v>
          </cell>
          <cell r="C1159" t="str">
            <v>MARINANGELI, VANESA CAROLINA</v>
          </cell>
          <cell r="G1159">
            <v>1863</v>
          </cell>
          <cell r="H1159">
            <v>1863</v>
          </cell>
          <cell r="I1159" t="str">
            <v>492</v>
          </cell>
        </row>
        <row r="1160">
          <cell r="A1160" t="str">
            <v>ARS</v>
          </cell>
          <cell r="B1160" t="str">
            <v>492000352</v>
          </cell>
          <cell r="C1160" t="str">
            <v>ABACA, GUILLERMO EDUARDO</v>
          </cell>
          <cell r="G1160">
            <v>465824.1</v>
          </cell>
          <cell r="H1160">
            <v>465824.1</v>
          </cell>
          <cell r="I1160" t="str">
            <v>492</v>
          </cell>
        </row>
        <row r="1161">
          <cell r="A1161" t="str">
            <v>ARS</v>
          </cell>
          <cell r="B1161" t="str">
            <v>492000362</v>
          </cell>
          <cell r="C1161" t="str">
            <v>COLMEGNA, FERNANDO MATIAS</v>
          </cell>
          <cell r="G1161">
            <v>1953735</v>
          </cell>
          <cell r="H1161">
            <v>1953735</v>
          </cell>
          <cell r="I1161" t="str">
            <v>492</v>
          </cell>
        </row>
        <row r="1162">
          <cell r="A1162" t="str">
            <v>ARS</v>
          </cell>
          <cell r="B1162" t="str">
            <v>492000363</v>
          </cell>
          <cell r="C1162" t="str">
            <v>CABRERA, EULALIA ALICIA</v>
          </cell>
          <cell r="G1162">
            <v>571970563.08000004</v>
          </cell>
          <cell r="H1162">
            <v>571970563.08000004</v>
          </cell>
          <cell r="I1162" t="str">
            <v>492</v>
          </cell>
        </row>
        <row r="1163">
          <cell r="A1163" t="str">
            <v>ARS</v>
          </cell>
          <cell r="B1163" t="str">
            <v>492000364</v>
          </cell>
          <cell r="C1163" t="str">
            <v xml:space="preserve">AXIS FCI ABIERTO PYMES 2 </v>
          </cell>
          <cell r="G1163">
            <v>12333308263.860001</v>
          </cell>
          <cell r="H1163">
            <v>12333308263.860001</v>
          </cell>
          <cell r="I1163" t="str">
            <v>492</v>
          </cell>
        </row>
        <row r="1164">
          <cell r="A1164" t="str">
            <v>ARS</v>
          </cell>
          <cell r="B1164" t="str">
            <v>492000372</v>
          </cell>
          <cell r="C1164" t="str">
            <v>SOIMU, MARCELO DANIEL</v>
          </cell>
          <cell r="G1164">
            <v>8098341.4000000004</v>
          </cell>
          <cell r="H1164">
            <v>8098341.4000000004</v>
          </cell>
          <cell r="I1164" t="str">
            <v>492</v>
          </cell>
        </row>
        <row r="1165">
          <cell r="A1165" t="str">
            <v>ARS</v>
          </cell>
          <cell r="B1165" t="str">
            <v>492000374</v>
          </cell>
          <cell r="C1165" t="str">
            <v>TRANSPORTE KALEMEN HUE S.R.L.</v>
          </cell>
          <cell r="G1165">
            <v>72481950.459999993</v>
          </cell>
          <cell r="H1165">
            <v>72481950.459999993</v>
          </cell>
          <cell r="I1165" t="str">
            <v>492</v>
          </cell>
        </row>
        <row r="1166">
          <cell r="A1166" t="str">
            <v>ARS</v>
          </cell>
          <cell r="B1166" t="str">
            <v>492000378</v>
          </cell>
          <cell r="C1166" t="str">
            <v>MOLLE, EMILIO MARIANO o BENEVENTANO, KARINA ALEJANDRA</v>
          </cell>
          <cell r="G1166">
            <v>17060574.18</v>
          </cell>
          <cell r="H1166">
            <v>17060574.18</v>
          </cell>
          <cell r="I1166" t="str">
            <v>492</v>
          </cell>
        </row>
        <row r="1167">
          <cell r="A1167" t="str">
            <v>ARS</v>
          </cell>
          <cell r="B1167" t="str">
            <v>492000382</v>
          </cell>
          <cell r="C1167" t="str">
            <v>MEDINA, LUCAS HERNAN</v>
          </cell>
          <cell r="G1167">
            <v>2272512.1</v>
          </cell>
          <cell r="H1167">
            <v>2272512.1</v>
          </cell>
          <cell r="I1167" t="str">
            <v>492</v>
          </cell>
        </row>
        <row r="1168">
          <cell r="A1168" t="str">
            <v>ARS</v>
          </cell>
          <cell r="B1168" t="str">
            <v>492000388</v>
          </cell>
          <cell r="C1168" t="str">
            <v>AUTOMOTORES DE CUYO S. A. S.</v>
          </cell>
          <cell r="G1168">
            <v>20240463.66</v>
          </cell>
          <cell r="H1168">
            <v>20240463.66</v>
          </cell>
          <cell r="I1168" t="str">
            <v>492</v>
          </cell>
        </row>
        <row r="1169">
          <cell r="A1169" t="str">
            <v>ARS</v>
          </cell>
          <cell r="B1169" t="str">
            <v>492000390</v>
          </cell>
          <cell r="C1169" t="str">
            <v>OLAIZOLA, MARTIN SIMON</v>
          </cell>
          <cell r="G1169">
            <v>22108.799999999999</v>
          </cell>
          <cell r="H1169">
            <v>22108.799999999999</v>
          </cell>
          <cell r="I1169" t="str">
            <v>492</v>
          </cell>
        </row>
        <row r="1170">
          <cell r="A1170" t="str">
            <v>ARS</v>
          </cell>
          <cell r="B1170" t="str">
            <v>492000391</v>
          </cell>
          <cell r="C1170" t="str">
            <v>[C.E.R.A] GONZALEZ, JORGE HORACIO</v>
          </cell>
          <cell r="G1170">
            <v>15700</v>
          </cell>
          <cell r="H1170">
            <v>15700</v>
          </cell>
          <cell r="I1170" t="str">
            <v>492</v>
          </cell>
        </row>
        <row r="1171">
          <cell r="A1171" t="str">
            <v>ARS</v>
          </cell>
          <cell r="B1171" t="str">
            <v>492000392</v>
          </cell>
          <cell r="C1171" t="str">
            <v>ROMCZYK, JORGE PEDRO</v>
          </cell>
          <cell r="G1171">
            <v>312559482.07999998</v>
          </cell>
          <cell r="H1171">
            <v>312559482.07999998</v>
          </cell>
          <cell r="I1171" t="str">
            <v>492</v>
          </cell>
        </row>
        <row r="1172">
          <cell r="A1172" t="str">
            <v>ARS</v>
          </cell>
          <cell r="B1172" t="str">
            <v>492000402</v>
          </cell>
          <cell r="C1172" t="str">
            <v>FIDEICOMISO MIÑONES 1872</v>
          </cell>
          <cell r="G1172">
            <v>3034356</v>
          </cell>
          <cell r="H1172">
            <v>3034356</v>
          </cell>
          <cell r="I1172" t="str">
            <v>492</v>
          </cell>
        </row>
        <row r="1173">
          <cell r="A1173" t="str">
            <v>ARS</v>
          </cell>
          <cell r="B1173" t="str">
            <v>492000406</v>
          </cell>
          <cell r="C1173" t="str">
            <v>[C.E.R.A.] SUAREZ GORRIA, FEDERICO</v>
          </cell>
          <cell r="G1173">
            <v>31730</v>
          </cell>
          <cell r="H1173">
            <v>31730</v>
          </cell>
          <cell r="I1173" t="str">
            <v>492</v>
          </cell>
        </row>
        <row r="1174">
          <cell r="A1174" t="str">
            <v>ARS</v>
          </cell>
          <cell r="B1174" t="str">
            <v>492000409</v>
          </cell>
          <cell r="C1174" t="str">
            <v>[C.E.R.A] COMPAÑIA AVICOLA SA</v>
          </cell>
          <cell r="G1174">
            <v>7421.6</v>
          </cell>
          <cell r="H1174">
            <v>7421.6</v>
          </cell>
          <cell r="I1174" t="str">
            <v>492</v>
          </cell>
        </row>
        <row r="1175">
          <cell r="A1175" t="str">
            <v>ARS</v>
          </cell>
          <cell r="B1175" t="str">
            <v>492000410</v>
          </cell>
          <cell r="C1175" t="str">
            <v>[C.E.R.A] FABIAN ANTONIO BELLETIERI</v>
          </cell>
          <cell r="G1175">
            <v>931.1</v>
          </cell>
          <cell r="H1175">
            <v>931.1</v>
          </cell>
          <cell r="I1175" t="str">
            <v>492</v>
          </cell>
        </row>
        <row r="1176">
          <cell r="A1176" t="str">
            <v>ARS</v>
          </cell>
          <cell r="B1176" t="str">
            <v>492000411</v>
          </cell>
          <cell r="C1176" t="str">
            <v>[C.E.R.A] Granjas Carnave S.A</v>
          </cell>
          <cell r="G1176">
            <v>8597</v>
          </cell>
          <cell r="H1176">
            <v>8597</v>
          </cell>
          <cell r="I1176" t="str">
            <v>492</v>
          </cell>
        </row>
        <row r="1177">
          <cell r="A1177" t="str">
            <v>ARS</v>
          </cell>
          <cell r="B1177" t="str">
            <v>492000414</v>
          </cell>
          <cell r="C1177" t="str">
            <v xml:space="preserve">[C.E.R.A]  Agroservicios Humboldt </v>
          </cell>
          <cell r="G1177">
            <v>13237</v>
          </cell>
          <cell r="H1177">
            <v>13237</v>
          </cell>
          <cell r="I1177" t="str">
            <v>492</v>
          </cell>
        </row>
        <row r="1178">
          <cell r="A1178" t="str">
            <v>ARS</v>
          </cell>
          <cell r="B1178" t="str">
            <v>492000418</v>
          </cell>
          <cell r="C1178" t="str">
            <v>CERAVOLO, ANGEL FRANCISCO</v>
          </cell>
          <cell r="G1178">
            <v>3836</v>
          </cell>
          <cell r="H1178">
            <v>3836</v>
          </cell>
          <cell r="I1178" t="str">
            <v>492</v>
          </cell>
        </row>
        <row r="1179">
          <cell r="A1179" t="str">
            <v>ARS</v>
          </cell>
          <cell r="B1179" t="str">
            <v>492000421</v>
          </cell>
          <cell r="C1179" t="str">
            <v>CASTELLANOS 12 FIDEICOMISO</v>
          </cell>
          <cell r="G1179">
            <v>23992126</v>
          </cell>
          <cell r="H1179">
            <v>23992126</v>
          </cell>
          <cell r="I1179" t="str">
            <v>492</v>
          </cell>
        </row>
        <row r="1180">
          <cell r="A1180" t="str">
            <v>ARS</v>
          </cell>
          <cell r="B1180" t="str">
            <v>492000433</v>
          </cell>
          <cell r="C1180" t="str">
            <v>ABRAHAM, LEANDRO DAMIAN</v>
          </cell>
          <cell r="G1180">
            <v>361500</v>
          </cell>
          <cell r="H1180">
            <v>361500</v>
          </cell>
          <cell r="I1180" t="str">
            <v>492</v>
          </cell>
        </row>
        <row r="1181">
          <cell r="A1181" t="str">
            <v>ARS</v>
          </cell>
          <cell r="B1181" t="str">
            <v>492000443</v>
          </cell>
          <cell r="C1181" t="str">
            <v>MOYANO, DIEGO OMAR</v>
          </cell>
          <cell r="G1181">
            <v>2016124.5</v>
          </cell>
          <cell r="H1181">
            <v>2016124.5</v>
          </cell>
          <cell r="I1181" t="str">
            <v>492</v>
          </cell>
        </row>
        <row r="1182">
          <cell r="A1182" t="str">
            <v>ARS</v>
          </cell>
          <cell r="B1182" t="str">
            <v>492000453</v>
          </cell>
          <cell r="C1182" t="str">
            <v>PTP ARGENTINA S. A.</v>
          </cell>
          <cell r="G1182">
            <v>47427234.93</v>
          </cell>
          <cell r="H1182">
            <v>47427234.93</v>
          </cell>
          <cell r="I1182" t="str">
            <v>492</v>
          </cell>
        </row>
        <row r="1183">
          <cell r="A1183" t="str">
            <v>ARS</v>
          </cell>
          <cell r="B1183" t="str">
            <v>492000466</v>
          </cell>
          <cell r="C1183" t="str">
            <v>FREDDI, LUIS NICOLAS</v>
          </cell>
          <cell r="G1183">
            <v>61254.6</v>
          </cell>
          <cell r="H1183">
            <v>61254.6</v>
          </cell>
          <cell r="I1183" t="str">
            <v>492</v>
          </cell>
        </row>
        <row r="1184">
          <cell r="A1184" t="str">
            <v>ARS</v>
          </cell>
          <cell r="B1184" t="str">
            <v>492000469</v>
          </cell>
          <cell r="C1184" t="str">
            <v>BAZERQUE, NICOLAS</v>
          </cell>
          <cell r="G1184">
            <v>2982161.1</v>
          </cell>
          <cell r="H1184">
            <v>2982161.1</v>
          </cell>
          <cell r="I1184" t="str">
            <v>492</v>
          </cell>
        </row>
        <row r="1185">
          <cell r="A1185" t="str">
            <v>ARS</v>
          </cell>
          <cell r="B1185" t="str">
            <v>492000471</v>
          </cell>
          <cell r="C1185" t="str">
            <v>PISTACHOS EL RAMBLON FIDEICOMISO</v>
          </cell>
          <cell r="G1185">
            <v>227430081.09999999</v>
          </cell>
          <cell r="H1185">
            <v>227430081.09999999</v>
          </cell>
          <cell r="I1185" t="str">
            <v>492</v>
          </cell>
        </row>
        <row r="1186">
          <cell r="A1186" t="str">
            <v>ARS</v>
          </cell>
          <cell r="B1186" t="str">
            <v>492000473</v>
          </cell>
          <cell r="C1186" t="str">
            <v>RIZZO, PABLO RUBEN</v>
          </cell>
          <cell r="G1186">
            <v>300661.8</v>
          </cell>
          <cell r="H1186">
            <v>300661.8</v>
          </cell>
          <cell r="I1186" t="str">
            <v>492</v>
          </cell>
        </row>
        <row r="1187">
          <cell r="A1187" t="str">
            <v>ARS</v>
          </cell>
          <cell r="B1187" t="str">
            <v>492000477</v>
          </cell>
          <cell r="C1187" t="str">
            <v>EL ARRAYAN SA.</v>
          </cell>
          <cell r="G1187">
            <v>17350016.210000001</v>
          </cell>
          <cell r="H1187">
            <v>17350016.210000001</v>
          </cell>
          <cell r="I1187" t="str">
            <v>492</v>
          </cell>
        </row>
        <row r="1188">
          <cell r="A1188" t="str">
            <v>ARS</v>
          </cell>
          <cell r="B1188" t="str">
            <v>492000481</v>
          </cell>
          <cell r="C1188" t="str">
            <v>BRUNO, JUAN CRUZ o BAZZANO, MARIA ALEJANDRA</v>
          </cell>
          <cell r="G1188">
            <v>70637443.150000006</v>
          </cell>
          <cell r="H1188">
            <v>70637443.150000006</v>
          </cell>
          <cell r="I1188" t="str">
            <v>492</v>
          </cell>
        </row>
        <row r="1189">
          <cell r="A1189" t="str">
            <v>ARS</v>
          </cell>
          <cell r="B1189" t="str">
            <v>492000489</v>
          </cell>
          <cell r="C1189" t="str">
            <v>PISANO, NICOLAS</v>
          </cell>
          <cell r="G1189">
            <v>4450730.8</v>
          </cell>
          <cell r="H1189">
            <v>4450730.8</v>
          </cell>
          <cell r="I1189" t="str">
            <v>492</v>
          </cell>
        </row>
        <row r="1190">
          <cell r="A1190" t="str">
            <v>ARS</v>
          </cell>
          <cell r="B1190" t="str">
            <v>492000492</v>
          </cell>
          <cell r="C1190" t="str">
            <v>GRUPO NIOI S. A.</v>
          </cell>
          <cell r="G1190">
            <v>30191265.550000001</v>
          </cell>
          <cell r="H1190">
            <v>30191265.550000001</v>
          </cell>
          <cell r="I1190" t="str">
            <v>492</v>
          </cell>
        </row>
        <row r="1191">
          <cell r="A1191" t="str">
            <v>ARS</v>
          </cell>
          <cell r="B1191" t="str">
            <v>492000493</v>
          </cell>
          <cell r="C1191" t="str">
            <v>SCHMITTENDORF, GRETEL</v>
          </cell>
          <cell r="G1191">
            <v>6402500</v>
          </cell>
          <cell r="H1191">
            <v>6402500</v>
          </cell>
          <cell r="I1191" t="str">
            <v>492</v>
          </cell>
        </row>
        <row r="1192">
          <cell r="A1192" t="str">
            <v>ARS</v>
          </cell>
          <cell r="B1192" t="str">
            <v>492000501</v>
          </cell>
          <cell r="C1192" t="str">
            <v>CORESA GROUP S.R.L.</v>
          </cell>
          <cell r="G1192">
            <v>302458933.72000003</v>
          </cell>
          <cell r="H1192">
            <v>302458933.72000003</v>
          </cell>
          <cell r="I1192" t="str">
            <v>492</v>
          </cell>
        </row>
        <row r="1193">
          <cell r="A1193" t="str">
            <v>ARS</v>
          </cell>
          <cell r="B1193" t="str">
            <v>492000502</v>
          </cell>
          <cell r="C1193" t="str">
            <v>Pioli, Rocio Belen</v>
          </cell>
          <cell r="G1193">
            <v>1037478.96</v>
          </cell>
          <cell r="H1193">
            <v>1037478.96</v>
          </cell>
          <cell r="I1193" t="str">
            <v>492</v>
          </cell>
        </row>
        <row r="1194">
          <cell r="A1194" t="str">
            <v>ARS</v>
          </cell>
          <cell r="B1194" t="str">
            <v>492000505</v>
          </cell>
          <cell r="C1194" t="str">
            <v>Fabian Antonio Bellettieri / Candelaria Bellettieri Maria / Gonzalo Antonio Bellettieri</v>
          </cell>
          <cell r="G1194">
            <v>14477531780.76</v>
          </cell>
          <cell r="H1194">
            <v>14477531780.76</v>
          </cell>
          <cell r="I1194" t="str">
            <v>492</v>
          </cell>
        </row>
        <row r="1195">
          <cell r="A1195" t="str">
            <v>ARS</v>
          </cell>
          <cell r="B1195" t="str">
            <v>492000507</v>
          </cell>
          <cell r="C1195" t="str">
            <v>Don, Lelia Elena</v>
          </cell>
          <cell r="G1195">
            <v>5787068</v>
          </cell>
          <cell r="H1195">
            <v>5787068</v>
          </cell>
          <cell r="I1195" t="str">
            <v>492</v>
          </cell>
        </row>
        <row r="1196">
          <cell r="A1196" t="str">
            <v>ARS</v>
          </cell>
          <cell r="B1196" t="str">
            <v>492000508</v>
          </cell>
          <cell r="C1196" t="str">
            <v>Hernandez, Victor Fabian</v>
          </cell>
          <cell r="G1196">
            <v>38654387</v>
          </cell>
          <cell r="H1196">
            <v>38654387</v>
          </cell>
          <cell r="I1196" t="str">
            <v>492</v>
          </cell>
        </row>
        <row r="1197">
          <cell r="A1197" t="str">
            <v>ARS</v>
          </cell>
          <cell r="B1197" t="str">
            <v>492000509</v>
          </cell>
          <cell r="C1197" t="str">
            <v>CORPORACION ROYT ARGENTINA S.A</v>
          </cell>
          <cell r="G1197">
            <v>197683200</v>
          </cell>
          <cell r="H1197">
            <v>197683200</v>
          </cell>
          <cell r="I1197" t="str">
            <v>492</v>
          </cell>
        </row>
        <row r="1198">
          <cell r="A1198" t="str">
            <v>ARS</v>
          </cell>
          <cell r="B1198" t="str">
            <v>492000529</v>
          </cell>
          <cell r="C1198" t="str">
            <v>POSSE, SANTIAGO o CORDOVA, CAMILA ROCIO</v>
          </cell>
          <cell r="G1198">
            <v>306650</v>
          </cell>
          <cell r="H1198">
            <v>306650</v>
          </cell>
          <cell r="I1198" t="str">
            <v>492</v>
          </cell>
        </row>
        <row r="1199">
          <cell r="A1199" t="str">
            <v>ARS</v>
          </cell>
          <cell r="B1199" t="str">
            <v>492000530</v>
          </cell>
          <cell r="C1199" t="str">
            <v>YUBERO REPUESTOS S.A.S</v>
          </cell>
          <cell r="G1199">
            <v>10019540.67</v>
          </cell>
          <cell r="H1199">
            <v>10019540.67</v>
          </cell>
          <cell r="I1199" t="str">
            <v>492</v>
          </cell>
        </row>
        <row r="1200">
          <cell r="A1200" t="str">
            <v>ARS</v>
          </cell>
          <cell r="B1200" t="str">
            <v>492000532</v>
          </cell>
          <cell r="C1200" t="str">
            <v>CRUZ BULACIA, VALENTIN</v>
          </cell>
          <cell r="G1200">
            <v>157320</v>
          </cell>
          <cell r="H1200">
            <v>157320</v>
          </cell>
          <cell r="I1200" t="str">
            <v>492</v>
          </cell>
        </row>
        <row r="1201">
          <cell r="A1201" t="str">
            <v>ARS</v>
          </cell>
          <cell r="B1201" t="str">
            <v>492000549</v>
          </cell>
          <cell r="C1201" t="str">
            <v>CANTARUTTI, JAVIER OSVALDO</v>
          </cell>
          <cell r="G1201">
            <v>18473704.800000001</v>
          </cell>
          <cell r="H1201">
            <v>18473704.800000001</v>
          </cell>
          <cell r="I1201" t="str">
            <v>492</v>
          </cell>
        </row>
        <row r="1202">
          <cell r="A1202" t="str">
            <v>ARS</v>
          </cell>
          <cell r="B1202" t="str">
            <v>492000559</v>
          </cell>
          <cell r="C1202" t="str">
            <v>3MC SA</v>
          </cell>
          <cell r="G1202">
            <v>16188681.6</v>
          </cell>
          <cell r="H1202">
            <v>16188681.6</v>
          </cell>
          <cell r="I1202" t="str">
            <v>492</v>
          </cell>
        </row>
        <row r="1203">
          <cell r="A1203" t="str">
            <v>ARS</v>
          </cell>
          <cell r="B1203" t="str">
            <v>492000563</v>
          </cell>
          <cell r="C1203" t="str">
            <v>ROSS INSUMOS S. R. L.</v>
          </cell>
          <cell r="G1203">
            <v>3002116.81</v>
          </cell>
          <cell r="H1203">
            <v>3002116.81</v>
          </cell>
          <cell r="I1203" t="str">
            <v>492</v>
          </cell>
        </row>
        <row r="1204">
          <cell r="A1204" t="str">
            <v>ARS</v>
          </cell>
          <cell r="B1204" t="str">
            <v>492000564</v>
          </cell>
          <cell r="C1204" t="str">
            <v>CELERITY S.R.L.</v>
          </cell>
          <cell r="G1204">
            <v>59724121.140000001</v>
          </cell>
          <cell r="H1204">
            <v>59724121.140000001</v>
          </cell>
          <cell r="I1204" t="str">
            <v>492</v>
          </cell>
        </row>
        <row r="1205">
          <cell r="A1205" t="str">
            <v>ARS</v>
          </cell>
          <cell r="B1205" t="str">
            <v>492000569</v>
          </cell>
          <cell r="C1205" t="str">
            <v>AGRODROP DROP SYSTEM</v>
          </cell>
          <cell r="G1205">
            <v>9561136.0500000007</v>
          </cell>
          <cell r="H1205">
            <v>9561136.0500000007</v>
          </cell>
          <cell r="I1205" t="str">
            <v>492</v>
          </cell>
        </row>
        <row r="1206">
          <cell r="A1206" t="str">
            <v>ARS</v>
          </cell>
          <cell r="B1206" t="str">
            <v>492000571</v>
          </cell>
          <cell r="C1206" t="str">
            <v>BENTIA ENERGY SA</v>
          </cell>
          <cell r="G1206">
            <v>1638298463.77</v>
          </cell>
          <cell r="H1206">
            <v>1638298463.77</v>
          </cell>
          <cell r="I1206" t="str">
            <v>492</v>
          </cell>
        </row>
        <row r="1207">
          <cell r="A1207" t="str">
            <v>ARS</v>
          </cell>
          <cell r="B1207" t="str">
            <v>492000576</v>
          </cell>
          <cell r="C1207" t="str">
            <v>FRISTARG SRL</v>
          </cell>
          <cell r="G1207">
            <v>198041563.80000001</v>
          </cell>
          <cell r="H1207">
            <v>198041563.80000001</v>
          </cell>
          <cell r="I1207" t="str">
            <v>492</v>
          </cell>
        </row>
        <row r="1208">
          <cell r="A1208" t="str">
            <v>ARS</v>
          </cell>
          <cell r="B1208" t="str">
            <v>492000578</v>
          </cell>
          <cell r="C1208" t="str">
            <v>SEVA, MARCELA ADRIANA</v>
          </cell>
          <cell r="G1208">
            <v>19705</v>
          </cell>
          <cell r="H1208">
            <v>19705</v>
          </cell>
          <cell r="I1208" t="str">
            <v>492</v>
          </cell>
        </row>
        <row r="1209">
          <cell r="A1209" t="str">
            <v>ARS</v>
          </cell>
          <cell r="B1209" t="str">
            <v>492000579</v>
          </cell>
          <cell r="C1209" t="str">
            <v>oliva, yesica paola</v>
          </cell>
          <cell r="G1209">
            <v>98450.1</v>
          </cell>
          <cell r="H1209">
            <v>98450.1</v>
          </cell>
          <cell r="I1209" t="str">
            <v>492</v>
          </cell>
        </row>
        <row r="1210">
          <cell r="A1210" t="str">
            <v>ARS</v>
          </cell>
          <cell r="B1210" t="str">
            <v>492000580</v>
          </cell>
          <cell r="C1210" t="str">
            <v>IDRAET SRL</v>
          </cell>
          <cell r="G1210">
            <v>7918324.0999999996</v>
          </cell>
          <cell r="H1210">
            <v>7918324.0999999996</v>
          </cell>
          <cell r="I1210" t="str">
            <v>492</v>
          </cell>
        </row>
        <row r="1211">
          <cell r="A1211" t="str">
            <v>ARS</v>
          </cell>
          <cell r="B1211" t="str">
            <v>492000581</v>
          </cell>
          <cell r="C1211" t="str">
            <v>BENTIA ENERGY S.A. E ING. SIMA S.A. U.T.E.</v>
          </cell>
          <cell r="G1211">
            <v>1000000065.75</v>
          </cell>
          <cell r="H1211">
            <v>1000000065.75</v>
          </cell>
          <cell r="I1211" t="str">
            <v>492</v>
          </cell>
        </row>
        <row r="1212">
          <cell r="A1212" t="str">
            <v>ARS</v>
          </cell>
          <cell r="B1212" t="str">
            <v>492000582</v>
          </cell>
          <cell r="C1212" t="str">
            <v>INDIO S. R. L. EN FORMACION</v>
          </cell>
          <cell r="G1212">
            <v>10190730.41</v>
          </cell>
          <cell r="H1212">
            <v>10190730.41</v>
          </cell>
          <cell r="I1212" t="str">
            <v>492</v>
          </cell>
        </row>
        <row r="1213">
          <cell r="A1213" t="str">
            <v>ARS</v>
          </cell>
          <cell r="B1213" t="str">
            <v>492000588</v>
          </cell>
          <cell r="C1213" t="str">
            <v>JOSVIC SRL</v>
          </cell>
          <cell r="G1213">
            <v>43430932.859999999</v>
          </cell>
          <cell r="H1213">
            <v>43430932.859999999</v>
          </cell>
          <cell r="I1213" t="str">
            <v>492</v>
          </cell>
        </row>
        <row r="1214">
          <cell r="A1214" t="str">
            <v>ARS</v>
          </cell>
          <cell r="B1214" t="str">
            <v>492000592</v>
          </cell>
          <cell r="C1214" t="str">
            <v>BRAINMED S.R.L.</v>
          </cell>
          <cell r="G1214">
            <v>199065875</v>
          </cell>
          <cell r="H1214">
            <v>199065875</v>
          </cell>
          <cell r="I1214" t="str">
            <v>492</v>
          </cell>
        </row>
        <row r="1215">
          <cell r="A1215" t="str">
            <v>ARS</v>
          </cell>
          <cell r="B1215" t="str">
            <v>493001040</v>
          </cell>
          <cell r="C1215" t="str">
            <v xml:space="preserve">MORELLI Carina Andrea </v>
          </cell>
          <cell r="G1215">
            <v>513812550.5</v>
          </cell>
          <cell r="H1215">
            <v>513812550.5</v>
          </cell>
          <cell r="I1215" t="str">
            <v>493</v>
          </cell>
        </row>
        <row r="1216">
          <cell r="A1216" t="str">
            <v>ARS</v>
          </cell>
          <cell r="B1216" t="str">
            <v>493001383</v>
          </cell>
          <cell r="C1216" t="str">
            <v>BARMANN MARIA LAURA</v>
          </cell>
          <cell r="G1216">
            <v>9650213.1999999993</v>
          </cell>
          <cell r="H1216">
            <v>9650213.1999999993</v>
          </cell>
          <cell r="I1216" t="str">
            <v>493</v>
          </cell>
        </row>
        <row r="1217">
          <cell r="A1217" t="str">
            <v>ARS</v>
          </cell>
          <cell r="B1217" t="str">
            <v>493003181</v>
          </cell>
          <cell r="C1217" t="str">
            <v>CASTELLARIN SILVIA BEATRIZ</v>
          </cell>
          <cell r="G1217">
            <v>68591203.280000001</v>
          </cell>
          <cell r="H1217">
            <v>68591203.280000001</v>
          </cell>
          <cell r="I1217" t="str">
            <v>493</v>
          </cell>
        </row>
        <row r="1218">
          <cell r="A1218" t="str">
            <v>ARS</v>
          </cell>
          <cell r="B1218" t="str">
            <v>493003287</v>
          </cell>
          <cell r="C1218" t="str">
            <v>CASAS David Carlos</v>
          </cell>
          <cell r="G1218">
            <v>1027526</v>
          </cell>
          <cell r="H1218">
            <v>1027526</v>
          </cell>
          <cell r="I1218" t="str">
            <v>493</v>
          </cell>
        </row>
        <row r="1219">
          <cell r="A1219" t="str">
            <v>ARS</v>
          </cell>
          <cell r="B1219" t="str">
            <v>493003801</v>
          </cell>
          <cell r="C1219" t="str">
            <v>CAREY Maria</v>
          </cell>
          <cell r="G1219">
            <v>9432.2999999999993</v>
          </cell>
          <cell r="H1219">
            <v>9432.2999999999993</v>
          </cell>
          <cell r="I1219" t="str">
            <v>493</v>
          </cell>
        </row>
        <row r="1220">
          <cell r="A1220" t="str">
            <v>ARS</v>
          </cell>
          <cell r="B1220" t="str">
            <v>493003829</v>
          </cell>
          <cell r="C1220" t="str">
            <v>CAREY SANTIAGO PATRICIO</v>
          </cell>
          <cell r="G1220">
            <v>17814.900000000001</v>
          </cell>
          <cell r="H1220">
            <v>17814.900000000001</v>
          </cell>
          <cell r="I1220" t="str">
            <v>493</v>
          </cell>
        </row>
        <row r="1221">
          <cell r="A1221" t="str">
            <v>ARS</v>
          </cell>
          <cell r="B1221" t="str">
            <v>493004012</v>
          </cell>
          <cell r="C1221" t="str">
            <v>CAREY EDUARDO JORGE</v>
          </cell>
          <cell r="G1221">
            <v>3336</v>
          </cell>
          <cell r="H1221">
            <v>3336</v>
          </cell>
          <cell r="I1221" t="str">
            <v>493</v>
          </cell>
        </row>
        <row r="1222">
          <cell r="A1222" t="str">
            <v>ARS</v>
          </cell>
          <cell r="B1222" t="str">
            <v>493004018</v>
          </cell>
          <cell r="C1222" t="str">
            <v>HASENBALG Victoria</v>
          </cell>
          <cell r="G1222">
            <v>4318250</v>
          </cell>
          <cell r="H1222">
            <v>4318250</v>
          </cell>
          <cell r="I1222" t="str">
            <v>493</v>
          </cell>
        </row>
        <row r="1223">
          <cell r="A1223" t="str">
            <v>ARS</v>
          </cell>
          <cell r="B1223" t="str">
            <v>493004026</v>
          </cell>
          <cell r="C1223" t="str">
            <v>MORELLI Carina Andrea</v>
          </cell>
          <cell r="G1223">
            <v>159689118.5</v>
          </cell>
          <cell r="H1223">
            <v>159689118.5</v>
          </cell>
          <cell r="I1223" t="str">
            <v>493</v>
          </cell>
        </row>
        <row r="1224">
          <cell r="A1224" t="str">
            <v>ARS</v>
          </cell>
          <cell r="B1224" t="str">
            <v>493004106</v>
          </cell>
          <cell r="C1224" t="str">
            <v>NAPOLEONI Adrian F.</v>
          </cell>
          <cell r="G1224">
            <v>9502798</v>
          </cell>
          <cell r="H1224">
            <v>9502798</v>
          </cell>
          <cell r="I1224" t="str">
            <v>493</v>
          </cell>
        </row>
        <row r="1225">
          <cell r="A1225" t="str">
            <v>ARS</v>
          </cell>
          <cell r="B1225" t="str">
            <v>493004143</v>
          </cell>
          <cell r="C1225" t="str">
            <v>CONECTAR BURSATIL S.A.</v>
          </cell>
          <cell r="G1225">
            <v>526791619.14999998</v>
          </cell>
          <cell r="H1225">
            <v>526791619.14999998</v>
          </cell>
          <cell r="I1225" t="str">
            <v>493</v>
          </cell>
        </row>
        <row r="1226">
          <cell r="A1226" t="str">
            <v>ARS</v>
          </cell>
          <cell r="B1226" t="str">
            <v>493004237</v>
          </cell>
          <cell r="C1226" t="str">
            <v>BORGNA Nancy</v>
          </cell>
          <cell r="G1226">
            <v>1435736.28</v>
          </cell>
          <cell r="H1226">
            <v>1435736.28</v>
          </cell>
          <cell r="I1226" t="str">
            <v>493</v>
          </cell>
        </row>
        <row r="1227">
          <cell r="A1227" t="str">
            <v>ARS</v>
          </cell>
          <cell r="B1227" t="str">
            <v>493004357</v>
          </cell>
          <cell r="C1227" t="str">
            <v>CASTIGLIONI Gustavo Jorge</v>
          </cell>
          <cell r="G1227">
            <v>30937101.719999999</v>
          </cell>
          <cell r="H1227">
            <v>30937101.719999999</v>
          </cell>
          <cell r="I1227" t="str">
            <v>493</v>
          </cell>
        </row>
        <row r="1228">
          <cell r="A1228" t="str">
            <v>ARS</v>
          </cell>
          <cell r="B1228" t="str">
            <v>493004437</v>
          </cell>
          <cell r="C1228" t="str">
            <v>ARCE Claudia Mariela</v>
          </cell>
          <cell r="G1228">
            <v>49620679.990000002</v>
          </cell>
          <cell r="H1228">
            <v>49620679.990000002</v>
          </cell>
          <cell r="I1228" t="str">
            <v>493</v>
          </cell>
        </row>
        <row r="1229">
          <cell r="A1229" t="str">
            <v>ARS</v>
          </cell>
          <cell r="B1229" t="str">
            <v>493004567</v>
          </cell>
          <cell r="C1229" t="str">
            <v>WISCHNIVETZKY Ana Luisa</v>
          </cell>
          <cell r="G1229">
            <v>155785834.56</v>
          </cell>
          <cell r="H1229">
            <v>155785834.56</v>
          </cell>
          <cell r="I1229" t="str">
            <v>493</v>
          </cell>
        </row>
        <row r="1230">
          <cell r="A1230" t="str">
            <v>ARS</v>
          </cell>
          <cell r="B1230" t="str">
            <v>493004580</v>
          </cell>
          <cell r="C1230" t="str">
            <v>GRUPO MALAU S.A.</v>
          </cell>
          <cell r="G1230">
            <v>225865988</v>
          </cell>
          <cell r="H1230">
            <v>225865988</v>
          </cell>
          <cell r="I1230" t="str">
            <v>493</v>
          </cell>
        </row>
        <row r="1231">
          <cell r="A1231" t="str">
            <v>ARS</v>
          </cell>
          <cell r="B1231" t="str">
            <v>493004624</v>
          </cell>
          <cell r="C1231" t="str">
            <v>LODOLO María Inés</v>
          </cell>
          <cell r="G1231">
            <v>11153000</v>
          </cell>
          <cell r="H1231">
            <v>11153000</v>
          </cell>
          <cell r="I1231" t="str">
            <v>493</v>
          </cell>
        </row>
        <row r="1232">
          <cell r="A1232" t="str">
            <v>ARS</v>
          </cell>
          <cell r="B1232" t="str">
            <v>493004678</v>
          </cell>
          <cell r="C1232" t="str">
            <v>PANIGUTTO CARLOS NICOLAS</v>
          </cell>
          <cell r="G1232">
            <v>1040330</v>
          </cell>
          <cell r="H1232">
            <v>1040330</v>
          </cell>
          <cell r="I1232" t="str">
            <v>493</v>
          </cell>
        </row>
        <row r="1233">
          <cell r="A1233" t="str">
            <v>ARS</v>
          </cell>
          <cell r="B1233" t="str">
            <v>493004697</v>
          </cell>
          <cell r="C1233" t="str">
            <v>ZAPATA Simon Alberto</v>
          </cell>
          <cell r="G1233">
            <v>57708264.5</v>
          </cell>
          <cell r="H1233">
            <v>57708264.5</v>
          </cell>
          <cell r="I1233" t="str">
            <v>493</v>
          </cell>
        </row>
        <row r="1234">
          <cell r="A1234" t="str">
            <v>ARS</v>
          </cell>
          <cell r="B1234" t="str">
            <v>493004734</v>
          </cell>
          <cell r="C1234" t="str">
            <v>RANCIARI Maria Sol</v>
          </cell>
          <cell r="G1234">
            <v>1200700</v>
          </cell>
          <cell r="H1234">
            <v>1200700</v>
          </cell>
          <cell r="I1234" t="str">
            <v>493</v>
          </cell>
        </row>
        <row r="1235">
          <cell r="A1235" t="str">
            <v>ARS</v>
          </cell>
          <cell r="B1235" t="str">
            <v>493004741</v>
          </cell>
          <cell r="C1235" t="str">
            <v>DE AGUILAR Gonzalo Fernando</v>
          </cell>
          <cell r="G1235">
            <v>33539987.510000002</v>
          </cell>
          <cell r="H1235">
            <v>33539987.510000002</v>
          </cell>
          <cell r="I1235" t="str">
            <v>493</v>
          </cell>
        </row>
        <row r="1236">
          <cell r="A1236" t="str">
            <v>ARS</v>
          </cell>
          <cell r="B1236" t="str">
            <v>493004772</v>
          </cell>
          <cell r="C1236" t="str">
            <v>MARCHENA Javier Luis</v>
          </cell>
          <cell r="G1236">
            <v>6691.2</v>
          </cell>
          <cell r="H1236">
            <v>6691.2</v>
          </cell>
          <cell r="I1236" t="str">
            <v>493</v>
          </cell>
        </row>
        <row r="1237">
          <cell r="A1237" t="str">
            <v>ARS</v>
          </cell>
          <cell r="B1237" t="str">
            <v>493004909</v>
          </cell>
          <cell r="C1237" t="str">
            <v>CRAVERO Roberto Mauro</v>
          </cell>
          <cell r="G1237">
            <v>3422000</v>
          </cell>
          <cell r="H1237">
            <v>3422000</v>
          </cell>
          <cell r="I1237" t="str">
            <v>493</v>
          </cell>
        </row>
        <row r="1238">
          <cell r="A1238" t="str">
            <v>ARS</v>
          </cell>
          <cell r="B1238" t="str">
            <v>493004920</v>
          </cell>
          <cell r="C1238" t="str">
            <v>BIASSI JOSE LUIS</v>
          </cell>
          <cell r="G1238">
            <v>36078372</v>
          </cell>
          <cell r="H1238">
            <v>36078372</v>
          </cell>
          <cell r="I1238" t="str">
            <v>493</v>
          </cell>
        </row>
        <row r="1239">
          <cell r="A1239" t="str">
            <v>ARS</v>
          </cell>
          <cell r="B1239" t="str">
            <v>493004922</v>
          </cell>
          <cell r="C1239" t="str">
            <v>AREVALO Adriana</v>
          </cell>
          <cell r="G1239">
            <v>1741089</v>
          </cell>
          <cell r="H1239">
            <v>1741089</v>
          </cell>
          <cell r="I1239" t="str">
            <v>493</v>
          </cell>
        </row>
        <row r="1240">
          <cell r="A1240" t="str">
            <v>ARS</v>
          </cell>
          <cell r="B1240" t="str">
            <v>493005019</v>
          </cell>
          <cell r="C1240" t="str">
            <v>BARONE Maria Del Carmen</v>
          </cell>
          <cell r="G1240">
            <v>103320</v>
          </cell>
          <cell r="H1240">
            <v>103320</v>
          </cell>
          <cell r="I1240" t="str">
            <v>493</v>
          </cell>
        </row>
        <row r="1241">
          <cell r="A1241" t="str">
            <v>ARS</v>
          </cell>
          <cell r="B1241" t="str">
            <v>493005146</v>
          </cell>
          <cell r="C1241" t="str">
            <v>NEIROTTI Julian Edgardo</v>
          </cell>
          <cell r="G1241">
            <v>2326750</v>
          </cell>
          <cell r="H1241">
            <v>2326750</v>
          </cell>
          <cell r="I1241" t="str">
            <v>493</v>
          </cell>
        </row>
        <row r="1242">
          <cell r="A1242" t="str">
            <v>ARS</v>
          </cell>
          <cell r="B1242" t="str">
            <v>493005181</v>
          </cell>
          <cell r="C1242" t="str">
            <v>GHIOLDI JUAN SEBASTIAN</v>
          </cell>
          <cell r="G1242">
            <v>2506.8000000000002</v>
          </cell>
          <cell r="H1242">
            <v>2506.8000000000002</v>
          </cell>
          <cell r="I1242" t="str">
            <v>493</v>
          </cell>
        </row>
        <row r="1243">
          <cell r="A1243" t="str">
            <v>ARS</v>
          </cell>
          <cell r="B1243" t="str">
            <v>493005209</v>
          </cell>
          <cell r="C1243" t="str">
            <v>BUELGA Carlos Hector</v>
          </cell>
          <cell r="G1243">
            <v>35350</v>
          </cell>
          <cell r="H1243">
            <v>35350</v>
          </cell>
          <cell r="I1243" t="str">
            <v>493</v>
          </cell>
        </row>
        <row r="1244">
          <cell r="A1244" t="str">
            <v>ARS</v>
          </cell>
          <cell r="B1244" t="str">
            <v>493005240</v>
          </cell>
          <cell r="C1244" t="str">
            <v>GHIOLDI ESTEBAN AGUSTIN</v>
          </cell>
          <cell r="G1244">
            <v>649000</v>
          </cell>
          <cell r="H1244">
            <v>649000</v>
          </cell>
          <cell r="I1244" t="str">
            <v>493</v>
          </cell>
        </row>
        <row r="1245">
          <cell r="A1245" t="str">
            <v>ARS</v>
          </cell>
          <cell r="B1245" t="str">
            <v>493005281</v>
          </cell>
          <cell r="C1245" t="str">
            <v>CARLONI Norma</v>
          </cell>
          <cell r="G1245">
            <v>503388</v>
          </cell>
          <cell r="H1245">
            <v>503388</v>
          </cell>
          <cell r="I1245" t="str">
            <v>493</v>
          </cell>
        </row>
        <row r="1246">
          <cell r="A1246" t="str">
            <v>ARS</v>
          </cell>
          <cell r="B1246" t="str">
            <v>493005294</v>
          </cell>
          <cell r="C1246" t="str">
            <v>PESCETTO Sergio Daniel</v>
          </cell>
          <cell r="G1246">
            <v>1023397.57</v>
          </cell>
          <cell r="H1246">
            <v>1023397.57</v>
          </cell>
          <cell r="I1246" t="str">
            <v>493</v>
          </cell>
        </row>
        <row r="1247">
          <cell r="A1247" t="str">
            <v>ARS</v>
          </cell>
          <cell r="B1247" t="str">
            <v>493005298</v>
          </cell>
          <cell r="C1247" t="str">
            <v>ZINCZUK Juan</v>
          </cell>
          <cell r="G1247">
            <v>3537000</v>
          </cell>
          <cell r="H1247">
            <v>3537000</v>
          </cell>
          <cell r="I1247" t="str">
            <v>493</v>
          </cell>
        </row>
        <row r="1248">
          <cell r="A1248" t="str">
            <v>ARS</v>
          </cell>
          <cell r="B1248" t="str">
            <v>493005389</v>
          </cell>
          <cell r="C1248" t="str">
            <v>DAVICINO Gaston Martin</v>
          </cell>
          <cell r="G1248">
            <v>3561464.8</v>
          </cell>
          <cell r="H1248">
            <v>3561464.8</v>
          </cell>
          <cell r="I1248" t="str">
            <v>493</v>
          </cell>
        </row>
        <row r="1249">
          <cell r="A1249" t="str">
            <v>ARS</v>
          </cell>
          <cell r="B1249" t="str">
            <v>493005445</v>
          </cell>
          <cell r="C1249" t="str">
            <v>BERTERO Miguel Angel</v>
          </cell>
          <cell r="G1249">
            <v>12930</v>
          </cell>
          <cell r="H1249">
            <v>12930</v>
          </cell>
          <cell r="I1249" t="str">
            <v>493</v>
          </cell>
        </row>
        <row r="1250">
          <cell r="A1250" t="str">
            <v>ARS</v>
          </cell>
          <cell r="B1250" t="str">
            <v>493005446</v>
          </cell>
          <cell r="C1250" t="str">
            <v>BERTERO BOERO S.A.</v>
          </cell>
          <cell r="G1250">
            <v>98549134</v>
          </cell>
          <cell r="H1250">
            <v>98549134</v>
          </cell>
          <cell r="I1250" t="str">
            <v>493</v>
          </cell>
        </row>
        <row r="1251">
          <cell r="A1251" t="str">
            <v>ARS</v>
          </cell>
          <cell r="B1251" t="str">
            <v>493005478</v>
          </cell>
          <cell r="C1251" t="str">
            <v>NICOLINO Maria Isabel</v>
          </cell>
          <cell r="G1251">
            <v>120405413.84</v>
          </cell>
          <cell r="H1251">
            <v>120405413.84</v>
          </cell>
          <cell r="I1251" t="str">
            <v>493</v>
          </cell>
        </row>
        <row r="1252">
          <cell r="A1252" t="str">
            <v>ARS</v>
          </cell>
          <cell r="B1252" t="str">
            <v>493005504</v>
          </cell>
          <cell r="C1252" t="str">
            <v>TRINI, ARTURO</v>
          </cell>
          <cell r="G1252">
            <v>10760</v>
          </cell>
          <cell r="H1252">
            <v>10760</v>
          </cell>
          <cell r="I1252" t="str">
            <v>493</v>
          </cell>
        </row>
        <row r="1253">
          <cell r="A1253" t="str">
            <v>ARS</v>
          </cell>
          <cell r="B1253" t="str">
            <v>493005507</v>
          </cell>
          <cell r="C1253" t="str">
            <v>GILOTTI, MARIA EUGENIA</v>
          </cell>
          <cell r="G1253">
            <v>11145911</v>
          </cell>
          <cell r="H1253">
            <v>11145911</v>
          </cell>
          <cell r="I1253" t="str">
            <v>493</v>
          </cell>
        </row>
        <row r="1254">
          <cell r="A1254" t="str">
            <v>ARS</v>
          </cell>
          <cell r="B1254" t="str">
            <v>493005535</v>
          </cell>
          <cell r="C1254" t="str">
            <v>ASCHERI EDMUNDO DANIEL</v>
          </cell>
          <cell r="G1254">
            <v>844000</v>
          </cell>
          <cell r="H1254">
            <v>844000</v>
          </cell>
          <cell r="I1254" t="str">
            <v>493</v>
          </cell>
        </row>
        <row r="1255">
          <cell r="A1255" t="str">
            <v>ARS</v>
          </cell>
          <cell r="B1255" t="str">
            <v>493005542</v>
          </cell>
          <cell r="C1255" t="str">
            <v>CASTELLARIN MARTA GRACIELA</v>
          </cell>
          <cell r="G1255">
            <v>7755261.9199999999</v>
          </cell>
          <cell r="H1255">
            <v>7755261.9199999999</v>
          </cell>
          <cell r="I1255" t="str">
            <v>493</v>
          </cell>
        </row>
        <row r="1256">
          <cell r="A1256" t="str">
            <v>ARS</v>
          </cell>
          <cell r="B1256" t="str">
            <v>493005543</v>
          </cell>
          <cell r="C1256" t="str">
            <v>Concrete S.A.</v>
          </cell>
          <cell r="G1256">
            <v>12359986.199999999</v>
          </cell>
          <cell r="H1256">
            <v>12359986.199999999</v>
          </cell>
          <cell r="I1256" t="str">
            <v>493</v>
          </cell>
        </row>
        <row r="1257">
          <cell r="A1257" t="str">
            <v>ARS</v>
          </cell>
          <cell r="B1257" t="str">
            <v>493005577</v>
          </cell>
          <cell r="C1257" t="str">
            <v>CANNARSA Pablo Roman</v>
          </cell>
          <cell r="G1257">
            <v>3425700</v>
          </cell>
          <cell r="H1257">
            <v>3425700</v>
          </cell>
          <cell r="I1257" t="str">
            <v>493</v>
          </cell>
        </row>
        <row r="1258">
          <cell r="A1258" t="str">
            <v>ARS</v>
          </cell>
          <cell r="B1258" t="str">
            <v>493005587</v>
          </cell>
          <cell r="C1258" t="str">
            <v>LODOLO GUILLERMO MARCOS</v>
          </cell>
          <cell r="G1258">
            <v>4991020</v>
          </cell>
          <cell r="H1258">
            <v>4991020</v>
          </cell>
          <cell r="I1258" t="str">
            <v>493</v>
          </cell>
        </row>
        <row r="1259">
          <cell r="A1259" t="str">
            <v>ARS</v>
          </cell>
          <cell r="B1259" t="str">
            <v>493005594</v>
          </cell>
          <cell r="C1259" t="str">
            <v>GONZALEZ DANIEL EDGARDO</v>
          </cell>
          <cell r="G1259">
            <v>1178826256.3</v>
          </cell>
          <cell r="H1259">
            <v>1178826256.3</v>
          </cell>
          <cell r="I1259" t="str">
            <v>493</v>
          </cell>
        </row>
        <row r="1260">
          <cell r="A1260" t="str">
            <v>ARS</v>
          </cell>
          <cell r="B1260" t="str">
            <v>493005600</v>
          </cell>
          <cell r="C1260" t="str">
            <v>SANCHEZ Lauriano Ventura</v>
          </cell>
          <cell r="G1260">
            <v>226655059</v>
          </cell>
          <cell r="H1260">
            <v>226655059</v>
          </cell>
          <cell r="I1260" t="str">
            <v>493</v>
          </cell>
        </row>
        <row r="1261">
          <cell r="A1261" t="str">
            <v>ARS</v>
          </cell>
          <cell r="B1261" t="str">
            <v>493005658</v>
          </cell>
          <cell r="C1261" t="str">
            <v>MIRETTI, Octavio Mauro o BERTOLOTTI , Patricia Monica</v>
          </cell>
          <cell r="G1261">
            <v>9086206.7799999993</v>
          </cell>
          <cell r="H1261">
            <v>9086206.7799999993</v>
          </cell>
          <cell r="I1261" t="str">
            <v>493</v>
          </cell>
        </row>
        <row r="1262">
          <cell r="A1262" t="str">
            <v>ARS</v>
          </cell>
          <cell r="B1262" t="str">
            <v>493005666</v>
          </cell>
          <cell r="C1262" t="str">
            <v>GONZALEZ, Damian</v>
          </cell>
          <cell r="G1262">
            <v>2954719</v>
          </cell>
          <cell r="H1262">
            <v>2954719</v>
          </cell>
          <cell r="I1262" t="str">
            <v>493</v>
          </cell>
        </row>
        <row r="1263">
          <cell r="A1263" t="str">
            <v>ARS</v>
          </cell>
          <cell r="B1263" t="str">
            <v>493005671</v>
          </cell>
          <cell r="C1263" t="str">
            <v>IMAZ PIO ENRIQUE</v>
          </cell>
          <cell r="G1263">
            <v>1362342.94</v>
          </cell>
          <cell r="H1263">
            <v>1362342.94</v>
          </cell>
          <cell r="I1263" t="str">
            <v>493</v>
          </cell>
        </row>
        <row r="1264">
          <cell r="A1264" t="str">
            <v>ARS</v>
          </cell>
          <cell r="B1264" t="str">
            <v>493005676</v>
          </cell>
          <cell r="C1264" t="str">
            <v>FLEMING, IGNACIO</v>
          </cell>
          <cell r="G1264">
            <v>52750</v>
          </cell>
          <cell r="H1264">
            <v>52750</v>
          </cell>
          <cell r="I1264" t="str">
            <v>493</v>
          </cell>
        </row>
        <row r="1265">
          <cell r="A1265" t="str">
            <v>ARS</v>
          </cell>
          <cell r="B1265" t="str">
            <v>493005682</v>
          </cell>
          <cell r="C1265" t="str">
            <v>PERASSI, CARLOS AGUSTIN</v>
          </cell>
          <cell r="G1265">
            <v>18047400</v>
          </cell>
          <cell r="H1265">
            <v>18047400</v>
          </cell>
          <cell r="I1265" t="str">
            <v>493</v>
          </cell>
        </row>
        <row r="1266">
          <cell r="A1266" t="str">
            <v>ARS</v>
          </cell>
          <cell r="B1266" t="str">
            <v>493005683</v>
          </cell>
          <cell r="C1266" t="str">
            <v>BENITEZ, Hector Daniel</v>
          </cell>
          <cell r="G1266">
            <v>282700</v>
          </cell>
          <cell r="H1266">
            <v>282700</v>
          </cell>
          <cell r="I1266" t="str">
            <v>493</v>
          </cell>
        </row>
        <row r="1267">
          <cell r="A1267" t="str">
            <v>ARS</v>
          </cell>
          <cell r="B1267" t="str">
            <v>493005695</v>
          </cell>
          <cell r="C1267" t="str">
            <v>OLIVA, Nelly Isabel o BOTT, Mariela Beatriz</v>
          </cell>
          <cell r="G1267">
            <v>56006611.670000002</v>
          </cell>
          <cell r="H1267">
            <v>56006611.670000002</v>
          </cell>
          <cell r="I1267" t="str">
            <v>493</v>
          </cell>
        </row>
        <row r="1268">
          <cell r="A1268" t="str">
            <v>ARS</v>
          </cell>
          <cell r="B1268" t="str">
            <v>493005700</v>
          </cell>
          <cell r="C1268" t="str">
            <v>DENI, Ana Ines</v>
          </cell>
          <cell r="G1268">
            <v>29106128.300000001</v>
          </cell>
          <cell r="H1268">
            <v>29106128.300000001</v>
          </cell>
          <cell r="I1268" t="str">
            <v>493</v>
          </cell>
        </row>
        <row r="1269">
          <cell r="A1269" t="str">
            <v>ARS</v>
          </cell>
          <cell r="B1269" t="str">
            <v>493005819</v>
          </cell>
          <cell r="C1269" t="str">
            <v>INDUSTRIAS DARMET S.A.</v>
          </cell>
          <cell r="G1269">
            <v>6712</v>
          </cell>
          <cell r="H1269">
            <v>6712</v>
          </cell>
          <cell r="I1269" t="str">
            <v>493</v>
          </cell>
        </row>
        <row r="1270">
          <cell r="A1270" t="str">
            <v>ARS</v>
          </cell>
          <cell r="B1270" t="str">
            <v>493005831</v>
          </cell>
          <cell r="C1270" t="str">
            <v>BOGGIO REALDO OSCAR</v>
          </cell>
          <cell r="G1270">
            <v>3336</v>
          </cell>
          <cell r="H1270">
            <v>3336</v>
          </cell>
          <cell r="I1270" t="str">
            <v>493</v>
          </cell>
        </row>
        <row r="1271">
          <cell r="A1271" t="str">
            <v>ARS</v>
          </cell>
          <cell r="B1271" t="str">
            <v>493006014</v>
          </cell>
          <cell r="C1271" t="str">
            <v>DEL TEDESCO, Marcelo Andres</v>
          </cell>
          <cell r="G1271">
            <v>2587500</v>
          </cell>
          <cell r="H1271">
            <v>2587500</v>
          </cell>
          <cell r="I1271" t="str">
            <v>493</v>
          </cell>
        </row>
        <row r="1272">
          <cell r="A1272" t="str">
            <v>ARS</v>
          </cell>
          <cell r="B1272" t="str">
            <v>493006106</v>
          </cell>
          <cell r="C1272" t="str">
            <v>LAURINO, Guillermo Andres</v>
          </cell>
          <cell r="G1272">
            <v>5021700</v>
          </cell>
          <cell r="H1272">
            <v>5021700</v>
          </cell>
          <cell r="I1272" t="str">
            <v>493</v>
          </cell>
        </row>
        <row r="1273">
          <cell r="A1273" t="str">
            <v>ARS</v>
          </cell>
          <cell r="B1273" t="str">
            <v>493006137</v>
          </cell>
          <cell r="C1273" t="str">
            <v>PRIO, Alicia Esther</v>
          </cell>
          <cell r="G1273">
            <v>37058792.299999997</v>
          </cell>
          <cell r="H1273">
            <v>37058792.299999997</v>
          </cell>
          <cell r="I1273" t="str">
            <v>493</v>
          </cell>
        </row>
        <row r="1274">
          <cell r="A1274" t="str">
            <v>ARS</v>
          </cell>
          <cell r="B1274" t="str">
            <v>493006167</v>
          </cell>
          <cell r="C1274" t="str">
            <v>BERTERO MIGUEL ANGEL Y BERTERO MARIA CLOTILDE VERONICA S.H</v>
          </cell>
          <cell r="G1274">
            <v>92121230.900000006</v>
          </cell>
          <cell r="H1274">
            <v>92121230.900000006</v>
          </cell>
          <cell r="I1274" t="str">
            <v>493</v>
          </cell>
        </row>
        <row r="1275">
          <cell r="A1275" t="str">
            <v>ARS</v>
          </cell>
          <cell r="B1275" t="str">
            <v>493006204</v>
          </cell>
          <cell r="C1275" t="str">
            <v>TURISMO CAREY S.R.L</v>
          </cell>
          <cell r="G1275">
            <v>95784135.549999997</v>
          </cell>
          <cell r="H1275">
            <v>95784135.549999997</v>
          </cell>
          <cell r="I1275" t="str">
            <v>493</v>
          </cell>
        </row>
        <row r="1276">
          <cell r="A1276" t="str">
            <v>ARS</v>
          </cell>
          <cell r="B1276" t="str">
            <v>493006214</v>
          </cell>
          <cell r="C1276" t="str">
            <v xml:space="preserve">CERRUTTI Carlos Alberto </v>
          </cell>
          <cell r="G1276">
            <v>87937802.900000006</v>
          </cell>
          <cell r="H1276">
            <v>87937802.900000006</v>
          </cell>
          <cell r="I1276" t="str">
            <v>493</v>
          </cell>
        </row>
        <row r="1277">
          <cell r="A1277" t="str">
            <v>ARS</v>
          </cell>
          <cell r="B1277" t="str">
            <v>493006220</v>
          </cell>
          <cell r="C1277" t="str">
            <v>BOGGIO , Hugo Alberto</v>
          </cell>
          <cell r="G1277">
            <v>1011494.9</v>
          </cell>
          <cell r="H1277">
            <v>1011494.9</v>
          </cell>
          <cell r="I1277" t="str">
            <v>493</v>
          </cell>
        </row>
        <row r="1278">
          <cell r="A1278" t="str">
            <v>ARS</v>
          </cell>
          <cell r="B1278" t="str">
            <v>493006283</v>
          </cell>
          <cell r="C1278" t="str">
            <v>FERRARIS, Federico alberto</v>
          </cell>
          <cell r="G1278">
            <v>880650</v>
          </cell>
          <cell r="H1278">
            <v>880650</v>
          </cell>
          <cell r="I1278" t="str">
            <v>493</v>
          </cell>
        </row>
        <row r="1279">
          <cell r="A1279" t="str">
            <v>ARS</v>
          </cell>
          <cell r="B1279" t="str">
            <v>493006287</v>
          </cell>
          <cell r="C1279" t="str">
            <v xml:space="preserve">TURCATO, Mariano Luis </v>
          </cell>
          <cell r="G1279">
            <v>2327125.6</v>
          </cell>
          <cell r="H1279">
            <v>2327125.6</v>
          </cell>
          <cell r="I1279" t="str">
            <v>493</v>
          </cell>
        </row>
        <row r="1280">
          <cell r="A1280" t="str">
            <v>ARS</v>
          </cell>
          <cell r="B1280" t="str">
            <v>493006321</v>
          </cell>
          <cell r="C1280" t="str">
            <v>MATTOS, Alejandro</v>
          </cell>
          <cell r="G1280">
            <v>1964660</v>
          </cell>
          <cell r="H1280">
            <v>1964660</v>
          </cell>
          <cell r="I1280" t="str">
            <v>493</v>
          </cell>
        </row>
        <row r="1281">
          <cell r="A1281" t="str">
            <v>ARS</v>
          </cell>
          <cell r="B1281" t="str">
            <v>493006365</v>
          </cell>
          <cell r="C1281" t="str">
            <v xml:space="preserve">BARBARINI , Marcos Alejandro </v>
          </cell>
          <cell r="G1281">
            <v>2000159.06</v>
          </cell>
          <cell r="H1281">
            <v>2000159.06</v>
          </cell>
          <cell r="I1281" t="str">
            <v>493</v>
          </cell>
        </row>
        <row r="1282">
          <cell r="A1282" t="str">
            <v>ARS</v>
          </cell>
          <cell r="B1282" t="str">
            <v>493006418</v>
          </cell>
          <cell r="C1282" t="str">
            <v>CRAVERO, VALENTINA</v>
          </cell>
          <cell r="G1282">
            <v>92000000</v>
          </cell>
          <cell r="H1282">
            <v>92000000</v>
          </cell>
          <cell r="I1282" t="str">
            <v>493</v>
          </cell>
        </row>
        <row r="1283">
          <cell r="A1283" t="str">
            <v>ARS</v>
          </cell>
          <cell r="B1283" t="str">
            <v>493006436</v>
          </cell>
          <cell r="C1283" t="str">
            <v>STECHINA, Gabriel Andres</v>
          </cell>
          <cell r="G1283">
            <v>27375210.100000001</v>
          </cell>
          <cell r="H1283">
            <v>27375210.100000001</v>
          </cell>
          <cell r="I1283" t="str">
            <v>493</v>
          </cell>
        </row>
        <row r="1284">
          <cell r="A1284" t="str">
            <v>ARS</v>
          </cell>
          <cell r="B1284" t="str">
            <v>493006451</v>
          </cell>
          <cell r="C1284" t="str">
            <v xml:space="preserve">FEDELI , CECILIA LORENA </v>
          </cell>
          <cell r="G1284">
            <v>1564000</v>
          </cell>
          <cell r="H1284">
            <v>1564000</v>
          </cell>
          <cell r="I1284" t="str">
            <v>493</v>
          </cell>
        </row>
        <row r="1285">
          <cell r="A1285" t="str">
            <v>ARS</v>
          </cell>
          <cell r="B1285" t="str">
            <v>493006475</v>
          </cell>
          <cell r="C1285" t="str">
            <v>RODRIGUEZ Lucas Alberto</v>
          </cell>
          <cell r="G1285">
            <v>23328567.699999999</v>
          </cell>
          <cell r="H1285">
            <v>23328567.699999999</v>
          </cell>
          <cell r="I1285" t="str">
            <v>493</v>
          </cell>
        </row>
        <row r="1286">
          <cell r="A1286" t="str">
            <v>ARS</v>
          </cell>
          <cell r="B1286" t="str">
            <v>493006476</v>
          </cell>
          <cell r="C1286" t="str">
            <v xml:space="preserve">VERDONDONI, PAMELA NOEMI </v>
          </cell>
          <cell r="G1286">
            <v>5587780</v>
          </cell>
          <cell r="H1286">
            <v>5587780</v>
          </cell>
          <cell r="I1286" t="str">
            <v>493</v>
          </cell>
        </row>
        <row r="1287">
          <cell r="A1287" t="str">
            <v>ARS</v>
          </cell>
          <cell r="B1287" t="str">
            <v>493006524</v>
          </cell>
          <cell r="C1287" t="str">
            <v>MIRANDA GASTON GONZALO</v>
          </cell>
          <cell r="G1287">
            <v>758784</v>
          </cell>
          <cell r="H1287">
            <v>758784</v>
          </cell>
          <cell r="I1287" t="str">
            <v>493</v>
          </cell>
        </row>
        <row r="1288">
          <cell r="A1288" t="str">
            <v>ARS</v>
          </cell>
          <cell r="B1288" t="str">
            <v>493006538</v>
          </cell>
          <cell r="C1288" t="str">
            <v xml:space="preserve">CASAS, Alejandra Ines </v>
          </cell>
          <cell r="G1288">
            <v>98660</v>
          </cell>
          <cell r="H1288">
            <v>98660</v>
          </cell>
          <cell r="I1288" t="str">
            <v>493</v>
          </cell>
        </row>
        <row r="1289">
          <cell r="A1289" t="str">
            <v>ARS</v>
          </cell>
          <cell r="B1289" t="str">
            <v>493006610</v>
          </cell>
          <cell r="C1289" t="str">
            <v>SEMINO, Fernanda</v>
          </cell>
          <cell r="G1289">
            <v>18484537.370000001</v>
          </cell>
          <cell r="H1289">
            <v>18484537.370000001</v>
          </cell>
          <cell r="I1289" t="str">
            <v>493</v>
          </cell>
        </row>
        <row r="1290">
          <cell r="A1290" t="str">
            <v>ARS</v>
          </cell>
          <cell r="B1290" t="str">
            <v>493006618</v>
          </cell>
          <cell r="C1290" t="str">
            <v>PUNTO ROSARIO S.R.L</v>
          </cell>
          <cell r="G1290">
            <v>211696119.99000001</v>
          </cell>
          <cell r="H1290">
            <v>211696119.99000001</v>
          </cell>
          <cell r="I1290" t="str">
            <v>493</v>
          </cell>
        </row>
        <row r="1291">
          <cell r="A1291" t="str">
            <v>ARS</v>
          </cell>
          <cell r="B1291" t="str">
            <v>493006635</v>
          </cell>
          <cell r="C1291" t="str">
            <v>MAJUL Marcelino Rogelio</v>
          </cell>
          <cell r="G1291">
            <v>3329274.99</v>
          </cell>
          <cell r="H1291">
            <v>3329274.99</v>
          </cell>
          <cell r="I1291" t="str">
            <v>493</v>
          </cell>
        </row>
        <row r="1292">
          <cell r="A1292" t="str">
            <v>ARS</v>
          </cell>
          <cell r="B1292" t="str">
            <v>493006656</v>
          </cell>
          <cell r="C1292" t="str">
            <v>SILVA, Fabian René</v>
          </cell>
          <cell r="G1292">
            <v>19395</v>
          </cell>
          <cell r="H1292">
            <v>19395</v>
          </cell>
          <cell r="I1292" t="str">
            <v>493</v>
          </cell>
        </row>
        <row r="1293">
          <cell r="A1293" t="str">
            <v>ARS</v>
          </cell>
          <cell r="B1293" t="str">
            <v>493006671</v>
          </cell>
          <cell r="C1293" t="str">
            <v>MURIADO, Marcelo</v>
          </cell>
          <cell r="G1293">
            <v>103357080</v>
          </cell>
          <cell r="H1293">
            <v>103357080</v>
          </cell>
          <cell r="I1293" t="str">
            <v>493</v>
          </cell>
        </row>
        <row r="1294">
          <cell r="A1294" t="str">
            <v>ARS</v>
          </cell>
          <cell r="B1294" t="str">
            <v>493006703</v>
          </cell>
          <cell r="C1294" t="str">
            <v>LA RINCONADA EMPRENDIMIENTOS S.A</v>
          </cell>
          <cell r="G1294">
            <v>38776247</v>
          </cell>
          <cell r="H1294">
            <v>38776247</v>
          </cell>
          <cell r="I1294" t="str">
            <v>493</v>
          </cell>
        </row>
        <row r="1295">
          <cell r="A1295" t="str">
            <v>ARS</v>
          </cell>
          <cell r="B1295" t="str">
            <v>493006765</v>
          </cell>
          <cell r="C1295" t="str">
            <v>NISNIEVICH, David Ezequiel</v>
          </cell>
          <cell r="G1295">
            <v>1594760</v>
          </cell>
          <cell r="H1295">
            <v>1594760</v>
          </cell>
          <cell r="I1295" t="str">
            <v>493</v>
          </cell>
        </row>
        <row r="1296">
          <cell r="A1296" t="str">
            <v>ARS</v>
          </cell>
          <cell r="B1296" t="str">
            <v>493006817</v>
          </cell>
          <cell r="C1296" t="str">
            <v>FLOTAS COMERCIALES SRL</v>
          </cell>
          <cell r="G1296">
            <v>298550811.5</v>
          </cell>
          <cell r="H1296">
            <v>298550811.5</v>
          </cell>
          <cell r="I1296" t="str">
            <v>493</v>
          </cell>
        </row>
        <row r="1297">
          <cell r="A1297" t="str">
            <v>ARS</v>
          </cell>
          <cell r="B1297" t="str">
            <v>493006887</v>
          </cell>
          <cell r="C1297" t="str">
            <v>SEMINO, Carlos</v>
          </cell>
          <cell r="G1297">
            <v>15129187.470000001</v>
          </cell>
          <cell r="H1297">
            <v>15129187.470000001</v>
          </cell>
          <cell r="I1297" t="str">
            <v>493</v>
          </cell>
        </row>
        <row r="1298">
          <cell r="A1298" t="str">
            <v>ARS</v>
          </cell>
          <cell r="B1298" t="str">
            <v>493007028</v>
          </cell>
          <cell r="C1298" t="str">
            <v>CALVO, Carlos Rosendo</v>
          </cell>
          <cell r="G1298">
            <v>224699995.11000001</v>
          </cell>
          <cell r="H1298">
            <v>224699995.11000001</v>
          </cell>
          <cell r="I1298" t="str">
            <v>493</v>
          </cell>
        </row>
        <row r="1299">
          <cell r="A1299" t="str">
            <v>ARS</v>
          </cell>
          <cell r="B1299" t="str">
            <v>493007111</v>
          </cell>
          <cell r="C1299" t="str">
            <v>TOURN, María Rosario</v>
          </cell>
          <cell r="G1299">
            <v>32138327.600000001</v>
          </cell>
          <cell r="H1299">
            <v>32138327.600000001</v>
          </cell>
          <cell r="I1299" t="str">
            <v>493</v>
          </cell>
        </row>
        <row r="1300">
          <cell r="A1300" t="str">
            <v>ARS</v>
          </cell>
          <cell r="B1300" t="str">
            <v>493007137</v>
          </cell>
          <cell r="C1300" t="str">
            <v>MAINIERI, ADRIAN OSVALDO</v>
          </cell>
          <cell r="G1300">
            <v>143300105</v>
          </cell>
          <cell r="H1300">
            <v>143300105</v>
          </cell>
          <cell r="I1300" t="str">
            <v>493</v>
          </cell>
        </row>
        <row r="1301">
          <cell r="A1301" t="str">
            <v>ARS</v>
          </cell>
          <cell r="B1301" t="str">
            <v>493007192</v>
          </cell>
          <cell r="C1301" t="str">
            <v>MARULL, ELENA MARIA</v>
          </cell>
          <cell r="G1301">
            <v>178000</v>
          </cell>
          <cell r="H1301">
            <v>178000</v>
          </cell>
          <cell r="I1301" t="str">
            <v>493</v>
          </cell>
        </row>
        <row r="1302">
          <cell r="A1302" t="str">
            <v>ARS</v>
          </cell>
          <cell r="B1302" t="str">
            <v>493007205</v>
          </cell>
          <cell r="C1302" t="str">
            <v>EL HORMIGON S.A.</v>
          </cell>
          <cell r="G1302">
            <v>31653588.18</v>
          </cell>
          <cell r="H1302">
            <v>31653588.18</v>
          </cell>
          <cell r="I1302" t="str">
            <v>493</v>
          </cell>
        </row>
        <row r="1303">
          <cell r="A1303" t="str">
            <v>ARS</v>
          </cell>
          <cell r="B1303" t="str">
            <v>493007218</v>
          </cell>
          <cell r="C1303" t="str">
            <v>DE MARCO, MARTIN ALEJANDRO</v>
          </cell>
          <cell r="G1303">
            <v>26323806</v>
          </cell>
          <cell r="H1303">
            <v>26323806</v>
          </cell>
          <cell r="I1303" t="str">
            <v>493</v>
          </cell>
        </row>
        <row r="1304">
          <cell r="A1304" t="str">
            <v>ARS</v>
          </cell>
          <cell r="B1304" t="str">
            <v>493007227</v>
          </cell>
          <cell r="C1304" t="str">
            <v>GARCIA DANIEL ENRIQUE</v>
          </cell>
          <cell r="G1304">
            <v>6690.4</v>
          </cell>
          <cell r="H1304">
            <v>6690.4</v>
          </cell>
          <cell r="I1304" t="str">
            <v>493</v>
          </cell>
        </row>
        <row r="1305">
          <cell r="A1305" t="str">
            <v>ARS</v>
          </cell>
          <cell r="B1305" t="str">
            <v>493007237</v>
          </cell>
          <cell r="C1305" t="str">
            <v>GOMEZ, MONICA IRUPE</v>
          </cell>
          <cell r="G1305">
            <v>542000</v>
          </cell>
          <cell r="H1305">
            <v>542000</v>
          </cell>
          <cell r="I1305" t="str">
            <v>493</v>
          </cell>
        </row>
        <row r="1306">
          <cell r="A1306" t="str">
            <v>ARS</v>
          </cell>
          <cell r="B1306" t="str">
            <v>493007254</v>
          </cell>
          <cell r="C1306" t="str">
            <v>ARDELLINI, BRIAN URIEL</v>
          </cell>
          <cell r="G1306">
            <v>95614870.219999999</v>
          </cell>
          <cell r="H1306">
            <v>95614870.219999999</v>
          </cell>
          <cell r="I1306" t="str">
            <v>493</v>
          </cell>
        </row>
        <row r="1307">
          <cell r="A1307" t="str">
            <v>ARS</v>
          </cell>
          <cell r="B1307" t="str">
            <v>493007256</v>
          </cell>
          <cell r="C1307" t="str">
            <v>BIO GLOBAL S.R.L.</v>
          </cell>
          <cell r="G1307">
            <v>206228945.5</v>
          </cell>
          <cell r="H1307">
            <v>206228945.5</v>
          </cell>
          <cell r="I1307" t="str">
            <v>493</v>
          </cell>
        </row>
        <row r="1308">
          <cell r="A1308" t="str">
            <v>ARS</v>
          </cell>
          <cell r="B1308" t="str">
            <v>493007260</v>
          </cell>
          <cell r="C1308" t="str">
            <v>ARIAS, Elena Isabel</v>
          </cell>
          <cell r="G1308">
            <v>6314535</v>
          </cell>
          <cell r="H1308">
            <v>6314535</v>
          </cell>
          <cell r="I1308" t="str">
            <v>493</v>
          </cell>
        </row>
        <row r="1309">
          <cell r="A1309" t="str">
            <v>ARS</v>
          </cell>
          <cell r="B1309" t="str">
            <v>493007261</v>
          </cell>
          <cell r="C1309" t="str">
            <v>JARAMAGO S.A.</v>
          </cell>
          <cell r="G1309">
            <v>4004360</v>
          </cell>
          <cell r="H1309">
            <v>4004360</v>
          </cell>
          <cell r="I1309" t="str">
            <v>493</v>
          </cell>
        </row>
        <row r="1310">
          <cell r="A1310" t="str">
            <v>ARS</v>
          </cell>
          <cell r="B1310" t="str">
            <v>493007263</v>
          </cell>
          <cell r="C1310" t="str">
            <v>BOTT, Mariela Beatriz</v>
          </cell>
          <cell r="G1310">
            <v>5633035.6200000001</v>
          </cell>
          <cell r="H1310">
            <v>5633035.6200000001</v>
          </cell>
          <cell r="I1310" t="str">
            <v>493</v>
          </cell>
        </row>
        <row r="1311">
          <cell r="A1311" t="str">
            <v>ARS</v>
          </cell>
          <cell r="B1311" t="str">
            <v>493007273</v>
          </cell>
          <cell r="C1311" t="str">
            <v>BERTINI, NANCI ROSALIA</v>
          </cell>
          <cell r="G1311">
            <v>4427460.9000000004</v>
          </cell>
          <cell r="H1311">
            <v>4427460.9000000004</v>
          </cell>
          <cell r="I1311" t="str">
            <v>493</v>
          </cell>
        </row>
        <row r="1312">
          <cell r="A1312" t="str">
            <v>ARS</v>
          </cell>
          <cell r="B1312" t="str">
            <v>493007321</v>
          </cell>
          <cell r="C1312" t="str">
            <v>GADEA, GUILLERMO RAUL</v>
          </cell>
          <cell r="G1312">
            <v>15548000</v>
          </cell>
          <cell r="H1312">
            <v>15548000</v>
          </cell>
          <cell r="I1312" t="str">
            <v>493</v>
          </cell>
        </row>
        <row r="1313">
          <cell r="A1313" t="str">
            <v>ARS</v>
          </cell>
          <cell r="B1313" t="str">
            <v>493007322</v>
          </cell>
          <cell r="C1313" t="str">
            <v>CAREY MARIA MONICA</v>
          </cell>
          <cell r="G1313">
            <v>2248230.2000000002</v>
          </cell>
          <cell r="H1313">
            <v>2248230.2000000002</v>
          </cell>
          <cell r="I1313" t="str">
            <v>493</v>
          </cell>
        </row>
        <row r="1314">
          <cell r="A1314" t="str">
            <v>ARS</v>
          </cell>
          <cell r="B1314" t="str">
            <v>493007327</v>
          </cell>
          <cell r="C1314" t="str">
            <v xml:space="preserve">CHIESA ANA ELISA </v>
          </cell>
          <cell r="G1314">
            <v>3756</v>
          </cell>
          <cell r="H1314">
            <v>3756</v>
          </cell>
          <cell r="I1314" t="str">
            <v>493</v>
          </cell>
        </row>
        <row r="1315">
          <cell r="A1315" t="str">
            <v>ARS</v>
          </cell>
          <cell r="B1315" t="str">
            <v>493007353</v>
          </cell>
          <cell r="C1315" t="str">
            <v>GLOBAL TURISMO S.R.L</v>
          </cell>
          <cell r="G1315">
            <v>39112.5</v>
          </cell>
          <cell r="H1315">
            <v>39112.5</v>
          </cell>
          <cell r="I1315" t="str">
            <v>493</v>
          </cell>
        </row>
        <row r="1316">
          <cell r="A1316" t="str">
            <v>ARS</v>
          </cell>
          <cell r="B1316" t="str">
            <v>493007356</v>
          </cell>
          <cell r="C1316" t="str">
            <v>[C.E.R.A.] BOTT Mariela Beatriz</v>
          </cell>
          <cell r="G1316">
            <v>7807.5</v>
          </cell>
          <cell r="H1316">
            <v>7807.5</v>
          </cell>
          <cell r="I1316" t="str">
            <v>493</v>
          </cell>
        </row>
        <row r="1317">
          <cell r="A1317" t="str">
            <v>ARS</v>
          </cell>
          <cell r="B1317" t="str">
            <v>493007358</v>
          </cell>
          <cell r="C1317" t="str">
            <v>AQUILANTI RAMIRO</v>
          </cell>
          <cell r="G1317">
            <v>19743685</v>
          </cell>
          <cell r="H1317">
            <v>19743685</v>
          </cell>
          <cell r="I1317" t="str">
            <v>493</v>
          </cell>
        </row>
        <row r="1318">
          <cell r="A1318" t="str">
            <v>ARS</v>
          </cell>
          <cell r="B1318" t="str">
            <v>493007359</v>
          </cell>
          <cell r="C1318" t="str">
            <v>[C.E.R.A.] CANSINO CINTIA INES</v>
          </cell>
          <cell r="G1318">
            <v>193694.1</v>
          </cell>
          <cell r="H1318">
            <v>193694.1</v>
          </cell>
          <cell r="I1318" t="str">
            <v>493</v>
          </cell>
        </row>
        <row r="1319">
          <cell r="A1319" t="str">
            <v>ARS</v>
          </cell>
          <cell r="B1319" t="str">
            <v>493007362</v>
          </cell>
          <cell r="C1319" t="str">
            <v>SIRYI GUSTAVO ALEJANDRO</v>
          </cell>
          <cell r="G1319">
            <v>2574.3000000000002</v>
          </cell>
          <cell r="H1319">
            <v>2574.3000000000002</v>
          </cell>
          <cell r="I1319" t="str">
            <v>493</v>
          </cell>
        </row>
        <row r="1320">
          <cell r="A1320" t="str">
            <v>ARS</v>
          </cell>
          <cell r="B1320" t="str">
            <v>493007364</v>
          </cell>
          <cell r="C1320" t="str">
            <v>MANAR S.A</v>
          </cell>
          <cell r="G1320">
            <v>457976479</v>
          </cell>
          <cell r="H1320">
            <v>457976479</v>
          </cell>
          <cell r="I1320" t="str">
            <v>493</v>
          </cell>
        </row>
        <row r="1321">
          <cell r="A1321" t="str">
            <v>ARS</v>
          </cell>
          <cell r="B1321" t="str">
            <v>493007368</v>
          </cell>
          <cell r="C1321" t="str">
            <v>SEGOVIA MARIA DE LOS ANGELES</v>
          </cell>
          <cell r="G1321">
            <v>55180560</v>
          </cell>
          <cell r="H1321">
            <v>55180560</v>
          </cell>
          <cell r="I1321" t="str">
            <v>493</v>
          </cell>
        </row>
        <row r="1322">
          <cell r="A1322" t="str">
            <v>ARS</v>
          </cell>
          <cell r="B1322" t="str">
            <v>493007370</v>
          </cell>
          <cell r="C1322" t="str">
            <v>DI MARCO GUIDO</v>
          </cell>
          <cell r="G1322">
            <v>173100561.61000001</v>
          </cell>
          <cell r="H1322">
            <v>173100561.61000001</v>
          </cell>
          <cell r="I1322" t="str">
            <v>493</v>
          </cell>
        </row>
        <row r="1323">
          <cell r="A1323" t="str">
            <v>ARS</v>
          </cell>
          <cell r="B1323" t="str">
            <v>493007371</v>
          </cell>
          <cell r="C1323" t="str">
            <v>SERVICIOS DE TRANSMISION DE DATOS TRANSDATOS SA</v>
          </cell>
          <cell r="G1323">
            <v>54756097.630000003</v>
          </cell>
          <cell r="H1323">
            <v>54756097.630000003</v>
          </cell>
          <cell r="I1323" t="str">
            <v>493</v>
          </cell>
        </row>
        <row r="1324">
          <cell r="A1324" t="str">
            <v>ARS</v>
          </cell>
          <cell r="B1324" t="str">
            <v>493007374</v>
          </cell>
          <cell r="C1324" t="str">
            <v>ASOCIACION CIVIL CIRCUITO VERDE</v>
          </cell>
          <cell r="G1324">
            <v>1172995.2</v>
          </cell>
          <cell r="H1324">
            <v>1172995.2</v>
          </cell>
          <cell r="I1324" t="str">
            <v>493</v>
          </cell>
        </row>
        <row r="1325">
          <cell r="A1325" t="str">
            <v>ARS</v>
          </cell>
          <cell r="B1325" t="str">
            <v>493007379</v>
          </cell>
          <cell r="C1325" t="str">
            <v>INFANTE MARIA DE LAS MERCEDES</v>
          </cell>
          <cell r="G1325">
            <v>5950580.9699999997</v>
          </cell>
          <cell r="H1325">
            <v>5950580.9699999997</v>
          </cell>
          <cell r="I1325" t="str">
            <v>493</v>
          </cell>
        </row>
        <row r="1326">
          <cell r="A1326" t="str">
            <v>ARS</v>
          </cell>
          <cell r="B1326" t="str">
            <v>493007380</v>
          </cell>
          <cell r="C1326" t="str">
            <v>BRAUCHLI MAXIMILIANO ARIEL</v>
          </cell>
          <cell r="G1326">
            <v>1359855</v>
          </cell>
          <cell r="H1326">
            <v>1359855</v>
          </cell>
          <cell r="I1326" t="str">
            <v>493</v>
          </cell>
        </row>
        <row r="1327">
          <cell r="A1327" t="str">
            <v>ARS</v>
          </cell>
          <cell r="B1327" t="str">
            <v>493007388</v>
          </cell>
          <cell r="C1327" t="str">
            <v>GARETTO SUSANA NORMA</v>
          </cell>
          <cell r="G1327">
            <v>15689214.699999999</v>
          </cell>
          <cell r="H1327">
            <v>15689214.699999999</v>
          </cell>
          <cell r="I1327" t="str">
            <v>493</v>
          </cell>
        </row>
        <row r="1328">
          <cell r="A1328" t="str">
            <v>ARS</v>
          </cell>
          <cell r="B1328" t="str">
            <v>493007392</v>
          </cell>
          <cell r="C1328" t="str">
            <v>REUIL RODRIGO MATIAS</v>
          </cell>
          <cell r="G1328">
            <v>3001003</v>
          </cell>
          <cell r="H1328">
            <v>3001003</v>
          </cell>
          <cell r="I1328" t="str">
            <v>493</v>
          </cell>
        </row>
        <row r="1329">
          <cell r="A1329" t="str">
            <v>ARS</v>
          </cell>
          <cell r="B1329" t="str">
            <v>493007393</v>
          </cell>
          <cell r="C1329" t="str">
            <v>ORTIZ ANTONIO FRANCISCO</v>
          </cell>
          <cell r="G1329">
            <v>129378.5</v>
          </cell>
          <cell r="H1329">
            <v>129378.5</v>
          </cell>
          <cell r="I1329" t="str">
            <v>493</v>
          </cell>
        </row>
        <row r="1330">
          <cell r="A1330" t="str">
            <v>ARS</v>
          </cell>
          <cell r="B1330" t="str">
            <v>493007399</v>
          </cell>
          <cell r="C1330" t="str">
            <v>MURATURE REGGIARDO LUCIO SANTIAGO</v>
          </cell>
          <cell r="G1330">
            <v>4913032.5999999996</v>
          </cell>
          <cell r="H1330">
            <v>4913032.5999999996</v>
          </cell>
          <cell r="I1330" t="str">
            <v>493</v>
          </cell>
        </row>
        <row r="1331">
          <cell r="A1331" t="str">
            <v>ARS</v>
          </cell>
          <cell r="B1331" t="str">
            <v>493007403</v>
          </cell>
          <cell r="C1331" t="str">
            <v>AMSLER MARIA FERNANDA</v>
          </cell>
          <cell r="G1331">
            <v>27825498.920000002</v>
          </cell>
          <cell r="H1331">
            <v>27825498.920000002</v>
          </cell>
          <cell r="I1331" t="str">
            <v>493</v>
          </cell>
        </row>
        <row r="1332">
          <cell r="A1332" t="str">
            <v>ARS</v>
          </cell>
          <cell r="B1332" t="str">
            <v>493007406</v>
          </cell>
          <cell r="C1332" t="str">
            <v>BERIZZO OSCAR CLAUDIO</v>
          </cell>
          <cell r="G1332">
            <v>32935518</v>
          </cell>
          <cell r="H1332">
            <v>32935518</v>
          </cell>
          <cell r="I1332" t="str">
            <v>493</v>
          </cell>
        </row>
        <row r="1333">
          <cell r="A1333" t="str">
            <v>ARS</v>
          </cell>
          <cell r="B1333" t="str">
            <v>493007409</v>
          </cell>
          <cell r="C1333" t="str">
            <v>MALIZIA NERINA</v>
          </cell>
          <cell r="G1333">
            <v>1482965</v>
          </cell>
          <cell r="H1333">
            <v>1482965</v>
          </cell>
          <cell r="I1333" t="str">
            <v>493</v>
          </cell>
        </row>
        <row r="1334">
          <cell r="A1334" t="str">
            <v>ARS</v>
          </cell>
          <cell r="B1334" t="str">
            <v>493007411</v>
          </cell>
          <cell r="C1334" t="str">
            <v>CUMINETTI JUAN CARLOS</v>
          </cell>
          <cell r="G1334">
            <v>226616</v>
          </cell>
          <cell r="H1334">
            <v>226616</v>
          </cell>
          <cell r="I1334" t="str">
            <v>493</v>
          </cell>
        </row>
        <row r="1335">
          <cell r="A1335" t="str">
            <v>ARS</v>
          </cell>
          <cell r="B1335" t="str">
            <v>493007412</v>
          </cell>
          <cell r="C1335" t="str">
            <v>CRECIENTE ANALIA LAURA</v>
          </cell>
          <cell r="G1335">
            <v>227000</v>
          </cell>
          <cell r="H1335">
            <v>227000</v>
          </cell>
          <cell r="I1335" t="str">
            <v>493</v>
          </cell>
        </row>
        <row r="1336">
          <cell r="A1336" t="str">
            <v>ARS</v>
          </cell>
          <cell r="B1336" t="str">
            <v>493007415</v>
          </cell>
          <cell r="C1336" t="str">
            <v>MILANO MARTIN MIGUEL</v>
          </cell>
          <cell r="G1336">
            <v>779450</v>
          </cell>
          <cell r="H1336">
            <v>779450</v>
          </cell>
          <cell r="I1336" t="str">
            <v>493</v>
          </cell>
        </row>
        <row r="1337">
          <cell r="A1337" t="str">
            <v>ARS</v>
          </cell>
          <cell r="B1337" t="str">
            <v>493010010</v>
          </cell>
          <cell r="C1337" t="str">
            <v>ARIAS Jorge Roberto</v>
          </cell>
          <cell r="G1337">
            <v>180739.3</v>
          </cell>
          <cell r="H1337">
            <v>180739.3</v>
          </cell>
          <cell r="I1337" t="str">
            <v>493</v>
          </cell>
        </row>
        <row r="1338">
          <cell r="A1338" t="str">
            <v>ARS</v>
          </cell>
          <cell r="B1338" t="str">
            <v>493010031</v>
          </cell>
          <cell r="C1338" t="str">
            <v>ARIAS Rodrigo German</v>
          </cell>
          <cell r="G1338">
            <v>8463.7999999999993</v>
          </cell>
          <cell r="H1338">
            <v>8463.7999999999993</v>
          </cell>
          <cell r="I1338" t="str">
            <v>493</v>
          </cell>
        </row>
        <row r="1339">
          <cell r="A1339" t="str">
            <v>ARS</v>
          </cell>
          <cell r="B1339" t="str">
            <v>493010053</v>
          </cell>
          <cell r="C1339" t="str">
            <v>MUÑOZ, Vicente Rodolfo</v>
          </cell>
          <cell r="G1339">
            <v>73125</v>
          </cell>
          <cell r="H1339">
            <v>73125</v>
          </cell>
          <cell r="I1339" t="str">
            <v>493</v>
          </cell>
        </row>
        <row r="1340">
          <cell r="A1340" t="str">
            <v>ARS</v>
          </cell>
          <cell r="B1340" t="str">
            <v>493010072</v>
          </cell>
          <cell r="C1340" t="str">
            <v>FIPENCO SA</v>
          </cell>
          <cell r="G1340">
            <v>4998</v>
          </cell>
          <cell r="H1340">
            <v>4998</v>
          </cell>
          <cell r="I1340" t="str">
            <v>493</v>
          </cell>
        </row>
        <row r="1341">
          <cell r="A1341" t="str">
            <v>ARS</v>
          </cell>
          <cell r="B1341" t="str">
            <v>493010075</v>
          </cell>
          <cell r="C1341" t="str">
            <v>SANJURJO EDUARDO DANIEL</v>
          </cell>
          <cell r="G1341">
            <v>91759725.5</v>
          </cell>
          <cell r="H1341">
            <v>91759725.5</v>
          </cell>
          <cell r="I1341" t="str">
            <v>493</v>
          </cell>
        </row>
        <row r="1342">
          <cell r="A1342" t="str">
            <v>ARS</v>
          </cell>
          <cell r="B1342" t="str">
            <v>534000010</v>
          </cell>
          <cell r="C1342" t="str">
            <v>MULTIPLO BURSATIL S.A.</v>
          </cell>
          <cell r="G1342">
            <v>1345696621.0899999</v>
          </cell>
          <cell r="H1342">
            <v>1345696621.0899999</v>
          </cell>
          <cell r="I1342" t="str">
            <v>534</v>
          </cell>
        </row>
        <row r="1343">
          <cell r="A1343" t="str">
            <v>ARS</v>
          </cell>
          <cell r="B1343" t="str">
            <v>534000011</v>
          </cell>
          <cell r="C1343" t="str">
            <v>Ricardo Romero Mengual &amp; Gabriela Cerrato</v>
          </cell>
          <cell r="G1343">
            <v>9989042.0999999996</v>
          </cell>
          <cell r="H1343">
            <v>9989042.0999999996</v>
          </cell>
          <cell r="I1343" t="str">
            <v>534</v>
          </cell>
        </row>
        <row r="1344">
          <cell r="A1344" t="str">
            <v>ARS</v>
          </cell>
          <cell r="B1344" t="str">
            <v>534000012</v>
          </cell>
          <cell r="C1344" t="str">
            <v>Klixar S.R.L.</v>
          </cell>
          <cell r="G1344">
            <v>4000407539</v>
          </cell>
          <cell r="H1344">
            <v>4000407539</v>
          </cell>
          <cell r="I1344" t="str">
            <v>534</v>
          </cell>
        </row>
        <row r="1345">
          <cell r="A1345" t="str">
            <v>ARS</v>
          </cell>
          <cell r="B1345" t="str">
            <v>534000013</v>
          </cell>
          <cell r="C1345" t="str">
            <v>Francisco Gaubeca &amp; Marta Fernández &amp; Enrique Gaubeca</v>
          </cell>
          <cell r="G1345">
            <v>298291394.89999998</v>
          </cell>
          <cell r="H1345">
            <v>298291394.89999998</v>
          </cell>
          <cell r="I1345" t="str">
            <v>534</v>
          </cell>
        </row>
        <row r="1346">
          <cell r="A1346" t="str">
            <v>ARS</v>
          </cell>
          <cell r="B1346" t="str">
            <v>534000016</v>
          </cell>
          <cell r="C1346" t="str">
            <v>Gonzalo Lires</v>
          </cell>
          <cell r="G1346">
            <v>4312901</v>
          </cell>
          <cell r="H1346">
            <v>4312901</v>
          </cell>
          <cell r="I1346" t="str">
            <v>534</v>
          </cell>
        </row>
        <row r="1347">
          <cell r="A1347" t="str">
            <v>ARS</v>
          </cell>
          <cell r="B1347" t="str">
            <v>534000017</v>
          </cell>
          <cell r="C1347" t="str">
            <v>Ricardo Romero Mundani &amp; Graciela Mengual</v>
          </cell>
          <cell r="G1347">
            <v>336472547</v>
          </cell>
          <cell r="H1347">
            <v>336472547</v>
          </cell>
          <cell r="I1347" t="str">
            <v>534</v>
          </cell>
        </row>
        <row r="1348">
          <cell r="A1348" t="str">
            <v>ARS</v>
          </cell>
          <cell r="B1348" t="str">
            <v>534000018</v>
          </cell>
          <cell r="C1348" t="str">
            <v>Schneider, Guillermo Omar, Garcia Fraguas, Monica Paola &amp; otros</v>
          </cell>
          <cell r="G1348">
            <v>13953</v>
          </cell>
          <cell r="H1348">
            <v>13953</v>
          </cell>
          <cell r="I1348" t="str">
            <v>534</v>
          </cell>
        </row>
        <row r="1349">
          <cell r="A1349" t="str">
            <v>ARS</v>
          </cell>
          <cell r="B1349" t="str">
            <v>534000022</v>
          </cell>
          <cell r="C1349" t="str">
            <v>Lesko SACIFIA</v>
          </cell>
          <cell r="G1349">
            <v>523172713.79000002</v>
          </cell>
          <cell r="H1349">
            <v>523172713.79000002</v>
          </cell>
          <cell r="I1349" t="str">
            <v>534</v>
          </cell>
        </row>
        <row r="1350">
          <cell r="A1350" t="str">
            <v>ARS</v>
          </cell>
          <cell r="B1350" t="str">
            <v>534000027</v>
          </cell>
          <cell r="C1350" t="str">
            <v xml:space="preserve">Martinez Leandro </v>
          </cell>
          <cell r="G1350">
            <v>896934</v>
          </cell>
          <cell r="H1350">
            <v>896934</v>
          </cell>
          <cell r="I1350" t="str">
            <v>534</v>
          </cell>
        </row>
        <row r="1351">
          <cell r="A1351" t="str">
            <v>ARS</v>
          </cell>
          <cell r="B1351" t="str">
            <v>534000028</v>
          </cell>
          <cell r="C1351" t="str">
            <v>Romero Oneto, Alejandro &amp; Obarrio Victoria</v>
          </cell>
          <cell r="G1351">
            <v>555230000</v>
          </cell>
          <cell r="H1351">
            <v>555230000</v>
          </cell>
          <cell r="I1351" t="str">
            <v>534</v>
          </cell>
        </row>
        <row r="1352">
          <cell r="A1352" t="str">
            <v>ARS</v>
          </cell>
          <cell r="B1352" t="str">
            <v>534000030</v>
          </cell>
          <cell r="C1352" t="str">
            <v>Speck Katherine &amp; Traverso Martin</v>
          </cell>
          <cell r="G1352">
            <v>12248709</v>
          </cell>
          <cell r="H1352">
            <v>12248709</v>
          </cell>
          <cell r="I1352" t="str">
            <v>534</v>
          </cell>
        </row>
        <row r="1353">
          <cell r="A1353" t="str">
            <v>ARS</v>
          </cell>
          <cell r="B1353" t="str">
            <v>534000041</v>
          </cell>
          <cell r="C1353" t="str">
            <v>Cerrato Héctor &amp; Cerrato, Gabriela</v>
          </cell>
          <cell r="G1353">
            <v>554887713</v>
          </cell>
          <cell r="H1353">
            <v>554887713</v>
          </cell>
          <cell r="I1353" t="str">
            <v>534</v>
          </cell>
        </row>
        <row r="1354">
          <cell r="A1354" t="str">
            <v>ARS</v>
          </cell>
          <cell r="B1354" t="str">
            <v>534000044</v>
          </cell>
          <cell r="C1354" t="str">
            <v>Bianchetti, Elsa Olga &amp; Garcia Fraguas, Mónica</v>
          </cell>
          <cell r="G1354">
            <v>63082300</v>
          </cell>
          <cell r="H1354">
            <v>63082300</v>
          </cell>
          <cell r="I1354" t="str">
            <v>534</v>
          </cell>
        </row>
        <row r="1355">
          <cell r="A1355" t="str">
            <v>ARS</v>
          </cell>
          <cell r="B1355" t="str">
            <v>534000045</v>
          </cell>
          <cell r="C1355" t="str">
            <v>Edron S.A.</v>
          </cell>
          <cell r="G1355">
            <v>1525154</v>
          </cell>
          <cell r="H1355">
            <v>1525154</v>
          </cell>
          <cell r="I1355" t="str">
            <v>534</v>
          </cell>
        </row>
        <row r="1356">
          <cell r="A1356" t="str">
            <v>ARS</v>
          </cell>
          <cell r="B1356" t="str">
            <v>534000047</v>
          </cell>
          <cell r="C1356" t="str">
            <v>Payva Enrique &amp; Sanchez Rapela &amp; otros</v>
          </cell>
          <cell r="G1356">
            <v>7544677</v>
          </cell>
          <cell r="H1356">
            <v>7544677</v>
          </cell>
          <cell r="I1356" t="str">
            <v>534</v>
          </cell>
        </row>
        <row r="1357">
          <cell r="A1357" t="str">
            <v>ARS</v>
          </cell>
          <cell r="B1357" t="str">
            <v>534000048</v>
          </cell>
          <cell r="C1357" t="str">
            <v>Herrneder Ma. Laura &amp; Repetto Isabel</v>
          </cell>
          <cell r="G1357">
            <v>1066233</v>
          </cell>
          <cell r="H1357">
            <v>1066233</v>
          </cell>
          <cell r="I1357" t="str">
            <v>534</v>
          </cell>
        </row>
        <row r="1358">
          <cell r="A1358" t="str">
            <v>ARS</v>
          </cell>
          <cell r="B1358" t="str">
            <v>534000052</v>
          </cell>
          <cell r="C1358" t="str">
            <v>Matranca, Enriqueta &amp; Busnelli, Esteban</v>
          </cell>
          <cell r="G1358">
            <v>1692901</v>
          </cell>
          <cell r="H1358">
            <v>1692901</v>
          </cell>
          <cell r="I1358" t="str">
            <v>534</v>
          </cell>
        </row>
        <row r="1359">
          <cell r="A1359" t="str">
            <v>ARS</v>
          </cell>
          <cell r="B1359" t="str">
            <v>534000064</v>
          </cell>
          <cell r="C1359" t="str">
            <v>CH4 Insumos y Servicios S.A.</v>
          </cell>
          <cell r="G1359">
            <v>97997753</v>
          </cell>
          <cell r="H1359">
            <v>97997753</v>
          </cell>
          <cell r="I1359" t="str">
            <v>534</v>
          </cell>
        </row>
        <row r="1360">
          <cell r="A1360" t="str">
            <v>ARS</v>
          </cell>
          <cell r="B1360" t="str">
            <v>534000068</v>
          </cell>
          <cell r="C1360" t="str">
            <v>Frutos del Norte S.A.</v>
          </cell>
          <cell r="G1360">
            <v>1704628</v>
          </cell>
          <cell r="H1360">
            <v>1704628</v>
          </cell>
          <cell r="I1360" t="str">
            <v>534</v>
          </cell>
        </row>
        <row r="1361">
          <cell r="A1361" t="str">
            <v>ARS</v>
          </cell>
          <cell r="B1361" t="str">
            <v>534000070</v>
          </cell>
          <cell r="C1361" t="str">
            <v>Romero Oneto Eduardo &amp; Baumgart Elena</v>
          </cell>
          <cell r="G1361">
            <v>998629065</v>
          </cell>
          <cell r="H1361">
            <v>998629065</v>
          </cell>
          <cell r="I1361" t="str">
            <v>534</v>
          </cell>
        </row>
        <row r="1362">
          <cell r="A1362" t="str">
            <v>ARS</v>
          </cell>
          <cell r="B1362" t="str">
            <v>534000073</v>
          </cell>
          <cell r="C1362" t="str">
            <v>Ramirez Eduardo &amp; Hernandez Marcela</v>
          </cell>
          <cell r="G1362">
            <v>8421221</v>
          </cell>
          <cell r="H1362">
            <v>8421221</v>
          </cell>
          <cell r="I1362" t="str">
            <v>534</v>
          </cell>
        </row>
        <row r="1363">
          <cell r="A1363" t="str">
            <v>ARS</v>
          </cell>
          <cell r="B1363" t="str">
            <v>534000075</v>
          </cell>
          <cell r="C1363" t="str">
            <v>Cogo Luis Alberto, Cogo Orellana Florencia &amp; Cogo Orellana Luciano</v>
          </cell>
          <cell r="G1363">
            <v>739248</v>
          </cell>
          <cell r="H1363">
            <v>739248</v>
          </cell>
          <cell r="I1363" t="str">
            <v>534</v>
          </cell>
        </row>
        <row r="1364">
          <cell r="A1364" t="str">
            <v>ARS</v>
          </cell>
          <cell r="B1364" t="str">
            <v>534000076</v>
          </cell>
          <cell r="C1364" t="str">
            <v>Gaubeca Molina Ma. Eugenia &amp; Gaubeca Molina Ma. Fernanda</v>
          </cell>
          <cell r="G1364">
            <v>3066734</v>
          </cell>
          <cell r="H1364">
            <v>3066734</v>
          </cell>
          <cell r="I1364" t="str">
            <v>534</v>
          </cell>
        </row>
        <row r="1365">
          <cell r="A1365" t="str">
            <v>ARS</v>
          </cell>
          <cell r="B1365" t="str">
            <v>534000077</v>
          </cell>
          <cell r="C1365" t="str">
            <v>Gaubeca Klix, Verónica</v>
          </cell>
          <cell r="G1365">
            <v>2739848</v>
          </cell>
          <cell r="H1365">
            <v>2739848</v>
          </cell>
          <cell r="I1365" t="str">
            <v>534</v>
          </cell>
        </row>
        <row r="1366">
          <cell r="A1366" t="str">
            <v>ARS</v>
          </cell>
          <cell r="B1366" t="str">
            <v>534000080</v>
          </cell>
          <cell r="C1366" t="str">
            <v>Ibarra, Eliseo Agustín</v>
          </cell>
          <cell r="G1366">
            <v>1985670</v>
          </cell>
          <cell r="H1366">
            <v>1985670</v>
          </cell>
          <cell r="I1366" t="str">
            <v>534</v>
          </cell>
        </row>
        <row r="1367">
          <cell r="A1367" t="str">
            <v>ARS</v>
          </cell>
          <cell r="B1367" t="str">
            <v>534000082</v>
          </cell>
          <cell r="C1367" t="str">
            <v>Aguiló Ivanna &amp; D'Apice Diego</v>
          </cell>
          <cell r="G1367">
            <v>175004861</v>
          </cell>
          <cell r="H1367">
            <v>175004861</v>
          </cell>
          <cell r="I1367" t="str">
            <v>534</v>
          </cell>
        </row>
        <row r="1368">
          <cell r="A1368" t="str">
            <v>ARS</v>
          </cell>
          <cell r="B1368" t="str">
            <v>534000089</v>
          </cell>
          <cell r="C1368" t="str">
            <v>Sardi, Graciela María Isabel</v>
          </cell>
          <cell r="G1368">
            <v>54294043</v>
          </cell>
          <cell r="H1368">
            <v>54294043</v>
          </cell>
          <cell r="I1368" t="str">
            <v>534</v>
          </cell>
        </row>
        <row r="1369">
          <cell r="A1369" t="str">
            <v>ARS</v>
          </cell>
          <cell r="B1369" t="str">
            <v>534000091</v>
          </cell>
          <cell r="C1369" t="str">
            <v>Monorreno SRL</v>
          </cell>
          <cell r="G1369">
            <v>44994755</v>
          </cell>
          <cell r="H1369">
            <v>44994755</v>
          </cell>
          <cell r="I1369" t="str">
            <v>534</v>
          </cell>
        </row>
        <row r="1370">
          <cell r="A1370" t="str">
            <v>ARS</v>
          </cell>
          <cell r="B1370" t="str">
            <v>534000094</v>
          </cell>
          <cell r="C1370" t="str">
            <v>Romero Oneto, Alejandro &amp; Obarrio Victoria</v>
          </cell>
          <cell r="G1370">
            <v>314543543.08999997</v>
          </cell>
          <cell r="H1370">
            <v>314543543.08999997</v>
          </cell>
          <cell r="I1370" t="str">
            <v>534</v>
          </cell>
        </row>
        <row r="1371">
          <cell r="A1371" t="str">
            <v>ARS</v>
          </cell>
          <cell r="B1371" t="str">
            <v>534000097</v>
          </cell>
          <cell r="C1371" t="str">
            <v>Losungen 2018 S.R.L.</v>
          </cell>
          <cell r="G1371">
            <v>117089000</v>
          </cell>
          <cell r="H1371">
            <v>117089000</v>
          </cell>
          <cell r="I1371" t="str">
            <v>534</v>
          </cell>
        </row>
        <row r="1372">
          <cell r="A1372" t="str">
            <v>ARS</v>
          </cell>
          <cell r="B1372" t="str">
            <v>534000106</v>
          </cell>
          <cell r="C1372" t="str">
            <v>Korn, Julián</v>
          </cell>
          <cell r="G1372">
            <v>2274754</v>
          </cell>
          <cell r="H1372">
            <v>2274754</v>
          </cell>
          <cell r="I1372" t="str">
            <v>534</v>
          </cell>
        </row>
        <row r="1373">
          <cell r="A1373" t="str">
            <v>ARS</v>
          </cell>
          <cell r="B1373" t="str">
            <v>534000107</v>
          </cell>
          <cell r="C1373" t="str">
            <v>Romero Mundani, Melisa &amp; Carluccio, Federico</v>
          </cell>
          <cell r="G1373">
            <v>38991142</v>
          </cell>
          <cell r="H1373">
            <v>38991142</v>
          </cell>
          <cell r="I1373" t="str">
            <v>534</v>
          </cell>
        </row>
        <row r="1374">
          <cell r="A1374" t="str">
            <v>ARS</v>
          </cell>
          <cell r="B1374" t="str">
            <v>534000109</v>
          </cell>
          <cell r="C1374" t="str">
            <v>LIC Latin América S.A.</v>
          </cell>
          <cell r="G1374">
            <v>774897474</v>
          </cell>
          <cell r="H1374">
            <v>774897474</v>
          </cell>
          <cell r="I1374" t="str">
            <v>534</v>
          </cell>
        </row>
        <row r="1375">
          <cell r="A1375" t="str">
            <v>ARS</v>
          </cell>
          <cell r="B1375" t="str">
            <v>534000111</v>
          </cell>
          <cell r="C1375" t="str">
            <v>Licastro Prado, Florencia &amp; Gaubeca Klix, Enrique</v>
          </cell>
          <cell r="G1375">
            <v>953952822</v>
          </cell>
          <cell r="H1375">
            <v>953952822</v>
          </cell>
          <cell r="I1375" t="str">
            <v>534</v>
          </cell>
        </row>
        <row r="1376">
          <cell r="A1376" t="str">
            <v>ARS</v>
          </cell>
          <cell r="B1376" t="str">
            <v>534000115</v>
          </cell>
          <cell r="C1376" t="str">
            <v>Dansa S.A.</v>
          </cell>
          <cell r="G1376">
            <v>1282680</v>
          </cell>
          <cell r="H1376">
            <v>1282680</v>
          </cell>
          <cell r="I1376" t="str">
            <v>534</v>
          </cell>
        </row>
        <row r="1377">
          <cell r="A1377" t="str">
            <v>ARS</v>
          </cell>
          <cell r="B1377" t="str">
            <v>534000116</v>
          </cell>
          <cell r="C1377" t="str">
            <v>Dinpe S.A.</v>
          </cell>
          <cell r="G1377">
            <v>14606264</v>
          </cell>
          <cell r="H1377">
            <v>14606264</v>
          </cell>
          <cell r="I1377" t="str">
            <v>534</v>
          </cell>
        </row>
        <row r="1378">
          <cell r="A1378" t="str">
            <v>ARS</v>
          </cell>
          <cell r="B1378" t="str">
            <v>534000123</v>
          </cell>
          <cell r="C1378" t="str">
            <v>Razuri, Victor Andrés</v>
          </cell>
          <cell r="G1378">
            <v>5538251</v>
          </cell>
          <cell r="H1378">
            <v>5538251</v>
          </cell>
          <cell r="I1378" t="str">
            <v>534</v>
          </cell>
        </row>
        <row r="1379">
          <cell r="A1379" t="str">
            <v>ARS</v>
          </cell>
          <cell r="B1379" t="str">
            <v>534000129</v>
          </cell>
          <cell r="C1379" t="str">
            <v>Ceballos, Mariana Luz</v>
          </cell>
          <cell r="G1379">
            <v>763350</v>
          </cell>
          <cell r="H1379">
            <v>763350</v>
          </cell>
          <cell r="I1379" t="str">
            <v>534</v>
          </cell>
        </row>
        <row r="1380">
          <cell r="A1380" t="str">
            <v>ARS</v>
          </cell>
          <cell r="B1380" t="str">
            <v>534000131</v>
          </cell>
          <cell r="C1380" t="str">
            <v>Castelnuovo, Leandro Fabian (II)</v>
          </cell>
          <cell r="G1380">
            <v>2615818</v>
          </cell>
          <cell r="H1380">
            <v>2615818</v>
          </cell>
          <cell r="I1380" t="str">
            <v>534</v>
          </cell>
        </row>
        <row r="1381">
          <cell r="A1381" t="str">
            <v>ARS</v>
          </cell>
          <cell r="B1381" t="str">
            <v>534000134</v>
          </cell>
          <cell r="C1381" t="str">
            <v>Martin, Nicolas &amp; Malaisi, Maria Belen</v>
          </cell>
          <cell r="G1381">
            <v>169872952</v>
          </cell>
          <cell r="H1381">
            <v>169872952</v>
          </cell>
          <cell r="I1381" t="str">
            <v>534</v>
          </cell>
        </row>
        <row r="1382">
          <cell r="A1382" t="str">
            <v>ARS</v>
          </cell>
          <cell r="B1382" t="str">
            <v>534000135</v>
          </cell>
          <cell r="C1382" t="str">
            <v>Hermida, Fernando &amp; Hermida, Fernando (h)</v>
          </cell>
          <cell r="G1382">
            <v>38821596</v>
          </cell>
          <cell r="H1382">
            <v>38821596</v>
          </cell>
          <cell r="I1382" t="str">
            <v>534</v>
          </cell>
        </row>
        <row r="1383">
          <cell r="A1383" t="str">
            <v>ARS</v>
          </cell>
          <cell r="B1383" t="str">
            <v>534000136</v>
          </cell>
          <cell r="C1383" t="str">
            <v>Dantur, Gladys Josefina &amp; Dantur, Marcelo E.</v>
          </cell>
          <cell r="G1383">
            <v>6148978</v>
          </cell>
          <cell r="H1383">
            <v>6148978</v>
          </cell>
          <cell r="I1383" t="str">
            <v>534</v>
          </cell>
        </row>
        <row r="1384">
          <cell r="A1384" t="str">
            <v>ARS</v>
          </cell>
          <cell r="B1384" t="str">
            <v>534000138</v>
          </cell>
          <cell r="C1384" t="str">
            <v>Grisolia, Enrique Fernando</v>
          </cell>
          <cell r="G1384">
            <v>82154188</v>
          </cell>
          <cell r="H1384">
            <v>82154188</v>
          </cell>
          <cell r="I1384" t="str">
            <v>534</v>
          </cell>
        </row>
        <row r="1385">
          <cell r="A1385" t="str">
            <v>ARS</v>
          </cell>
          <cell r="B1385" t="str">
            <v>534000139</v>
          </cell>
          <cell r="C1385" t="str">
            <v>Podestá, Oscar Sebastián &amp; Campos, María Cecilia</v>
          </cell>
          <cell r="G1385">
            <v>1461027</v>
          </cell>
          <cell r="H1385">
            <v>1461027</v>
          </cell>
          <cell r="I1385" t="str">
            <v>534</v>
          </cell>
        </row>
        <row r="1386">
          <cell r="A1386" t="str">
            <v>ARS</v>
          </cell>
          <cell r="B1386" t="str">
            <v>534000141</v>
          </cell>
          <cell r="C1386" t="str">
            <v>Fornasari, Daniel &amp; Dominguez, Nora &amp; Fornasari, Lucia</v>
          </cell>
          <cell r="G1386">
            <v>8829358</v>
          </cell>
          <cell r="H1386">
            <v>8829358</v>
          </cell>
          <cell r="I1386" t="str">
            <v>534</v>
          </cell>
        </row>
        <row r="1387">
          <cell r="A1387" t="str">
            <v>ARS</v>
          </cell>
          <cell r="B1387" t="str">
            <v>534000147</v>
          </cell>
          <cell r="C1387" t="str">
            <v>Speck, Raúl Alberto</v>
          </cell>
          <cell r="G1387">
            <v>3959002</v>
          </cell>
          <cell r="H1387">
            <v>3959002</v>
          </cell>
          <cell r="I1387" t="str">
            <v>534</v>
          </cell>
        </row>
        <row r="1388">
          <cell r="A1388" t="str">
            <v>ARS</v>
          </cell>
          <cell r="B1388" t="str">
            <v>534000153</v>
          </cell>
          <cell r="C1388" t="str">
            <v>Alumini Engenharia S.A. Lesko S.A.C.I.F.I.A. Unión Transitoria</v>
          </cell>
          <cell r="G1388">
            <v>5495933</v>
          </cell>
          <cell r="H1388">
            <v>5495933</v>
          </cell>
          <cell r="I1388" t="str">
            <v>534</v>
          </cell>
        </row>
        <row r="1389">
          <cell r="A1389" t="str">
            <v>ARS</v>
          </cell>
          <cell r="B1389" t="str">
            <v>534000154</v>
          </cell>
          <cell r="C1389" t="str">
            <v>Díaz, Matías Nicolás</v>
          </cell>
          <cell r="G1389">
            <v>81873904.5</v>
          </cell>
          <cell r="H1389">
            <v>81873904.5</v>
          </cell>
          <cell r="I1389" t="str">
            <v>534</v>
          </cell>
        </row>
        <row r="1390">
          <cell r="A1390" t="str">
            <v>ARS</v>
          </cell>
          <cell r="B1390" t="str">
            <v>534000158</v>
          </cell>
          <cell r="C1390" t="str">
            <v>Bernardini, Gonzalo Angel</v>
          </cell>
          <cell r="G1390">
            <v>1170234</v>
          </cell>
          <cell r="H1390">
            <v>1170234</v>
          </cell>
          <cell r="I1390" t="str">
            <v>534</v>
          </cell>
        </row>
        <row r="1391">
          <cell r="A1391" t="str">
            <v>ARS</v>
          </cell>
          <cell r="B1391" t="str">
            <v>534000162</v>
          </cell>
          <cell r="C1391" t="str">
            <v>Monaco Rolando &amp; Barolo María del Carmen</v>
          </cell>
          <cell r="G1391">
            <v>69753070</v>
          </cell>
          <cell r="H1391">
            <v>69753070</v>
          </cell>
          <cell r="I1391" t="str">
            <v>534</v>
          </cell>
        </row>
        <row r="1392">
          <cell r="A1392" t="str">
            <v>ARS</v>
          </cell>
          <cell r="B1392" t="str">
            <v>534000166</v>
          </cell>
          <cell r="C1392" t="str">
            <v>Marvezy, Gabriela Edith &amp; Loiacono, Martín Luis</v>
          </cell>
          <cell r="G1392">
            <v>4702720</v>
          </cell>
          <cell r="H1392">
            <v>4702720</v>
          </cell>
          <cell r="I1392" t="str">
            <v>534</v>
          </cell>
        </row>
        <row r="1393">
          <cell r="A1393" t="str">
            <v>ARS</v>
          </cell>
          <cell r="B1393" t="str">
            <v>534000167</v>
          </cell>
          <cell r="C1393" t="str">
            <v>Falcón Gustavo &amp; Falcón Raúl</v>
          </cell>
          <cell r="G1393">
            <v>1475342</v>
          </cell>
          <cell r="H1393">
            <v>1475342</v>
          </cell>
          <cell r="I1393" t="str">
            <v>534</v>
          </cell>
        </row>
        <row r="1394">
          <cell r="A1394" t="str">
            <v>ARS</v>
          </cell>
          <cell r="B1394" t="str">
            <v>534000170</v>
          </cell>
          <cell r="C1394" t="str">
            <v>Marini, María Victoria &amp; Dominguez, Juan Manuel</v>
          </cell>
          <cell r="G1394">
            <v>3243.2</v>
          </cell>
          <cell r="H1394">
            <v>3243.2</v>
          </cell>
          <cell r="I1394" t="str">
            <v>534</v>
          </cell>
        </row>
        <row r="1395">
          <cell r="A1395" t="str">
            <v>ARS</v>
          </cell>
          <cell r="B1395" t="str">
            <v>534000173</v>
          </cell>
          <cell r="C1395" t="str">
            <v>Fidegroup SA</v>
          </cell>
          <cell r="G1395">
            <v>5222618</v>
          </cell>
          <cell r="H1395">
            <v>5222618</v>
          </cell>
          <cell r="I1395" t="str">
            <v>534</v>
          </cell>
        </row>
        <row r="1396">
          <cell r="A1396" t="str">
            <v>ARS</v>
          </cell>
          <cell r="B1396" t="str">
            <v>534000174</v>
          </cell>
          <cell r="C1396" t="str">
            <v>Martínez, Fernando Nicolás &amp; Di Giacomo, María Gimena</v>
          </cell>
          <cell r="G1396">
            <v>56858214</v>
          </cell>
          <cell r="H1396">
            <v>56858214</v>
          </cell>
          <cell r="I1396" t="str">
            <v>534</v>
          </cell>
        </row>
        <row r="1397">
          <cell r="A1397" t="str">
            <v>ARS</v>
          </cell>
          <cell r="B1397" t="str">
            <v>534000176</v>
          </cell>
          <cell r="C1397" t="str">
            <v>Fornasari Esencias SRL</v>
          </cell>
          <cell r="G1397">
            <v>968704732</v>
          </cell>
          <cell r="H1397">
            <v>968704732</v>
          </cell>
          <cell r="I1397" t="str">
            <v>534</v>
          </cell>
        </row>
        <row r="1398">
          <cell r="A1398" t="str">
            <v>ARS</v>
          </cell>
          <cell r="B1398" t="str">
            <v>534000178</v>
          </cell>
          <cell r="C1398" t="str">
            <v>Potencialidades Asociación Civil</v>
          </cell>
          <cell r="G1398">
            <v>1903801</v>
          </cell>
          <cell r="H1398">
            <v>1903801</v>
          </cell>
          <cell r="I1398" t="str">
            <v>534</v>
          </cell>
        </row>
        <row r="1399">
          <cell r="A1399" t="str">
            <v>ARS</v>
          </cell>
          <cell r="B1399" t="str">
            <v>534000180</v>
          </cell>
          <cell r="C1399" t="str">
            <v>Lesko SACIFIA (II)</v>
          </cell>
          <cell r="G1399">
            <v>6550453000</v>
          </cell>
          <cell r="H1399">
            <v>6550453000</v>
          </cell>
          <cell r="I1399" t="str">
            <v>534</v>
          </cell>
        </row>
        <row r="1400">
          <cell r="A1400" t="str">
            <v>ARS</v>
          </cell>
          <cell r="B1400" t="str">
            <v>534000182</v>
          </cell>
          <cell r="C1400" t="str">
            <v>DUBAC URBANISMO S.A.</v>
          </cell>
          <cell r="G1400">
            <v>159900069.5</v>
          </cell>
          <cell r="H1400">
            <v>159900069.5</v>
          </cell>
          <cell r="I1400" t="str">
            <v>534</v>
          </cell>
        </row>
        <row r="1401">
          <cell r="A1401" t="str">
            <v>ARS</v>
          </cell>
          <cell r="B1401" t="str">
            <v>534000184</v>
          </cell>
          <cell r="C1401" t="str">
            <v>Agroindustrias Monaco SRL</v>
          </cell>
          <cell r="G1401">
            <v>90366563</v>
          </cell>
          <cell r="H1401">
            <v>90366563</v>
          </cell>
          <cell r="I1401" t="str">
            <v>534</v>
          </cell>
        </row>
        <row r="1402">
          <cell r="A1402" t="str">
            <v>ARS</v>
          </cell>
          <cell r="B1402" t="str">
            <v>534000185</v>
          </cell>
          <cell r="C1402" t="str">
            <v>Bastanchuri, Ignacio &amp; Carpineti, Ma. Elena &amp; Bastanchuri, Ma. Mercedes (II)</v>
          </cell>
          <cell r="G1402">
            <v>41044389.5</v>
          </cell>
          <cell r="H1402">
            <v>41044389.5</v>
          </cell>
          <cell r="I1402" t="str">
            <v>534</v>
          </cell>
        </row>
        <row r="1403">
          <cell r="A1403" t="str">
            <v>ARS</v>
          </cell>
          <cell r="B1403" t="str">
            <v>534000186</v>
          </cell>
          <cell r="C1403" t="str">
            <v>Sardi, Flavia María (II)</v>
          </cell>
          <cell r="G1403">
            <v>3297817</v>
          </cell>
          <cell r="H1403">
            <v>3297817</v>
          </cell>
          <cell r="I1403" t="str">
            <v>534</v>
          </cell>
        </row>
        <row r="1404">
          <cell r="A1404" t="str">
            <v>ARS</v>
          </cell>
          <cell r="B1404" t="str">
            <v>534000191</v>
          </cell>
          <cell r="C1404" t="str">
            <v xml:space="preserve">CRCC L. SUC ARG. -- LESKO SACIFIA -- INDUVIA SA </v>
          </cell>
          <cell r="G1404">
            <v>2048232386</v>
          </cell>
          <cell r="H1404">
            <v>2048232386</v>
          </cell>
          <cell r="I1404" t="str">
            <v>534</v>
          </cell>
        </row>
        <row r="1405">
          <cell r="A1405" t="str">
            <v>ARS</v>
          </cell>
          <cell r="B1405" t="str">
            <v>534000192</v>
          </cell>
          <cell r="C1405" t="str">
            <v>MEL CITY S.A.</v>
          </cell>
          <cell r="G1405">
            <v>233625000</v>
          </cell>
          <cell r="H1405">
            <v>233625000</v>
          </cell>
          <cell r="I1405" t="str">
            <v>534</v>
          </cell>
        </row>
        <row r="1406">
          <cell r="A1406" t="str">
            <v>ARS</v>
          </cell>
          <cell r="B1406" t="str">
            <v>534000194</v>
          </cell>
          <cell r="C1406" t="str">
            <v>Frutos del Norte S.A. (II)</v>
          </cell>
          <cell r="G1406">
            <v>775157000</v>
          </cell>
          <cell r="H1406">
            <v>775157000</v>
          </cell>
          <cell r="I1406" t="str">
            <v>534</v>
          </cell>
        </row>
        <row r="1407">
          <cell r="A1407" t="str">
            <v>ARS</v>
          </cell>
          <cell r="B1407" t="str">
            <v>534000195</v>
          </cell>
          <cell r="C1407" t="str">
            <v xml:space="preserve">Speck, Raúl Alberto (II) </v>
          </cell>
          <cell r="G1407">
            <v>480930</v>
          </cell>
          <cell r="H1407">
            <v>480930</v>
          </cell>
          <cell r="I1407" t="str">
            <v>534</v>
          </cell>
        </row>
        <row r="1408">
          <cell r="A1408" t="str">
            <v>ARS</v>
          </cell>
          <cell r="B1408" t="str">
            <v>534000196</v>
          </cell>
          <cell r="C1408" t="str">
            <v xml:space="preserve">MOLINO NSTRA SRA DE LUJAN SH (II) </v>
          </cell>
          <cell r="G1408">
            <v>972854</v>
          </cell>
          <cell r="H1408">
            <v>972854</v>
          </cell>
          <cell r="I1408" t="str">
            <v>534</v>
          </cell>
        </row>
        <row r="1409">
          <cell r="A1409" t="str">
            <v>ARS</v>
          </cell>
          <cell r="B1409" t="str">
            <v>534000199</v>
          </cell>
          <cell r="C1409" t="str">
            <v>MAOAR SRL</v>
          </cell>
          <cell r="G1409">
            <v>32366515.489999998</v>
          </cell>
          <cell r="H1409">
            <v>32366515.489999998</v>
          </cell>
          <cell r="I1409" t="str">
            <v>534</v>
          </cell>
        </row>
        <row r="1410">
          <cell r="A1410" t="str">
            <v>ARS</v>
          </cell>
          <cell r="B1410" t="str">
            <v>534000201</v>
          </cell>
          <cell r="C1410" t="str">
            <v>Pulenta Francisco &amp; Pulenta Daniela &amp; Pulenta María Julieta &amp; Pulenta Mariana &amp; Zyszkowicz Cristina</v>
          </cell>
          <cell r="G1410">
            <v>283620260.00999999</v>
          </cell>
          <cell r="H1410">
            <v>283620260.00999999</v>
          </cell>
          <cell r="I1410" t="str">
            <v>534</v>
          </cell>
        </row>
        <row r="1411">
          <cell r="A1411" t="str">
            <v>ARS</v>
          </cell>
          <cell r="B1411" t="str">
            <v>534000202</v>
          </cell>
          <cell r="C1411" t="str">
            <v>GROUP FAHEY SRL</v>
          </cell>
          <cell r="G1411">
            <v>3767007</v>
          </cell>
          <cell r="H1411">
            <v>3767007</v>
          </cell>
          <cell r="I1411" t="str">
            <v>534</v>
          </cell>
        </row>
        <row r="1412">
          <cell r="A1412" t="str">
            <v>ARS</v>
          </cell>
          <cell r="B1412" t="str">
            <v>534000204</v>
          </cell>
          <cell r="C1412" t="str">
            <v>Maggi, Ana Maria &amp; Caviglia, Fernando Cristian</v>
          </cell>
          <cell r="G1412">
            <v>2758845</v>
          </cell>
          <cell r="H1412">
            <v>2758845</v>
          </cell>
          <cell r="I1412" t="str">
            <v>534</v>
          </cell>
        </row>
        <row r="1413">
          <cell r="A1413" t="str">
            <v>ARS</v>
          </cell>
          <cell r="B1413" t="str">
            <v>534000206</v>
          </cell>
          <cell r="C1413" t="str">
            <v>Podesta, Maximiliano</v>
          </cell>
          <cell r="G1413">
            <v>102770167</v>
          </cell>
          <cell r="H1413">
            <v>102770167</v>
          </cell>
          <cell r="I1413" t="str">
            <v>534</v>
          </cell>
        </row>
        <row r="1414">
          <cell r="A1414" t="str">
            <v>ARS</v>
          </cell>
          <cell r="B1414" t="str">
            <v>534000207</v>
          </cell>
          <cell r="C1414" t="str">
            <v>Bertsos, Martin Alejandro</v>
          </cell>
          <cell r="G1414">
            <v>217649192</v>
          </cell>
          <cell r="H1414">
            <v>217649192</v>
          </cell>
          <cell r="I1414" t="str">
            <v>534</v>
          </cell>
        </row>
        <row r="1415">
          <cell r="A1415" t="str">
            <v>ARS</v>
          </cell>
          <cell r="B1415" t="str">
            <v>534000209</v>
          </cell>
          <cell r="C1415" t="str">
            <v>Campomane, María Cristina &amp; Percossi, María Luciana</v>
          </cell>
          <cell r="G1415">
            <v>97909637</v>
          </cell>
          <cell r="H1415">
            <v>97909637</v>
          </cell>
          <cell r="I1415" t="str">
            <v>534</v>
          </cell>
        </row>
        <row r="1416">
          <cell r="A1416" t="str">
            <v>ARS</v>
          </cell>
          <cell r="B1416" t="str">
            <v>534000210</v>
          </cell>
          <cell r="C1416" t="str">
            <v>Magri, José &amp; Prieto, Cecilia</v>
          </cell>
          <cell r="G1416">
            <v>12970955</v>
          </cell>
          <cell r="H1416">
            <v>12970955</v>
          </cell>
          <cell r="I1416" t="str">
            <v>534</v>
          </cell>
        </row>
        <row r="1417">
          <cell r="A1417" t="str">
            <v>ARS</v>
          </cell>
          <cell r="B1417" t="str">
            <v>534000211</v>
          </cell>
          <cell r="C1417" t="str">
            <v>Merlo, Juana &amp; Lopez, Adriana Maria</v>
          </cell>
          <cell r="G1417">
            <v>149489977</v>
          </cell>
          <cell r="H1417">
            <v>149489977</v>
          </cell>
          <cell r="I1417" t="str">
            <v>534</v>
          </cell>
        </row>
        <row r="1418">
          <cell r="A1418" t="str">
            <v>ARS</v>
          </cell>
          <cell r="B1418" t="str">
            <v>534000212</v>
          </cell>
          <cell r="C1418" t="str">
            <v>Merlo, Daniel Horacio &amp; Lopez, Adriana Maria</v>
          </cell>
          <cell r="G1418">
            <v>151590756</v>
          </cell>
          <cell r="H1418">
            <v>151590756</v>
          </cell>
          <cell r="I1418" t="str">
            <v>534</v>
          </cell>
        </row>
        <row r="1419">
          <cell r="A1419" t="str">
            <v>ARS</v>
          </cell>
          <cell r="B1419" t="str">
            <v>534000300</v>
          </cell>
          <cell r="C1419" t="str">
            <v>BCSA SD AXIS ESTRATEGIA 14</v>
          </cell>
          <cell r="G1419">
            <v>56345267100.519997</v>
          </cell>
          <cell r="H1419">
            <v>56345267100.519997</v>
          </cell>
          <cell r="I1419" t="str">
            <v>534</v>
          </cell>
        </row>
        <row r="1420">
          <cell r="A1420" t="str">
            <v>ARS</v>
          </cell>
          <cell r="B1420" t="str">
            <v>534000500</v>
          </cell>
          <cell r="C1420" t="str">
            <v>Molawczyk, Martin Alejandro &amp; Chevriau, Silvia Zulema</v>
          </cell>
          <cell r="G1420">
            <v>2663880</v>
          </cell>
          <cell r="H1420">
            <v>2663880</v>
          </cell>
          <cell r="I1420" t="str">
            <v>534</v>
          </cell>
        </row>
        <row r="1421">
          <cell r="A1421" t="str">
            <v>ARS</v>
          </cell>
          <cell r="B1421" t="str">
            <v>534000502</v>
          </cell>
          <cell r="C1421" t="str">
            <v>Laffont Oscar &amp; Perri Mariana</v>
          </cell>
          <cell r="G1421">
            <v>4385229</v>
          </cell>
          <cell r="H1421">
            <v>4385229</v>
          </cell>
          <cell r="I1421" t="str">
            <v>534</v>
          </cell>
        </row>
        <row r="1422">
          <cell r="A1422" t="str">
            <v>ARS</v>
          </cell>
          <cell r="B1422" t="str">
            <v>534000505</v>
          </cell>
          <cell r="C1422" t="str">
            <v>Patti Marcelo &amp; Zurita Silvia</v>
          </cell>
          <cell r="G1422">
            <v>453806540</v>
          </cell>
          <cell r="H1422">
            <v>453806540</v>
          </cell>
          <cell r="I1422" t="str">
            <v>534</v>
          </cell>
        </row>
        <row r="1423">
          <cell r="A1423" t="str">
            <v>ARS</v>
          </cell>
          <cell r="B1423" t="str">
            <v>534000508</v>
          </cell>
          <cell r="C1423" t="str">
            <v>Molawczyk, Enrique Eduardo &amp; Molawczyk, Martín</v>
          </cell>
          <cell r="G1423">
            <v>43522362</v>
          </cell>
          <cell r="H1423">
            <v>43522362</v>
          </cell>
          <cell r="I1423" t="str">
            <v>534</v>
          </cell>
        </row>
        <row r="1424">
          <cell r="A1424" t="str">
            <v>ARS</v>
          </cell>
          <cell r="B1424" t="str">
            <v>534000509</v>
          </cell>
          <cell r="C1424" t="str">
            <v>Varrenti, Debora Jimena &amp; Varrenti, Monica Fiorella</v>
          </cell>
          <cell r="G1424">
            <v>2277547</v>
          </cell>
          <cell r="H1424">
            <v>2277547</v>
          </cell>
          <cell r="I1424" t="str">
            <v>534</v>
          </cell>
        </row>
        <row r="1425">
          <cell r="A1425" t="str">
            <v>ARS</v>
          </cell>
          <cell r="B1425" t="str">
            <v>534000511</v>
          </cell>
          <cell r="C1425" t="str">
            <v>Alvarez, Marcelo Fabian &amp; Royau, Beatriz</v>
          </cell>
          <cell r="G1425">
            <v>1825602</v>
          </cell>
          <cell r="H1425">
            <v>1825602</v>
          </cell>
          <cell r="I1425" t="str">
            <v>534</v>
          </cell>
        </row>
        <row r="1426">
          <cell r="A1426" t="str">
            <v>ARS</v>
          </cell>
          <cell r="B1426" t="str">
            <v>534000605</v>
          </cell>
          <cell r="C1426" t="str">
            <v>Pulenta Francisco &amp; Pulenta Alfredo &amp; Pulenta Daniela</v>
          </cell>
          <cell r="G1426">
            <v>1694534</v>
          </cell>
          <cell r="H1426">
            <v>1694534</v>
          </cell>
          <cell r="I1426" t="str">
            <v>534</v>
          </cell>
        </row>
        <row r="1427">
          <cell r="A1427" t="str">
            <v>ARS</v>
          </cell>
          <cell r="B1427" t="str">
            <v>534000606</v>
          </cell>
          <cell r="C1427" t="str">
            <v>Pulenta Alfredo &amp; Pulenta Francisco &amp; Pulenta Daniela &amp; Zyszkowicz Cristina</v>
          </cell>
          <cell r="G1427">
            <v>1100819</v>
          </cell>
          <cell r="H1427">
            <v>1100819</v>
          </cell>
          <cell r="I1427" t="str">
            <v>534</v>
          </cell>
        </row>
        <row r="1428">
          <cell r="A1428" t="str">
            <v>ARS</v>
          </cell>
          <cell r="B1428" t="str">
            <v>534000650</v>
          </cell>
          <cell r="C1428" t="str">
            <v xml:space="preserve">Villalba Diaz, Julián Pedro </v>
          </cell>
          <cell r="G1428">
            <v>902613</v>
          </cell>
          <cell r="H1428">
            <v>902613</v>
          </cell>
          <cell r="I1428" t="str">
            <v>534</v>
          </cell>
        </row>
        <row r="1429">
          <cell r="A1429" t="str">
            <v>ARS</v>
          </cell>
          <cell r="B1429" t="str">
            <v>534000651</v>
          </cell>
          <cell r="C1429" t="str">
            <v>FARMACIA MARIA LAURA CURRO SCS</v>
          </cell>
          <cell r="G1429">
            <v>11843846</v>
          </cell>
          <cell r="H1429">
            <v>11843846</v>
          </cell>
          <cell r="I1429" t="str">
            <v>534</v>
          </cell>
        </row>
        <row r="1430">
          <cell r="A1430" t="str">
            <v>ARS</v>
          </cell>
          <cell r="B1430" t="str">
            <v>534000652</v>
          </cell>
          <cell r="C1430" t="str">
            <v>NUEVA FARMACIA MOURIN SCS</v>
          </cell>
          <cell r="G1430">
            <v>7635177</v>
          </cell>
          <cell r="H1430">
            <v>7635177</v>
          </cell>
          <cell r="I1430" t="str">
            <v>534</v>
          </cell>
        </row>
        <row r="1431">
          <cell r="A1431" t="str">
            <v>ARS</v>
          </cell>
          <cell r="B1431" t="str">
            <v>534000653</v>
          </cell>
          <cell r="C1431" t="str">
            <v>SAN MARTIN 3300 SCS</v>
          </cell>
          <cell r="G1431">
            <v>40087471</v>
          </cell>
          <cell r="H1431">
            <v>40087471</v>
          </cell>
          <cell r="I1431" t="str">
            <v>534</v>
          </cell>
        </row>
        <row r="1432">
          <cell r="A1432" t="str">
            <v>ARS</v>
          </cell>
          <cell r="B1432" t="str">
            <v>534000654</v>
          </cell>
          <cell r="C1432" t="str">
            <v>ROCALAN S.C.S.</v>
          </cell>
          <cell r="G1432">
            <v>17000895</v>
          </cell>
          <cell r="H1432">
            <v>17000895</v>
          </cell>
          <cell r="I1432" t="str">
            <v>534</v>
          </cell>
        </row>
        <row r="1433">
          <cell r="A1433" t="str">
            <v>ARS</v>
          </cell>
          <cell r="B1433" t="str">
            <v>534000655</v>
          </cell>
          <cell r="C1433" t="str">
            <v>FARMACIA CABEZUELO SCS</v>
          </cell>
          <cell r="G1433">
            <v>4775581</v>
          </cell>
          <cell r="H1433">
            <v>4775581</v>
          </cell>
          <cell r="I1433" t="str">
            <v>534</v>
          </cell>
        </row>
        <row r="1434">
          <cell r="A1434" t="str">
            <v>ARS</v>
          </cell>
          <cell r="B1434" t="str">
            <v>534000656</v>
          </cell>
          <cell r="C1434" t="str">
            <v>PFM MARCOS AVELLANEDA SCS</v>
          </cell>
          <cell r="G1434">
            <v>15187522</v>
          </cell>
          <cell r="H1434">
            <v>15187522</v>
          </cell>
          <cell r="I1434" t="str">
            <v>534</v>
          </cell>
        </row>
        <row r="1435">
          <cell r="A1435" t="str">
            <v>ARS</v>
          </cell>
          <cell r="B1435" t="str">
            <v>534000657</v>
          </cell>
          <cell r="C1435" t="str">
            <v>FARMACIA ESCALADA DE LANUS SCS</v>
          </cell>
          <cell r="G1435">
            <v>24537423</v>
          </cell>
          <cell r="H1435">
            <v>24537423</v>
          </cell>
          <cell r="I1435" t="str">
            <v>534</v>
          </cell>
        </row>
        <row r="1436">
          <cell r="A1436" t="str">
            <v>ARS</v>
          </cell>
          <cell r="B1436" t="str">
            <v>534000658</v>
          </cell>
          <cell r="C1436" t="str">
            <v>PFM FARMACIA CENTRAL SCS</v>
          </cell>
          <cell r="G1436">
            <v>2137777</v>
          </cell>
          <cell r="H1436">
            <v>2137777</v>
          </cell>
          <cell r="I1436" t="str">
            <v>534</v>
          </cell>
        </row>
        <row r="1437">
          <cell r="A1437" t="str">
            <v>ARS</v>
          </cell>
          <cell r="B1437" t="str">
            <v>534000659</v>
          </cell>
          <cell r="C1437" t="str">
            <v>RIVADALVEAR SCS</v>
          </cell>
          <cell r="G1437">
            <v>24951972</v>
          </cell>
          <cell r="H1437">
            <v>24951972</v>
          </cell>
          <cell r="I1437" t="str">
            <v>534</v>
          </cell>
        </row>
        <row r="1438">
          <cell r="A1438" t="str">
            <v>ARS</v>
          </cell>
          <cell r="B1438" t="str">
            <v>534000660</v>
          </cell>
          <cell r="C1438" t="str">
            <v>FARMACUSTOM BERNAL SCS</v>
          </cell>
          <cell r="G1438">
            <v>15005978</v>
          </cell>
          <cell r="H1438">
            <v>15005978</v>
          </cell>
          <cell r="I1438" t="str">
            <v>534</v>
          </cell>
        </row>
        <row r="1439">
          <cell r="A1439" t="str">
            <v>ARS</v>
          </cell>
          <cell r="B1439" t="str">
            <v>534000661</v>
          </cell>
          <cell r="C1439" t="str">
            <v>FARMACIA FDOCE SCS</v>
          </cell>
          <cell r="G1439">
            <v>35477010</v>
          </cell>
          <cell r="H1439">
            <v>35477010</v>
          </cell>
          <cell r="I1439" t="str">
            <v>534</v>
          </cell>
        </row>
        <row r="1440">
          <cell r="A1440" t="str">
            <v>ARS</v>
          </cell>
          <cell r="B1440" t="str">
            <v>534000662</v>
          </cell>
          <cell r="C1440" t="str">
            <v>FARMACIA DE LA PLAZA SCS</v>
          </cell>
          <cell r="G1440">
            <v>23054742</v>
          </cell>
          <cell r="H1440">
            <v>23054742</v>
          </cell>
          <cell r="I1440" t="str">
            <v>534</v>
          </cell>
        </row>
        <row r="1441">
          <cell r="A1441" t="str">
            <v>ARS</v>
          </cell>
          <cell r="B1441" t="str">
            <v>534000663</v>
          </cell>
          <cell r="C1441" t="str">
            <v>FARMACIA TORRES SCS</v>
          </cell>
          <cell r="G1441">
            <v>9004365</v>
          </cell>
          <cell r="H1441">
            <v>9004365</v>
          </cell>
          <cell r="I1441" t="str">
            <v>534</v>
          </cell>
        </row>
        <row r="1442">
          <cell r="A1442" t="str">
            <v>ARS</v>
          </cell>
          <cell r="B1442" t="str">
            <v>534000664</v>
          </cell>
          <cell r="C1442" t="str">
            <v>BURZACO FARMACEUTICA SCS</v>
          </cell>
          <cell r="G1442">
            <v>374357127.93000001</v>
          </cell>
          <cell r="H1442">
            <v>374357127.93000001</v>
          </cell>
          <cell r="I1442" t="str">
            <v>534</v>
          </cell>
        </row>
        <row r="1443">
          <cell r="A1443" t="str">
            <v>ARS</v>
          </cell>
          <cell r="B1443" t="str">
            <v>534000665</v>
          </cell>
          <cell r="C1443" t="str">
            <v>FARMACIA PASTEUR DE BURZACO SCS</v>
          </cell>
          <cell r="G1443">
            <v>309466974.93000001</v>
          </cell>
          <cell r="H1443">
            <v>309466974.93000001</v>
          </cell>
          <cell r="I1443" t="str">
            <v>534</v>
          </cell>
        </row>
        <row r="1444">
          <cell r="A1444" t="str">
            <v>ARS</v>
          </cell>
          <cell r="B1444" t="str">
            <v>534000666</v>
          </cell>
          <cell r="C1444" t="str">
            <v>GRUPO FARMACEUTICO SCS</v>
          </cell>
          <cell r="G1444">
            <v>5608376</v>
          </cell>
          <cell r="H1444">
            <v>5608376</v>
          </cell>
          <cell r="I1444" t="str">
            <v>534</v>
          </cell>
        </row>
        <row r="1445">
          <cell r="A1445" t="str">
            <v>ARS</v>
          </cell>
          <cell r="B1445" t="str">
            <v>534000667</v>
          </cell>
          <cell r="C1445" t="str">
            <v>PFM NUEVA PRADO SCS</v>
          </cell>
          <cell r="G1445">
            <v>27001221</v>
          </cell>
          <cell r="H1445">
            <v>27001221</v>
          </cell>
          <cell r="I1445" t="str">
            <v>534</v>
          </cell>
        </row>
        <row r="1446">
          <cell r="A1446" t="str">
            <v>ARS</v>
          </cell>
          <cell r="B1446" t="str">
            <v>534000668</v>
          </cell>
          <cell r="C1446" t="str">
            <v>SBATELLA FARMACEUTICA SCS</v>
          </cell>
          <cell r="G1446">
            <v>8513297</v>
          </cell>
          <cell r="H1446">
            <v>8513297</v>
          </cell>
          <cell r="I1446" t="str">
            <v>534</v>
          </cell>
        </row>
        <row r="1447">
          <cell r="A1447" t="str">
            <v>ARS</v>
          </cell>
          <cell r="B1447" t="str">
            <v>534000669</v>
          </cell>
          <cell r="C1447" t="str">
            <v>PFM ITATI SCS</v>
          </cell>
          <cell r="G1447">
            <v>7101508</v>
          </cell>
          <cell r="H1447">
            <v>7101508</v>
          </cell>
          <cell r="I1447" t="str">
            <v>534</v>
          </cell>
        </row>
        <row r="1448">
          <cell r="A1448" t="str">
            <v>ARS</v>
          </cell>
          <cell r="B1448" t="str">
            <v>534000670</v>
          </cell>
          <cell r="C1448" t="str">
            <v>PFM BEFFA SCS</v>
          </cell>
          <cell r="G1448">
            <v>39696909</v>
          </cell>
          <cell r="H1448">
            <v>39696909</v>
          </cell>
          <cell r="I1448" t="str">
            <v>534</v>
          </cell>
        </row>
        <row r="1449">
          <cell r="A1449" t="str">
            <v>ARS</v>
          </cell>
          <cell r="B1449" t="str">
            <v>534000671</v>
          </cell>
          <cell r="C1449" t="str">
            <v>PFM SAN MARTIN 2101 SCS</v>
          </cell>
          <cell r="G1449">
            <v>33770369</v>
          </cell>
          <cell r="H1449">
            <v>33770369</v>
          </cell>
          <cell r="I1449" t="str">
            <v>534</v>
          </cell>
        </row>
        <row r="1450">
          <cell r="A1450" t="str">
            <v>ARS</v>
          </cell>
          <cell r="B1450" t="str">
            <v>534000672</v>
          </cell>
          <cell r="C1450" t="str">
            <v>PFM CHINGOLO SCS</v>
          </cell>
          <cell r="G1450">
            <v>3759437</v>
          </cell>
          <cell r="H1450">
            <v>3759437</v>
          </cell>
          <cell r="I1450" t="str">
            <v>534</v>
          </cell>
        </row>
        <row r="1451">
          <cell r="A1451" t="str">
            <v>ARS</v>
          </cell>
          <cell r="B1451" t="str">
            <v>534000673</v>
          </cell>
          <cell r="C1451" t="str">
            <v>FARMACIA TUYUTI SCS</v>
          </cell>
          <cell r="G1451">
            <v>21068555</v>
          </cell>
          <cell r="H1451">
            <v>21068555</v>
          </cell>
          <cell r="I1451" t="str">
            <v>534</v>
          </cell>
        </row>
        <row r="1452">
          <cell r="A1452" t="str">
            <v>ARS</v>
          </cell>
          <cell r="B1452" t="str">
            <v>534000674</v>
          </cell>
          <cell r="C1452" t="str">
            <v>FARMACIA BIO SCS</v>
          </cell>
          <cell r="G1452">
            <v>10968959</v>
          </cell>
          <cell r="H1452">
            <v>10968959</v>
          </cell>
          <cell r="I1452" t="str">
            <v>534</v>
          </cell>
        </row>
        <row r="1453">
          <cell r="A1453" t="str">
            <v>ARS</v>
          </cell>
          <cell r="B1453" t="str">
            <v>534000675</v>
          </cell>
          <cell r="C1453" t="str">
            <v>WARNES FARMACEUTICA SCS</v>
          </cell>
          <cell r="G1453">
            <v>17144585</v>
          </cell>
          <cell r="H1453">
            <v>17144585</v>
          </cell>
          <cell r="I1453" t="str">
            <v>534</v>
          </cell>
        </row>
        <row r="1454">
          <cell r="A1454" t="str">
            <v>ARS</v>
          </cell>
          <cell r="B1454" t="str">
            <v>534000676</v>
          </cell>
          <cell r="C1454" t="str">
            <v>PDZ REAL STATE S.R.L.</v>
          </cell>
          <cell r="G1454">
            <v>1657982</v>
          </cell>
          <cell r="H1454">
            <v>1657982</v>
          </cell>
          <cell r="I1454" t="str">
            <v>534</v>
          </cell>
        </row>
        <row r="1455">
          <cell r="A1455" t="str">
            <v>ARS</v>
          </cell>
          <cell r="B1455" t="str">
            <v>534000677</v>
          </cell>
          <cell r="C1455" t="str">
            <v xml:space="preserve">LA GRAN BURZACO S.C.S. </v>
          </cell>
          <cell r="G1455">
            <v>8075883</v>
          </cell>
          <cell r="H1455">
            <v>8075883</v>
          </cell>
          <cell r="I1455" t="str">
            <v>534</v>
          </cell>
        </row>
        <row r="1456">
          <cell r="A1456" t="str">
            <v>ARS</v>
          </cell>
          <cell r="B1456" t="str">
            <v>534000678</v>
          </cell>
          <cell r="C1456" t="str">
            <v>FARMACIA LIBERTADORES DE BURZACO S.C.S.</v>
          </cell>
          <cell r="G1456">
            <v>4932272</v>
          </cell>
          <cell r="H1456">
            <v>4932272</v>
          </cell>
          <cell r="I1456" t="str">
            <v>534</v>
          </cell>
        </row>
        <row r="1457">
          <cell r="A1457" t="str">
            <v>ARS</v>
          </cell>
          <cell r="B1457" t="str">
            <v>534000679</v>
          </cell>
          <cell r="C1457" t="str">
            <v>PUNTOFARMA AGRUPACION</v>
          </cell>
          <cell r="G1457">
            <v>532405147.44999999</v>
          </cell>
          <cell r="H1457">
            <v>532405147.44999999</v>
          </cell>
          <cell r="I1457" t="str">
            <v>534</v>
          </cell>
        </row>
        <row r="1458">
          <cell r="A1458" t="str">
            <v>ARS</v>
          </cell>
          <cell r="B1458" t="str">
            <v>534000680</v>
          </cell>
          <cell r="C1458" t="str">
            <v>Affranchino Pablo Nicolás &amp; Zuccarino Nadia Soledad</v>
          </cell>
          <cell r="G1458">
            <v>909745</v>
          </cell>
          <cell r="H1458">
            <v>909745</v>
          </cell>
          <cell r="I1458" t="str">
            <v>534</v>
          </cell>
        </row>
        <row r="1459">
          <cell r="A1459" t="str">
            <v>ARS</v>
          </cell>
          <cell r="B1459" t="str">
            <v>534000681</v>
          </cell>
          <cell r="C1459" t="str">
            <v>IUTRACE S.A.S.</v>
          </cell>
          <cell r="G1459">
            <v>92945742</v>
          </cell>
          <cell r="H1459">
            <v>92945742</v>
          </cell>
          <cell r="I1459" t="str">
            <v>534</v>
          </cell>
        </row>
        <row r="1460">
          <cell r="A1460" t="str">
            <v>ARS</v>
          </cell>
          <cell r="B1460" t="str">
            <v>534000685</v>
          </cell>
          <cell r="C1460" t="str">
            <v>Pedraza, Nestor Hugo</v>
          </cell>
          <cell r="G1460">
            <v>759830</v>
          </cell>
          <cell r="H1460">
            <v>759830</v>
          </cell>
          <cell r="I1460" t="str">
            <v>534</v>
          </cell>
        </row>
        <row r="1461">
          <cell r="A1461" t="str">
            <v>ARS</v>
          </cell>
          <cell r="B1461" t="str">
            <v>534000752</v>
          </cell>
          <cell r="C1461" t="str">
            <v>BLKLEDS S.A.</v>
          </cell>
          <cell r="G1461">
            <v>3931572401.5300002</v>
          </cell>
          <cell r="H1461">
            <v>3931572401.5300002</v>
          </cell>
          <cell r="I1461" t="str">
            <v>534</v>
          </cell>
        </row>
        <row r="1462">
          <cell r="A1462" t="str">
            <v>ARS</v>
          </cell>
          <cell r="B1462" t="str">
            <v>534000753</v>
          </cell>
          <cell r="C1462" t="str">
            <v>Vera Figueroa, Martín &amp; Andrés, Carmen</v>
          </cell>
          <cell r="G1462">
            <v>759865</v>
          </cell>
          <cell r="H1462">
            <v>759865</v>
          </cell>
          <cell r="I1462" t="str">
            <v>534</v>
          </cell>
        </row>
        <row r="1463">
          <cell r="A1463" t="str">
            <v>ARS</v>
          </cell>
          <cell r="B1463" t="str">
            <v>534000755</v>
          </cell>
          <cell r="C1463" t="str">
            <v>Vargas Rojas, Liliana</v>
          </cell>
          <cell r="G1463">
            <v>4116135</v>
          </cell>
          <cell r="H1463">
            <v>4116135</v>
          </cell>
          <cell r="I1463" t="str">
            <v>534</v>
          </cell>
        </row>
        <row r="1464">
          <cell r="A1464" t="str">
            <v>ARS</v>
          </cell>
          <cell r="B1464" t="str">
            <v>534000756</v>
          </cell>
          <cell r="C1464" t="str">
            <v>Gentile Luis Alberto &amp; Páez María Ester</v>
          </cell>
          <cell r="G1464">
            <v>34716482</v>
          </cell>
          <cell r="H1464">
            <v>34716482</v>
          </cell>
          <cell r="I1464" t="str">
            <v>534</v>
          </cell>
        </row>
        <row r="1465">
          <cell r="A1465" t="str">
            <v>ARS</v>
          </cell>
          <cell r="B1465" t="str">
            <v>534000761</v>
          </cell>
          <cell r="C1465" t="str">
            <v>Maghakian, Carlos Alfredo &amp; Nuñez, Noemi Emerita</v>
          </cell>
          <cell r="G1465">
            <v>8450258</v>
          </cell>
          <cell r="H1465">
            <v>8450258</v>
          </cell>
          <cell r="I1465" t="str">
            <v>534</v>
          </cell>
        </row>
        <row r="1466">
          <cell r="A1466" t="str">
            <v>ARS</v>
          </cell>
          <cell r="B1466" t="str">
            <v>534000762</v>
          </cell>
          <cell r="C1466" t="str">
            <v>Maghakian, Valeria Lucía</v>
          </cell>
          <cell r="G1466">
            <v>1326976</v>
          </cell>
          <cell r="H1466">
            <v>1326976</v>
          </cell>
          <cell r="I1466" t="str">
            <v>534</v>
          </cell>
        </row>
        <row r="1467">
          <cell r="A1467" t="str">
            <v>ARS</v>
          </cell>
          <cell r="B1467" t="str">
            <v>534000763</v>
          </cell>
          <cell r="C1467" t="str">
            <v>Ugarte Prado, Ivan</v>
          </cell>
          <cell r="G1467">
            <v>3774431</v>
          </cell>
          <cell r="H1467">
            <v>3774431</v>
          </cell>
          <cell r="I1467" t="str">
            <v>534</v>
          </cell>
        </row>
        <row r="1468">
          <cell r="A1468" t="str">
            <v>ARS</v>
          </cell>
          <cell r="B1468" t="str">
            <v>534000770</v>
          </cell>
          <cell r="C1468" t="str">
            <v>VILAVA S.R.L. (II)</v>
          </cell>
          <cell r="G1468">
            <v>6865511</v>
          </cell>
          <cell r="H1468">
            <v>6865511</v>
          </cell>
          <cell r="I1468" t="str">
            <v>534</v>
          </cell>
        </row>
        <row r="1469">
          <cell r="A1469" t="str">
            <v>ARS</v>
          </cell>
          <cell r="B1469" t="str">
            <v>534000771</v>
          </cell>
          <cell r="C1469" t="str">
            <v>ZEV S.R.L.</v>
          </cell>
          <cell r="G1469">
            <v>11044871</v>
          </cell>
          <cell r="H1469">
            <v>11044871</v>
          </cell>
          <cell r="I1469" t="str">
            <v>534</v>
          </cell>
        </row>
        <row r="1470">
          <cell r="A1470" t="str">
            <v>ARS</v>
          </cell>
          <cell r="B1470" t="str">
            <v>534000801</v>
          </cell>
          <cell r="C1470" t="str">
            <v>Zanazzi, Pablo &amp; Devechi, María</v>
          </cell>
          <cell r="G1470">
            <v>743468</v>
          </cell>
          <cell r="H1470">
            <v>743468</v>
          </cell>
          <cell r="I1470" t="str">
            <v>534</v>
          </cell>
        </row>
        <row r="1471">
          <cell r="A1471" t="str">
            <v>ARS</v>
          </cell>
          <cell r="B1471" t="str">
            <v>534000802</v>
          </cell>
          <cell r="C1471" t="str">
            <v>Babasal S.R.L</v>
          </cell>
          <cell r="G1471">
            <v>142931698.94999999</v>
          </cell>
          <cell r="H1471">
            <v>142931698.94999999</v>
          </cell>
          <cell r="I1471" t="str">
            <v>534</v>
          </cell>
        </row>
        <row r="1472">
          <cell r="A1472" t="str">
            <v>ARS</v>
          </cell>
          <cell r="B1472" t="str">
            <v>534000804</v>
          </cell>
          <cell r="C1472" t="str">
            <v>Carlos Frascaroli &amp; Hijos S.A.</v>
          </cell>
          <cell r="G1472">
            <v>2171343</v>
          </cell>
          <cell r="H1472">
            <v>2171343</v>
          </cell>
          <cell r="I1472" t="str">
            <v>534</v>
          </cell>
        </row>
        <row r="1473">
          <cell r="A1473" t="str">
            <v>ARS</v>
          </cell>
          <cell r="B1473" t="str">
            <v>534000805</v>
          </cell>
          <cell r="C1473" t="str">
            <v>Profesionales en Juego S.R.L</v>
          </cell>
          <cell r="G1473">
            <v>481570</v>
          </cell>
          <cell r="H1473">
            <v>481570</v>
          </cell>
          <cell r="I1473" t="str">
            <v>534</v>
          </cell>
        </row>
        <row r="1474">
          <cell r="A1474" t="str">
            <v>ARS</v>
          </cell>
          <cell r="B1474" t="str">
            <v>534000809</v>
          </cell>
          <cell r="C1474" t="str">
            <v>Energía Controlada S.R.L.</v>
          </cell>
          <cell r="G1474">
            <v>761216</v>
          </cell>
          <cell r="H1474">
            <v>761216</v>
          </cell>
          <cell r="I1474" t="str">
            <v>534</v>
          </cell>
        </row>
        <row r="1475">
          <cell r="A1475" t="str">
            <v>ARS</v>
          </cell>
          <cell r="B1475" t="str">
            <v>534000810</v>
          </cell>
          <cell r="C1475" t="str">
            <v>Silajes Gusmerini Kise SRL</v>
          </cell>
          <cell r="G1475">
            <v>1171779</v>
          </cell>
          <cell r="H1475">
            <v>1171779</v>
          </cell>
          <cell r="I1475" t="str">
            <v>534</v>
          </cell>
        </row>
        <row r="1476">
          <cell r="A1476" t="str">
            <v>ARS</v>
          </cell>
          <cell r="B1476" t="str">
            <v>534000812</v>
          </cell>
          <cell r="C1476" t="str">
            <v>Polial S.R.L.</v>
          </cell>
          <cell r="G1476">
            <v>1262404</v>
          </cell>
          <cell r="H1476">
            <v>1262404</v>
          </cell>
          <cell r="I1476" t="str">
            <v>534</v>
          </cell>
        </row>
        <row r="1477">
          <cell r="A1477" t="str">
            <v>ARS</v>
          </cell>
          <cell r="B1477" t="str">
            <v>534000813</v>
          </cell>
          <cell r="C1477" t="str">
            <v>Agro Gusmerini de Gusmerini FJ, Gusmerini EA y Gusmerini JA</v>
          </cell>
          <cell r="G1477">
            <v>548253625</v>
          </cell>
          <cell r="H1477">
            <v>548253625</v>
          </cell>
          <cell r="I1477" t="str">
            <v>534</v>
          </cell>
        </row>
        <row r="1478">
          <cell r="A1478" t="str">
            <v>ARS</v>
          </cell>
          <cell r="B1478" t="str">
            <v>534000815</v>
          </cell>
          <cell r="C1478" t="str">
            <v>Flexibles Modernos S.A.</v>
          </cell>
          <cell r="G1478">
            <v>771376</v>
          </cell>
          <cell r="H1478">
            <v>771376</v>
          </cell>
          <cell r="I1478" t="str">
            <v>534</v>
          </cell>
        </row>
        <row r="1479">
          <cell r="A1479" t="str">
            <v>ARS</v>
          </cell>
          <cell r="B1479" t="str">
            <v>534000816</v>
          </cell>
          <cell r="C1479" t="str">
            <v>Alvarez, Germán &amp; Isasi, Ivana (II)</v>
          </cell>
          <cell r="G1479">
            <v>16337269</v>
          </cell>
          <cell r="H1479">
            <v>16337269</v>
          </cell>
          <cell r="I1479" t="str">
            <v>534</v>
          </cell>
        </row>
        <row r="1480">
          <cell r="A1480" t="str">
            <v>ARS</v>
          </cell>
          <cell r="B1480" t="str">
            <v>534000817</v>
          </cell>
          <cell r="C1480" t="str">
            <v>E-FRA IN S.A.</v>
          </cell>
          <cell r="G1480">
            <v>819768575.99000001</v>
          </cell>
          <cell r="H1480">
            <v>819768575.99000001</v>
          </cell>
          <cell r="I1480" t="str">
            <v>534</v>
          </cell>
        </row>
        <row r="1481">
          <cell r="A1481" t="str">
            <v>ARS</v>
          </cell>
          <cell r="B1481" t="str">
            <v>534000824</v>
          </cell>
          <cell r="C1481" t="str">
            <v>Esteban Cordero SRL</v>
          </cell>
          <cell r="G1481">
            <v>14985249884.91</v>
          </cell>
          <cell r="H1481">
            <v>14985249884.91</v>
          </cell>
          <cell r="I1481" t="str">
            <v>534</v>
          </cell>
        </row>
        <row r="1482">
          <cell r="A1482" t="str">
            <v>ARS</v>
          </cell>
          <cell r="B1482" t="str">
            <v>534000862</v>
          </cell>
          <cell r="C1482" t="str">
            <v>CEDILAU S.H. de Astiz, Laura - Pfister, Diego y Pfister, Matías</v>
          </cell>
          <cell r="G1482">
            <v>4922505</v>
          </cell>
          <cell r="H1482">
            <v>4922505</v>
          </cell>
          <cell r="I1482" t="str">
            <v>534</v>
          </cell>
        </row>
        <row r="1483">
          <cell r="A1483" t="str">
            <v>ARS</v>
          </cell>
          <cell r="B1483" t="str">
            <v>534000863</v>
          </cell>
          <cell r="C1483" t="str">
            <v>CEDILAU S.H. de Astiz, Laura - Pfister, Diego y Pfister, Matías (II)</v>
          </cell>
          <cell r="G1483">
            <v>234019</v>
          </cell>
          <cell r="H1483">
            <v>234019</v>
          </cell>
          <cell r="I1483" t="str">
            <v>534</v>
          </cell>
        </row>
        <row r="1484">
          <cell r="A1484" t="str">
            <v>ARS</v>
          </cell>
          <cell r="B1484" t="str">
            <v>534000864</v>
          </cell>
          <cell r="C1484" t="str">
            <v>METALURGICA DEL LIBERTADOR SRL</v>
          </cell>
          <cell r="G1484">
            <v>1809608000</v>
          </cell>
          <cell r="H1484">
            <v>1809608000</v>
          </cell>
          <cell r="I1484" t="str">
            <v>534</v>
          </cell>
        </row>
        <row r="1485">
          <cell r="A1485" t="str">
            <v>ARS</v>
          </cell>
          <cell r="B1485" t="str">
            <v>534000865</v>
          </cell>
          <cell r="C1485" t="str">
            <v>Ikurriña S.R.L.</v>
          </cell>
          <cell r="G1485">
            <v>17860285091.349998</v>
          </cell>
          <cell r="H1485">
            <v>17860285091.349998</v>
          </cell>
          <cell r="I1485" t="str">
            <v>534</v>
          </cell>
        </row>
        <row r="1486">
          <cell r="A1486" t="str">
            <v>ARS</v>
          </cell>
          <cell r="B1486" t="str">
            <v>534000869</v>
          </cell>
          <cell r="C1486" t="str">
            <v>CETRANGOLO SCS</v>
          </cell>
          <cell r="G1486">
            <v>243891817.90000001</v>
          </cell>
          <cell r="H1486">
            <v>243891817.90000001</v>
          </cell>
          <cell r="I1486" t="str">
            <v>534</v>
          </cell>
        </row>
        <row r="1487">
          <cell r="A1487" t="str">
            <v>ARS</v>
          </cell>
          <cell r="B1487" t="str">
            <v>534000876</v>
          </cell>
          <cell r="C1487" t="str">
            <v xml:space="preserve">THIS IS DENIM SRL </v>
          </cell>
          <cell r="G1487">
            <v>29141714</v>
          </cell>
          <cell r="H1487">
            <v>29141714</v>
          </cell>
          <cell r="I1487" t="str">
            <v>534</v>
          </cell>
        </row>
        <row r="1488">
          <cell r="A1488" t="str">
            <v>ARS</v>
          </cell>
          <cell r="B1488" t="str">
            <v>534000877</v>
          </cell>
          <cell r="C1488" t="str">
            <v>D´ AMICO PABLO GABRIEL Y D´AMICO MATIAS SEBASTIAN S.H.</v>
          </cell>
          <cell r="G1488">
            <v>595806</v>
          </cell>
          <cell r="H1488">
            <v>595806</v>
          </cell>
          <cell r="I1488" t="str">
            <v>534</v>
          </cell>
        </row>
        <row r="1489">
          <cell r="A1489" t="str">
            <v>ARS</v>
          </cell>
          <cell r="B1489" t="str">
            <v>534000879</v>
          </cell>
          <cell r="C1489" t="str">
            <v>Disterra Wines S.R.L. (II)</v>
          </cell>
          <cell r="G1489">
            <v>129860177</v>
          </cell>
          <cell r="H1489">
            <v>129860177</v>
          </cell>
          <cell r="I1489" t="str">
            <v>534</v>
          </cell>
        </row>
        <row r="1490">
          <cell r="A1490" t="str">
            <v>ARS</v>
          </cell>
          <cell r="B1490" t="str">
            <v>534000880</v>
          </cell>
          <cell r="C1490" t="str">
            <v>Darlan, Alberto Gabriel &amp; Darlan, María Viviana &amp; Darlan, Gabriela Inés &amp; Darlan, Pablo Andrés</v>
          </cell>
          <cell r="G1490">
            <v>708719</v>
          </cell>
          <cell r="H1490">
            <v>708719</v>
          </cell>
          <cell r="I1490" t="str">
            <v>534</v>
          </cell>
        </row>
        <row r="1491">
          <cell r="A1491" t="str">
            <v>ARS</v>
          </cell>
          <cell r="B1491" t="str">
            <v>534000883</v>
          </cell>
          <cell r="C1491" t="str">
            <v>ANEDMAPA SCS</v>
          </cell>
          <cell r="G1491">
            <v>5377081</v>
          </cell>
          <cell r="H1491">
            <v>5377081</v>
          </cell>
          <cell r="I1491" t="str">
            <v>534</v>
          </cell>
        </row>
        <row r="1492">
          <cell r="A1492" t="str">
            <v>ARS</v>
          </cell>
          <cell r="B1492" t="str">
            <v>534000884</v>
          </cell>
          <cell r="C1492" t="str">
            <v>Textil Darlan S.R.L</v>
          </cell>
          <cell r="G1492">
            <v>837053055</v>
          </cell>
          <cell r="H1492">
            <v>837053055</v>
          </cell>
          <cell r="I1492" t="str">
            <v>534</v>
          </cell>
        </row>
        <row r="1493">
          <cell r="A1493" t="str">
            <v>ARS</v>
          </cell>
          <cell r="B1493" t="str">
            <v>534000885</v>
          </cell>
          <cell r="C1493" t="str">
            <v>PALLETS MARCEL S.R.L.</v>
          </cell>
          <cell r="G1493">
            <v>477417776.06999999</v>
          </cell>
          <cell r="H1493">
            <v>477417776.06999999</v>
          </cell>
          <cell r="I1493" t="str">
            <v>534</v>
          </cell>
        </row>
        <row r="1494">
          <cell r="A1494" t="str">
            <v>ARS</v>
          </cell>
          <cell r="B1494" t="str">
            <v>534000902</v>
          </cell>
          <cell r="C1494" t="str">
            <v>SyR Agro Junin S.A.</v>
          </cell>
          <cell r="G1494">
            <v>6091870</v>
          </cell>
          <cell r="H1494">
            <v>6091870</v>
          </cell>
          <cell r="I1494" t="str">
            <v>534</v>
          </cell>
        </row>
        <row r="1495">
          <cell r="A1495" t="str">
            <v>ARS</v>
          </cell>
          <cell r="B1495" t="str">
            <v>534000908</v>
          </cell>
          <cell r="C1495" t="str">
            <v>Carretones Daniel Brito S.R.L.</v>
          </cell>
          <cell r="G1495">
            <v>2234174</v>
          </cell>
          <cell r="H1495">
            <v>2234174</v>
          </cell>
          <cell r="I1495" t="str">
            <v>534</v>
          </cell>
        </row>
        <row r="1496">
          <cell r="A1496" t="str">
            <v>ARS</v>
          </cell>
          <cell r="B1496" t="str">
            <v>534000909</v>
          </cell>
          <cell r="C1496" t="str">
            <v>Industrias Victor Juri S.A.</v>
          </cell>
          <cell r="G1496">
            <v>2081928</v>
          </cell>
          <cell r="H1496">
            <v>2081928</v>
          </cell>
          <cell r="I1496" t="str">
            <v>534</v>
          </cell>
        </row>
        <row r="1497">
          <cell r="A1497" t="str">
            <v>ARS</v>
          </cell>
          <cell r="B1497" t="str">
            <v>534000910</v>
          </cell>
          <cell r="C1497" t="str">
            <v>Sedyco S.R.L.</v>
          </cell>
          <cell r="G1497">
            <v>2750351</v>
          </cell>
          <cell r="H1497">
            <v>2750351</v>
          </cell>
          <cell r="I1497" t="str">
            <v>534</v>
          </cell>
        </row>
        <row r="1498">
          <cell r="A1498" t="str">
            <v>ARS</v>
          </cell>
          <cell r="B1498" t="str">
            <v>534000912</v>
          </cell>
          <cell r="C1498" t="str">
            <v>Serrano, Claudio Nicolás</v>
          </cell>
          <cell r="G1498">
            <v>1517131</v>
          </cell>
          <cell r="H1498">
            <v>1517131</v>
          </cell>
          <cell r="I1498" t="str">
            <v>534</v>
          </cell>
        </row>
        <row r="1499">
          <cell r="A1499" t="str">
            <v>ARS</v>
          </cell>
          <cell r="B1499" t="str">
            <v>534000917</v>
          </cell>
          <cell r="C1499" t="str">
            <v>Huici, Jorge Guillermo</v>
          </cell>
          <cell r="G1499">
            <v>507610</v>
          </cell>
          <cell r="H1499">
            <v>507610</v>
          </cell>
          <cell r="I1499" t="str">
            <v>534</v>
          </cell>
        </row>
        <row r="1500">
          <cell r="A1500" t="str">
            <v>ARS</v>
          </cell>
          <cell r="B1500" t="str">
            <v>534000926</v>
          </cell>
          <cell r="C1500" t="str">
            <v>El Coloso S.A.</v>
          </cell>
          <cell r="G1500">
            <v>1169873</v>
          </cell>
          <cell r="H1500">
            <v>1169873</v>
          </cell>
          <cell r="I1500" t="str">
            <v>534</v>
          </cell>
        </row>
        <row r="1501">
          <cell r="A1501" t="str">
            <v>ARS</v>
          </cell>
          <cell r="B1501" t="str">
            <v>534000929</v>
          </cell>
          <cell r="C1501" t="str">
            <v>Mattone S.A.</v>
          </cell>
          <cell r="G1501">
            <v>1009431</v>
          </cell>
          <cell r="H1501">
            <v>1009431</v>
          </cell>
          <cell r="I1501" t="str">
            <v>534</v>
          </cell>
        </row>
        <row r="1502">
          <cell r="A1502" t="str">
            <v>ARS</v>
          </cell>
          <cell r="B1502" t="str">
            <v>534000932</v>
          </cell>
          <cell r="C1502" t="str">
            <v>Servicios La Escondida SRL</v>
          </cell>
          <cell r="G1502">
            <v>5547760</v>
          </cell>
          <cell r="H1502">
            <v>5547760</v>
          </cell>
          <cell r="I1502" t="str">
            <v>534</v>
          </cell>
        </row>
        <row r="1503">
          <cell r="A1503" t="str">
            <v>ARS</v>
          </cell>
          <cell r="B1503" t="str">
            <v>534000936</v>
          </cell>
          <cell r="C1503" t="str">
            <v>Romero, Ignacio</v>
          </cell>
          <cell r="G1503">
            <v>460714</v>
          </cell>
          <cell r="H1503">
            <v>460714</v>
          </cell>
          <cell r="I1503" t="str">
            <v>534</v>
          </cell>
        </row>
        <row r="1504">
          <cell r="A1504" t="str">
            <v>ARS</v>
          </cell>
          <cell r="B1504" t="str">
            <v>534000937</v>
          </cell>
          <cell r="C1504" t="str">
            <v>Cargas Especiales Garin S.A.</v>
          </cell>
          <cell r="G1504">
            <v>2432545</v>
          </cell>
          <cell r="H1504">
            <v>2432545</v>
          </cell>
          <cell r="I1504" t="str">
            <v>534</v>
          </cell>
        </row>
        <row r="1505">
          <cell r="A1505" t="str">
            <v>ARS</v>
          </cell>
          <cell r="B1505" t="str">
            <v>534000938</v>
          </cell>
          <cell r="C1505" t="str">
            <v>Canessa, Hugo Daniel</v>
          </cell>
          <cell r="G1505">
            <v>4127627</v>
          </cell>
          <cell r="H1505">
            <v>4127627</v>
          </cell>
          <cell r="I1505" t="str">
            <v>534</v>
          </cell>
        </row>
        <row r="1506">
          <cell r="A1506" t="str">
            <v>ARS</v>
          </cell>
          <cell r="B1506" t="str">
            <v>534000939</v>
          </cell>
          <cell r="C1506" t="str">
            <v>SABORIGAL S.A.</v>
          </cell>
          <cell r="G1506">
            <v>720581</v>
          </cell>
          <cell r="H1506">
            <v>720581</v>
          </cell>
          <cell r="I1506" t="str">
            <v>534</v>
          </cell>
        </row>
        <row r="1507">
          <cell r="A1507" t="str">
            <v>ARS</v>
          </cell>
          <cell r="B1507" t="str">
            <v>534000940</v>
          </cell>
          <cell r="C1507" t="str">
            <v>Franco Carlos y Otros SS</v>
          </cell>
          <cell r="G1507">
            <v>690824</v>
          </cell>
          <cell r="H1507">
            <v>690824</v>
          </cell>
          <cell r="I1507" t="str">
            <v>534</v>
          </cell>
        </row>
        <row r="1508">
          <cell r="A1508" t="str">
            <v>ARS</v>
          </cell>
          <cell r="B1508" t="str">
            <v>534000941</v>
          </cell>
          <cell r="C1508" t="str">
            <v>Materiales Rurales El Quebracho S.A.</v>
          </cell>
          <cell r="G1508">
            <v>107508692</v>
          </cell>
          <cell r="H1508">
            <v>107508692</v>
          </cell>
          <cell r="I1508" t="str">
            <v>534</v>
          </cell>
        </row>
        <row r="1509">
          <cell r="A1509" t="str">
            <v>ARS</v>
          </cell>
          <cell r="B1509" t="str">
            <v>534000942</v>
          </cell>
          <cell r="C1509" t="str">
            <v>Rose Patisserie S.R.L.</v>
          </cell>
          <cell r="G1509">
            <v>921567</v>
          </cell>
          <cell r="H1509">
            <v>921567</v>
          </cell>
          <cell r="I1509" t="str">
            <v>534</v>
          </cell>
        </row>
        <row r="1510">
          <cell r="A1510" t="str">
            <v>ARS</v>
          </cell>
          <cell r="B1510" t="str">
            <v>534000943</v>
          </cell>
          <cell r="C1510" t="str">
            <v>IGN Internacional S.R.L. (II)</v>
          </cell>
          <cell r="G1510">
            <v>1383267</v>
          </cell>
          <cell r="H1510">
            <v>1383267</v>
          </cell>
          <cell r="I1510" t="str">
            <v>534</v>
          </cell>
        </row>
        <row r="1511">
          <cell r="A1511" t="str">
            <v>ARS</v>
          </cell>
          <cell r="B1511" t="str">
            <v>534000945</v>
          </cell>
          <cell r="C1511" t="str">
            <v>FGI PAMPA 804 S.A.</v>
          </cell>
          <cell r="G1511">
            <v>612036</v>
          </cell>
          <cell r="H1511">
            <v>612036</v>
          </cell>
          <cell r="I1511" t="str">
            <v>534</v>
          </cell>
        </row>
        <row r="1512">
          <cell r="A1512" t="str">
            <v>ARS</v>
          </cell>
          <cell r="B1512" t="str">
            <v>534000946</v>
          </cell>
          <cell r="C1512" t="str">
            <v xml:space="preserve">Emprendimientos La Gringa S.A. </v>
          </cell>
          <cell r="G1512">
            <v>1397812</v>
          </cell>
          <cell r="H1512">
            <v>1397812</v>
          </cell>
          <cell r="I1512" t="str">
            <v>534</v>
          </cell>
        </row>
        <row r="1513">
          <cell r="A1513" t="str">
            <v>ARS</v>
          </cell>
          <cell r="B1513" t="str">
            <v>534000947</v>
          </cell>
          <cell r="C1513" t="str">
            <v>LOVAN ENTERPRISES S.A.</v>
          </cell>
          <cell r="G1513">
            <v>1664523</v>
          </cell>
          <cell r="H1513">
            <v>1664523</v>
          </cell>
          <cell r="I1513" t="str">
            <v>534</v>
          </cell>
        </row>
        <row r="1514">
          <cell r="A1514" t="str">
            <v>ARS</v>
          </cell>
          <cell r="B1514" t="str">
            <v>534000948</v>
          </cell>
          <cell r="C1514" t="str">
            <v>G&amp;L INTERNACIONAL S.A.</v>
          </cell>
          <cell r="G1514">
            <v>2249883</v>
          </cell>
          <cell r="H1514">
            <v>2249883</v>
          </cell>
          <cell r="I1514" t="str">
            <v>534</v>
          </cell>
        </row>
        <row r="1515">
          <cell r="A1515" t="str">
            <v>ARS</v>
          </cell>
          <cell r="B1515" t="str">
            <v>534000949</v>
          </cell>
          <cell r="C1515" t="str">
            <v>ROMALUS SRL</v>
          </cell>
          <cell r="G1515">
            <v>9073058</v>
          </cell>
          <cell r="H1515">
            <v>9073058</v>
          </cell>
          <cell r="I1515" t="str">
            <v>534</v>
          </cell>
        </row>
        <row r="1516">
          <cell r="A1516" t="str">
            <v>ARS</v>
          </cell>
          <cell r="B1516" t="str">
            <v>534000950</v>
          </cell>
          <cell r="C1516" t="str">
            <v>FRAFA S.R.L.</v>
          </cell>
          <cell r="G1516">
            <v>2840365</v>
          </cell>
          <cell r="H1516">
            <v>2840365</v>
          </cell>
          <cell r="I1516" t="str">
            <v>534</v>
          </cell>
        </row>
        <row r="1517">
          <cell r="A1517" t="str">
            <v>ARS</v>
          </cell>
          <cell r="B1517" t="str">
            <v>534001003</v>
          </cell>
          <cell r="C1517" t="str">
            <v>MOLINO NSTRA SRA DE LUJAN SH</v>
          </cell>
          <cell r="G1517">
            <v>2563292493</v>
          </cell>
          <cell r="H1517">
            <v>2563292493</v>
          </cell>
          <cell r="I1517" t="str">
            <v>534</v>
          </cell>
        </row>
        <row r="1518">
          <cell r="A1518" t="str">
            <v>ARS</v>
          </cell>
          <cell r="B1518" t="str">
            <v>534001202</v>
          </cell>
          <cell r="C1518" t="str">
            <v>MEGABIS SRL</v>
          </cell>
          <cell r="G1518">
            <v>481411</v>
          </cell>
          <cell r="H1518">
            <v>481411</v>
          </cell>
          <cell r="I1518" t="str">
            <v>534</v>
          </cell>
        </row>
        <row r="1519">
          <cell r="A1519" t="str">
            <v>ARS</v>
          </cell>
          <cell r="B1519" t="str">
            <v>534001203</v>
          </cell>
          <cell r="C1519" t="str">
            <v>SMART POP S.A.</v>
          </cell>
          <cell r="G1519">
            <v>463181</v>
          </cell>
          <cell r="H1519">
            <v>463181</v>
          </cell>
          <cell r="I1519" t="str">
            <v>534</v>
          </cell>
        </row>
        <row r="1520">
          <cell r="A1520" t="str">
            <v>ARS</v>
          </cell>
          <cell r="B1520" t="str">
            <v>534001301</v>
          </cell>
          <cell r="C1520" t="str">
            <v>PARARED S.A.</v>
          </cell>
          <cell r="G1520">
            <v>821169720.55999994</v>
          </cell>
          <cell r="H1520">
            <v>821169720.55999994</v>
          </cell>
          <cell r="I1520" t="str">
            <v>534</v>
          </cell>
        </row>
        <row r="1521">
          <cell r="A1521" t="str">
            <v>ARS</v>
          </cell>
          <cell r="B1521" t="str">
            <v>534001302</v>
          </cell>
          <cell r="C1521" t="str">
            <v>VENTILACION TEVA S.A.</v>
          </cell>
          <cell r="G1521">
            <v>1065452571.4400001</v>
          </cell>
          <cell r="H1521">
            <v>1065452571.4400001</v>
          </cell>
          <cell r="I1521" t="str">
            <v>534</v>
          </cell>
        </row>
        <row r="1522">
          <cell r="A1522" t="str">
            <v>ARS</v>
          </cell>
          <cell r="B1522" t="str">
            <v>534001303</v>
          </cell>
          <cell r="C1522" t="str">
            <v>Firmani, Teddy Luis</v>
          </cell>
          <cell r="G1522">
            <v>3659293</v>
          </cell>
          <cell r="H1522">
            <v>3659293</v>
          </cell>
          <cell r="I1522" t="str">
            <v>534</v>
          </cell>
        </row>
        <row r="1523">
          <cell r="A1523" t="str">
            <v>ARS</v>
          </cell>
          <cell r="B1523" t="str">
            <v>534001304</v>
          </cell>
          <cell r="C1523" t="str">
            <v xml:space="preserve">Cortes, Gabriela Noemi &amp; Paradiñeiro, Víctor Hugo &amp; Paradiñeiro, Martina </v>
          </cell>
          <cell r="G1523">
            <v>68925902.629999995</v>
          </cell>
          <cell r="H1523">
            <v>68925902.629999995</v>
          </cell>
          <cell r="I1523" t="str">
            <v>534</v>
          </cell>
        </row>
        <row r="1524">
          <cell r="A1524" t="str">
            <v>ARS</v>
          </cell>
          <cell r="B1524" t="str">
            <v>534001306</v>
          </cell>
          <cell r="C1524" t="str">
            <v>DIIA LITORAL S.R.L.</v>
          </cell>
          <cell r="G1524">
            <v>549671</v>
          </cell>
          <cell r="H1524">
            <v>549671</v>
          </cell>
          <cell r="I1524" t="str">
            <v>534</v>
          </cell>
        </row>
        <row r="1525">
          <cell r="A1525" t="str">
            <v>ARS</v>
          </cell>
          <cell r="B1525" t="str">
            <v>534001307</v>
          </cell>
          <cell r="C1525" t="str">
            <v>Suarez Y Llaneza, Manuel &amp; Arias, Liliana Patricia &amp; Suarez Arias, Julia</v>
          </cell>
          <cell r="G1525">
            <v>3188355</v>
          </cell>
          <cell r="H1525">
            <v>3188355</v>
          </cell>
          <cell r="I1525" t="str">
            <v>534</v>
          </cell>
        </row>
        <row r="1526">
          <cell r="A1526" t="str">
            <v>ARS</v>
          </cell>
          <cell r="B1526" t="str">
            <v>534001310</v>
          </cell>
          <cell r="C1526" t="str">
            <v>Guasp, Pablo Miguel</v>
          </cell>
          <cell r="G1526">
            <v>55890</v>
          </cell>
          <cell r="H1526">
            <v>55890</v>
          </cell>
          <cell r="I1526" t="str">
            <v>534</v>
          </cell>
        </row>
        <row r="1527">
          <cell r="A1527" t="str">
            <v>ARS</v>
          </cell>
          <cell r="B1527" t="str">
            <v>534001350</v>
          </cell>
          <cell r="C1527" t="str">
            <v>ALTA BIO S.A.</v>
          </cell>
          <cell r="G1527">
            <v>984866</v>
          </cell>
          <cell r="H1527">
            <v>984866</v>
          </cell>
          <cell r="I1527" t="str">
            <v>534</v>
          </cell>
        </row>
        <row r="1528">
          <cell r="A1528" t="str">
            <v>ARS</v>
          </cell>
          <cell r="B1528" t="str">
            <v>534001353</v>
          </cell>
          <cell r="C1528" t="str">
            <v>Senillosa Vidal, Eduardo</v>
          </cell>
          <cell r="G1528">
            <v>1277861</v>
          </cell>
          <cell r="H1528">
            <v>1277861</v>
          </cell>
          <cell r="I1528" t="str">
            <v>534</v>
          </cell>
        </row>
        <row r="1529">
          <cell r="A1529" t="str">
            <v>ARS</v>
          </cell>
          <cell r="B1529" t="str">
            <v>534001358</v>
          </cell>
          <cell r="C1529" t="str">
            <v>Gomez Pola, Matias</v>
          </cell>
          <cell r="G1529">
            <v>7605.9</v>
          </cell>
          <cell r="H1529">
            <v>7605.9</v>
          </cell>
          <cell r="I1529" t="str">
            <v>534</v>
          </cell>
        </row>
        <row r="1530">
          <cell r="A1530" t="str">
            <v>ARS</v>
          </cell>
          <cell r="B1530" t="str">
            <v>534002001</v>
          </cell>
          <cell r="C1530" t="str">
            <v>[C.E.R.A.]  Busquet, Miguel Angel</v>
          </cell>
          <cell r="G1530">
            <v>28525440</v>
          </cell>
          <cell r="H1530">
            <v>28525440</v>
          </cell>
          <cell r="I1530" t="str">
            <v>534</v>
          </cell>
        </row>
        <row r="1531">
          <cell r="A1531" t="str">
            <v>ARS</v>
          </cell>
          <cell r="B1531" t="str">
            <v>534002002</v>
          </cell>
          <cell r="C1531" t="str">
            <v>[C.E.R.A.] Lopez, Adriana Maria</v>
          </cell>
          <cell r="G1531">
            <v>156414820</v>
          </cell>
          <cell r="H1531">
            <v>156414820</v>
          </cell>
          <cell r="I1531" t="str">
            <v>534</v>
          </cell>
        </row>
        <row r="1532">
          <cell r="A1532" t="str">
            <v>ARS</v>
          </cell>
          <cell r="B1532" t="str">
            <v>534002003</v>
          </cell>
          <cell r="C1532" t="str">
            <v>[C.E.R.A.] Lopez, Mauricio Marcelo</v>
          </cell>
          <cell r="G1532">
            <v>225262739.38</v>
          </cell>
          <cell r="H1532">
            <v>225262739.38</v>
          </cell>
          <cell r="I1532" t="str">
            <v>534</v>
          </cell>
        </row>
        <row r="1533">
          <cell r="A1533" t="str">
            <v>ARS</v>
          </cell>
          <cell r="B1533" t="str">
            <v>534002004</v>
          </cell>
          <cell r="C1533" t="str">
            <v>[C.E.R.A.] Buciol, Ariel</v>
          </cell>
          <cell r="G1533">
            <v>42927756.030000001</v>
          </cell>
          <cell r="H1533">
            <v>42927756.030000001</v>
          </cell>
          <cell r="I1533" t="str">
            <v>534</v>
          </cell>
        </row>
        <row r="1534">
          <cell r="A1534" t="str">
            <v>ARS</v>
          </cell>
          <cell r="B1534" t="str">
            <v>534002007</v>
          </cell>
          <cell r="C1534" t="str">
            <v>[C.E.R.A.] Micheltorena, Ariel Norberto</v>
          </cell>
          <cell r="G1534">
            <v>29355429.5</v>
          </cell>
          <cell r="H1534">
            <v>29355429.5</v>
          </cell>
          <cell r="I1534" t="str">
            <v>534</v>
          </cell>
        </row>
        <row r="1535">
          <cell r="A1535" t="str">
            <v>ARS</v>
          </cell>
          <cell r="B1535" t="str">
            <v>534005015</v>
          </cell>
          <cell r="C1535" t="str">
            <v xml:space="preserve">Gusmerini, Fernando Javier </v>
          </cell>
          <cell r="G1535">
            <v>294194495</v>
          </cell>
          <cell r="H1535">
            <v>294194495</v>
          </cell>
          <cell r="I1535" t="str">
            <v>534</v>
          </cell>
        </row>
        <row r="1536">
          <cell r="A1536" t="str">
            <v>ARS</v>
          </cell>
          <cell r="B1536" t="str">
            <v>534005016</v>
          </cell>
          <cell r="C1536" t="str">
            <v>Varrenti, Monica Fiorella &amp; Varrenti, Debora Jimena</v>
          </cell>
          <cell r="G1536">
            <v>3644910</v>
          </cell>
          <cell r="H1536">
            <v>3644910</v>
          </cell>
          <cell r="I1536" t="str">
            <v>534</v>
          </cell>
        </row>
        <row r="1537">
          <cell r="A1537" t="str">
            <v>ARS</v>
          </cell>
          <cell r="B1537" t="str">
            <v>534005021</v>
          </cell>
          <cell r="C1537" t="str">
            <v>Lince, Sandra Griselda</v>
          </cell>
          <cell r="G1537">
            <v>1883273</v>
          </cell>
          <cell r="H1537">
            <v>1883273</v>
          </cell>
          <cell r="I1537" t="str">
            <v>534</v>
          </cell>
        </row>
        <row r="1538">
          <cell r="A1538" t="str">
            <v>ARS</v>
          </cell>
          <cell r="B1538" t="str">
            <v>534005022</v>
          </cell>
          <cell r="C1538" t="str">
            <v xml:space="preserve">Figliolo, Carolina </v>
          </cell>
          <cell r="G1538">
            <v>578921</v>
          </cell>
          <cell r="H1538">
            <v>578921</v>
          </cell>
          <cell r="I1538" t="str">
            <v>534</v>
          </cell>
        </row>
        <row r="1539">
          <cell r="A1539" t="str">
            <v>ARS</v>
          </cell>
          <cell r="B1539" t="str">
            <v>534005023</v>
          </cell>
          <cell r="C1539" t="str">
            <v xml:space="preserve">Cuervo, Roberto Saverio  &amp; Renus, Maria Alejandra </v>
          </cell>
          <cell r="G1539">
            <v>57595766.850000001</v>
          </cell>
          <cell r="H1539">
            <v>57595766.850000001</v>
          </cell>
          <cell r="I1539" t="str">
            <v>534</v>
          </cell>
        </row>
        <row r="1540">
          <cell r="A1540" t="str">
            <v>ARS</v>
          </cell>
          <cell r="B1540" t="str">
            <v>534005031</v>
          </cell>
          <cell r="C1540" t="str">
            <v>Perez Zanabria, Marianela &amp; Quispe Romero, Rolando</v>
          </cell>
          <cell r="G1540">
            <v>1821910</v>
          </cell>
          <cell r="H1540">
            <v>1821910</v>
          </cell>
          <cell r="I1540" t="str">
            <v>534</v>
          </cell>
        </row>
        <row r="1541">
          <cell r="A1541" t="str">
            <v>ARS</v>
          </cell>
          <cell r="B1541" t="str">
            <v>534005038</v>
          </cell>
          <cell r="C1541" t="str">
            <v xml:space="preserve">Mazzoni, María Claudia &amp; Varrenti, Armando </v>
          </cell>
          <cell r="G1541">
            <v>18682525</v>
          </cell>
          <cell r="H1541">
            <v>18682525</v>
          </cell>
          <cell r="I1541" t="str">
            <v>534</v>
          </cell>
        </row>
        <row r="1542">
          <cell r="A1542" t="str">
            <v>ARS</v>
          </cell>
          <cell r="B1542" t="str">
            <v>534005044</v>
          </cell>
          <cell r="C1542" t="str">
            <v>Torres Parra, Javier Fernando</v>
          </cell>
          <cell r="G1542">
            <v>513154</v>
          </cell>
          <cell r="H1542">
            <v>513154</v>
          </cell>
          <cell r="I1542" t="str">
            <v>534</v>
          </cell>
        </row>
        <row r="1543">
          <cell r="A1543" t="str">
            <v>ARS</v>
          </cell>
          <cell r="B1543" t="str">
            <v>534005046</v>
          </cell>
          <cell r="C1543" t="str">
            <v>Obarrio, Marina Agustina &amp; Escalante, Ezequiel</v>
          </cell>
          <cell r="G1543">
            <v>1459319</v>
          </cell>
          <cell r="H1543">
            <v>1459319</v>
          </cell>
          <cell r="I1543" t="str">
            <v>534</v>
          </cell>
        </row>
        <row r="1544">
          <cell r="A1544" t="str">
            <v>ARS</v>
          </cell>
          <cell r="B1544" t="str">
            <v>534005049</v>
          </cell>
          <cell r="C1544" t="str">
            <v>Lopez, Adriana María</v>
          </cell>
          <cell r="G1544">
            <v>13071009</v>
          </cell>
          <cell r="H1544">
            <v>13071009</v>
          </cell>
          <cell r="I1544" t="str">
            <v>534</v>
          </cell>
        </row>
        <row r="1545">
          <cell r="A1545" t="str">
            <v>ARS</v>
          </cell>
          <cell r="B1545" t="str">
            <v>534005050</v>
          </cell>
          <cell r="C1545" t="str">
            <v>Lopez, Mauricio Marcelo</v>
          </cell>
          <cell r="G1545">
            <v>335767505</v>
          </cell>
          <cell r="H1545">
            <v>335767505</v>
          </cell>
          <cell r="I1545" t="str">
            <v>534</v>
          </cell>
        </row>
        <row r="1546">
          <cell r="A1546" t="str">
            <v>ARS</v>
          </cell>
          <cell r="B1546" t="str">
            <v>534005056</v>
          </cell>
          <cell r="C1546" t="str">
            <v>Darlan, Alberto Gabriel</v>
          </cell>
          <cell r="G1546">
            <v>1797203</v>
          </cell>
          <cell r="H1546">
            <v>1797203</v>
          </cell>
          <cell r="I1546" t="str">
            <v>534</v>
          </cell>
        </row>
        <row r="1547">
          <cell r="A1547" t="str">
            <v>ARS</v>
          </cell>
          <cell r="B1547" t="str">
            <v>534005066</v>
          </cell>
          <cell r="C1547" t="str">
            <v>Pelizzari, Patricio Nelson</v>
          </cell>
          <cell r="G1547">
            <v>2356355</v>
          </cell>
          <cell r="H1547">
            <v>2356355</v>
          </cell>
          <cell r="I1547" t="str">
            <v>534</v>
          </cell>
        </row>
        <row r="1548">
          <cell r="A1548" t="str">
            <v>ARS</v>
          </cell>
          <cell r="B1548" t="str">
            <v>534005072</v>
          </cell>
          <cell r="C1548" t="str">
            <v>Morala, Gonzalo</v>
          </cell>
          <cell r="G1548">
            <v>547597</v>
          </cell>
          <cell r="H1548">
            <v>547597</v>
          </cell>
          <cell r="I1548" t="str">
            <v>534</v>
          </cell>
        </row>
        <row r="1549">
          <cell r="A1549" t="str">
            <v>ARS</v>
          </cell>
          <cell r="B1549" t="str">
            <v>534005074</v>
          </cell>
          <cell r="C1549" t="str">
            <v>Romero, Miguel Santiago</v>
          </cell>
          <cell r="G1549">
            <v>743313</v>
          </cell>
          <cell r="H1549">
            <v>743313</v>
          </cell>
          <cell r="I1549" t="str">
            <v>534</v>
          </cell>
        </row>
        <row r="1550">
          <cell r="A1550" t="str">
            <v>ARS</v>
          </cell>
          <cell r="B1550" t="str">
            <v>534005076</v>
          </cell>
          <cell r="C1550" t="str">
            <v>Gusmerini, Juan Agustín</v>
          </cell>
          <cell r="G1550">
            <v>1244510</v>
          </cell>
          <cell r="H1550">
            <v>1244510</v>
          </cell>
          <cell r="I1550" t="str">
            <v>534</v>
          </cell>
        </row>
        <row r="1551">
          <cell r="A1551" t="str">
            <v>ARS</v>
          </cell>
          <cell r="B1551" t="str">
            <v>534005077</v>
          </cell>
          <cell r="C1551" t="str">
            <v>Salvo, Cecilia Irma</v>
          </cell>
          <cell r="G1551">
            <v>137354750</v>
          </cell>
          <cell r="H1551">
            <v>137354750</v>
          </cell>
          <cell r="I1551" t="str">
            <v>534</v>
          </cell>
        </row>
        <row r="1552">
          <cell r="A1552" t="str">
            <v>ARS</v>
          </cell>
          <cell r="B1552" t="str">
            <v>534005080</v>
          </cell>
          <cell r="C1552" t="str">
            <v>Guerrero, Gonzalo Luis</v>
          </cell>
          <cell r="G1552">
            <v>77858897</v>
          </cell>
          <cell r="H1552">
            <v>77858897</v>
          </cell>
          <cell r="I1552" t="str">
            <v>534</v>
          </cell>
        </row>
        <row r="1553">
          <cell r="A1553" t="str">
            <v>ARS</v>
          </cell>
          <cell r="B1553" t="str">
            <v>534005083</v>
          </cell>
          <cell r="C1553" t="str">
            <v>Vallerino, Cecilia &amp; Fernández, Diego Martín</v>
          </cell>
          <cell r="G1553">
            <v>1006394</v>
          </cell>
          <cell r="H1553">
            <v>1006394</v>
          </cell>
          <cell r="I1553" t="str">
            <v>534</v>
          </cell>
        </row>
        <row r="1554">
          <cell r="A1554" t="str">
            <v>ARS</v>
          </cell>
          <cell r="B1554" t="str">
            <v>534005086</v>
          </cell>
          <cell r="C1554" t="str">
            <v>Rindone, Sabrina</v>
          </cell>
          <cell r="G1554">
            <v>36178716</v>
          </cell>
          <cell r="H1554">
            <v>36178716</v>
          </cell>
          <cell r="I1554" t="str">
            <v>534</v>
          </cell>
        </row>
        <row r="1555">
          <cell r="A1555" t="str">
            <v>ARS</v>
          </cell>
          <cell r="B1555" t="str">
            <v>534005088</v>
          </cell>
          <cell r="C1555" t="str">
            <v xml:space="preserve">Arias, Jorge Alberto &amp; Arias, María Josefina </v>
          </cell>
          <cell r="G1555">
            <v>3054980</v>
          </cell>
          <cell r="H1555">
            <v>3054980</v>
          </cell>
          <cell r="I1555" t="str">
            <v>534</v>
          </cell>
        </row>
        <row r="1556">
          <cell r="A1556" t="str">
            <v>ARS</v>
          </cell>
          <cell r="B1556" t="str">
            <v>534005100</v>
          </cell>
          <cell r="C1556" t="str">
            <v>Puzer, Valeria &amp; Martínez, Hernán</v>
          </cell>
          <cell r="G1556">
            <v>3049550</v>
          </cell>
          <cell r="H1556">
            <v>3049550</v>
          </cell>
          <cell r="I1556" t="str">
            <v>534</v>
          </cell>
        </row>
        <row r="1557">
          <cell r="A1557" t="str">
            <v>ARS</v>
          </cell>
          <cell r="B1557" t="str">
            <v>534005103</v>
          </cell>
          <cell r="C1557" t="str">
            <v>Martino, Marcelo Osvaldo</v>
          </cell>
          <cell r="G1557">
            <v>13541510</v>
          </cell>
          <cell r="H1557">
            <v>13541510</v>
          </cell>
          <cell r="I1557" t="str">
            <v>534</v>
          </cell>
        </row>
        <row r="1558">
          <cell r="A1558" t="str">
            <v>ARS</v>
          </cell>
          <cell r="B1558" t="str">
            <v>534005105</v>
          </cell>
          <cell r="C1558" t="str">
            <v>Maneiro, Sergio Ariel</v>
          </cell>
          <cell r="G1558">
            <v>116637066</v>
          </cell>
          <cell r="H1558">
            <v>116637066</v>
          </cell>
          <cell r="I1558" t="str">
            <v>534</v>
          </cell>
        </row>
        <row r="1559">
          <cell r="A1559" t="str">
            <v>ARS</v>
          </cell>
          <cell r="B1559" t="str">
            <v>534005110</v>
          </cell>
          <cell r="C1559" t="str">
            <v>D´angelo, Ariel Gustavo</v>
          </cell>
          <cell r="G1559">
            <v>17273699.199999999</v>
          </cell>
          <cell r="H1559">
            <v>17273699.199999999</v>
          </cell>
          <cell r="I1559" t="str">
            <v>534</v>
          </cell>
        </row>
        <row r="1560">
          <cell r="A1560" t="str">
            <v>ARS</v>
          </cell>
          <cell r="B1560" t="str">
            <v>534005113</v>
          </cell>
          <cell r="C1560" t="str">
            <v>Martínez, Leandro German</v>
          </cell>
          <cell r="G1560">
            <v>2422576</v>
          </cell>
          <cell r="H1560">
            <v>2422576</v>
          </cell>
          <cell r="I1560" t="str">
            <v>534</v>
          </cell>
        </row>
        <row r="1561">
          <cell r="A1561" t="str">
            <v>ARS</v>
          </cell>
          <cell r="B1561" t="str">
            <v>534005117</v>
          </cell>
          <cell r="C1561" t="str">
            <v>María Laura Yahdjian</v>
          </cell>
          <cell r="G1561">
            <v>788731</v>
          </cell>
          <cell r="H1561">
            <v>788731</v>
          </cell>
          <cell r="I1561" t="str">
            <v>534</v>
          </cell>
        </row>
        <row r="1562">
          <cell r="A1562" t="str">
            <v>ARS</v>
          </cell>
          <cell r="B1562" t="str">
            <v>534005119</v>
          </cell>
          <cell r="C1562" t="str">
            <v>Llorens Jorge Alberto &amp; Rozados Alejandra</v>
          </cell>
          <cell r="G1562">
            <v>22289871</v>
          </cell>
          <cell r="H1562">
            <v>22289871</v>
          </cell>
          <cell r="I1562" t="str">
            <v>534</v>
          </cell>
        </row>
        <row r="1563">
          <cell r="A1563" t="str">
            <v>ARS</v>
          </cell>
          <cell r="B1563" t="str">
            <v>534005122</v>
          </cell>
          <cell r="C1563" t="str">
            <v>Galindo, Mabel Iris &amp; Aguiló, Hugo Osvaldo</v>
          </cell>
          <cell r="G1563">
            <v>3076491</v>
          </cell>
          <cell r="H1563">
            <v>3076491</v>
          </cell>
          <cell r="I1563" t="str">
            <v>534</v>
          </cell>
        </row>
        <row r="1564">
          <cell r="A1564" t="str">
            <v>ARS</v>
          </cell>
          <cell r="B1564" t="str">
            <v>534005127</v>
          </cell>
          <cell r="C1564" t="str">
            <v xml:space="preserve">Vega Riera, Santiago </v>
          </cell>
          <cell r="G1564">
            <v>5136518.95</v>
          </cell>
          <cell r="H1564">
            <v>5136518.95</v>
          </cell>
          <cell r="I1564" t="str">
            <v>534</v>
          </cell>
        </row>
        <row r="1565">
          <cell r="A1565" t="str">
            <v>ARS</v>
          </cell>
          <cell r="B1565" t="str">
            <v>534005129</v>
          </cell>
          <cell r="C1565" t="str">
            <v>Ortiz, Isabel Gladys &amp; Barrientos, Nelson Gabriel</v>
          </cell>
          <cell r="G1565">
            <v>6403171</v>
          </cell>
          <cell r="H1565">
            <v>6403171</v>
          </cell>
          <cell r="I1565" t="str">
            <v>534</v>
          </cell>
        </row>
        <row r="1566">
          <cell r="A1566" t="str">
            <v>ARS</v>
          </cell>
          <cell r="B1566" t="str">
            <v>534005133</v>
          </cell>
          <cell r="C1566" t="str">
            <v>Barreiro, Amilcar Oscar</v>
          </cell>
          <cell r="G1566">
            <v>561323</v>
          </cell>
          <cell r="H1566">
            <v>561323</v>
          </cell>
          <cell r="I1566" t="str">
            <v>534</v>
          </cell>
        </row>
        <row r="1567">
          <cell r="A1567" t="str">
            <v>ARS</v>
          </cell>
          <cell r="B1567" t="str">
            <v>534005139</v>
          </cell>
          <cell r="C1567" t="str">
            <v>Santiago, Pablo Javier</v>
          </cell>
          <cell r="G1567">
            <v>221280097</v>
          </cell>
          <cell r="H1567">
            <v>221280097</v>
          </cell>
          <cell r="I1567" t="str">
            <v>534</v>
          </cell>
        </row>
        <row r="1568">
          <cell r="A1568" t="str">
            <v>ARS</v>
          </cell>
          <cell r="B1568" t="str">
            <v>534005140</v>
          </cell>
          <cell r="C1568" t="str">
            <v xml:space="preserve">Etcheverry, Jorge </v>
          </cell>
          <cell r="G1568">
            <v>517803</v>
          </cell>
          <cell r="H1568">
            <v>517803</v>
          </cell>
          <cell r="I1568" t="str">
            <v>534</v>
          </cell>
        </row>
        <row r="1569">
          <cell r="A1569" t="str">
            <v>ARS</v>
          </cell>
          <cell r="B1569" t="str">
            <v>534005141</v>
          </cell>
          <cell r="C1569" t="str">
            <v>Waddle, Alejandro Osvaldo</v>
          </cell>
          <cell r="G1569">
            <v>17159235</v>
          </cell>
          <cell r="H1569">
            <v>17159235</v>
          </cell>
          <cell r="I1569" t="str">
            <v>534</v>
          </cell>
        </row>
        <row r="1570">
          <cell r="A1570" t="str">
            <v>ARS</v>
          </cell>
          <cell r="B1570" t="str">
            <v>534005144</v>
          </cell>
          <cell r="C1570" t="str">
            <v>Verniz, Cecilia Mercedes</v>
          </cell>
          <cell r="G1570">
            <v>24002478.199999999</v>
          </cell>
          <cell r="H1570">
            <v>24002478.199999999</v>
          </cell>
          <cell r="I1570" t="str">
            <v>534</v>
          </cell>
        </row>
        <row r="1571">
          <cell r="A1571" t="str">
            <v>ARS</v>
          </cell>
          <cell r="B1571" t="str">
            <v>534005145</v>
          </cell>
          <cell r="C1571" t="str">
            <v>Bertolotti, Esteban Mauricio</v>
          </cell>
          <cell r="G1571">
            <v>332149903.19999999</v>
          </cell>
          <cell r="H1571">
            <v>332149903.19999999</v>
          </cell>
          <cell r="I1571" t="str">
            <v>534</v>
          </cell>
        </row>
        <row r="1572">
          <cell r="A1572" t="str">
            <v>ARS</v>
          </cell>
          <cell r="B1572" t="str">
            <v>534005147</v>
          </cell>
          <cell r="C1572" t="str">
            <v>Urbano, Raul Omar &amp; Borgogna, Adriana Mercedes Luisa</v>
          </cell>
          <cell r="G1572">
            <v>28044797</v>
          </cell>
          <cell r="H1572">
            <v>28044797</v>
          </cell>
          <cell r="I1572" t="str">
            <v>534</v>
          </cell>
        </row>
        <row r="1573">
          <cell r="A1573" t="str">
            <v>ARS</v>
          </cell>
          <cell r="B1573" t="str">
            <v>534005157</v>
          </cell>
          <cell r="C1573" t="str">
            <v>Arias, Juan Pablo</v>
          </cell>
          <cell r="G1573">
            <v>1750611</v>
          </cell>
          <cell r="H1573">
            <v>1750611</v>
          </cell>
          <cell r="I1573" t="str">
            <v>534</v>
          </cell>
        </row>
        <row r="1574">
          <cell r="A1574" t="str">
            <v>ARS</v>
          </cell>
          <cell r="B1574" t="str">
            <v>534005165</v>
          </cell>
          <cell r="C1574" t="str">
            <v xml:space="preserve">Bastanchuri, Maria Mercedes &amp; Draghi, Ignacio Gabriel </v>
          </cell>
          <cell r="G1574">
            <v>727223</v>
          </cell>
          <cell r="H1574">
            <v>727223</v>
          </cell>
          <cell r="I1574" t="str">
            <v>534</v>
          </cell>
        </row>
        <row r="1575">
          <cell r="A1575" t="str">
            <v>ARS</v>
          </cell>
          <cell r="B1575" t="str">
            <v>534005169</v>
          </cell>
          <cell r="C1575" t="str">
            <v>LLorens, Valentín &amp; Llorens, Juan Manuel</v>
          </cell>
          <cell r="G1575">
            <v>1006464</v>
          </cell>
          <cell r="H1575">
            <v>1006464</v>
          </cell>
          <cell r="I1575" t="str">
            <v>534</v>
          </cell>
        </row>
        <row r="1576">
          <cell r="A1576" t="str">
            <v>ARS</v>
          </cell>
          <cell r="B1576" t="str">
            <v>534005170</v>
          </cell>
          <cell r="C1576" t="str">
            <v>Barreiro, Amilcar Oscar (II)</v>
          </cell>
          <cell r="G1576">
            <v>464366</v>
          </cell>
          <cell r="H1576">
            <v>464366</v>
          </cell>
          <cell r="I1576" t="str">
            <v>534</v>
          </cell>
        </row>
        <row r="1577">
          <cell r="A1577" t="str">
            <v>ARS</v>
          </cell>
          <cell r="B1577" t="str">
            <v>534005172</v>
          </cell>
          <cell r="C1577" t="str">
            <v xml:space="preserve">Lavalle, Virginia </v>
          </cell>
          <cell r="G1577">
            <v>2382370</v>
          </cell>
          <cell r="H1577">
            <v>2382370</v>
          </cell>
          <cell r="I1577" t="str">
            <v>534</v>
          </cell>
        </row>
        <row r="1578">
          <cell r="A1578" t="str">
            <v>ARS</v>
          </cell>
          <cell r="B1578" t="str">
            <v>534005177</v>
          </cell>
          <cell r="C1578" t="str">
            <v>Passarelli, Carla</v>
          </cell>
          <cell r="G1578">
            <v>846060</v>
          </cell>
          <cell r="H1578">
            <v>846060</v>
          </cell>
          <cell r="I1578" t="str">
            <v>534</v>
          </cell>
        </row>
        <row r="1579">
          <cell r="A1579" t="str">
            <v>ARS</v>
          </cell>
          <cell r="B1579" t="str">
            <v>534005178</v>
          </cell>
          <cell r="C1579" t="str">
            <v>Bermudez, Natalia Veronica</v>
          </cell>
          <cell r="G1579">
            <v>1915133</v>
          </cell>
          <cell r="H1579">
            <v>1915133</v>
          </cell>
          <cell r="I1579" t="str">
            <v>534</v>
          </cell>
        </row>
        <row r="1580">
          <cell r="A1580" t="str">
            <v>ARS</v>
          </cell>
          <cell r="B1580" t="str">
            <v>534005179</v>
          </cell>
          <cell r="C1580" t="str">
            <v>Diaz, Juan Ignacio</v>
          </cell>
          <cell r="G1580">
            <v>34625936.659999996</v>
          </cell>
          <cell r="H1580">
            <v>34625936.659999996</v>
          </cell>
          <cell r="I1580" t="str">
            <v>534</v>
          </cell>
        </row>
        <row r="1581">
          <cell r="A1581" t="str">
            <v>ARS</v>
          </cell>
          <cell r="B1581" t="str">
            <v>534005188</v>
          </cell>
          <cell r="C1581" t="str">
            <v>Villalba Diaz, Santiago Adolfo</v>
          </cell>
          <cell r="G1581">
            <v>1396197</v>
          </cell>
          <cell r="H1581">
            <v>1396197</v>
          </cell>
          <cell r="I1581" t="str">
            <v>534</v>
          </cell>
        </row>
        <row r="1582">
          <cell r="A1582" t="str">
            <v>ARS</v>
          </cell>
          <cell r="B1582" t="str">
            <v>534005189</v>
          </cell>
          <cell r="C1582" t="str">
            <v>Vega Riera, Julieta</v>
          </cell>
          <cell r="G1582">
            <v>4017753.5</v>
          </cell>
          <cell r="H1582">
            <v>4017753.5</v>
          </cell>
          <cell r="I1582" t="str">
            <v>534</v>
          </cell>
        </row>
        <row r="1583">
          <cell r="A1583" t="str">
            <v>ARS</v>
          </cell>
          <cell r="B1583" t="str">
            <v>534005190</v>
          </cell>
          <cell r="C1583" t="str">
            <v>Miñana, Santiago</v>
          </cell>
          <cell r="G1583">
            <v>666178</v>
          </cell>
          <cell r="H1583">
            <v>666178</v>
          </cell>
          <cell r="I1583" t="str">
            <v>534</v>
          </cell>
        </row>
        <row r="1584">
          <cell r="A1584" t="str">
            <v>ARS</v>
          </cell>
          <cell r="B1584" t="str">
            <v>534005193</v>
          </cell>
          <cell r="C1584" t="str">
            <v>Civarolo, Maria Mercedes</v>
          </cell>
          <cell r="G1584">
            <v>658648</v>
          </cell>
          <cell r="H1584">
            <v>658648</v>
          </cell>
          <cell r="I1584" t="str">
            <v>534</v>
          </cell>
        </row>
        <row r="1585">
          <cell r="A1585" t="str">
            <v>ARS</v>
          </cell>
          <cell r="B1585" t="str">
            <v>534005196</v>
          </cell>
          <cell r="C1585" t="str">
            <v>Invernizzi, Martin Alberto &amp; Invernizzi Anselmi, Fabrizio Marco</v>
          </cell>
          <cell r="G1585">
            <v>117156837</v>
          </cell>
          <cell r="H1585">
            <v>117156837</v>
          </cell>
          <cell r="I1585" t="str">
            <v>534</v>
          </cell>
        </row>
        <row r="1586">
          <cell r="A1586" t="str">
            <v>ARS</v>
          </cell>
          <cell r="B1586" t="str">
            <v>534005198</v>
          </cell>
          <cell r="C1586" t="str">
            <v>Alonso, Pablo Christian &amp; Cinat, Constanza Pia</v>
          </cell>
          <cell r="G1586">
            <v>705572426</v>
          </cell>
          <cell r="H1586">
            <v>705572426</v>
          </cell>
          <cell r="I1586" t="str">
            <v>534</v>
          </cell>
        </row>
        <row r="1587">
          <cell r="A1587" t="str">
            <v>ARS</v>
          </cell>
          <cell r="B1587" t="str">
            <v>534005200</v>
          </cell>
          <cell r="C1587" t="str">
            <v>Guerrero, Luis Balbino</v>
          </cell>
          <cell r="G1587">
            <v>4640292</v>
          </cell>
          <cell r="H1587">
            <v>4640292</v>
          </cell>
          <cell r="I1587" t="str">
            <v>534</v>
          </cell>
        </row>
        <row r="1588">
          <cell r="A1588" t="str">
            <v>ARS</v>
          </cell>
          <cell r="B1588" t="str">
            <v>534005201</v>
          </cell>
          <cell r="C1588" t="str">
            <v>Magri, Jose</v>
          </cell>
          <cell r="G1588">
            <v>6408958.2999999998</v>
          </cell>
          <cell r="H1588">
            <v>6408958.2999999998</v>
          </cell>
          <cell r="I1588" t="str">
            <v>534</v>
          </cell>
        </row>
        <row r="1589">
          <cell r="A1589" t="str">
            <v>ARS</v>
          </cell>
          <cell r="B1589" t="str">
            <v>534005241</v>
          </cell>
          <cell r="C1589" t="str">
            <v>Espiasse, Augusto</v>
          </cell>
          <cell r="G1589">
            <v>1024486</v>
          </cell>
          <cell r="H1589">
            <v>1024486</v>
          </cell>
          <cell r="I1589" t="str">
            <v>534</v>
          </cell>
        </row>
        <row r="1590">
          <cell r="A1590" t="str">
            <v>ARS</v>
          </cell>
          <cell r="B1590" t="str">
            <v>534005248</v>
          </cell>
          <cell r="C1590" t="str">
            <v>Llorens, Valentin &amp; Rozados, Alejandra</v>
          </cell>
          <cell r="G1590">
            <v>13317893</v>
          </cell>
          <cell r="H1590">
            <v>13317893</v>
          </cell>
          <cell r="I1590" t="str">
            <v>534</v>
          </cell>
        </row>
        <row r="1591">
          <cell r="A1591" t="str">
            <v>ARS</v>
          </cell>
          <cell r="B1591" t="str">
            <v>534005252</v>
          </cell>
          <cell r="C1591" t="str">
            <v>Garate, Cristina Claudia &amp; Garate, Luis Antonio &amp; Garate, Pedro</v>
          </cell>
          <cell r="G1591">
            <v>168421800</v>
          </cell>
          <cell r="H1591">
            <v>168421800</v>
          </cell>
          <cell r="I1591" t="str">
            <v>534</v>
          </cell>
        </row>
        <row r="1592">
          <cell r="A1592" t="str">
            <v>ARS</v>
          </cell>
          <cell r="B1592" t="str">
            <v>534005253</v>
          </cell>
          <cell r="C1592" t="str">
            <v>Rios Echaniz, Carmela</v>
          </cell>
          <cell r="G1592">
            <v>15893292</v>
          </cell>
          <cell r="H1592">
            <v>15893292</v>
          </cell>
          <cell r="I1592" t="str">
            <v>534</v>
          </cell>
        </row>
        <row r="1593">
          <cell r="A1593" t="str">
            <v>ARS</v>
          </cell>
          <cell r="B1593" t="str">
            <v>534005254</v>
          </cell>
          <cell r="C1593" t="str">
            <v>Massaro Romero, Gonzalo</v>
          </cell>
          <cell r="G1593">
            <v>2030726</v>
          </cell>
          <cell r="H1593">
            <v>2030726</v>
          </cell>
          <cell r="I1593" t="str">
            <v>534</v>
          </cell>
        </row>
        <row r="1594">
          <cell r="A1594" t="str">
            <v>ARS</v>
          </cell>
          <cell r="B1594" t="str">
            <v>534005255</v>
          </cell>
          <cell r="C1594" t="str">
            <v>Khemani, Rajesh &amp; Sachdev, Jyoti</v>
          </cell>
          <cell r="G1594">
            <v>3393428</v>
          </cell>
          <cell r="H1594">
            <v>3393428</v>
          </cell>
          <cell r="I1594" t="str">
            <v>534</v>
          </cell>
        </row>
        <row r="1595">
          <cell r="A1595" t="str">
            <v>ARS</v>
          </cell>
          <cell r="B1595" t="str">
            <v>534005258</v>
          </cell>
          <cell r="C1595" t="str">
            <v>Mendez, Maria Fernanda</v>
          </cell>
          <cell r="G1595">
            <v>217915431.38</v>
          </cell>
          <cell r="H1595">
            <v>217915431.38</v>
          </cell>
          <cell r="I1595" t="str">
            <v>534</v>
          </cell>
        </row>
        <row r="1596">
          <cell r="A1596" t="str">
            <v>ARS</v>
          </cell>
          <cell r="B1596" t="str">
            <v>534005262</v>
          </cell>
          <cell r="C1596" t="str">
            <v>De Rose Bermudez, Mariano Adrian</v>
          </cell>
          <cell r="G1596">
            <v>2890003</v>
          </cell>
          <cell r="H1596">
            <v>2890003</v>
          </cell>
          <cell r="I1596" t="str">
            <v>534</v>
          </cell>
        </row>
        <row r="1597">
          <cell r="A1597" t="str">
            <v>ARS</v>
          </cell>
          <cell r="B1597" t="str">
            <v>534005263</v>
          </cell>
          <cell r="C1597" t="str">
            <v>Allamano Costa, Nicolas</v>
          </cell>
          <cell r="G1597">
            <v>27023704.5</v>
          </cell>
          <cell r="H1597">
            <v>27023704.5</v>
          </cell>
          <cell r="I1597" t="str">
            <v>534</v>
          </cell>
        </row>
        <row r="1598">
          <cell r="A1598" t="str">
            <v>ARS</v>
          </cell>
          <cell r="B1598" t="str">
            <v>534005264</v>
          </cell>
          <cell r="C1598" t="str">
            <v>Permayu, Maira Azul</v>
          </cell>
          <cell r="G1598">
            <v>1704249</v>
          </cell>
          <cell r="H1598">
            <v>1704249</v>
          </cell>
          <cell r="I1598" t="str">
            <v>534</v>
          </cell>
        </row>
        <row r="1599">
          <cell r="A1599" t="str">
            <v>ARS</v>
          </cell>
          <cell r="B1599" t="str">
            <v>534005266</v>
          </cell>
          <cell r="C1599" t="str">
            <v>Santos, Juan Carlos o Giscafre, Nelly</v>
          </cell>
          <cell r="G1599">
            <v>72012</v>
          </cell>
          <cell r="H1599">
            <v>72012</v>
          </cell>
          <cell r="I1599" t="str">
            <v>534</v>
          </cell>
        </row>
        <row r="1600">
          <cell r="A1600" t="str">
            <v>ARS</v>
          </cell>
          <cell r="B1600" t="str">
            <v>534005269</v>
          </cell>
          <cell r="C1600" t="str">
            <v>Romero Barenghi, Juan Pablo</v>
          </cell>
          <cell r="G1600">
            <v>15590825</v>
          </cell>
          <cell r="H1600">
            <v>15590825</v>
          </cell>
          <cell r="I1600" t="str">
            <v>534</v>
          </cell>
        </row>
        <row r="1601">
          <cell r="A1601" t="str">
            <v>ARS</v>
          </cell>
          <cell r="B1601" t="str">
            <v>534005270</v>
          </cell>
          <cell r="C1601" t="str">
            <v>Clarke, Fernando Alfredo</v>
          </cell>
          <cell r="G1601">
            <v>41754970</v>
          </cell>
          <cell r="H1601">
            <v>41754970</v>
          </cell>
          <cell r="I1601" t="str">
            <v>534</v>
          </cell>
        </row>
        <row r="1602">
          <cell r="A1602" t="str">
            <v>ARS</v>
          </cell>
          <cell r="B1602" t="str">
            <v>534005271</v>
          </cell>
          <cell r="C1602" t="str">
            <v>Carlos Oliva, Diana Carolina</v>
          </cell>
          <cell r="G1602">
            <v>7250086</v>
          </cell>
          <cell r="H1602">
            <v>7250086</v>
          </cell>
          <cell r="I1602" t="str">
            <v>534</v>
          </cell>
        </row>
        <row r="1603">
          <cell r="A1603" t="str">
            <v>ARS</v>
          </cell>
          <cell r="B1603" t="str">
            <v>534005275</v>
          </cell>
          <cell r="C1603" t="str">
            <v>TROPEL CERVECERIA DAD LIMITADA SRL</v>
          </cell>
          <cell r="G1603">
            <v>18219849.109999999</v>
          </cell>
          <cell r="H1603">
            <v>18219849.109999999</v>
          </cell>
          <cell r="I1603" t="str">
            <v>534</v>
          </cell>
        </row>
        <row r="1604">
          <cell r="A1604" t="str">
            <v>ARS</v>
          </cell>
          <cell r="B1604" t="str">
            <v>534005276</v>
          </cell>
          <cell r="C1604" t="str">
            <v>Mealla Encina, Ana Carolina</v>
          </cell>
          <cell r="G1604">
            <v>34363401</v>
          </cell>
          <cell r="H1604">
            <v>34363401</v>
          </cell>
          <cell r="I1604" t="str">
            <v>534</v>
          </cell>
        </row>
        <row r="1605">
          <cell r="A1605" t="str">
            <v>ARS</v>
          </cell>
          <cell r="B1605" t="str">
            <v>534005281</v>
          </cell>
          <cell r="C1605" t="str">
            <v>Ramirez, Facundo Alberto Daniel</v>
          </cell>
          <cell r="G1605">
            <v>4581467.9000000004</v>
          </cell>
          <cell r="H1605">
            <v>4581467.9000000004</v>
          </cell>
          <cell r="I1605" t="str">
            <v>534</v>
          </cell>
        </row>
        <row r="1606">
          <cell r="A1606" t="str">
            <v>ARS</v>
          </cell>
          <cell r="B1606" t="str">
            <v>534005282</v>
          </cell>
          <cell r="C1606" t="str">
            <v>DISTRIBUIDORA CAMPOMAR SA</v>
          </cell>
          <cell r="G1606">
            <v>746332842.21000004</v>
          </cell>
          <cell r="H1606">
            <v>746332842.21000004</v>
          </cell>
          <cell r="I1606" t="str">
            <v>534</v>
          </cell>
        </row>
        <row r="1607">
          <cell r="A1607" t="str">
            <v>ARS</v>
          </cell>
          <cell r="B1607" t="str">
            <v>534005285</v>
          </cell>
          <cell r="C1607" t="str">
            <v>Martinez Lipzer, Ivan Guido</v>
          </cell>
          <cell r="G1607">
            <v>3522680</v>
          </cell>
          <cell r="H1607">
            <v>3522680</v>
          </cell>
          <cell r="I1607" t="str">
            <v>534</v>
          </cell>
        </row>
        <row r="1608">
          <cell r="A1608" t="str">
            <v>ARS</v>
          </cell>
          <cell r="B1608" t="str">
            <v>534005286</v>
          </cell>
          <cell r="C1608" t="str">
            <v>Lopez, Ramiro</v>
          </cell>
          <cell r="G1608">
            <v>7310863.5999999996</v>
          </cell>
          <cell r="H1608">
            <v>7310863.5999999996</v>
          </cell>
          <cell r="I1608" t="str">
            <v>534</v>
          </cell>
        </row>
        <row r="1609">
          <cell r="A1609" t="str">
            <v>ARS</v>
          </cell>
          <cell r="B1609" t="str">
            <v>534005287</v>
          </cell>
          <cell r="C1609" t="str">
            <v>Martinez Monroy, Agustina Abigail</v>
          </cell>
          <cell r="G1609">
            <v>837458</v>
          </cell>
          <cell r="H1609">
            <v>837458</v>
          </cell>
          <cell r="I1609" t="str">
            <v>534</v>
          </cell>
        </row>
        <row r="1610">
          <cell r="A1610" t="str">
            <v>ARS</v>
          </cell>
          <cell r="B1610" t="str">
            <v>534005288</v>
          </cell>
          <cell r="C1610" t="str">
            <v>Alonso, Elizabeth</v>
          </cell>
          <cell r="G1610">
            <v>75955592.5</v>
          </cell>
          <cell r="H1610">
            <v>75955592.5</v>
          </cell>
          <cell r="I1610" t="str">
            <v>534</v>
          </cell>
        </row>
        <row r="1611">
          <cell r="A1611" t="str">
            <v>ARS</v>
          </cell>
          <cell r="B1611" t="str">
            <v>534005289</v>
          </cell>
          <cell r="C1611" t="str">
            <v>IBS CORDOBA SA</v>
          </cell>
          <cell r="G1611">
            <v>2436075827</v>
          </cell>
          <cell r="H1611">
            <v>2436075827</v>
          </cell>
          <cell r="I1611" t="str">
            <v>534</v>
          </cell>
        </row>
        <row r="1612">
          <cell r="A1612" t="str">
            <v>ARS</v>
          </cell>
          <cell r="B1612" t="str">
            <v>534005291</v>
          </cell>
          <cell r="C1612" t="str">
            <v>Vargas Rojas, Yhamil Santiago</v>
          </cell>
          <cell r="G1612">
            <v>8869294</v>
          </cell>
          <cell r="H1612">
            <v>8869294</v>
          </cell>
          <cell r="I1612" t="str">
            <v>534</v>
          </cell>
        </row>
        <row r="1613">
          <cell r="A1613" t="str">
            <v>ARS</v>
          </cell>
          <cell r="B1613" t="str">
            <v>534005292</v>
          </cell>
          <cell r="C1613" t="str">
            <v>Allamano Costa, Agustin &amp; Allamano Costa, Nicolas</v>
          </cell>
          <cell r="G1613">
            <v>16184293.199999999</v>
          </cell>
          <cell r="H1613">
            <v>16184293.199999999</v>
          </cell>
          <cell r="I1613" t="str">
            <v>534</v>
          </cell>
        </row>
        <row r="1614">
          <cell r="A1614" t="str">
            <v>ARS</v>
          </cell>
          <cell r="B1614" t="str">
            <v>534005293</v>
          </cell>
          <cell r="C1614" t="str">
            <v>Bonafe, Pedro Nicolas</v>
          </cell>
          <cell r="G1614">
            <v>31199650</v>
          </cell>
          <cell r="H1614">
            <v>31199650</v>
          </cell>
          <cell r="I1614" t="str">
            <v>534</v>
          </cell>
        </row>
        <row r="1615">
          <cell r="A1615" t="str">
            <v>ARS</v>
          </cell>
          <cell r="B1615" t="str">
            <v>534005294</v>
          </cell>
          <cell r="C1615" t="str">
            <v>Oteiza, Eduardo David &amp; Fasciolo, Laura Leandra</v>
          </cell>
          <cell r="G1615">
            <v>21388202</v>
          </cell>
          <cell r="H1615">
            <v>21388202</v>
          </cell>
          <cell r="I1615" t="str">
            <v>534</v>
          </cell>
        </row>
        <row r="1616">
          <cell r="A1616" t="str">
            <v>ARS</v>
          </cell>
          <cell r="B1616" t="str">
            <v>534005296</v>
          </cell>
          <cell r="C1616" t="str">
            <v>SACEIP SA</v>
          </cell>
          <cell r="G1616">
            <v>14341403</v>
          </cell>
          <cell r="H1616">
            <v>14341403</v>
          </cell>
          <cell r="I1616" t="str">
            <v>534</v>
          </cell>
        </row>
        <row r="1617">
          <cell r="A1617" t="str">
            <v>ARS</v>
          </cell>
          <cell r="B1617" t="str">
            <v>534005297</v>
          </cell>
          <cell r="C1617" t="str">
            <v>PFM NUEVA FARMACIA BARRIAL SCS</v>
          </cell>
          <cell r="G1617">
            <v>16509431</v>
          </cell>
          <cell r="H1617">
            <v>16509431</v>
          </cell>
          <cell r="I1617" t="str">
            <v>534</v>
          </cell>
        </row>
        <row r="1618">
          <cell r="A1618" t="str">
            <v>ARS</v>
          </cell>
          <cell r="B1618" t="str">
            <v>534005299</v>
          </cell>
          <cell r="C1618" t="str">
            <v>Baldassarre, Josefina</v>
          </cell>
          <cell r="G1618">
            <v>6747201</v>
          </cell>
          <cell r="H1618">
            <v>6747201</v>
          </cell>
          <cell r="I1618" t="str">
            <v>534</v>
          </cell>
        </row>
        <row r="1619">
          <cell r="A1619" t="str">
            <v>ARS</v>
          </cell>
          <cell r="B1619" t="str">
            <v>554000007</v>
          </cell>
          <cell r="C1619" t="str">
            <v>GUIDO HERNAN SCALABRELLI</v>
          </cell>
          <cell r="G1619">
            <v>116169691.13</v>
          </cell>
          <cell r="H1619">
            <v>116169691.13</v>
          </cell>
          <cell r="I1619" t="str">
            <v>554</v>
          </cell>
        </row>
        <row r="1620">
          <cell r="A1620" t="str">
            <v>ARS</v>
          </cell>
          <cell r="B1620" t="str">
            <v>554000011</v>
          </cell>
          <cell r="C1620" t="str">
            <v>ZONA BURSATIL S.A. (CPL)</v>
          </cell>
          <cell r="G1620">
            <v>54392787.579999998</v>
          </cell>
          <cell r="H1620">
            <v>54392787.579999998</v>
          </cell>
          <cell r="I1620" t="str">
            <v>554</v>
          </cell>
        </row>
        <row r="1621">
          <cell r="A1621" t="str">
            <v>ARS</v>
          </cell>
          <cell r="B1621" t="str">
            <v>554000012</v>
          </cell>
          <cell r="C1621" t="str">
            <v>MARIO GABRIEL SCALABRELLI Y/O OTROS</v>
          </cell>
          <cell r="G1621">
            <v>23768670.620000001</v>
          </cell>
          <cell r="H1621">
            <v>23768670.620000001</v>
          </cell>
          <cell r="I1621" t="str">
            <v>554</v>
          </cell>
        </row>
        <row r="1622">
          <cell r="A1622" t="str">
            <v>ARS</v>
          </cell>
          <cell r="B1622" t="str">
            <v>554000017</v>
          </cell>
          <cell r="C1622" t="str">
            <v>Di Bari, Teresa Catalina</v>
          </cell>
          <cell r="G1622">
            <v>1601273</v>
          </cell>
          <cell r="H1622">
            <v>1601273</v>
          </cell>
          <cell r="I1622" t="str">
            <v>554</v>
          </cell>
        </row>
        <row r="1623">
          <cell r="A1623" t="str">
            <v>ARS</v>
          </cell>
          <cell r="B1623" t="str">
            <v>554000018</v>
          </cell>
          <cell r="C1623" t="str">
            <v>Nazar, Manuel</v>
          </cell>
          <cell r="G1623">
            <v>22851775.77</v>
          </cell>
          <cell r="H1623">
            <v>22851775.77</v>
          </cell>
          <cell r="I1623" t="str">
            <v>554</v>
          </cell>
        </row>
        <row r="1624">
          <cell r="A1624" t="str">
            <v>ARS</v>
          </cell>
          <cell r="B1624" t="str">
            <v>554000161</v>
          </cell>
          <cell r="C1624" t="str">
            <v>GMAK SA</v>
          </cell>
          <cell r="G1624">
            <v>3559525606</v>
          </cell>
          <cell r="H1624">
            <v>3559525606</v>
          </cell>
          <cell r="I1624" t="str">
            <v>554</v>
          </cell>
        </row>
        <row r="1625">
          <cell r="A1625" t="str">
            <v>ARS</v>
          </cell>
          <cell r="B1625" t="str">
            <v>554000195</v>
          </cell>
          <cell r="C1625" t="str">
            <v>TRES GROUP SOCIEDAD ANONIMA</v>
          </cell>
          <cell r="G1625">
            <v>2226971</v>
          </cell>
          <cell r="H1625">
            <v>2226971</v>
          </cell>
          <cell r="I1625" t="str">
            <v>554</v>
          </cell>
        </row>
        <row r="1626">
          <cell r="A1626" t="str">
            <v>ARS</v>
          </cell>
          <cell r="B1626" t="str">
            <v>554000209</v>
          </cell>
          <cell r="C1626" t="str">
            <v>ELIZONDO APARICI, PABLO EXEQUIEL</v>
          </cell>
          <cell r="G1626">
            <v>74543707.409999996</v>
          </cell>
          <cell r="H1626">
            <v>74543707.409999996</v>
          </cell>
          <cell r="I1626" t="str">
            <v>554</v>
          </cell>
        </row>
        <row r="1627">
          <cell r="A1627" t="str">
            <v>ARS</v>
          </cell>
          <cell r="B1627" t="str">
            <v>554000279</v>
          </cell>
          <cell r="C1627" t="str">
            <v>Vinificadora Aconcagua S.A.</v>
          </cell>
          <cell r="G1627">
            <v>638273387.49000001</v>
          </cell>
          <cell r="H1627">
            <v>638273387.49000001</v>
          </cell>
          <cell r="I1627" t="str">
            <v>554</v>
          </cell>
        </row>
        <row r="1628">
          <cell r="A1628" t="str">
            <v>ARS</v>
          </cell>
          <cell r="B1628" t="str">
            <v>554000282</v>
          </cell>
          <cell r="C1628" t="str">
            <v>Lambertucci S.A.</v>
          </cell>
          <cell r="G1628">
            <v>307913824</v>
          </cell>
          <cell r="H1628">
            <v>307913824</v>
          </cell>
          <cell r="I1628" t="str">
            <v>554</v>
          </cell>
        </row>
        <row r="1629">
          <cell r="A1629" t="str">
            <v>ARS</v>
          </cell>
          <cell r="B1629" t="str">
            <v>554000296</v>
          </cell>
          <cell r="C1629" t="str">
            <v>Exporservice S.A.</v>
          </cell>
          <cell r="G1629">
            <v>4913649</v>
          </cell>
          <cell r="H1629">
            <v>4913649</v>
          </cell>
          <cell r="I1629" t="str">
            <v>554</v>
          </cell>
        </row>
        <row r="1630">
          <cell r="A1630" t="str">
            <v>ARS</v>
          </cell>
          <cell r="B1630" t="str">
            <v>554000299</v>
          </cell>
          <cell r="C1630" t="str">
            <v>Cuchietti, Hug Francisco y/o Garcia, Maria Belen</v>
          </cell>
          <cell r="G1630">
            <v>2685126.87</v>
          </cell>
          <cell r="H1630">
            <v>2685126.87</v>
          </cell>
          <cell r="I1630" t="str">
            <v>554</v>
          </cell>
        </row>
        <row r="1631">
          <cell r="A1631" t="str">
            <v>ARS</v>
          </cell>
          <cell r="B1631" t="str">
            <v>554000307</v>
          </cell>
          <cell r="C1631" t="str">
            <v>Los Coirones S.A.</v>
          </cell>
          <cell r="G1631">
            <v>64341098.950000003</v>
          </cell>
          <cell r="H1631">
            <v>64341098.950000003</v>
          </cell>
          <cell r="I1631" t="str">
            <v>554</v>
          </cell>
        </row>
        <row r="1632">
          <cell r="A1632" t="str">
            <v>ARS</v>
          </cell>
          <cell r="B1632" t="str">
            <v>554000311</v>
          </cell>
          <cell r="C1632" t="str">
            <v>Cuvelier los Andes S.A.</v>
          </cell>
          <cell r="G1632">
            <v>342596113.11000001</v>
          </cell>
          <cell r="H1632">
            <v>342596113.11000001</v>
          </cell>
          <cell r="I1632" t="str">
            <v>554</v>
          </cell>
        </row>
        <row r="1633">
          <cell r="A1633" t="str">
            <v>ARS</v>
          </cell>
          <cell r="B1633" t="str">
            <v>554000314</v>
          </cell>
          <cell r="C1633" t="str">
            <v>Comercial y Agro MR S.A.</v>
          </cell>
          <cell r="G1633">
            <v>459839</v>
          </cell>
          <cell r="H1633">
            <v>459839</v>
          </cell>
          <cell r="I1633" t="str">
            <v>554</v>
          </cell>
        </row>
        <row r="1634">
          <cell r="A1634" t="str">
            <v>ARS</v>
          </cell>
          <cell r="B1634" t="str">
            <v>554000315</v>
          </cell>
          <cell r="C1634" t="str">
            <v>Italiano Moreno, Pablo Abel</v>
          </cell>
          <cell r="G1634">
            <v>5371273.4000000004</v>
          </cell>
          <cell r="H1634">
            <v>5371273.4000000004</v>
          </cell>
          <cell r="I1634" t="str">
            <v>554</v>
          </cell>
        </row>
        <row r="1635">
          <cell r="A1635" t="str">
            <v>ARS</v>
          </cell>
          <cell r="B1635" t="str">
            <v>554000320</v>
          </cell>
          <cell r="C1635" t="str">
            <v>Loes S.A.</v>
          </cell>
          <cell r="G1635">
            <v>29503803.120000001</v>
          </cell>
          <cell r="H1635">
            <v>29503803.120000001</v>
          </cell>
          <cell r="I1635" t="str">
            <v>554</v>
          </cell>
        </row>
        <row r="1636">
          <cell r="A1636" t="str">
            <v>ARS</v>
          </cell>
          <cell r="B1636" t="str">
            <v>554000323</v>
          </cell>
          <cell r="C1636" t="str">
            <v>Servir S.A.</v>
          </cell>
          <cell r="G1636">
            <v>2488870</v>
          </cell>
          <cell r="H1636">
            <v>2488870</v>
          </cell>
          <cell r="I1636" t="str">
            <v>554</v>
          </cell>
        </row>
        <row r="1637">
          <cell r="A1637" t="str">
            <v>ARS</v>
          </cell>
          <cell r="B1637" t="str">
            <v>554000369</v>
          </cell>
          <cell r="C1637" t="str">
            <v>QUANTEC GEOSCIENCE ARGENTINA S.A.,</v>
          </cell>
          <cell r="G1637">
            <v>817089663.11000001</v>
          </cell>
          <cell r="H1637">
            <v>817089663.11000001</v>
          </cell>
          <cell r="I1637" t="str">
            <v>554</v>
          </cell>
        </row>
        <row r="1638">
          <cell r="A1638" t="str">
            <v>ARS</v>
          </cell>
          <cell r="B1638" t="str">
            <v>554000372</v>
          </cell>
          <cell r="C1638" t="str">
            <v>Quale SA</v>
          </cell>
          <cell r="G1638">
            <v>70228191.560000002</v>
          </cell>
          <cell r="H1638">
            <v>70228191.560000002</v>
          </cell>
          <cell r="I1638" t="str">
            <v>554</v>
          </cell>
        </row>
        <row r="1639">
          <cell r="A1639" t="str">
            <v>ARS</v>
          </cell>
          <cell r="B1639" t="str">
            <v>554000374</v>
          </cell>
          <cell r="C1639" t="str">
            <v>Paez Norberto Gerardo</v>
          </cell>
          <cell r="G1639">
            <v>14027474.98</v>
          </cell>
          <cell r="H1639">
            <v>14027474.98</v>
          </cell>
          <cell r="I1639" t="str">
            <v>554</v>
          </cell>
        </row>
        <row r="1640">
          <cell r="A1640" t="str">
            <v>ARS</v>
          </cell>
          <cell r="B1640" t="str">
            <v>554000376</v>
          </cell>
          <cell r="C1640" t="str">
            <v>Emprendimiento Andino SA</v>
          </cell>
          <cell r="G1640">
            <v>751502026.84000003</v>
          </cell>
          <cell r="H1640">
            <v>751502026.84000003</v>
          </cell>
          <cell r="I1640" t="str">
            <v>554</v>
          </cell>
        </row>
        <row r="1641">
          <cell r="A1641" t="str">
            <v>ARS</v>
          </cell>
          <cell r="B1641" t="str">
            <v>554000380</v>
          </cell>
          <cell r="C1641" t="str">
            <v>Bisole, Félix Sebastián</v>
          </cell>
          <cell r="G1641">
            <v>27062999.809999999</v>
          </cell>
          <cell r="H1641">
            <v>27062999.809999999</v>
          </cell>
          <cell r="I1641" t="str">
            <v>554</v>
          </cell>
        </row>
        <row r="1642">
          <cell r="A1642" t="str">
            <v>ARS</v>
          </cell>
          <cell r="B1642" t="str">
            <v>554000382</v>
          </cell>
          <cell r="C1642" t="str">
            <v>ABALORIOS ACCESORIOS S.A.S.</v>
          </cell>
          <cell r="G1642">
            <v>10506381.91</v>
          </cell>
          <cell r="H1642">
            <v>10506381.91</v>
          </cell>
          <cell r="I1642" t="str">
            <v>554</v>
          </cell>
        </row>
        <row r="1643">
          <cell r="A1643" t="str">
            <v>ARS</v>
          </cell>
          <cell r="B1643" t="str">
            <v>554000384</v>
          </cell>
          <cell r="C1643" t="str">
            <v>Paez Norberto Domingo</v>
          </cell>
          <cell r="G1643">
            <v>2486367.9</v>
          </cell>
          <cell r="H1643">
            <v>2486367.9</v>
          </cell>
          <cell r="I1643" t="str">
            <v>554</v>
          </cell>
        </row>
        <row r="1644">
          <cell r="A1644" t="str">
            <v>ARS</v>
          </cell>
          <cell r="B1644" t="str">
            <v>554000385</v>
          </cell>
          <cell r="C1644" t="str">
            <v>Gole SA</v>
          </cell>
          <cell r="G1644">
            <v>101683162.38</v>
          </cell>
          <cell r="H1644">
            <v>101683162.38</v>
          </cell>
          <cell r="I1644" t="str">
            <v>554</v>
          </cell>
        </row>
        <row r="1645">
          <cell r="A1645" t="str">
            <v>ARS</v>
          </cell>
          <cell r="B1645" t="str">
            <v>554000393</v>
          </cell>
          <cell r="C1645" t="str">
            <v xml:space="preserve">Unger &amp; Asociados </v>
          </cell>
          <cell r="G1645">
            <v>50805570.060000002</v>
          </cell>
          <cell r="H1645">
            <v>50805570.060000002</v>
          </cell>
          <cell r="I1645" t="str">
            <v>554</v>
          </cell>
        </row>
        <row r="1646">
          <cell r="A1646" t="str">
            <v>ARS</v>
          </cell>
          <cell r="B1646" t="str">
            <v>554000397</v>
          </cell>
          <cell r="C1646" t="str">
            <v>Di Bari, Tomas Francisco</v>
          </cell>
          <cell r="G1646">
            <v>12049749.98</v>
          </cell>
          <cell r="H1646">
            <v>12049749.98</v>
          </cell>
          <cell r="I1646" t="str">
            <v>554</v>
          </cell>
        </row>
        <row r="1647">
          <cell r="A1647" t="str">
            <v>ARS</v>
          </cell>
          <cell r="B1647" t="str">
            <v>554000407</v>
          </cell>
          <cell r="C1647" t="str">
            <v>Amoretti, Diego</v>
          </cell>
          <cell r="G1647">
            <v>8567</v>
          </cell>
          <cell r="H1647">
            <v>8567</v>
          </cell>
          <cell r="I1647" t="str">
            <v>554</v>
          </cell>
        </row>
        <row r="1648">
          <cell r="A1648" t="str">
            <v>ARS</v>
          </cell>
          <cell r="B1648" t="str">
            <v>554000409</v>
          </cell>
          <cell r="C1648" t="str">
            <v>Benz Parts S.A.S</v>
          </cell>
          <cell r="G1648">
            <v>430488038.69999999</v>
          </cell>
          <cell r="H1648">
            <v>430488038.69999999</v>
          </cell>
          <cell r="I1648" t="str">
            <v>554</v>
          </cell>
        </row>
        <row r="1649">
          <cell r="A1649" t="str">
            <v>ARS</v>
          </cell>
          <cell r="B1649" t="str">
            <v>554000410</v>
          </cell>
          <cell r="C1649" t="str">
            <v>Cad, Angelica Liliana</v>
          </cell>
          <cell r="G1649">
            <v>292497</v>
          </cell>
          <cell r="H1649">
            <v>292497</v>
          </cell>
          <cell r="I1649" t="str">
            <v>554</v>
          </cell>
        </row>
        <row r="1650">
          <cell r="A1650" t="str">
            <v>ARS</v>
          </cell>
          <cell r="B1650" t="str">
            <v>554000411</v>
          </cell>
          <cell r="C1650" t="str">
            <v>Meregalli, Fabio</v>
          </cell>
          <cell r="G1650">
            <v>239706.4</v>
          </cell>
          <cell r="H1650">
            <v>239706.4</v>
          </cell>
          <cell r="I1650" t="str">
            <v>554</v>
          </cell>
        </row>
        <row r="1651">
          <cell r="A1651" t="str">
            <v>ARS</v>
          </cell>
          <cell r="B1651" t="str">
            <v>554000414</v>
          </cell>
          <cell r="C1651" t="str">
            <v>Campeche S.A.S</v>
          </cell>
          <cell r="G1651">
            <v>16777374.800000001</v>
          </cell>
          <cell r="H1651">
            <v>16777374.800000001</v>
          </cell>
          <cell r="I1651" t="str">
            <v>554</v>
          </cell>
        </row>
        <row r="1652">
          <cell r="A1652" t="str">
            <v>ARS</v>
          </cell>
          <cell r="B1652" t="str">
            <v>554000415</v>
          </cell>
          <cell r="C1652" t="str">
            <v>Lopresti, Silvina Cora</v>
          </cell>
          <cell r="G1652">
            <v>136345168.69</v>
          </cell>
          <cell r="H1652">
            <v>136345168.69</v>
          </cell>
          <cell r="I1652" t="str">
            <v>554</v>
          </cell>
        </row>
        <row r="1653">
          <cell r="A1653" t="str">
            <v>ARS</v>
          </cell>
          <cell r="B1653" t="str">
            <v>554000418</v>
          </cell>
          <cell r="C1653" t="str">
            <v>Camelback S.A.S.</v>
          </cell>
          <cell r="G1653">
            <v>2071039.5</v>
          </cell>
          <cell r="H1653">
            <v>2071039.5</v>
          </cell>
          <cell r="I1653" t="str">
            <v>554</v>
          </cell>
        </row>
        <row r="1654">
          <cell r="A1654" t="str">
            <v>ARS</v>
          </cell>
          <cell r="B1654" t="str">
            <v>554000423</v>
          </cell>
          <cell r="C1654" t="str">
            <v>Estrella, Sergio Eugenio</v>
          </cell>
          <cell r="G1654">
            <v>6381502.9000000004</v>
          </cell>
          <cell r="H1654">
            <v>6381502.9000000004</v>
          </cell>
          <cell r="I1654" t="str">
            <v>554</v>
          </cell>
        </row>
        <row r="1655">
          <cell r="A1655" t="str">
            <v>ARS</v>
          </cell>
          <cell r="B1655" t="str">
            <v>554000424</v>
          </cell>
          <cell r="C1655" t="str">
            <v>Nebot, Mariana Lourdes</v>
          </cell>
          <cell r="G1655">
            <v>11911486.1</v>
          </cell>
          <cell r="H1655">
            <v>11911486.1</v>
          </cell>
          <cell r="I1655" t="str">
            <v>554</v>
          </cell>
        </row>
        <row r="1656">
          <cell r="A1656" t="str">
            <v>ARS</v>
          </cell>
          <cell r="B1656" t="str">
            <v>554000428</v>
          </cell>
          <cell r="C1656" t="str">
            <v>Foresi, Carlos Agustin</v>
          </cell>
          <cell r="G1656">
            <v>16011045</v>
          </cell>
          <cell r="H1656">
            <v>16011045</v>
          </cell>
          <cell r="I1656" t="str">
            <v>554</v>
          </cell>
        </row>
        <row r="1657">
          <cell r="A1657" t="str">
            <v>ARS</v>
          </cell>
          <cell r="B1657" t="str">
            <v>554000429</v>
          </cell>
          <cell r="C1657" t="str">
            <v>Devincenzi, Marisa Graciela</v>
          </cell>
          <cell r="G1657">
            <v>32215123.91</v>
          </cell>
          <cell r="H1657">
            <v>32215123.91</v>
          </cell>
          <cell r="I1657" t="str">
            <v>554</v>
          </cell>
        </row>
        <row r="1658">
          <cell r="A1658" t="str">
            <v>ARS</v>
          </cell>
          <cell r="B1658" t="str">
            <v>554000430</v>
          </cell>
          <cell r="C1658" t="str">
            <v>Hernandez, Soledad</v>
          </cell>
          <cell r="G1658">
            <v>8357303.54</v>
          </cell>
          <cell r="H1658">
            <v>8357303.54</v>
          </cell>
          <cell r="I1658" t="str">
            <v>554</v>
          </cell>
        </row>
        <row r="1659">
          <cell r="A1659" t="str">
            <v>ARS</v>
          </cell>
          <cell r="B1659" t="str">
            <v>554000432</v>
          </cell>
          <cell r="C1659" t="str">
            <v>Chiarpotti, Luciano</v>
          </cell>
          <cell r="G1659">
            <v>2327112.2200000002</v>
          </cell>
          <cell r="H1659">
            <v>2327112.2200000002</v>
          </cell>
          <cell r="I1659" t="str">
            <v>554</v>
          </cell>
        </row>
        <row r="1660">
          <cell r="A1660" t="str">
            <v>ARS</v>
          </cell>
          <cell r="B1660" t="str">
            <v>554000433</v>
          </cell>
          <cell r="C1660" t="str">
            <v>Di Bari, Mariana Y/O Di Bari Rego, Santiago</v>
          </cell>
          <cell r="G1660">
            <v>90411632.409999996</v>
          </cell>
          <cell r="H1660">
            <v>90411632.409999996</v>
          </cell>
          <cell r="I1660" t="str">
            <v>554</v>
          </cell>
        </row>
        <row r="1661">
          <cell r="A1661" t="str">
            <v>ARS</v>
          </cell>
          <cell r="B1661" t="str">
            <v>554000435</v>
          </cell>
          <cell r="C1661" t="str">
            <v>Piscopo, Enrique Nicolas</v>
          </cell>
          <cell r="G1661">
            <v>217376</v>
          </cell>
          <cell r="H1661">
            <v>217376</v>
          </cell>
          <cell r="I1661" t="str">
            <v>554</v>
          </cell>
        </row>
        <row r="1662">
          <cell r="A1662" t="str">
            <v>ARS</v>
          </cell>
          <cell r="B1662" t="str">
            <v>554000437</v>
          </cell>
          <cell r="C1662" t="str">
            <v>YUHAN S.A.</v>
          </cell>
          <cell r="G1662">
            <v>2139507.62</v>
          </cell>
          <cell r="H1662">
            <v>2139507.62</v>
          </cell>
          <cell r="I1662" t="str">
            <v>554</v>
          </cell>
        </row>
        <row r="1663">
          <cell r="A1663" t="str">
            <v>ARS</v>
          </cell>
          <cell r="B1663" t="str">
            <v>554000440</v>
          </cell>
          <cell r="C1663" t="str">
            <v>Brú Juan Francisco y/o Brú Stocco Juan Ignacio</v>
          </cell>
          <cell r="G1663">
            <v>27867946.280000001</v>
          </cell>
          <cell r="H1663">
            <v>27867946.280000001</v>
          </cell>
          <cell r="I1663" t="str">
            <v>554</v>
          </cell>
        </row>
        <row r="1664">
          <cell r="A1664" t="str">
            <v>ARS</v>
          </cell>
          <cell r="B1664" t="str">
            <v>554000451</v>
          </cell>
          <cell r="C1664" t="str">
            <v>Don Juan S.A.S.</v>
          </cell>
          <cell r="G1664">
            <v>6478194.7199999997</v>
          </cell>
          <cell r="H1664">
            <v>6478194.7199999997</v>
          </cell>
          <cell r="I1664" t="str">
            <v>554</v>
          </cell>
        </row>
        <row r="1665">
          <cell r="A1665" t="str">
            <v>ARS</v>
          </cell>
          <cell r="B1665" t="str">
            <v>554000453</v>
          </cell>
          <cell r="C1665" t="str">
            <v>Limpower Servicios S.A.S.</v>
          </cell>
          <cell r="G1665">
            <v>22890034.300000001</v>
          </cell>
          <cell r="H1665">
            <v>22890034.300000001</v>
          </cell>
          <cell r="I1665" t="str">
            <v>554</v>
          </cell>
        </row>
        <row r="1666">
          <cell r="A1666" t="str">
            <v>ARS</v>
          </cell>
          <cell r="B1666" t="str">
            <v>554000454</v>
          </cell>
          <cell r="C1666" t="str">
            <v>Tecmetal S.R.L.</v>
          </cell>
          <cell r="G1666">
            <v>8317359.0300000003</v>
          </cell>
          <cell r="H1666">
            <v>8317359.0300000003</v>
          </cell>
          <cell r="I1666" t="str">
            <v>554</v>
          </cell>
        </row>
        <row r="1667">
          <cell r="A1667" t="str">
            <v>ARS</v>
          </cell>
          <cell r="B1667" t="str">
            <v>554000466</v>
          </cell>
          <cell r="C1667" t="str">
            <v>Gutierrez, Cristian Javier</v>
          </cell>
          <cell r="G1667">
            <v>145757027.13</v>
          </cell>
          <cell r="H1667">
            <v>145757027.13</v>
          </cell>
          <cell r="I1667" t="str">
            <v>554</v>
          </cell>
        </row>
        <row r="1668">
          <cell r="A1668" t="str">
            <v>ARS</v>
          </cell>
          <cell r="B1668" t="str">
            <v>554001010</v>
          </cell>
          <cell r="C1668" t="str">
            <v>Di Bari, Ignacio</v>
          </cell>
          <cell r="G1668">
            <v>41145609.259999998</v>
          </cell>
          <cell r="H1668">
            <v>41145609.259999998</v>
          </cell>
          <cell r="I1668" t="str">
            <v>554</v>
          </cell>
        </row>
        <row r="1669">
          <cell r="A1669" t="str">
            <v>ARS</v>
          </cell>
          <cell r="B1669" t="str">
            <v>554001212</v>
          </cell>
          <cell r="C1669" t="str">
            <v>Di Bari, José Ignacio Tomás</v>
          </cell>
          <cell r="G1669">
            <v>134349045.30000001</v>
          </cell>
          <cell r="H1669">
            <v>134349045.30000001</v>
          </cell>
          <cell r="I1669" t="str">
            <v>554</v>
          </cell>
        </row>
        <row r="1670">
          <cell r="A1670" t="str">
            <v>ARS</v>
          </cell>
          <cell r="B1670" t="str">
            <v>560636006</v>
          </cell>
          <cell r="C1670" t="str">
            <v>Gabriel Matias Indihar</v>
          </cell>
          <cell r="G1670">
            <v>1396159822.05</v>
          </cell>
          <cell r="H1670">
            <v>1396159822.05</v>
          </cell>
          <cell r="I1670" t="str">
            <v>560</v>
          </cell>
        </row>
        <row r="1671">
          <cell r="A1671" t="str">
            <v>ARS</v>
          </cell>
          <cell r="B1671" t="str">
            <v>560636007</v>
          </cell>
          <cell r="C1671" t="str">
            <v>Omega Bursátil S.A.</v>
          </cell>
          <cell r="G1671">
            <v>5111853021.0900002</v>
          </cell>
          <cell r="H1671">
            <v>5111853021.0900002</v>
          </cell>
          <cell r="I1671" t="str">
            <v>560</v>
          </cell>
        </row>
        <row r="1672">
          <cell r="A1672" t="str">
            <v>ARS</v>
          </cell>
          <cell r="B1672" t="str">
            <v>560636009</v>
          </cell>
          <cell r="C1672" t="str">
            <v>Rovan, Antonio Miguel</v>
          </cell>
          <cell r="G1672">
            <v>72931317.319999993</v>
          </cell>
          <cell r="H1672">
            <v>72931317.319999993</v>
          </cell>
          <cell r="I1672" t="str">
            <v>560</v>
          </cell>
        </row>
        <row r="1673">
          <cell r="A1673" t="str">
            <v>ARS</v>
          </cell>
          <cell r="B1673" t="str">
            <v>560636011</v>
          </cell>
          <cell r="C1673" t="str">
            <v>Indihar, Monica Silvia</v>
          </cell>
          <cell r="G1673">
            <v>34263679.299999997</v>
          </cell>
          <cell r="H1673">
            <v>34263679.299999997</v>
          </cell>
          <cell r="I1673" t="str">
            <v>560</v>
          </cell>
        </row>
        <row r="1674">
          <cell r="A1674" t="str">
            <v>ARS</v>
          </cell>
          <cell r="B1674" t="str">
            <v>560636029</v>
          </cell>
          <cell r="C1674" t="str">
            <v>Margarita Potocnik &amp; Michelle Sterzovsky</v>
          </cell>
          <cell r="G1674">
            <v>51126045.530000001</v>
          </cell>
          <cell r="H1674">
            <v>51126045.530000001</v>
          </cell>
          <cell r="I1674" t="str">
            <v>560</v>
          </cell>
        </row>
        <row r="1675">
          <cell r="A1675" t="str">
            <v>ARS</v>
          </cell>
          <cell r="B1675" t="str">
            <v>560636030</v>
          </cell>
          <cell r="C1675" t="str">
            <v>Potocnik, Giselle</v>
          </cell>
          <cell r="G1675">
            <v>52624953.399999999</v>
          </cell>
          <cell r="H1675">
            <v>52624953.399999999</v>
          </cell>
          <cell r="I1675" t="str">
            <v>560</v>
          </cell>
        </row>
        <row r="1676">
          <cell r="A1676" t="str">
            <v>ARS</v>
          </cell>
          <cell r="B1676" t="str">
            <v>560636031</v>
          </cell>
          <cell r="C1676" t="str">
            <v xml:space="preserve">Matias Indihar and Bernarda Burgar </v>
          </cell>
          <cell r="G1676">
            <v>17777705.199999999</v>
          </cell>
          <cell r="H1676">
            <v>17777705.199999999</v>
          </cell>
          <cell r="I1676" t="str">
            <v>560</v>
          </cell>
        </row>
        <row r="1677">
          <cell r="A1677" t="str">
            <v>ARS</v>
          </cell>
          <cell r="B1677" t="str">
            <v>560636032</v>
          </cell>
          <cell r="C1677" t="str">
            <v>Stella Maris Menghi</v>
          </cell>
          <cell r="G1677">
            <v>31435965.050000001</v>
          </cell>
          <cell r="H1677">
            <v>31435965.050000001</v>
          </cell>
          <cell r="I1677" t="str">
            <v>560</v>
          </cell>
        </row>
        <row r="1678">
          <cell r="A1678" t="str">
            <v>ARS</v>
          </cell>
          <cell r="B1678" t="str">
            <v>560636035</v>
          </cell>
          <cell r="C1678" t="str">
            <v>Andrizzi, Roberto</v>
          </cell>
          <cell r="G1678">
            <v>205500</v>
          </cell>
          <cell r="H1678">
            <v>205500</v>
          </cell>
          <cell r="I1678" t="str">
            <v>560</v>
          </cell>
        </row>
        <row r="1679">
          <cell r="A1679" t="str">
            <v>ARS</v>
          </cell>
          <cell r="B1679" t="str">
            <v>560636057</v>
          </cell>
          <cell r="C1679" t="str">
            <v>Lopez, Fernando</v>
          </cell>
          <cell r="G1679">
            <v>161725033.59999999</v>
          </cell>
          <cell r="H1679">
            <v>161725033.59999999</v>
          </cell>
          <cell r="I1679" t="str">
            <v>560</v>
          </cell>
        </row>
        <row r="1680">
          <cell r="A1680" t="str">
            <v>ARS</v>
          </cell>
          <cell r="B1680" t="str">
            <v>560636061</v>
          </cell>
          <cell r="C1680" t="str">
            <v>M. Mirta Rant &amp; Guillermo Ayerbe</v>
          </cell>
          <cell r="G1680">
            <v>32476753.66</v>
          </cell>
          <cell r="H1680">
            <v>32476753.66</v>
          </cell>
          <cell r="I1680" t="str">
            <v>560</v>
          </cell>
        </row>
        <row r="1681">
          <cell r="A1681" t="str">
            <v>ARS</v>
          </cell>
          <cell r="B1681" t="str">
            <v>560636089</v>
          </cell>
          <cell r="C1681" t="str">
            <v>Triulzi H y Triulzi G SH</v>
          </cell>
          <cell r="G1681">
            <v>2861486.21</v>
          </cell>
          <cell r="H1681">
            <v>2861486.21</v>
          </cell>
          <cell r="I1681" t="str">
            <v>560</v>
          </cell>
        </row>
        <row r="1682">
          <cell r="A1682" t="str">
            <v>ARS</v>
          </cell>
          <cell r="B1682" t="str">
            <v>560636105</v>
          </cell>
          <cell r="C1682" t="str">
            <v>ARGENCRED S.A</v>
          </cell>
          <cell r="G1682">
            <v>6347685405</v>
          </cell>
          <cell r="H1682">
            <v>6347685405</v>
          </cell>
          <cell r="I1682" t="str">
            <v>560</v>
          </cell>
        </row>
        <row r="1683">
          <cell r="A1683" t="str">
            <v>ARS</v>
          </cell>
          <cell r="B1683" t="str">
            <v>560636115</v>
          </cell>
          <cell r="C1683" t="str">
            <v>Spinaci, Ramiro</v>
          </cell>
          <cell r="G1683">
            <v>413236807.68000001</v>
          </cell>
          <cell r="H1683">
            <v>413236807.68000001</v>
          </cell>
          <cell r="I1683" t="str">
            <v>560</v>
          </cell>
        </row>
        <row r="1684">
          <cell r="A1684" t="str">
            <v>ARS</v>
          </cell>
          <cell r="B1684" t="str">
            <v>560636127</v>
          </cell>
          <cell r="C1684" t="str">
            <v>Antezana, Alejandro</v>
          </cell>
          <cell r="G1684">
            <v>4613039.47</v>
          </cell>
          <cell r="H1684">
            <v>4613039.47</v>
          </cell>
          <cell r="I1684" t="str">
            <v>560</v>
          </cell>
        </row>
        <row r="1685">
          <cell r="A1685" t="str">
            <v>ARS</v>
          </cell>
          <cell r="B1685" t="str">
            <v>560636147</v>
          </cell>
          <cell r="C1685" t="str">
            <v>Spinaci, Pedro José</v>
          </cell>
          <cell r="G1685">
            <v>98749893.099999994</v>
          </cell>
          <cell r="H1685">
            <v>98749893.099999994</v>
          </cell>
          <cell r="I1685" t="str">
            <v>560</v>
          </cell>
        </row>
        <row r="1686">
          <cell r="A1686" t="str">
            <v>ARS</v>
          </cell>
          <cell r="B1686" t="str">
            <v>560636167</v>
          </cell>
          <cell r="C1686" t="str">
            <v>Sassani, Roberto Emiliano</v>
          </cell>
          <cell r="G1686">
            <v>644988.9</v>
          </cell>
          <cell r="H1686">
            <v>644988.9</v>
          </cell>
          <cell r="I1686" t="str">
            <v>560</v>
          </cell>
        </row>
        <row r="1687">
          <cell r="A1687" t="str">
            <v>ARS</v>
          </cell>
          <cell r="B1687" t="str">
            <v>560636217</v>
          </cell>
          <cell r="C1687" t="str">
            <v>Montero, Mariano</v>
          </cell>
          <cell r="G1687">
            <v>63151976</v>
          </cell>
          <cell r="H1687">
            <v>63151976</v>
          </cell>
          <cell r="I1687" t="str">
            <v>560</v>
          </cell>
        </row>
        <row r="1688">
          <cell r="A1688" t="str">
            <v>ARS</v>
          </cell>
          <cell r="B1688" t="str">
            <v>560636238</v>
          </cell>
          <cell r="C1688" t="str">
            <v xml:space="preserve">Spiandorello, Claudio </v>
          </cell>
          <cell r="G1688">
            <v>932316567.44000006</v>
          </cell>
          <cell r="H1688">
            <v>932316567.44000006</v>
          </cell>
          <cell r="I1688" t="str">
            <v>560</v>
          </cell>
        </row>
        <row r="1689">
          <cell r="A1689" t="str">
            <v>ARS</v>
          </cell>
          <cell r="B1689" t="str">
            <v>560636261</v>
          </cell>
          <cell r="C1689" t="str">
            <v>Morel, Ana Maria Andrea</v>
          </cell>
          <cell r="G1689">
            <v>12639203.289999999</v>
          </cell>
          <cell r="H1689">
            <v>12639203.289999999</v>
          </cell>
          <cell r="I1689" t="str">
            <v>560</v>
          </cell>
        </row>
        <row r="1690">
          <cell r="A1690" t="str">
            <v>ARS</v>
          </cell>
          <cell r="B1690" t="str">
            <v>560636333</v>
          </cell>
          <cell r="C1690" t="str">
            <v xml:space="preserve">Haag, Maria Julia y Menghi, Stella Maris </v>
          </cell>
          <cell r="G1690">
            <v>3419.9</v>
          </cell>
          <cell r="H1690">
            <v>3419.9</v>
          </cell>
          <cell r="I1690" t="str">
            <v>560</v>
          </cell>
        </row>
        <row r="1691">
          <cell r="A1691" t="str">
            <v>ARS</v>
          </cell>
          <cell r="B1691" t="str">
            <v>560636344</v>
          </cell>
          <cell r="C1691" t="str">
            <v xml:space="preserve">Bravo, Gabriela Roxana </v>
          </cell>
          <cell r="G1691">
            <v>133994068.58</v>
          </cell>
          <cell r="H1691">
            <v>133994068.58</v>
          </cell>
          <cell r="I1691" t="str">
            <v>560</v>
          </cell>
        </row>
        <row r="1692">
          <cell r="A1692" t="str">
            <v>ARS</v>
          </cell>
          <cell r="B1692" t="str">
            <v>560636372</v>
          </cell>
          <cell r="C1692" t="str">
            <v>Vaquero, Miguel Angel</v>
          </cell>
          <cell r="G1692">
            <v>2970000</v>
          </cell>
          <cell r="H1692">
            <v>2970000</v>
          </cell>
          <cell r="I1692" t="str">
            <v>560</v>
          </cell>
        </row>
        <row r="1693">
          <cell r="A1693" t="str">
            <v>ARS</v>
          </cell>
          <cell r="B1693" t="str">
            <v>560636379</v>
          </cell>
          <cell r="C1693" t="str">
            <v>HERRERA , NESTOR ANTONIO</v>
          </cell>
          <cell r="G1693">
            <v>5733127.0999999996</v>
          </cell>
          <cell r="H1693">
            <v>5733127.0999999996</v>
          </cell>
          <cell r="I1693" t="str">
            <v>560</v>
          </cell>
        </row>
        <row r="1694">
          <cell r="A1694" t="str">
            <v>ARS</v>
          </cell>
          <cell r="B1694" t="str">
            <v>560636382</v>
          </cell>
          <cell r="C1694" t="str">
            <v xml:space="preserve">Hernán Alberto Llousas y Ferreyra, Sandra Adriana </v>
          </cell>
          <cell r="G1694">
            <v>3165.4</v>
          </cell>
          <cell r="H1694">
            <v>3165.4</v>
          </cell>
          <cell r="I1694" t="str">
            <v>560</v>
          </cell>
        </row>
        <row r="1695">
          <cell r="A1695" t="str">
            <v>ARS</v>
          </cell>
          <cell r="B1695" t="str">
            <v>560636428</v>
          </cell>
          <cell r="C1695" t="str">
            <v>Marincic, María Verónica</v>
          </cell>
          <cell r="G1695">
            <v>78054941</v>
          </cell>
          <cell r="H1695">
            <v>78054941</v>
          </cell>
          <cell r="I1695" t="str">
            <v>560</v>
          </cell>
        </row>
        <row r="1696">
          <cell r="A1696" t="str">
            <v>ARS</v>
          </cell>
          <cell r="B1696" t="str">
            <v>560636443</v>
          </cell>
          <cell r="C1696" t="str">
            <v>Gomez, Eustaquio Anastasio</v>
          </cell>
          <cell r="G1696">
            <v>149477611.37</v>
          </cell>
          <cell r="H1696">
            <v>149477611.37</v>
          </cell>
          <cell r="I1696" t="str">
            <v>560</v>
          </cell>
        </row>
        <row r="1697">
          <cell r="A1697" t="str">
            <v>ARS</v>
          </cell>
          <cell r="B1697" t="str">
            <v>560636480</v>
          </cell>
          <cell r="C1697" t="str">
            <v>Gomez Lamarque, Juan Pablo</v>
          </cell>
          <cell r="G1697">
            <v>69431.820000000007</v>
          </cell>
          <cell r="H1697">
            <v>69431.820000000007</v>
          </cell>
          <cell r="I1697" t="str">
            <v>560</v>
          </cell>
        </row>
        <row r="1698">
          <cell r="A1698" t="str">
            <v>ARS</v>
          </cell>
          <cell r="B1698" t="str">
            <v>560636493</v>
          </cell>
          <cell r="C1698" t="str">
            <v>Levy, Luciano Nisim</v>
          </cell>
          <cell r="G1698">
            <v>1473514.5</v>
          </cell>
          <cell r="H1698">
            <v>1473514.5</v>
          </cell>
          <cell r="I1698" t="str">
            <v>560</v>
          </cell>
        </row>
        <row r="1699">
          <cell r="A1699" t="str">
            <v>ARS</v>
          </cell>
          <cell r="B1699" t="str">
            <v>560636549</v>
          </cell>
          <cell r="C1699" t="str">
            <v xml:space="preserve">INES YAEL, SALEM </v>
          </cell>
          <cell r="G1699">
            <v>1012471.1</v>
          </cell>
          <cell r="H1699">
            <v>1012471.1</v>
          </cell>
          <cell r="I1699" t="str">
            <v>560</v>
          </cell>
        </row>
        <row r="1700">
          <cell r="A1700" t="str">
            <v>ARS</v>
          </cell>
          <cell r="B1700" t="str">
            <v>560636570</v>
          </cell>
          <cell r="C1700" t="str">
            <v xml:space="preserve">ALFONSO, ALVARO ANTONIO </v>
          </cell>
          <cell r="G1700">
            <v>169732422.53999999</v>
          </cell>
          <cell r="H1700">
            <v>169732422.53999999</v>
          </cell>
          <cell r="I1700" t="str">
            <v>560</v>
          </cell>
        </row>
        <row r="1701">
          <cell r="A1701" t="str">
            <v>ARS</v>
          </cell>
          <cell r="B1701" t="str">
            <v>560636573</v>
          </cell>
          <cell r="C1701" t="str">
            <v>Gomez, Lucas Miguel</v>
          </cell>
          <cell r="G1701">
            <v>84755272.769999996</v>
          </cell>
          <cell r="H1701">
            <v>84755272.769999996</v>
          </cell>
          <cell r="I1701" t="str">
            <v>560</v>
          </cell>
        </row>
        <row r="1702">
          <cell r="A1702" t="str">
            <v>ARS</v>
          </cell>
          <cell r="B1702" t="str">
            <v>560636579</v>
          </cell>
          <cell r="C1702" t="str">
            <v>MONTERO , FRANCISCO JOSE</v>
          </cell>
          <cell r="G1702">
            <v>32457095</v>
          </cell>
          <cell r="H1702">
            <v>32457095</v>
          </cell>
          <cell r="I1702" t="str">
            <v>560</v>
          </cell>
        </row>
        <row r="1703">
          <cell r="A1703" t="str">
            <v>ARS</v>
          </cell>
          <cell r="B1703" t="str">
            <v>560636610</v>
          </cell>
          <cell r="C1703" t="str">
            <v>Montero, Diego</v>
          </cell>
          <cell r="G1703">
            <v>7555810</v>
          </cell>
          <cell r="H1703">
            <v>7555810</v>
          </cell>
          <cell r="I1703" t="str">
            <v>560</v>
          </cell>
        </row>
        <row r="1704">
          <cell r="A1704" t="str">
            <v>ARS</v>
          </cell>
          <cell r="B1704" t="str">
            <v>560636615</v>
          </cell>
          <cell r="C1704" t="str">
            <v>Montero, Damian</v>
          </cell>
          <cell r="G1704">
            <v>28646027.550000001</v>
          </cell>
          <cell r="H1704">
            <v>28646027.550000001</v>
          </cell>
          <cell r="I1704" t="str">
            <v>560</v>
          </cell>
        </row>
        <row r="1705">
          <cell r="A1705" t="str">
            <v>ARS</v>
          </cell>
          <cell r="B1705" t="str">
            <v>560636630</v>
          </cell>
          <cell r="C1705" t="str">
            <v>Hofferle, Eric</v>
          </cell>
          <cell r="G1705">
            <v>14691780.34</v>
          </cell>
          <cell r="H1705">
            <v>14691780.34</v>
          </cell>
          <cell r="I1705" t="str">
            <v>560</v>
          </cell>
        </row>
        <row r="1706">
          <cell r="A1706" t="str">
            <v>ARS</v>
          </cell>
          <cell r="B1706" t="str">
            <v>560636647</v>
          </cell>
          <cell r="C1706" t="str">
            <v xml:space="preserve">Gomez, Eustaquio Ezequiel </v>
          </cell>
          <cell r="G1706">
            <v>74348952.409999996</v>
          </cell>
          <cell r="H1706">
            <v>74348952.409999996</v>
          </cell>
          <cell r="I1706" t="str">
            <v>560</v>
          </cell>
        </row>
        <row r="1707">
          <cell r="A1707" t="str">
            <v>ARS</v>
          </cell>
          <cell r="B1707" t="str">
            <v>560636658</v>
          </cell>
          <cell r="C1707" t="str">
            <v xml:space="preserve">Kohan, Gabriel Felix </v>
          </cell>
          <cell r="G1707">
            <v>21486826</v>
          </cell>
          <cell r="H1707">
            <v>21486826</v>
          </cell>
          <cell r="I1707" t="str">
            <v>560</v>
          </cell>
        </row>
        <row r="1708">
          <cell r="A1708" t="str">
            <v>ARS</v>
          </cell>
          <cell r="B1708" t="str">
            <v>560636736</v>
          </cell>
          <cell r="C1708" t="str">
            <v>Alfonso, Jose Emilio</v>
          </cell>
          <cell r="G1708">
            <v>2240022</v>
          </cell>
          <cell r="H1708">
            <v>2240022</v>
          </cell>
          <cell r="I1708" t="str">
            <v>560</v>
          </cell>
        </row>
        <row r="1709">
          <cell r="A1709" t="str">
            <v>ARS</v>
          </cell>
          <cell r="B1709" t="str">
            <v>560636790</v>
          </cell>
          <cell r="C1709" t="str">
            <v>HERNANDEZ, DIEGO MANUEL</v>
          </cell>
          <cell r="G1709">
            <v>1173000</v>
          </cell>
          <cell r="H1709">
            <v>1173000</v>
          </cell>
          <cell r="I1709" t="str">
            <v>560</v>
          </cell>
        </row>
        <row r="1710">
          <cell r="A1710" t="str">
            <v>ARS</v>
          </cell>
          <cell r="B1710" t="str">
            <v>560636923</v>
          </cell>
          <cell r="C1710" t="str">
            <v>Carugati, Sebastian</v>
          </cell>
          <cell r="G1710">
            <v>100006.5</v>
          </cell>
          <cell r="H1710">
            <v>100006.5</v>
          </cell>
          <cell r="I1710" t="str">
            <v>560</v>
          </cell>
        </row>
        <row r="1711">
          <cell r="A1711" t="str">
            <v>ARS</v>
          </cell>
          <cell r="B1711" t="str">
            <v>560637024</v>
          </cell>
          <cell r="C1711" t="str">
            <v>Bianchi, Carolina y Thielemann, Martin Alfredo</v>
          </cell>
          <cell r="G1711">
            <v>13384.71</v>
          </cell>
          <cell r="H1711">
            <v>13384.71</v>
          </cell>
          <cell r="I1711" t="str">
            <v>560</v>
          </cell>
        </row>
        <row r="1712">
          <cell r="A1712" t="str">
            <v>ARS</v>
          </cell>
          <cell r="B1712" t="str">
            <v>560637040</v>
          </cell>
          <cell r="C1712" t="str">
            <v>Andres Amado Amaya</v>
          </cell>
          <cell r="G1712">
            <v>119673606.65000001</v>
          </cell>
          <cell r="H1712">
            <v>119673606.65000001</v>
          </cell>
          <cell r="I1712" t="str">
            <v>560</v>
          </cell>
        </row>
        <row r="1713">
          <cell r="A1713" t="str">
            <v>ARS</v>
          </cell>
          <cell r="B1713" t="str">
            <v>560637051</v>
          </cell>
          <cell r="C1713" t="str">
            <v>Indihar, Gabriel Matias</v>
          </cell>
          <cell r="G1713">
            <v>8741535.0500000007</v>
          </cell>
          <cell r="H1713">
            <v>8741535.0500000007</v>
          </cell>
          <cell r="I1713" t="str">
            <v>560</v>
          </cell>
        </row>
        <row r="1714">
          <cell r="A1714" t="str">
            <v>ARS</v>
          </cell>
          <cell r="B1714" t="str">
            <v>560637052</v>
          </cell>
          <cell r="C1714" t="str">
            <v>Indihar, Gabriel Matias</v>
          </cell>
          <cell r="G1714">
            <v>9372785.7799999993</v>
          </cell>
          <cell r="H1714">
            <v>9372785.7799999993</v>
          </cell>
          <cell r="I1714" t="str">
            <v>560</v>
          </cell>
        </row>
        <row r="1715">
          <cell r="A1715" t="str">
            <v>ARS</v>
          </cell>
          <cell r="B1715" t="str">
            <v>560637053</v>
          </cell>
          <cell r="C1715" t="str">
            <v>Indihar, Gabriel Matias</v>
          </cell>
          <cell r="G1715">
            <v>9370891.0299999993</v>
          </cell>
          <cell r="H1715">
            <v>9370891.0299999993</v>
          </cell>
          <cell r="I1715" t="str">
            <v>560</v>
          </cell>
        </row>
        <row r="1716">
          <cell r="A1716" t="str">
            <v>ARS</v>
          </cell>
          <cell r="B1716" t="str">
            <v>560637069</v>
          </cell>
          <cell r="C1716" t="str">
            <v>Lidia Esther Pillarou &amp; Sebastian Carugati</v>
          </cell>
          <cell r="G1716">
            <v>51441.4</v>
          </cell>
          <cell r="H1716">
            <v>51441.4</v>
          </cell>
          <cell r="I1716" t="str">
            <v>560</v>
          </cell>
        </row>
        <row r="1717">
          <cell r="A1717" t="str">
            <v>ARS</v>
          </cell>
          <cell r="B1717" t="str">
            <v>560637073</v>
          </cell>
          <cell r="C1717" t="str">
            <v>Corica Claudia Patricia &amp; Sebastian Carugati</v>
          </cell>
          <cell r="G1717">
            <v>325134919.47000003</v>
          </cell>
          <cell r="H1717">
            <v>325134919.47000003</v>
          </cell>
          <cell r="I1717" t="str">
            <v>560</v>
          </cell>
        </row>
        <row r="1718">
          <cell r="A1718" t="str">
            <v>ARS</v>
          </cell>
          <cell r="B1718" t="str">
            <v>560637081</v>
          </cell>
          <cell r="C1718" t="str">
            <v>Perez, Tomas Ignacio</v>
          </cell>
          <cell r="G1718">
            <v>94796600</v>
          </cell>
          <cell r="H1718">
            <v>94796600</v>
          </cell>
          <cell r="I1718" t="str">
            <v>560</v>
          </cell>
        </row>
        <row r="1719">
          <cell r="A1719" t="str">
            <v>ARS</v>
          </cell>
          <cell r="B1719" t="str">
            <v>560637086</v>
          </cell>
          <cell r="C1719" t="str">
            <v>Cecilia Coletto &amp; Fabian Ferreyra</v>
          </cell>
          <cell r="G1719">
            <v>67256893.150000006</v>
          </cell>
          <cell r="H1719">
            <v>67256893.150000006</v>
          </cell>
          <cell r="I1719" t="str">
            <v>560</v>
          </cell>
        </row>
        <row r="1720">
          <cell r="A1720" t="str">
            <v>ARS</v>
          </cell>
          <cell r="B1720" t="str">
            <v>560637101</v>
          </cell>
          <cell r="C1720" t="str">
            <v>LUMUMBA Y MANYA SA</v>
          </cell>
          <cell r="G1720">
            <v>7492764.2999999998</v>
          </cell>
          <cell r="H1720">
            <v>7492764.2999999998</v>
          </cell>
          <cell r="I1720" t="str">
            <v>560</v>
          </cell>
        </row>
        <row r="1721">
          <cell r="A1721" t="str">
            <v>ARS</v>
          </cell>
          <cell r="B1721" t="str">
            <v>560637146</v>
          </cell>
          <cell r="C1721" t="str">
            <v>Basavilbaso, Pablo</v>
          </cell>
          <cell r="G1721">
            <v>155921051</v>
          </cell>
          <cell r="H1721">
            <v>155921051</v>
          </cell>
          <cell r="I1721" t="str">
            <v>560</v>
          </cell>
        </row>
        <row r="1722">
          <cell r="A1722" t="str">
            <v>ARS</v>
          </cell>
          <cell r="B1722" t="str">
            <v>560637167</v>
          </cell>
          <cell r="C1722" t="str">
            <v>Astarita, Diego Maximiliano</v>
          </cell>
          <cell r="G1722">
            <v>4418975.5599999996</v>
          </cell>
          <cell r="H1722">
            <v>4418975.5599999996</v>
          </cell>
          <cell r="I1722" t="str">
            <v>560</v>
          </cell>
        </row>
        <row r="1723">
          <cell r="A1723" t="str">
            <v>ARS</v>
          </cell>
          <cell r="B1723" t="str">
            <v>560637178</v>
          </cell>
          <cell r="C1723" t="str">
            <v>Zuberbuhler, Ana Maria</v>
          </cell>
          <cell r="G1723">
            <v>467039000.19</v>
          </cell>
          <cell r="H1723">
            <v>467039000.19</v>
          </cell>
          <cell r="I1723" t="str">
            <v>560</v>
          </cell>
        </row>
        <row r="1724">
          <cell r="A1724" t="str">
            <v>ARS</v>
          </cell>
          <cell r="B1724" t="str">
            <v>560637179</v>
          </cell>
          <cell r="C1724" t="str">
            <v>SAN TEOBALDO SA</v>
          </cell>
          <cell r="G1724">
            <v>2701879035.27</v>
          </cell>
          <cell r="H1724">
            <v>2701879035.27</v>
          </cell>
          <cell r="I1724" t="str">
            <v>560</v>
          </cell>
        </row>
        <row r="1725">
          <cell r="A1725" t="str">
            <v>ARS</v>
          </cell>
          <cell r="B1725" t="str">
            <v>560637211</v>
          </cell>
          <cell r="C1725" t="str">
            <v>INSTITUTO ROSENBUSCH SA DE BIOLOGIA E Y A</v>
          </cell>
          <cell r="G1725">
            <v>534805413.23000002</v>
          </cell>
          <cell r="H1725">
            <v>534805413.23000002</v>
          </cell>
          <cell r="I1725" t="str">
            <v>560</v>
          </cell>
        </row>
        <row r="1726">
          <cell r="A1726" t="str">
            <v>ARS</v>
          </cell>
          <cell r="B1726" t="str">
            <v>560637247</v>
          </cell>
          <cell r="C1726" t="str">
            <v>MULTICONTROL SOCIEDAD ANONIMA</v>
          </cell>
          <cell r="G1726">
            <v>95461543.920000002</v>
          </cell>
          <cell r="H1726">
            <v>95461543.920000002</v>
          </cell>
          <cell r="I1726" t="str">
            <v>560</v>
          </cell>
        </row>
        <row r="1727">
          <cell r="A1727" t="str">
            <v>ARS</v>
          </cell>
          <cell r="B1727" t="str">
            <v>560637253</v>
          </cell>
          <cell r="C1727" t="str">
            <v>Saad, Mariana, Hector, Marcos &amp; Elvira Montermini</v>
          </cell>
          <cell r="G1727">
            <v>17965685.699999999</v>
          </cell>
          <cell r="H1727">
            <v>17965685.699999999</v>
          </cell>
          <cell r="I1727" t="str">
            <v>560</v>
          </cell>
        </row>
        <row r="1728">
          <cell r="A1728" t="str">
            <v>ARS</v>
          </cell>
          <cell r="B1728" t="str">
            <v>560637259</v>
          </cell>
          <cell r="C1728" t="str">
            <v>Asociacion mutual vida salud</v>
          </cell>
          <cell r="G1728">
            <v>34545.1</v>
          </cell>
          <cell r="H1728">
            <v>34545.1</v>
          </cell>
          <cell r="I1728" t="str">
            <v>560</v>
          </cell>
        </row>
        <row r="1729">
          <cell r="A1729" t="str">
            <v>ARS</v>
          </cell>
          <cell r="B1729" t="str">
            <v>560637375</v>
          </cell>
          <cell r="C1729" t="str">
            <v>ACCELL ARGENTINA S. A.</v>
          </cell>
          <cell r="G1729">
            <v>30594439.219999999</v>
          </cell>
          <cell r="H1729">
            <v>30594439.219999999</v>
          </cell>
          <cell r="I1729" t="str">
            <v>560</v>
          </cell>
        </row>
        <row r="1730">
          <cell r="A1730" t="str">
            <v>ARS</v>
          </cell>
          <cell r="B1730" t="str">
            <v>560637378</v>
          </cell>
          <cell r="C1730" t="str">
            <v xml:space="preserve">DOTHS ENGINEERING SA </v>
          </cell>
          <cell r="G1730">
            <v>888711771.49000001</v>
          </cell>
          <cell r="H1730">
            <v>888711771.49000001</v>
          </cell>
          <cell r="I1730" t="str">
            <v>560</v>
          </cell>
        </row>
        <row r="1731">
          <cell r="A1731" t="str">
            <v>ARS</v>
          </cell>
          <cell r="B1731" t="str">
            <v>560637386</v>
          </cell>
          <cell r="C1731" t="str">
            <v>Martin Bazterrica &amp; Maria Dedola</v>
          </cell>
          <cell r="G1731">
            <v>3948124.19</v>
          </cell>
          <cell r="H1731">
            <v>3948124.19</v>
          </cell>
          <cell r="I1731" t="str">
            <v>560</v>
          </cell>
        </row>
        <row r="1732">
          <cell r="A1732" t="str">
            <v>ARS</v>
          </cell>
          <cell r="B1732" t="str">
            <v>560637453</v>
          </cell>
          <cell r="C1732" t="str">
            <v>Oblak, Gabriel y Klemencic, Lorena</v>
          </cell>
          <cell r="G1732">
            <v>410406753.25</v>
          </cell>
          <cell r="H1732">
            <v>410406753.25</v>
          </cell>
          <cell r="I1732" t="str">
            <v>560</v>
          </cell>
        </row>
        <row r="1733">
          <cell r="A1733" t="str">
            <v>ARS</v>
          </cell>
          <cell r="B1733" t="str">
            <v>560637470</v>
          </cell>
          <cell r="C1733" t="str">
            <v>BIGEYE</v>
          </cell>
          <cell r="G1733">
            <v>16859956.530000001</v>
          </cell>
          <cell r="H1733">
            <v>16859956.530000001</v>
          </cell>
          <cell r="I1733" t="str">
            <v>560</v>
          </cell>
        </row>
        <row r="1734">
          <cell r="A1734" t="str">
            <v>ARS</v>
          </cell>
          <cell r="B1734" t="str">
            <v>560637491</v>
          </cell>
          <cell r="C1734" t="str">
            <v>SYSTECMETAL SRL</v>
          </cell>
          <cell r="G1734">
            <v>1009961961.13</v>
          </cell>
          <cell r="H1734">
            <v>1009961961.13</v>
          </cell>
          <cell r="I1734" t="str">
            <v>560</v>
          </cell>
        </row>
        <row r="1735">
          <cell r="A1735" t="str">
            <v>ARS</v>
          </cell>
          <cell r="B1735" t="str">
            <v>560637506</v>
          </cell>
          <cell r="C1735" t="str">
            <v>MAR EXCHANGE S.A.</v>
          </cell>
          <cell r="G1735">
            <v>223293.2</v>
          </cell>
          <cell r="H1735">
            <v>223293.2</v>
          </cell>
          <cell r="I1735" t="str">
            <v>560</v>
          </cell>
        </row>
        <row r="1736">
          <cell r="A1736" t="str">
            <v>ARS</v>
          </cell>
          <cell r="B1736" t="str">
            <v>560637533</v>
          </cell>
          <cell r="C1736" t="str">
            <v>KOCMUR, ANDRES</v>
          </cell>
          <cell r="G1736">
            <v>203537078.72999999</v>
          </cell>
          <cell r="H1736">
            <v>203537078.72999999</v>
          </cell>
          <cell r="I1736" t="str">
            <v>560</v>
          </cell>
        </row>
        <row r="1737">
          <cell r="A1737" t="str">
            <v>ARS</v>
          </cell>
          <cell r="B1737" t="str">
            <v>560637577</v>
          </cell>
          <cell r="C1737" t="str">
            <v>Scherman, Ivan Hernando</v>
          </cell>
          <cell r="G1737">
            <v>31032000.199999999</v>
          </cell>
          <cell r="H1737">
            <v>31032000.199999999</v>
          </cell>
          <cell r="I1737" t="str">
            <v>560</v>
          </cell>
        </row>
        <row r="1738">
          <cell r="A1738" t="str">
            <v>ARS</v>
          </cell>
          <cell r="B1738" t="str">
            <v>560637580</v>
          </cell>
          <cell r="C1738" t="str">
            <v>Bermejo, Vanina Andrea</v>
          </cell>
          <cell r="G1738">
            <v>144584586.81999999</v>
          </cell>
          <cell r="H1738">
            <v>144584586.81999999</v>
          </cell>
          <cell r="I1738" t="str">
            <v>560</v>
          </cell>
        </row>
        <row r="1739">
          <cell r="A1739" t="str">
            <v>ARS</v>
          </cell>
          <cell r="B1739" t="str">
            <v>560637582</v>
          </cell>
          <cell r="C1739" t="str">
            <v>GOMEZ, Maria Teresa</v>
          </cell>
          <cell r="G1739">
            <v>16045065.59</v>
          </cell>
          <cell r="H1739">
            <v>16045065.59</v>
          </cell>
          <cell r="I1739" t="str">
            <v>560</v>
          </cell>
        </row>
        <row r="1740">
          <cell r="A1740" t="str">
            <v>ARS</v>
          </cell>
          <cell r="B1740" t="str">
            <v>560637599</v>
          </cell>
          <cell r="C1740" t="str">
            <v>Kastelic, Jana</v>
          </cell>
          <cell r="G1740">
            <v>22509984.379999999</v>
          </cell>
          <cell r="H1740">
            <v>22509984.379999999</v>
          </cell>
          <cell r="I1740" t="str">
            <v>560</v>
          </cell>
        </row>
        <row r="1741">
          <cell r="A1741" t="str">
            <v>ARS</v>
          </cell>
          <cell r="B1741" t="str">
            <v>560637602</v>
          </cell>
          <cell r="C1741" t="str">
            <v>Laboratorios Frasca SRL</v>
          </cell>
          <cell r="G1741">
            <v>622859164.63</v>
          </cell>
          <cell r="H1741">
            <v>622859164.63</v>
          </cell>
          <cell r="I1741" t="str">
            <v>560</v>
          </cell>
        </row>
        <row r="1742">
          <cell r="A1742" t="str">
            <v>ARS</v>
          </cell>
          <cell r="B1742" t="str">
            <v>560637653</v>
          </cell>
          <cell r="C1742" t="str">
            <v>Macia, Bono</v>
          </cell>
          <cell r="G1742">
            <v>95953581.25</v>
          </cell>
          <cell r="H1742">
            <v>95953581.25</v>
          </cell>
          <cell r="I1742" t="str">
            <v>560</v>
          </cell>
        </row>
        <row r="1743">
          <cell r="A1743" t="str">
            <v>ARS</v>
          </cell>
          <cell r="B1743" t="str">
            <v>560637658</v>
          </cell>
          <cell r="C1743" t="str">
            <v>Venditti Import S.A.</v>
          </cell>
          <cell r="G1743">
            <v>360076638.30000001</v>
          </cell>
          <cell r="H1743">
            <v>360076638.30000001</v>
          </cell>
          <cell r="I1743" t="str">
            <v>560</v>
          </cell>
        </row>
        <row r="1744">
          <cell r="A1744" t="str">
            <v>ARS</v>
          </cell>
          <cell r="B1744" t="str">
            <v>560637660</v>
          </cell>
          <cell r="C1744" t="str">
            <v>[C.E.R.A.] Venditti Import S.A.</v>
          </cell>
          <cell r="G1744">
            <v>127685.7</v>
          </cell>
          <cell r="H1744">
            <v>127685.7</v>
          </cell>
          <cell r="I1744" t="str">
            <v>560</v>
          </cell>
        </row>
        <row r="1745">
          <cell r="A1745" t="str">
            <v>ARS</v>
          </cell>
          <cell r="B1745" t="str">
            <v>560637665</v>
          </cell>
          <cell r="C1745" t="str">
            <v>Klemencic, Matias Sebastian</v>
          </cell>
          <cell r="G1745">
            <v>291010524.93000001</v>
          </cell>
          <cell r="H1745">
            <v>291010524.93000001</v>
          </cell>
          <cell r="I1745" t="str">
            <v>560</v>
          </cell>
        </row>
        <row r="1746">
          <cell r="A1746" t="str">
            <v>ARS</v>
          </cell>
          <cell r="B1746" t="str">
            <v>560637671</v>
          </cell>
          <cell r="C1746" t="str">
            <v>Merlo, Natalia Veronica</v>
          </cell>
          <cell r="G1746">
            <v>69746706.569999993</v>
          </cell>
          <cell r="H1746">
            <v>69746706.569999993</v>
          </cell>
          <cell r="I1746" t="str">
            <v>560</v>
          </cell>
        </row>
        <row r="1747">
          <cell r="A1747" t="str">
            <v>ARS</v>
          </cell>
          <cell r="B1747" t="str">
            <v>560637679</v>
          </cell>
          <cell r="C1747" t="str">
            <v>Juan Carlos Lorenzini y Viviana Noemi Criolani</v>
          </cell>
          <cell r="G1747">
            <v>92154587.879999995</v>
          </cell>
          <cell r="H1747">
            <v>92154587.879999995</v>
          </cell>
          <cell r="I1747" t="str">
            <v>560</v>
          </cell>
        </row>
        <row r="1748">
          <cell r="A1748" t="str">
            <v>ARS</v>
          </cell>
          <cell r="B1748" t="str">
            <v>560637681</v>
          </cell>
          <cell r="C1748" t="str">
            <v>AKER INGENIERIA S.R.L</v>
          </cell>
          <cell r="G1748">
            <v>1075615403.5599999</v>
          </cell>
          <cell r="H1748">
            <v>1075615403.5599999</v>
          </cell>
          <cell r="I1748" t="str">
            <v>560</v>
          </cell>
        </row>
        <row r="1749">
          <cell r="A1749" t="str">
            <v>ARS</v>
          </cell>
          <cell r="B1749" t="str">
            <v>560637692</v>
          </cell>
          <cell r="C1749" t="str">
            <v>Selan, Juan Cristian</v>
          </cell>
          <cell r="G1749">
            <v>2105872.7999999998</v>
          </cell>
          <cell r="H1749">
            <v>2105872.7999999998</v>
          </cell>
          <cell r="I1749" t="str">
            <v>560</v>
          </cell>
        </row>
        <row r="1750">
          <cell r="A1750" t="str">
            <v>ARS</v>
          </cell>
          <cell r="B1750" t="str">
            <v>560637738</v>
          </cell>
          <cell r="C1750" t="str">
            <v xml:space="preserve">Candioti, Agustin Nicolas </v>
          </cell>
          <cell r="G1750">
            <v>236730.54</v>
          </cell>
          <cell r="H1750">
            <v>236730.54</v>
          </cell>
          <cell r="I1750" t="str">
            <v>560</v>
          </cell>
        </row>
        <row r="1751">
          <cell r="A1751" t="str">
            <v>ARS</v>
          </cell>
          <cell r="B1751" t="str">
            <v>560637760</v>
          </cell>
          <cell r="C1751" t="str">
            <v>Belitsky, Natalia Giselda</v>
          </cell>
          <cell r="G1751">
            <v>114739352.5</v>
          </cell>
          <cell r="H1751">
            <v>114739352.5</v>
          </cell>
          <cell r="I1751" t="str">
            <v>560</v>
          </cell>
        </row>
        <row r="1752">
          <cell r="A1752" t="str">
            <v>ARS</v>
          </cell>
          <cell r="B1752" t="str">
            <v>560637772</v>
          </cell>
          <cell r="C1752" t="str">
            <v>TABOADA , CANDIDA MARIA</v>
          </cell>
          <cell r="G1752">
            <v>3022517.2</v>
          </cell>
          <cell r="H1752">
            <v>3022517.2</v>
          </cell>
          <cell r="I1752" t="str">
            <v>560</v>
          </cell>
        </row>
        <row r="1753">
          <cell r="A1753" t="str">
            <v>ARS</v>
          </cell>
          <cell r="B1753" t="str">
            <v>560637780</v>
          </cell>
          <cell r="C1753" t="str">
            <v>Metalúrgica J.M.D. S.A.</v>
          </cell>
          <cell r="G1753">
            <v>74090401.519999996</v>
          </cell>
          <cell r="H1753">
            <v>74090401.519999996</v>
          </cell>
          <cell r="I1753" t="str">
            <v>560</v>
          </cell>
        </row>
        <row r="1754">
          <cell r="A1754" t="str">
            <v>ARS</v>
          </cell>
          <cell r="B1754" t="str">
            <v>560637792</v>
          </cell>
          <cell r="C1754" t="str">
            <v>Fernandez, Pablo Cesar &amp; Duro de Oliveira, Carina Alejandra</v>
          </cell>
          <cell r="G1754">
            <v>18658814.100000001</v>
          </cell>
          <cell r="H1754">
            <v>18658814.100000001</v>
          </cell>
          <cell r="I1754" t="str">
            <v>560</v>
          </cell>
        </row>
        <row r="1755">
          <cell r="A1755" t="str">
            <v>ARS</v>
          </cell>
          <cell r="B1755" t="str">
            <v>560637807</v>
          </cell>
          <cell r="C1755" t="str">
            <v>Spinaci, Ramiro</v>
          </cell>
          <cell r="G1755">
            <v>1004823657.88</v>
          </cell>
          <cell r="H1755">
            <v>1004823657.88</v>
          </cell>
          <cell r="I1755" t="str">
            <v>560</v>
          </cell>
        </row>
        <row r="1756">
          <cell r="A1756" t="str">
            <v>ARS</v>
          </cell>
          <cell r="B1756" t="str">
            <v>560637821</v>
          </cell>
          <cell r="C1756" t="str">
            <v>Garcia, Ramon Arturo</v>
          </cell>
          <cell r="G1756">
            <v>124437.9</v>
          </cell>
          <cell r="H1756">
            <v>124437.9</v>
          </cell>
          <cell r="I1756" t="str">
            <v>560</v>
          </cell>
        </row>
        <row r="1757">
          <cell r="A1757" t="str">
            <v>ARS</v>
          </cell>
          <cell r="B1757" t="str">
            <v>560637829</v>
          </cell>
          <cell r="C1757" t="str">
            <v>Levy, Luciano Nisim &amp; Falak, Olinda Noemi</v>
          </cell>
          <cell r="G1757">
            <v>90283760</v>
          </cell>
          <cell r="H1757">
            <v>90283760</v>
          </cell>
          <cell r="I1757" t="str">
            <v>560</v>
          </cell>
        </row>
        <row r="1758">
          <cell r="A1758" t="str">
            <v>ARS</v>
          </cell>
          <cell r="B1758" t="str">
            <v>560639013</v>
          </cell>
          <cell r="C1758" t="str">
            <v>[C.E.R.A] Kocmur, Andres</v>
          </cell>
          <cell r="G1758">
            <v>55053.8</v>
          </cell>
          <cell r="H1758">
            <v>55053.8</v>
          </cell>
          <cell r="I1758" t="str">
            <v>560</v>
          </cell>
        </row>
        <row r="1759">
          <cell r="A1759" t="str">
            <v>ARS</v>
          </cell>
          <cell r="B1759" t="str">
            <v>560639018</v>
          </cell>
          <cell r="C1759" t="str">
            <v>[C.E.R.A] Bravo, Gabriela Roxana</v>
          </cell>
          <cell r="G1759">
            <v>9723869.5999999996</v>
          </cell>
          <cell r="H1759">
            <v>9723869.5999999996</v>
          </cell>
          <cell r="I1759" t="str">
            <v>560</v>
          </cell>
        </row>
        <row r="1760">
          <cell r="A1760" t="str">
            <v>ARS</v>
          </cell>
          <cell r="B1760" t="str">
            <v>565000101</v>
          </cell>
          <cell r="C1760" t="str">
            <v>Buenos Aires Crédito S.A.</v>
          </cell>
          <cell r="G1760">
            <v>23387861821.09</v>
          </cell>
          <cell r="H1760">
            <v>23387861821.09</v>
          </cell>
          <cell r="I1760" t="str">
            <v>565</v>
          </cell>
        </row>
        <row r="1761">
          <cell r="A1761" t="str">
            <v>ARS</v>
          </cell>
          <cell r="B1761" t="str">
            <v>565000102</v>
          </cell>
          <cell r="C1761" t="str">
            <v>Guillermo Hector Ferrero</v>
          </cell>
          <cell r="G1761">
            <v>7852814.6600000001</v>
          </cell>
          <cell r="H1761">
            <v>7852814.6600000001</v>
          </cell>
          <cell r="I1761" t="str">
            <v>565</v>
          </cell>
        </row>
        <row r="1762">
          <cell r="A1762" t="str">
            <v>ARS</v>
          </cell>
          <cell r="B1762" t="str">
            <v>565000103</v>
          </cell>
          <cell r="C1762" t="str">
            <v>Enio Bendinelli</v>
          </cell>
          <cell r="G1762">
            <v>8124049.9500000002</v>
          </cell>
          <cell r="H1762">
            <v>8124049.9500000002</v>
          </cell>
          <cell r="I1762" t="str">
            <v>565</v>
          </cell>
        </row>
        <row r="1763">
          <cell r="A1763" t="str">
            <v>ARS</v>
          </cell>
          <cell r="B1763" t="str">
            <v>565000104</v>
          </cell>
          <cell r="C1763" t="str">
            <v>Edgardo Luis Sala</v>
          </cell>
          <cell r="G1763">
            <v>7158716.4699999997</v>
          </cell>
          <cell r="H1763">
            <v>7158716.4699999997</v>
          </cell>
          <cell r="I1763" t="str">
            <v>565</v>
          </cell>
        </row>
        <row r="1764">
          <cell r="A1764" t="str">
            <v>ARS</v>
          </cell>
          <cell r="B1764" t="str">
            <v>565000105</v>
          </cell>
          <cell r="C1764" t="str">
            <v>Nelida Rut Gonzalez</v>
          </cell>
          <cell r="G1764">
            <v>16589075.48</v>
          </cell>
          <cell r="H1764">
            <v>16589075.48</v>
          </cell>
          <cell r="I1764" t="str">
            <v>565</v>
          </cell>
        </row>
        <row r="1765">
          <cell r="A1765" t="str">
            <v>ARS</v>
          </cell>
          <cell r="B1765" t="str">
            <v>565000107</v>
          </cell>
          <cell r="C1765" t="str">
            <v>Mateo Sala</v>
          </cell>
          <cell r="G1765">
            <v>1133375.72</v>
          </cell>
          <cell r="H1765">
            <v>1133375.72</v>
          </cell>
          <cell r="I1765" t="str">
            <v>565</v>
          </cell>
        </row>
        <row r="1766">
          <cell r="A1766" t="str">
            <v>ARS</v>
          </cell>
          <cell r="B1766" t="str">
            <v>565000113</v>
          </cell>
          <cell r="C1766" t="str">
            <v>OFMARTS S.A.</v>
          </cell>
          <cell r="G1766">
            <v>20575.080000000002</v>
          </cell>
          <cell r="H1766">
            <v>20575.080000000002</v>
          </cell>
          <cell r="I1766" t="str">
            <v>565</v>
          </cell>
        </row>
        <row r="1767">
          <cell r="A1767" t="str">
            <v>ARS</v>
          </cell>
          <cell r="B1767" t="str">
            <v>565000125</v>
          </cell>
          <cell r="C1767" t="str">
            <v>Coop. de Cred., Cons. y Viv., Desarrollo y Participacion Ltda.</v>
          </cell>
          <cell r="G1767">
            <v>10045547.01</v>
          </cell>
          <cell r="H1767">
            <v>10045547.01</v>
          </cell>
          <cell r="I1767" t="str">
            <v>565</v>
          </cell>
        </row>
        <row r="1768">
          <cell r="A1768" t="str">
            <v>ARS</v>
          </cell>
          <cell r="B1768" t="str">
            <v>565000126</v>
          </cell>
          <cell r="C1768" t="str">
            <v>Susi Ben S. A.</v>
          </cell>
          <cell r="G1768">
            <v>63397036.799999997</v>
          </cell>
          <cell r="H1768">
            <v>63397036.799999997</v>
          </cell>
          <cell r="I1768" t="str">
            <v>565</v>
          </cell>
        </row>
        <row r="1769">
          <cell r="A1769" t="str">
            <v>ARS</v>
          </cell>
          <cell r="B1769" t="str">
            <v>565000129</v>
          </cell>
          <cell r="C1769" t="str">
            <v>Ruben Gerardo Monreal</v>
          </cell>
          <cell r="G1769">
            <v>77937251.969999999</v>
          </cell>
          <cell r="H1769">
            <v>77937251.969999999</v>
          </cell>
          <cell r="I1769" t="str">
            <v>565</v>
          </cell>
        </row>
        <row r="1770">
          <cell r="A1770" t="str">
            <v>ARS</v>
          </cell>
          <cell r="B1770" t="str">
            <v>565000138</v>
          </cell>
          <cell r="C1770" t="str">
            <v>Carlos Mario Boccio</v>
          </cell>
          <cell r="G1770">
            <v>278936.64</v>
          </cell>
          <cell r="H1770">
            <v>278936.64</v>
          </cell>
          <cell r="I1770" t="str">
            <v>565</v>
          </cell>
        </row>
        <row r="1771">
          <cell r="A1771" t="str">
            <v>ARS</v>
          </cell>
          <cell r="B1771" t="str">
            <v>565000140</v>
          </cell>
          <cell r="C1771" t="str">
            <v>Maria Dolores Insua Darros</v>
          </cell>
          <cell r="G1771">
            <v>105069920.06999999</v>
          </cell>
          <cell r="H1771">
            <v>105069920.06999999</v>
          </cell>
          <cell r="I1771" t="str">
            <v>565</v>
          </cell>
        </row>
        <row r="1772">
          <cell r="A1772" t="str">
            <v>ARS</v>
          </cell>
          <cell r="B1772" t="str">
            <v>565000149</v>
          </cell>
          <cell r="C1772" t="str">
            <v>Pedro Sala</v>
          </cell>
          <cell r="G1772">
            <v>9915778.2799999993</v>
          </cell>
          <cell r="H1772">
            <v>9915778.2799999993</v>
          </cell>
          <cell r="I1772" t="str">
            <v>565</v>
          </cell>
        </row>
        <row r="1773">
          <cell r="A1773" t="str">
            <v>ARS</v>
          </cell>
          <cell r="B1773" t="str">
            <v>565000153</v>
          </cell>
          <cell r="C1773" t="str">
            <v>Matilde Rosa Ibarguren</v>
          </cell>
          <cell r="G1773">
            <v>192754002.47</v>
          </cell>
          <cell r="H1773">
            <v>192754002.47</v>
          </cell>
          <cell r="I1773" t="str">
            <v>565</v>
          </cell>
        </row>
        <row r="1774">
          <cell r="A1774" t="str">
            <v>ARS</v>
          </cell>
          <cell r="B1774" t="str">
            <v>565000159</v>
          </cell>
          <cell r="C1774" t="str">
            <v>AB INITIO S.A.</v>
          </cell>
          <cell r="G1774">
            <v>49681684</v>
          </cell>
          <cell r="H1774">
            <v>49681684</v>
          </cell>
          <cell r="I1774" t="str">
            <v>565</v>
          </cell>
        </row>
        <row r="1775">
          <cell r="A1775" t="str">
            <v>ARS</v>
          </cell>
          <cell r="B1775" t="str">
            <v>565000162</v>
          </cell>
          <cell r="C1775" t="str">
            <v>Mora Jaichenco</v>
          </cell>
          <cell r="G1775">
            <v>21375.32</v>
          </cell>
          <cell r="H1775">
            <v>21375.32</v>
          </cell>
          <cell r="I1775" t="str">
            <v>565</v>
          </cell>
        </row>
        <row r="1776">
          <cell r="A1776" t="str">
            <v>ARS</v>
          </cell>
          <cell r="B1776" t="str">
            <v>565000163</v>
          </cell>
          <cell r="C1776" t="str">
            <v>Alejandro Martin Mastino</v>
          </cell>
          <cell r="G1776">
            <v>63278.62</v>
          </cell>
          <cell r="H1776">
            <v>63278.62</v>
          </cell>
          <cell r="I1776" t="str">
            <v>565</v>
          </cell>
        </row>
        <row r="1777">
          <cell r="A1777" t="str">
            <v>ARS</v>
          </cell>
          <cell r="B1777" t="str">
            <v>565000167</v>
          </cell>
          <cell r="C1777" t="str">
            <v>Leopoldo Mario Borini</v>
          </cell>
          <cell r="G1777">
            <v>8368665</v>
          </cell>
          <cell r="H1777">
            <v>8368665</v>
          </cell>
          <cell r="I1777" t="str">
            <v>565</v>
          </cell>
        </row>
        <row r="1778">
          <cell r="A1778" t="str">
            <v>ARS</v>
          </cell>
          <cell r="B1778" t="str">
            <v>565000169</v>
          </cell>
          <cell r="C1778" t="str">
            <v>Susana Ursula Bencich</v>
          </cell>
          <cell r="G1778">
            <v>85427765.5</v>
          </cell>
          <cell r="H1778">
            <v>85427765.5</v>
          </cell>
          <cell r="I1778" t="str">
            <v>565</v>
          </cell>
        </row>
        <row r="1779">
          <cell r="A1779" t="str">
            <v>ARS</v>
          </cell>
          <cell r="B1779" t="str">
            <v>565000170</v>
          </cell>
          <cell r="C1779" t="str">
            <v>Alejandro Javier Sayans</v>
          </cell>
          <cell r="G1779">
            <v>79000234.790000007</v>
          </cell>
          <cell r="H1779">
            <v>79000234.790000007</v>
          </cell>
          <cell r="I1779" t="str">
            <v>565</v>
          </cell>
        </row>
        <row r="1780">
          <cell r="A1780" t="str">
            <v>ARS</v>
          </cell>
          <cell r="B1780" t="str">
            <v>565000171</v>
          </cell>
          <cell r="C1780" t="str">
            <v>Maria Crsitina Ratto</v>
          </cell>
          <cell r="G1780">
            <v>1937699.22</v>
          </cell>
          <cell r="H1780">
            <v>1937699.22</v>
          </cell>
          <cell r="I1780" t="str">
            <v>565</v>
          </cell>
        </row>
        <row r="1781">
          <cell r="A1781" t="str">
            <v>ARS</v>
          </cell>
          <cell r="B1781" t="str">
            <v>565000200</v>
          </cell>
          <cell r="C1781" t="str">
            <v>Coop. de Cred. Cons. y Viv. BAYMOR LTDA</v>
          </cell>
          <cell r="G1781">
            <v>20968101931.349998</v>
          </cell>
          <cell r="H1781">
            <v>20968101931.349998</v>
          </cell>
          <cell r="I1781" t="str">
            <v>565</v>
          </cell>
        </row>
        <row r="1782">
          <cell r="A1782" t="str">
            <v>ARS</v>
          </cell>
          <cell r="B1782" t="str">
            <v>565000565</v>
          </cell>
          <cell r="C1782" t="str">
            <v>BUENOS AIRES CREDITOS Y VALORES SOCIEDAD ANONIMA</v>
          </cell>
          <cell r="G1782">
            <v>1968546.08</v>
          </cell>
          <cell r="H1782">
            <v>1968546.08</v>
          </cell>
          <cell r="I1782" t="str">
            <v>565</v>
          </cell>
        </row>
        <row r="1783">
          <cell r="A1783" t="str">
            <v>ARS</v>
          </cell>
          <cell r="B1783" t="str">
            <v>565001933</v>
          </cell>
          <cell r="C1783" t="str">
            <v>Ennio Bendinelli</v>
          </cell>
          <cell r="G1783">
            <v>41985846.689999998</v>
          </cell>
          <cell r="H1783">
            <v>41985846.689999998</v>
          </cell>
          <cell r="I1783" t="str">
            <v>565</v>
          </cell>
        </row>
        <row r="1784">
          <cell r="A1784" t="str">
            <v>ARS</v>
          </cell>
          <cell r="B1784" t="str">
            <v>568000004</v>
          </cell>
          <cell r="C1784" t="str">
            <v>AXON CAPITAL S.A</v>
          </cell>
          <cell r="G1784">
            <v>96474566537.520004</v>
          </cell>
          <cell r="H1784">
            <v>96474566537.520004</v>
          </cell>
          <cell r="I1784" t="str">
            <v>568</v>
          </cell>
        </row>
        <row r="1785">
          <cell r="A1785" t="str">
            <v>ARS</v>
          </cell>
          <cell r="B1785" t="str">
            <v>568000005</v>
          </cell>
          <cell r="C1785" t="str">
            <v>Valentin Viotti</v>
          </cell>
          <cell r="G1785">
            <v>8544027973.0900002</v>
          </cell>
          <cell r="H1785">
            <v>8544027973.0900002</v>
          </cell>
          <cell r="I1785" t="str">
            <v>568</v>
          </cell>
        </row>
        <row r="1786">
          <cell r="A1786" t="str">
            <v>ARS</v>
          </cell>
          <cell r="B1786" t="str">
            <v>568000006</v>
          </cell>
          <cell r="C1786" t="str">
            <v>Tomas Dalurzo</v>
          </cell>
          <cell r="G1786">
            <v>487935715.10000002</v>
          </cell>
          <cell r="H1786">
            <v>487935715.10000002</v>
          </cell>
          <cell r="I1786" t="str">
            <v>568</v>
          </cell>
        </row>
        <row r="1787">
          <cell r="A1787" t="str">
            <v>ARS</v>
          </cell>
          <cell r="B1787" t="str">
            <v>568000007</v>
          </cell>
          <cell r="C1787" t="str">
            <v>Manzo, Matias Jose Argentino</v>
          </cell>
          <cell r="G1787">
            <v>1436186188.6900001</v>
          </cell>
          <cell r="H1787">
            <v>1436186188.6900001</v>
          </cell>
          <cell r="I1787" t="str">
            <v>568</v>
          </cell>
        </row>
        <row r="1788">
          <cell r="A1788" t="str">
            <v>ARS</v>
          </cell>
          <cell r="B1788" t="str">
            <v>568000008</v>
          </cell>
          <cell r="C1788" t="str">
            <v>Leonardo Damian Piaggio Olivera</v>
          </cell>
          <cell r="G1788">
            <v>17174557.100000001</v>
          </cell>
          <cell r="H1788">
            <v>17174557.100000001</v>
          </cell>
          <cell r="I1788" t="str">
            <v>568</v>
          </cell>
        </row>
        <row r="1789">
          <cell r="A1789" t="str">
            <v>ARS</v>
          </cell>
          <cell r="B1789" t="str">
            <v>568000010</v>
          </cell>
          <cell r="C1789" t="str">
            <v>Costantini, Gonzalo</v>
          </cell>
          <cell r="G1789">
            <v>14546088277.73</v>
          </cell>
          <cell r="H1789">
            <v>14546088277.73</v>
          </cell>
          <cell r="I1789" t="str">
            <v>568</v>
          </cell>
        </row>
        <row r="1790">
          <cell r="A1790" t="str">
            <v>ARS</v>
          </cell>
          <cell r="B1790" t="str">
            <v>568000013</v>
          </cell>
          <cell r="C1790" t="str">
            <v xml:space="preserve"> Marcoff, Tomas Pablo </v>
          </cell>
          <cell r="G1790">
            <v>599737</v>
          </cell>
          <cell r="H1790">
            <v>599737</v>
          </cell>
          <cell r="I1790" t="str">
            <v>568</v>
          </cell>
        </row>
        <row r="1791">
          <cell r="A1791" t="str">
            <v>ARS</v>
          </cell>
          <cell r="B1791" t="str">
            <v>568000015</v>
          </cell>
          <cell r="C1791" t="str">
            <v>Schrench Von Notzing, Silvia Elizabeth</v>
          </cell>
          <cell r="G1791">
            <v>2062394119.78</v>
          </cell>
          <cell r="H1791">
            <v>2062394119.78</v>
          </cell>
          <cell r="I1791" t="str">
            <v>568</v>
          </cell>
        </row>
        <row r="1792">
          <cell r="A1792" t="str">
            <v>ARS</v>
          </cell>
          <cell r="B1792" t="str">
            <v>568000017</v>
          </cell>
          <cell r="C1792" t="str">
            <v>Manzo, Marcelo Juan</v>
          </cell>
          <cell r="G1792">
            <v>1836210466.6900001</v>
          </cell>
          <cell r="H1792">
            <v>1836210466.6900001</v>
          </cell>
          <cell r="I1792" t="str">
            <v>568</v>
          </cell>
        </row>
        <row r="1793">
          <cell r="A1793" t="str">
            <v>ARS</v>
          </cell>
          <cell r="B1793" t="str">
            <v>568000018</v>
          </cell>
          <cell r="C1793" t="str">
            <v>Maria Angelica Fernandez y/o Tomas Dalurzo</v>
          </cell>
          <cell r="G1793">
            <v>177842965</v>
          </cell>
          <cell r="H1793">
            <v>177842965</v>
          </cell>
          <cell r="I1793" t="str">
            <v>568</v>
          </cell>
        </row>
        <row r="1794">
          <cell r="A1794" t="str">
            <v>ARS</v>
          </cell>
          <cell r="B1794" t="str">
            <v>568000019</v>
          </cell>
          <cell r="C1794" t="str">
            <v>Julian Cesar Dalurzo y/o Tomas Dalurzo</v>
          </cell>
          <cell r="G1794">
            <v>178242983</v>
          </cell>
          <cell r="H1794">
            <v>178242983</v>
          </cell>
          <cell r="I1794" t="str">
            <v>568</v>
          </cell>
        </row>
        <row r="1795">
          <cell r="A1795" t="str">
            <v>ARS</v>
          </cell>
          <cell r="B1795" t="str">
            <v>568000023</v>
          </cell>
          <cell r="C1795" t="str">
            <v xml:space="preserve">Bressani , Adrian Alejandro </v>
          </cell>
          <cell r="G1795">
            <v>2652600000</v>
          </cell>
          <cell r="H1795">
            <v>2652600000</v>
          </cell>
          <cell r="I1795" t="str">
            <v>568</v>
          </cell>
        </row>
        <row r="1796">
          <cell r="A1796" t="str">
            <v>ARS</v>
          </cell>
          <cell r="B1796" t="str">
            <v>568000100</v>
          </cell>
          <cell r="C1796" t="str">
            <v>EXPOGRANOS SA</v>
          </cell>
          <cell r="G1796">
            <v>27980058718.290001</v>
          </cell>
          <cell r="H1796">
            <v>27980058718.290001</v>
          </cell>
          <cell r="I1796" t="str">
            <v>568</v>
          </cell>
        </row>
        <row r="1797">
          <cell r="A1797" t="str">
            <v>ARS</v>
          </cell>
          <cell r="B1797" t="str">
            <v>568000103</v>
          </cell>
          <cell r="C1797" t="str">
            <v>GRUPO VICNET S.R.L.</v>
          </cell>
          <cell r="G1797">
            <v>106708331.97</v>
          </cell>
          <cell r="H1797">
            <v>106708331.97</v>
          </cell>
          <cell r="I1797" t="str">
            <v>568</v>
          </cell>
        </row>
        <row r="1798">
          <cell r="A1798" t="str">
            <v>ARS</v>
          </cell>
          <cell r="B1798" t="str">
            <v>568000104</v>
          </cell>
          <cell r="C1798" t="str">
            <v>S+L INMOBILIARIA S.A.</v>
          </cell>
          <cell r="G1798">
            <v>903746673.45000005</v>
          </cell>
          <cell r="H1798">
            <v>903746673.45000005</v>
          </cell>
          <cell r="I1798" t="str">
            <v>568</v>
          </cell>
        </row>
        <row r="1799">
          <cell r="A1799" t="str">
            <v>ARS</v>
          </cell>
          <cell r="B1799" t="str">
            <v>568000108</v>
          </cell>
          <cell r="C1799" t="str">
            <v>NORDATA TECHNOLOGIES SAS</v>
          </cell>
          <cell r="G1799">
            <v>758273874.96000004</v>
          </cell>
          <cell r="H1799">
            <v>758273874.96000004</v>
          </cell>
          <cell r="I1799" t="str">
            <v>568</v>
          </cell>
        </row>
        <row r="1800">
          <cell r="A1800" t="str">
            <v>ARS</v>
          </cell>
          <cell r="B1800" t="str">
            <v>568000112</v>
          </cell>
          <cell r="C1800" t="str">
            <v xml:space="preserve">Potenciar S.G.R (FDR) 1 </v>
          </cell>
          <cell r="G1800">
            <v>5059832003.0699997</v>
          </cell>
          <cell r="H1800">
            <v>5059832003.0699997</v>
          </cell>
          <cell r="I1800" t="str">
            <v>568</v>
          </cell>
        </row>
        <row r="1801">
          <cell r="A1801" t="str">
            <v>ARS</v>
          </cell>
          <cell r="B1801" t="str">
            <v>568000114</v>
          </cell>
          <cell r="C1801" t="str">
            <v>AREX ACTIVOS DIGITALES SA</v>
          </cell>
          <cell r="G1801">
            <v>4464687389.6499996</v>
          </cell>
          <cell r="H1801">
            <v>4464687389.6499996</v>
          </cell>
          <cell r="I1801" t="str">
            <v>568</v>
          </cell>
        </row>
        <row r="1802">
          <cell r="A1802" t="str">
            <v>ARS</v>
          </cell>
          <cell r="B1802" t="str">
            <v>568000115</v>
          </cell>
          <cell r="C1802" t="str">
            <v>LUCOMEX SA</v>
          </cell>
          <cell r="G1802">
            <v>30506734.300000001</v>
          </cell>
          <cell r="H1802">
            <v>30506734.300000001</v>
          </cell>
          <cell r="I1802" t="str">
            <v>568</v>
          </cell>
        </row>
        <row r="1803">
          <cell r="A1803" t="str">
            <v>ARS</v>
          </cell>
          <cell r="B1803" t="str">
            <v>568000116</v>
          </cell>
          <cell r="C1803" t="str">
            <v>THE FARAWAY S.A.</v>
          </cell>
          <cell r="G1803">
            <v>22754102.600000001</v>
          </cell>
          <cell r="H1803">
            <v>22754102.600000001</v>
          </cell>
          <cell r="I1803" t="str">
            <v>568</v>
          </cell>
        </row>
        <row r="1804">
          <cell r="A1804" t="str">
            <v>ARS</v>
          </cell>
          <cell r="B1804" t="str">
            <v>568010001</v>
          </cell>
          <cell r="C1804" t="str">
            <v>Videla Glave, Barbara Jacqueline</v>
          </cell>
          <cell r="G1804">
            <v>2216963922</v>
          </cell>
          <cell r="H1804">
            <v>2216963922</v>
          </cell>
          <cell r="I1804" t="str">
            <v>568</v>
          </cell>
        </row>
        <row r="1805">
          <cell r="A1805" t="str">
            <v>ARS</v>
          </cell>
          <cell r="B1805" t="str">
            <v>568010002</v>
          </cell>
          <cell r="C1805" t="str">
            <v>Labajos, Marcelo Anibal</v>
          </cell>
          <cell r="G1805">
            <v>41693037768.980003</v>
          </cell>
          <cell r="H1805">
            <v>41693037768.980003</v>
          </cell>
          <cell r="I1805" t="str">
            <v>568</v>
          </cell>
        </row>
        <row r="1806">
          <cell r="A1806" t="str">
            <v>ARS</v>
          </cell>
          <cell r="B1806" t="str">
            <v>568010003</v>
          </cell>
          <cell r="C1806" t="str">
            <v>Canullo, Marta Noemi</v>
          </cell>
          <cell r="G1806">
            <v>5833152044</v>
          </cell>
          <cell r="H1806">
            <v>5833152044</v>
          </cell>
          <cell r="I1806" t="str">
            <v>568</v>
          </cell>
        </row>
        <row r="1807">
          <cell r="A1807" t="str">
            <v>ARS</v>
          </cell>
          <cell r="B1807" t="str">
            <v>568010004</v>
          </cell>
          <cell r="C1807" t="str">
            <v>Kalciyan, Federico Alexis</v>
          </cell>
          <cell r="G1807">
            <v>4979040</v>
          </cell>
          <cell r="H1807">
            <v>4979040</v>
          </cell>
          <cell r="I1807" t="str">
            <v>568</v>
          </cell>
        </row>
        <row r="1808">
          <cell r="A1808" t="str">
            <v>ARS</v>
          </cell>
          <cell r="B1808" t="str">
            <v>568010006</v>
          </cell>
          <cell r="C1808" t="str">
            <v>Ballesteros, Ricardo Julian</v>
          </cell>
          <cell r="G1808">
            <v>4410972659.4399996</v>
          </cell>
          <cell r="H1808">
            <v>4410972659.4399996</v>
          </cell>
          <cell r="I1808" t="str">
            <v>568</v>
          </cell>
        </row>
        <row r="1809">
          <cell r="A1809" t="str">
            <v>ARS</v>
          </cell>
          <cell r="B1809" t="str">
            <v>568010008</v>
          </cell>
          <cell r="C1809" t="str">
            <v>Etchezar, Alejo</v>
          </cell>
          <cell r="G1809">
            <v>6938533.7800000003</v>
          </cell>
          <cell r="H1809">
            <v>6938533.7800000003</v>
          </cell>
          <cell r="I1809" t="str">
            <v>568</v>
          </cell>
        </row>
        <row r="1810">
          <cell r="A1810" t="str">
            <v>ARS</v>
          </cell>
          <cell r="B1810" t="str">
            <v>568010010</v>
          </cell>
          <cell r="C1810" t="str">
            <v>Correa Arias Torres, Carlos Alejandro</v>
          </cell>
          <cell r="G1810">
            <v>866706360</v>
          </cell>
          <cell r="H1810">
            <v>866706360</v>
          </cell>
          <cell r="I1810" t="str">
            <v>568</v>
          </cell>
        </row>
        <row r="1811">
          <cell r="A1811" t="str">
            <v>ARS</v>
          </cell>
          <cell r="B1811" t="str">
            <v>568010012</v>
          </cell>
          <cell r="C1811" t="str">
            <v>Garcia, Ignacio</v>
          </cell>
          <cell r="G1811">
            <v>380380000</v>
          </cell>
          <cell r="H1811">
            <v>380380000</v>
          </cell>
          <cell r="I1811" t="str">
            <v>568</v>
          </cell>
        </row>
        <row r="1812">
          <cell r="A1812" t="str">
            <v>ARS</v>
          </cell>
          <cell r="B1812" t="str">
            <v>568010014</v>
          </cell>
          <cell r="C1812" t="str">
            <v>Dimo, Salvador</v>
          </cell>
          <cell r="G1812">
            <v>17119595</v>
          </cell>
          <cell r="H1812">
            <v>17119595</v>
          </cell>
          <cell r="I1812" t="str">
            <v>568</v>
          </cell>
        </row>
        <row r="1813">
          <cell r="A1813" t="str">
            <v>ARS</v>
          </cell>
          <cell r="B1813" t="str">
            <v>568010018</v>
          </cell>
          <cell r="C1813" t="str">
            <v>Glave, Zulma Irene o Gago, Maria Paula o Videla Glave, Barbara Jacqueline</v>
          </cell>
          <cell r="G1813">
            <v>1067053427</v>
          </cell>
          <cell r="H1813">
            <v>1067053427</v>
          </cell>
          <cell r="I1813" t="str">
            <v>568</v>
          </cell>
        </row>
        <row r="1814">
          <cell r="A1814" t="str">
            <v>ARS</v>
          </cell>
          <cell r="B1814" t="str">
            <v>568010019</v>
          </cell>
          <cell r="C1814" t="str">
            <v>Urba, Dalmiro</v>
          </cell>
          <cell r="G1814">
            <v>20925724.350000001</v>
          </cell>
          <cell r="H1814">
            <v>20925724.350000001</v>
          </cell>
          <cell r="I1814" t="str">
            <v>568</v>
          </cell>
        </row>
        <row r="1815">
          <cell r="A1815" t="str">
            <v>ARS</v>
          </cell>
          <cell r="B1815" t="str">
            <v>568010025</v>
          </cell>
          <cell r="C1815" t="str">
            <v xml:space="preserve">Casorla Yalet, Roberto </v>
          </cell>
          <cell r="G1815">
            <v>5881161.25</v>
          </cell>
          <cell r="H1815">
            <v>5881161.25</v>
          </cell>
          <cell r="I1815" t="str">
            <v>568</v>
          </cell>
        </row>
        <row r="1816">
          <cell r="A1816" t="str">
            <v>ARS</v>
          </cell>
          <cell r="B1816" t="str">
            <v>568010027</v>
          </cell>
          <cell r="C1816" t="str">
            <v>Canullo, Maria Victoria</v>
          </cell>
          <cell r="G1816">
            <v>6408779802</v>
          </cell>
          <cell r="H1816">
            <v>6408779802</v>
          </cell>
          <cell r="I1816" t="str">
            <v>568</v>
          </cell>
        </row>
        <row r="1817">
          <cell r="A1817" t="str">
            <v>ARS</v>
          </cell>
          <cell r="B1817" t="str">
            <v>568010028</v>
          </cell>
          <cell r="C1817" t="str">
            <v>Kalciyan, Marcelo Alexis</v>
          </cell>
          <cell r="G1817">
            <v>1474005040</v>
          </cell>
          <cell r="H1817">
            <v>1474005040</v>
          </cell>
          <cell r="I1817" t="str">
            <v>568</v>
          </cell>
        </row>
        <row r="1818">
          <cell r="A1818" t="str">
            <v>ARS</v>
          </cell>
          <cell r="B1818" t="str">
            <v>568010032</v>
          </cell>
          <cell r="C1818" t="str">
            <v>Fogola, Juan Cruz Agustin</v>
          </cell>
          <cell r="G1818">
            <v>4338711</v>
          </cell>
          <cell r="H1818">
            <v>4338711</v>
          </cell>
          <cell r="I1818" t="str">
            <v>568</v>
          </cell>
        </row>
        <row r="1819">
          <cell r="A1819" t="str">
            <v>ARS</v>
          </cell>
          <cell r="B1819" t="str">
            <v>568010033</v>
          </cell>
          <cell r="C1819" t="str">
            <v>Montagna, Jorge Marcelo o Sobrero, Silvia Veronica</v>
          </cell>
          <cell r="G1819">
            <v>856021204.45000005</v>
          </cell>
          <cell r="H1819">
            <v>856021204.45000005</v>
          </cell>
          <cell r="I1819" t="str">
            <v>568</v>
          </cell>
        </row>
        <row r="1820">
          <cell r="A1820" t="str">
            <v>ARS</v>
          </cell>
          <cell r="B1820" t="str">
            <v>568010036</v>
          </cell>
          <cell r="C1820" t="str">
            <v>Albrizio, Daniel Eduardo</v>
          </cell>
          <cell r="G1820">
            <v>94169499.5</v>
          </cell>
          <cell r="H1820">
            <v>94169499.5</v>
          </cell>
          <cell r="I1820" t="str">
            <v>568</v>
          </cell>
        </row>
        <row r="1821">
          <cell r="A1821" t="str">
            <v>ARS</v>
          </cell>
          <cell r="B1821" t="str">
            <v>568010037</v>
          </cell>
          <cell r="C1821" t="str">
            <v>Garcia, Emmanuel</v>
          </cell>
          <cell r="G1821">
            <v>2543448604</v>
          </cell>
          <cell r="H1821">
            <v>2543448604</v>
          </cell>
          <cell r="I1821" t="str">
            <v>568</v>
          </cell>
        </row>
        <row r="1822">
          <cell r="A1822" t="str">
            <v>ARS</v>
          </cell>
          <cell r="B1822" t="str">
            <v>568010042</v>
          </cell>
          <cell r="C1822" t="str">
            <v>Blaquier, Rufino</v>
          </cell>
          <cell r="G1822">
            <v>1098063000</v>
          </cell>
          <cell r="H1822">
            <v>1098063000</v>
          </cell>
          <cell r="I1822" t="str">
            <v>568</v>
          </cell>
        </row>
        <row r="1823">
          <cell r="A1823" t="str">
            <v>ARS</v>
          </cell>
          <cell r="B1823" t="str">
            <v>568010046</v>
          </cell>
          <cell r="C1823" t="str">
            <v>Elberg, Jeremias Joaquin</v>
          </cell>
          <cell r="G1823">
            <v>3981136.6</v>
          </cell>
          <cell r="H1823">
            <v>3981136.6</v>
          </cell>
          <cell r="I1823" t="str">
            <v>568</v>
          </cell>
        </row>
        <row r="1824">
          <cell r="A1824" t="str">
            <v>ARS</v>
          </cell>
          <cell r="B1824" t="str">
            <v>568010049</v>
          </cell>
          <cell r="C1824" t="str">
            <v>Labajos, Marcelo Anibal y/o Salerno, Olga Norma y/o Labajos, Flavio Miguel y/o Labajos, Camilo y/o Labajos, Mateo Angel</v>
          </cell>
          <cell r="G1824">
            <v>3550707043.4899998</v>
          </cell>
          <cell r="H1824">
            <v>3550707043.4899998</v>
          </cell>
          <cell r="I1824" t="str">
            <v>568</v>
          </cell>
        </row>
        <row r="1825">
          <cell r="A1825" t="str">
            <v>ARS</v>
          </cell>
          <cell r="B1825" t="str">
            <v>568010051</v>
          </cell>
          <cell r="C1825" t="str">
            <v>Furer, Olga Felisa</v>
          </cell>
          <cell r="G1825">
            <v>438304884.38</v>
          </cell>
          <cell r="H1825">
            <v>438304884.38</v>
          </cell>
          <cell r="I1825" t="str">
            <v>568</v>
          </cell>
        </row>
        <row r="1826">
          <cell r="A1826" t="str">
            <v>ARS</v>
          </cell>
          <cell r="B1826" t="str">
            <v>599000005</v>
          </cell>
          <cell r="C1826" t="str">
            <v>MARIO CALANDRI E HIJOS S.A.</v>
          </cell>
          <cell r="G1826">
            <v>222304000</v>
          </cell>
          <cell r="H1826">
            <v>222304000</v>
          </cell>
          <cell r="I1826" t="str">
            <v>599</v>
          </cell>
        </row>
        <row r="1827">
          <cell r="A1827" t="str">
            <v>ARS</v>
          </cell>
          <cell r="B1827" t="str">
            <v>599000008</v>
          </cell>
          <cell r="C1827" t="str">
            <v xml:space="preserve">SAUTHIER MARCELO ABEL </v>
          </cell>
          <cell r="G1827">
            <v>165768378.69999999</v>
          </cell>
          <cell r="H1827">
            <v>165768378.69999999</v>
          </cell>
          <cell r="I1827" t="str">
            <v>599</v>
          </cell>
        </row>
        <row r="1828">
          <cell r="A1828" t="str">
            <v>ARS</v>
          </cell>
          <cell r="B1828" t="str">
            <v>599000018</v>
          </cell>
          <cell r="C1828" t="str">
            <v>Berardo Ruben Alberto</v>
          </cell>
          <cell r="G1828">
            <v>29631600</v>
          </cell>
          <cell r="H1828">
            <v>29631600</v>
          </cell>
          <cell r="I1828" t="str">
            <v>599</v>
          </cell>
        </row>
        <row r="1829">
          <cell r="A1829" t="str">
            <v>ARS</v>
          </cell>
          <cell r="B1829" t="str">
            <v>599000024</v>
          </cell>
          <cell r="C1829" t="str">
            <v>Clerc Maria Alicia</v>
          </cell>
          <cell r="G1829">
            <v>695595</v>
          </cell>
          <cell r="H1829">
            <v>695595</v>
          </cell>
          <cell r="I1829" t="str">
            <v>599</v>
          </cell>
        </row>
        <row r="1830">
          <cell r="A1830" t="str">
            <v>ARS</v>
          </cell>
          <cell r="B1830" t="str">
            <v>599000031</v>
          </cell>
          <cell r="C1830" t="str">
            <v>PRETINI ARACELI RAQUEL</v>
          </cell>
          <cell r="G1830">
            <v>49810000</v>
          </cell>
          <cell r="H1830">
            <v>49810000</v>
          </cell>
          <cell r="I1830" t="str">
            <v>599</v>
          </cell>
        </row>
        <row r="1831">
          <cell r="A1831" t="str">
            <v>ARS</v>
          </cell>
          <cell r="B1831" t="str">
            <v>599001000</v>
          </cell>
          <cell r="C1831" t="str">
            <v>PSA LA CALIFORNIA S.A.</v>
          </cell>
          <cell r="G1831">
            <v>4000000</v>
          </cell>
          <cell r="H1831">
            <v>4000000</v>
          </cell>
          <cell r="I1831" t="str">
            <v>599</v>
          </cell>
        </row>
        <row r="1832">
          <cell r="A1832" t="str">
            <v>ARS</v>
          </cell>
          <cell r="B1832" t="str">
            <v>602113349</v>
          </cell>
          <cell r="C1832" t="str">
            <v>Albajari, Miguel Eduardo</v>
          </cell>
          <cell r="G1832">
            <v>1231065</v>
          </cell>
          <cell r="H1832">
            <v>1231065</v>
          </cell>
          <cell r="I1832" t="str">
            <v>602</v>
          </cell>
        </row>
        <row r="1833">
          <cell r="A1833" t="str">
            <v>ARS</v>
          </cell>
          <cell r="B1833" t="str">
            <v>602113506</v>
          </cell>
          <cell r="C1833" t="str">
            <v>Aguirre, Fernando Francisco o Aguirre, Guadalupe Ines</v>
          </cell>
          <cell r="G1833">
            <v>3225623</v>
          </cell>
          <cell r="H1833">
            <v>3225623</v>
          </cell>
          <cell r="I1833" t="str">
            <v>602</v>
          </cell>
        </row>
        <row r="1834">
          <cell r="A1834" t="str">
            <v>ARS</v>
          </cell>
          <cell r="B1834" t="str">
            <v>602113563</v>
          </cell>
          <cell r="C1834" t="str">
            <v>Alessandri, Marcelo Gustavo</v>
          </cell>
          <cell r="G1834">
            <v>1306536</v>
          </cell>
          <cell r="H1834">
            <v>1306536</v>
          </cell>
          <cell r="I1834" t="str">
            <v>602</v>
          </cell>
        </row>
        <row r="1835">
          <cell r="A1835" t="str">
            <v>ARS</v>
          </cell>
          <cell r="B1835" t="str">
            <v>602121053</v>
          </cell>
          <cell r="C1835" t="str">
            <v>Bibe, Dina Matilde</v>
          </cell>
          <cell r="G1835">
            <v>6561756</v>
          </cell>
          <cell r="H1835">
            <v>6561756</v>
          </cell>
          <cell r="I1835" t="str">
            <v>602</v>
          </cell>
        </row>
        <row r="1836">
          <cell r="A1836" t="str">
            <v>ARS</v>
          </cell>
          <cell r="B1836" t="str">
            <v>602123748</v>
          </cell>
          <cell r="C1836" t="str">
            <v>Bustos, Marta Luisa Ramirez de o Bustos, Ariel Omar o Bustos, Alejandra Adriana</v>
          </cell>
          <cell r="G1836">
            <v>12900468</v>
          </cell>
          <cell r="H1836">
            <v>12900468</v>
          </cell>
          <cell r="I1836" t="str">
            <v>602</v>
          </cell>
        </row>
        <row r="1837">
          <cell r="A1837" t="str">
            <v>ARS</v>
          </cell>
          <cell r="B1837" t="str">
            <v>602124135</v>
          </cell>
          <cell r="C1837" t="str">
            <v>Bustos, Ariel Omar o Maldonado, Julieta Lorena</v>
          </cell>
          <cell r="G1837">
            <v>837481857.29999995</v>
          </cell>
          <cell r="H1837">
            <v>837481857.29999995</v>
          </cell>
          <cell r="I1837" t="str">
            <v>602</v>
          </cell>
        </row>
        <row r="1838">
          <cell r="A1838" t="str">
            <v>ARS</v>
          </cell>
          <cell r="B1838" t="str">
            <v>602124211</v>
          </cell>
          <cell r="C1838" t="str">
            <v>Bancora Eduardo Alberto</v>
          </cell>
          <cell r="G1838">
            <v>1758131213.3</v>
          </cell>
          <cell r="H1838">
            <v>1758131213.3</v>
          </cell>
          <cell r="I1838" t="str">
            <v>602</v>
          </cell>
        </row>
        <row r="1839">
          <cell r="A1839" t="str">
            <v>ARS</v>
          </cell>
          <cell r="B1839" t="str">
            <v>602124295</v>
          </cell>
          <cell r="C1839" t="str">
            <v>Benavidez, Maria Cristina</v>
          </cell>
          <cell r="G1839">
            <v>267643</v>
          </cell>
          <cell r="H1839">
            <v>267643</v>
          </cell>
          <cell r="I1839" t="str">
            <v>602</v>
          </cell>
        </row>
        <row r="1840">
          <cell r="A1840" t="str">
            <v>ARS</v>
          </cell>
          <cell r="B1840" t="str">
            <v>602133519</v>
          </cell>
          <cell r="C1840" t="str">
            <v>Cingolani, Sergio Daniel o Cingolani, Marisa Cecilia Davoli de</v>
          </cell>
          <cell r="G1840">
            <v>51492542</v>
          </cell>
          <cell r="H1840">
            <v>51492542</v>
          </cell>
          <cell r="I1840" t="str">
            <v>602</v>
          </cell>
        </row>
        <row r="1841">
          <cell r="A1841" t="str">
            <v>ARS</v>
          </cell>
          <cell r="B1841" t="str">
            <v>602134101</v>
          </cell>
          <cell r="C1841" t="str">
            <v>Cortes, Alberto Juan o Cortes, Damian o Cortes, Tamara</v>
          </cell>
          <cell r="G1841">
            <v>187066</v>
          </cell>
          <cell r="H1841">
            <v>187066</v>
          </cell>
          <cell r="I1841" t="str">
            <v>602</v>
          </cell>
        </row>
        <row r="1842">
          <cell r="A1842" t="str">
            <v>ARS</v>
          </cell>
          <cell r="B1842" t="str">
            <v>602134171</v>
          </cell>
          <cell r="C1842" t="str">
            <v>Cardonnet,Maria Del Rosario</v>
          </cell>
          <cell r="G1842">
            <v>7780350</v>
          </cell>
          <cell r="H1842">
            <v>7780350</v>
          </cell>
          <cell r="I1842" t="str">
            <v>602</v>
          </cell>
        </row>
        <row r="1843">
          <cell r="A1843" t="str">
            <v>ARS</v>
          </cell>
          <cell r="B1843" t="str">
            <v>602134203</v>
          </cell>
          <cell r="C1843" t="str">
            <v>Ciocca, Alicia Beatriz o Felsen, Analia Beatriz o Felsen, Alejandro Raul u otros</v>
          </cell>
          <cell r="G1843">
            <v>2269140</v>
          </cell>
          <cell r="H1843">
            <v>2269140</v>
          </cell>
          <cell r="I1843" t="str">
            <v>602</v>
          </cell>
        </row>
        <row r="1844">
          <cell r="A1844" t="str">
            <v>ARS</v>
          </cell>
          <cell r="B1844" t="str">
            <v>602134246</v>
          </cell>
          <cell r="C1844" t="str">
            <v>Combaz, Luciana</v>
          </cell>
          <cell r="G1844">
            <v>14164676</v>
          </cell>
          <cell r="H1844">
            <v>14164676</v>
          </cell>
          <cell r="I1844" t="str">
            <v>602</v>
          </cell>
        </row>
        <row r="1845">
          <cell r="A1845" t="str">
            <v>ARS</v>
          </cell>
          <cell r="B1845" t="str">
            <v>602154153</v>
          </cell>
          <cell r="C1845" t="str">
            <v>Decunto, Diego Hernan o Squiro, Eliana Silvina</v>
          </cell>
          <cell r="G1845">
            <v>113091</v>
          </cell>
          <cell r="H1845">
            <v>113091</v>
          </cell>
          <cell r="I1845" t="str">
            <v>602</v>
          </cell>
        </row>
        <row r="1846">
          <cell r="A1846" t="str">
            <v>ARS</v>
          </cell>
          <cell r="B1846" t="str">
            <v>602164145</v>
          </cell>
          <cell r="C1846" t="str">
            <v>Erausquin, Sebastian Pablo o Lagreca, Susana Beatriz</v>
          </cell>
          <cell r="G1846">
            <v>51090795</v>
          </cell>
          <cell r="H1846">
            <v>51090795</v>
          </cell>
          <cell r="I1846" t="str">
            <v>602</v>
          </cell>
        </row>
        <row r="1847">
          <cell r="A1847" t="str">
            <v>ARS</v>
          </cell>
          <cell r="B1847" t="str">
            <v>602164175</v>
          </cell>
          <cell r="C1847" t="str">
            <v>Espinosa, Nilda Esther o Espinosa, Emiliano Jose</v>
          </cell>
          <cell r="G1847">
            <v>34125</v>
          </cell>
          <cell r="H1847">
            <v>34125</v>
          </cell>
          <cell r="I1847" t="str">
            <v>602</v>
          </cell>
        </row>
        <row r="1848">
          <cell r="A1848" t="str">
            <v>ARS</v>
          </cell>
          <cell r="B1848" t="str">
            <v>602171151</v>
          </cell>
          <cell r="C1848" t="str">
            <v xml:space="preserve">Fernando Bibe  e hijos SA </v>
          </cell>
          <cell r="G1848">
            <v>1945560</v>
          </cell>
          <cell r="H1848">
            <v>1945560</v>
          </cell>
          <cell r="I1848" t="str">
            <v>602</v>
          </cell>
        </row>
        <row r="1849">
          <cell r="A1849" t="str">
            <v>ARS</v>
          </cell>
          <cell r="B1849" t="str">
            <v>602174182</v>
          </cell>
          <cell r="C1849" t="str">
            <v>Ferrari, Silvia Maria o Ferrari, Gabriela Susana</v>
          </cell>
          <cell r="G1849">
            <v>4702387</v>
          </cell>
          <cell r="H1849">
            <v>4702387</v>
          </cell>
          <cell r="I1849" t="str">
            <v>602</v>
          </cell>
        </row>
        <row r="1850">
          <cell r="A1850" t="str">
            <v>ARS</v>
          </cell>
          <cell r="B1850" t="str">
            <v>602174189</v>
          </cell>
          <cell r="C1850" t="str">
            <v>Fernandez Alvarez, Augusto Jose o Riera, Analia Norma</v>
          </cell>
          <cell r="G1850">
            <v>46351724</v>
          </cell>
          <cell r="H1850">
            <v>46351724</v>
          </cell>
          <cell r="I1850" t="str">
            <v>602</v>
          </cell>
        </row>
        <row r="1851">
          <cell r="A1851" t="str">
            <v>ARS</v>
          </cell>
          <cell r="B1851" t="str">
            <v>602174191</v>
          </cell>
          <cell r="C1851" t="str">
            <v>Fernandez Alvarez,Guillermo Victor</v>
          </cell>
          <cell r="G1851">
            <v>86385636</v>
          </cell>
          <cell r="H1851">
            <v>86385636</v>
          </cell>
          <cell r="I1851" t="str">
            <v>602</v>
          </cell>
        </row>
        <row r="1852">
          <cell r="A1852" t="str">
            <v>ARS</v>
          </cell>
          <cell r="B1852" t="str">
            <v>602174262</v>
          </cell>
          <cell r="C1852" t="str">
            <v>Ficarrotta, Damian Eduardo</v>
          </cell>
          <cell r="G1852">
            <v>15077052</v>
          </cell>
          <cell r="H1852">
            <v>15077052</v>
          </cell>
          <cell r="I1852" t="str">
            <v>602</v>
          </cell>
        </row>
        <row r="1853">
          <cell r="A1853" t="str">
            <v>ARS</v>
          </cell>
          <cell r="B1853" t="str">
            <v>602183529</v>
          </cell>
          <cell r="C1853" t="str">
            <v>Genaccio, Hector Raul</v>
          </cell>
          <cell r="G1853">
            <v>207558</v>
          </cell>
          <cell r="H1853">
            <v>207558</v>
          </cell>
          <cell r="I1853" t="str">
            <v>602</v>
          </cell>
        </row>
        <row r="1854">
          <cell r="A1854" t="str">
            <v>ARS</v>
          </cell>
          <cell r="B1854" t="str">
            <v>602184157</v>
          </cell>
          <cell r="C1854" t="str">
            <v>Giral, Rosana Cecilia</v>
          </cell>
          <cell r="G1854">
            <v>680080</v>
          </cell>
          <cell r="H1854">
            <v>680080</v>
          </cell>
          <cell r="I1854" t="str">
            <v>602</v>
          </cell>
        </row>
        <row r="1855">
          <cell r="A1855" t="str">
            <v>ARS</v>
          </cell>
          <cell r="B1855" t="str">
            <v>602184318</v>
          </cell>
          <cell r="C1855" t="str">
            <v>Galeano, Hilda Ynes o Galeano, Franco Nicolas</v>
          </cell>
          <cell r="G1855">
            <v>176404</v>
          </cell>
          <cell r="H1855">
            <v>176404</v>
          </cell>
          <cell r="I1855" t="str">
            <v>602</v>
          </cell>
        </row>
        <row r="1856">
          <cell r="A1856" t="str">
            <v>ARS</v>
          </cell>
          <cell r="B1856" t="str">
            <v>602214274</v>
          </cell>
          <cell r="C1856" t="str">
            <v>Gimenez, Maria Mercedes</v>
          </cell>
          <cell r="G1856">
            <v>21087129.100000001</v>
          </cell>
          <cell r="H1856">
            <v>21087129.100000001</v>
          </cell>
          <cell r="I1856" t="str">
            <v>602</v>
          </cell>
        </row>
        <row r="1857">
          <cell r="A1857" t="str">
            <v>ARS</v>
          </cell>
          <cell r="B1857" t="str">
            <v>602234060</v>
          </cell>
          <cell r="C1857" t="str">
            <v>Lera, Silvia Liliana o Gazzaniga, Amadeo Ivo</v>
          </cell>
          <cell r="G1857">
            <v>5614901</v>
          </cell>
          <cell r="H1857">
            <v>5614901</v>
          </cell>
          <cell r="I1857" t="str">
            <v>602</v>
          </cell>
        </row>
        <row r="1858">
          <cell r="A1858" t="str">
            <v>ARS</v>
          </cell>
          <cell r="B1858" t="str">
            <v>602234217</v>
          </cell>
          <cell r="C1858" t="str">
            <v>Labriola, Pascual o Piante, Aristea o Labriola,  Elio Ezequiel</v>
          </cell>
          <cell r="G1858">
            <v>8297125</v>
          </cell>
          <cell r="H1858">
            <v>8297125</v>
          </cell>
          <cell r="I1858" t="str">
            <v>602</v>
          </cell>
        </row>
        <row r="1859">
          <cell r="A1859" t="str">
            <v>ARS</v>
          </cell>
          <cell r="B1859" t="str">
            <v>602234272</v>
          </cell>
          <cell r="C1859" t="str">
            <v>Lenti, Gaston Claudio o Rodriguez, Veronica Analia</v>
          </cell>
          <cell r="G1859">
            <v>1532350</v>
          </cell>
          <cell r="H1859">
            <v>1532350</v>
          </cell>
          <cell r="I1859" t="str">
            <v>602</v>
          </cell>
        </row>
        <row r="1860">
          <cell r="A1860" t="str">
            <v>ARS</v>
          </cell>
          <cell r="B1860" t="str">
            <v>602234342</v>
          </cell>
          <cell r="C1860" t="str">
            <v>Leo, Noelia Lucila o Leo, Eduardo Luis o Balbuena, Cristina Clelia</v>
          </cell>
          <cell r="G1860">
            <v>205615</v>
          </cell>
          <cell r="H1860">
            <v>205615</v>
          </cell>
          <cell r="I1860" t="str">
            <v>602</v>
          </cell>
        </row>
        <row r="1861">
          <cell r="A1861" t="str">
            <v>ARS</v>
          </cell>
          <cell r="B1861" t="str">
            <v>602251595</v>
          </cell>
          <cell r="C1861" t="str">
            <v>Mierez, Miguel Angel o Tonella, Maria Teresa</v>
          </cell>
          <cell r="G1861">
            <v>3063249</v>
          </cell>
          <cell r="H1861">
            <v>3063249</v>
          </cell>
          <cell r="I1861" t="str">
            <v>602</v>
          </cell>
        </row>
        <row r="1862">
          <cell r="A1862" t="str">
            <v>ARS</v>
          </cell>
          <cell r="B1862" t="str">
            <v>602253089</v>
          </cell>
          <cell r="C1862" t="str">
            <v>Maiorana, Sergio Daniel o Cue, Ana María Vivian o Maiorana, Ruth</v>
          </cell>
          <cell r="G1862">
            <v>40393622</v>
          </cell>
          <cell r="H1862">
            <v>40393622</v>
          </cell>
          <cell r="I1862" t="str">
            <v>602</v>
          </cell>
        </row>
        <row r="1863">
          <cell r="A1863" t="str">
            <v>ARS</v>
          </cell>
          <cell r="B1863" t="str">
            <v>602253181</v>
          </cell>
          <cell r="C1863" t="str">
            <v>Morasso, Salvador Carlos</v>
          </cell>
          <cell r="G1863">
            <v>317091791</v>
          </cell>
          <cell r="H1863">
            <v>317091791</v>
          </cell>
          <cell r="I1863" t="str">
            <v>602</v>
          </cell>
        </row>
        <row r="1864">
          <cell r="A1864" t="str">
            <v>ARS</v>
          </cell>
          <cell r="B1864" t="str">
            <v>602254133</v>
          </cell>
          <cell r="C1864" t="str">
            <v>Mariani, Juan Pablo</v>
          </cell>
          <cell r="G1864">
            <v>21946801</v>
          </cell>
          <cell r="H1864">
            <v>21946801</v>
          </cell>
          <cell r="I1864" t="str">
            <v>602</v>
          </cell>
        </row>
        <row r="1865">
          <cell r="A1865" t="str">
            <v>ARS</v>
          </cell>
          <cell r="B1865" t="str">
            <v>602254207</v>
          </cell>
          <cell r="C1865" t="str">
            <v>Mierez, Matias Miguel</v>
          </cell>
          <cell r="G1865">
            <v>167037</v>
          </cell>
          <cell r="H1865">
            <v>167037</v>
          </cell>
          <cell r="I1865" t="str">
            <v>602</v>
          </cell>
        </row>
        <row r="1866">
          <cell r="A1866" t="str">
            <v>ARS</v>
          </cell>
          <cell r="B1866" t="str">
            <v>602254244</v>
          </cell>
          <cell r="C1866" t="str">
            <v>Montot, Nestor Hugo</v>
          </cell>
          <cell r="G1866">
            <v>335120</v>
          </cell>
          <cell r="H1866">
            <v>335120</v>
          </cell>
          <cell r="I1866" t="str">
            <v>602</v>
          </cell>
        </row>
        <row r="1867">
          <cell r="A1867" t="str">
            <v>ARS</v>
          </cell>
          <cell r="B1867" t="str">
            <v>602254273</v>
          </cell>
          <cell r="C1867" t="str">
            <v>Martellotto, Corina Soledad o Martellotto, Julieta Maria de Lujan</v>
          </cell>
          <cell r="G1867">
            <v>3154297</v>
          </cell>
          <cell r="H1867">
            <v>3154297</v>
          </cell>
          <cell r="I1867" t="str">
            <v>602</v>
          </cell>
        </row>
        <row r="1868">
          <cell r="A1868" t="str">
            <v>ARS</v>
          </cell>
          <cell r="B1868" t="str">
            <v>602254275</v>
          </cell>
          <cell r="C1868" t="str">
            <v>Maldonado, Claudia Fabiana</v>
          </cell>
          <cell r="G1868">
            <v>16996635</v>
          </cell>
          <cell r="H1868">
            <v>16996635</v>
          </cell>
          <cell r="I1868" t="str">
            <v>602</v>
          </cell>
        </row>
        <row r="1869">
          <cell r="A1869" t="str">
            <v>ARS</v>
          </cell>
          <cell r="B1869" t="str">
            <v>602254311</v>
          </cell>
          <cell r="C1869" t="str">
            <v>Martellotto, Juan Pablo</v>
          </cell>
          <cell r="G1869">
            <v>17512005</v>
          </cell>
          <cell r="H1869">
            <v>17512005</v>
          </cell>
          <cell r="I1869" t="str">
            <v>602</v>
          </cell>
        </row>
        <row r="1870">
          <cell r="A1870" t="str">
            <v>ARS</v>
          </cell>
          <cell r="B1870" t="str">
            <v>602254315</v>
          </cell>
          <cell r="C1870" t="str">
            <v>Mikas, Maria Alejandra</v>
          </cell>
          <cell r="G1870">
            <v>142778</v>
          </cell>
          <cell r="H1870">
            <v>142778</v>
          </cell>
          <cell r="I1870" t="str">
            <v>602</v>
          </cell>
        </row>
        <row r="1871">
          <cell r="A1871" t="str">
            <v>ARS</v>
          </cell>
          <cell r="B1871" t="str">
            <v>602254334</v>
          </cell>
          <cell r="C1871" t="str">
            <v>Morales, Luciano Ariel o Weiner, Mariela Laura</v>
          </cell>
          <cell r="G1871">
            <v>3575883</v>
          </cell>
          <cell r="H1871">
            <v>3575883</v>
          </cell>
          <cell r="I1871" t="str">
            <v>602</v>
          </cell>
        </row>
        <row r="1872">
          <cell r="A1872" t="str">
            <v>ARS</v>
          </cell>
          <cell r="B1872" t="str">
            <v>602254335</v>
          </cell>
          <cell r="C1872" t="str">
            <v>Multari, Alejandra o Lenti, Andres Esteban</v>
          </cell>
          <cell r="G1872">
            <v>2000315</v>
          </cell>
          <cell r="H1872">
            <v>2000315</v>
          </cell>
          <cell r="I1872" t="str">
            <v>602</v>
          </cell>
        </row>
        <row r="1873">
          <cell r="A1873" t="str">
            <v>ARS</v>
          </cell>
          <cell r="B1873" t="str">
            <v>602293277</v>
          </cell>
          <cell r="C1873" t="str">
            <v>Paz, Jorge Adalberto o Paz, Victoria Eugenia o Paz, Mercedes</v>
          </cell>
          <cell r="G1873">
            <v>9956564</v>
          </cell>
          <cell r="H1873">
            <v>9956564</v>
          </cell>
          <cell r="I1873" t="str">
            <v>602</v>
          </cell>
        </row>
        <row r="1874">
          <cell r="A1874" t="str">
            <v>ARS</v>
          </cell>
          <cell r="B1874" t="str">
            <v>602294074</v>
          </cell>
          <cell r="C1874" t="str">
            <v>Pizarro, Pablo Sebastian</v>
          </cell>
          <cell r="G1874">
            <v>1278224</v>
          </cell>
          <cell r="H1874">
            <v>1278224</v>
          </cell>
          <cell r="I1874" t="str">
            <v>602</v>
          </cell>
        </row>
        <row r="1875">
          <cell r="A1875" t="str">
            <v>ARS</v>
          </cell>
          <cell r="B1875" t="str">
            <v>602294118</v>
          </cell>
          <cell r="C1875" t="str">
            <v>Perez, Graciela Marta o Morasso, Salvador Carlos</v>
          </cell>
          <cell r="G1875">
            <v>10632100</v>
          </cell>
          <cell r="H1875">
            <v>10632100</v>
          </cell>
          <cell r="I1875" t="str">
            <v>602</v>
          </cell>
        </row>
        <row r="1876">
          <cell r="A1876" t="str">
            <v>ARS</v>
          </cell>
          <cell r="B1876" t="str">
            <v>602294164</v>
          </cell>
          <cell r="C1876" t="str">
            <v>Parlapiano, Cristina Beatriz Vicenta o Quilhot, Federico Afredo o Quilhot, Maria Florencia</v>
          </cell>
          <cell r="G1876">
            <v>503460</v>
          </cell>
          <cell r="H1876">
            <v>503460</v>
          </cell>
          <cell r="I1876" t="str">
            <v>602</v>
          </cell>
        </row>
        <row r="1877">
          <cell r="A1877" t="str">
            <v>ARS</v>
          </cell>
          <cell r="B1877" t="str">
            <v>602294235</v>
          </cell>
          <cell r="C1877" t="str">
            <v>Poplawski, Martina Carla</v>
          </cell>
          <cell r="G1877">
            <v>596719</v>
          </cell>
          <cell r="H1877">
            <v>596719</v>
          </cell>
          <cell r="I1877" t="str">
            <v>602</v>
          </cell>
        </row>
        <row r="1878">
          <cell r="A1878" t="str">
            <v>ARS</v>
          </cell>
          <cell r="B1878" t="str">
            <v>602294285</v>
          </cell>
          <cell r="C1878" t="str">
            <v>Pizarro, Bernardo Roberto</v>
          </cell>
          <cell r="G1878">
            <v>198204</v>
          </cell>
          <cell r="H1878">
            <v>198204</v>
          </cell>
          <cell r="I1878" t="str">
            <v>602</v>
          </cell>
        </row>
        <row r="1879">
          <cell r="A1879" t="str">
            <v>ARS</v>
          </cell>
          <cell r="B1879" t="str">
            <v>602294288</v>
          </cell>
          <cell r="C1879" t="str">
            <v>Prato, Maria Victoria</v>
          </cell>
          <cell r="G1879">
            <v>5181326</v>
          </cell>
          <cell r="H1879">
            <v>5181326</v>
          </cell>
          <cell r="I1879" t="str">
            <v>602</v>
          </cell>
        </row>
        <row r="1880">
          <cell r="A1880" t="str">
            <v>ARS</v>
          </cell>
          <cell r="B1880" t="str">
            <v>602294301</v>
          </cell>
          <cell r="C1880" t="str">
            <v>Paludetto, Clide Teresa</v>
          </cell>
          <cell r="G1880">
            <v>22647247</v>
          </cell>
          <cell r="H1880">
            <v>22647247</v>
          </cell>
          <cell r="I1880" t="str">
            <v>602</v>
          </cell>
        </row>
        <row r="1881">
          <cell r="A1881" t="str">
            <v>ARS</v>
          </cell>
          <cell r="B1881" t="str">
            <v>602294347</v>
          </cell>
          <cell r="C1881" t="str">
            <v>Parlapiano, Gabriela Leonor o Banquer, Bárbara o Banquer, Eric</v>
          </cell>
          <cell r="G1881">
            <v>11566488</v>
          </cell>
          <cell r="H1881">
            <v>11566488</v>
          </cell>
          <cell r="I1881" t="str">
            <v>602</v>
          </cell>
        </row>
        <row r="1882">
          <cell r="A1882" t="str">
            <v>ARS</v>
          </cell>
          <cell r="B1882" t="str">
            <v>602294349</v>
          </cell>
          <cell r="C1882" t="str">
            <v>Prince, Lorenzo Martin</v>
          </cell>
          <cell r="G1882">
            <v>36896.400000000001</v>
          </cell>
          <cell r="H1882">
            <v>36896.400000000001</v>
          </cell>
          <cell r="I1882" t="str">
            <v>602</v>
          </cell>
        </row>
        <row r="1883">
          <cell r="A1883" t="str">
            <v>ARS</v>
          </cell>
          <cell r="B1883" t="str">
            <v>602294351</v>
          </cell>
          <cell r="C1883" t="str">
            <v>Pinto, Maria Andrea o Barzetti, Mauricio</v>
          </cell>
          <cell r="G1883">
            <v>109616</v>
          </cell>
          <cell r="H1883">
            <v>109616</v>
          </cell>
          <cell r="I1883" t="str">
            <v>602</v>
          </cell>
        </row>
        <row r="1884">
          <cell r="A1884" t="str">
            <v>ARS</v>
          </cell>
          <cell r="B1884" t="str">
            <v>602304337</v>
          </cell>
          <cell r="C1884" t="str">
            <v>Quilhot, Maria Florencia o Sosa, Federico  Ariel</v>
          </cell>
          <cell r="G1884">
            <v>305805</v>
          </cell>
          <cell r="H1884">
            <v>305805</v>
          </cell>
          <cell r="I1884" t="str">
            <v>602</v>
          </cell>
        </row>
        <row r="1885">
          <cell r="A1885" t="str">
            <v>ARS</v>
          </cell>
          <cell r="B1885" t="str">
            <v>602313575</v>
          </cell>
          <cell r="C1885" t="str">
            <v>Reche, Mirta Claudia Ildefonsa o Montero, Jose Roberto</v>
          </cell>
          <cell r="G1885">
            <v>251756</v>
          </cell>
          <cell r="H1885">
            <v>251756</v>
          </cell>
          <cell r="I1885" t="str">
            <v>602</v>
          </cell>
        </row>
        <row r="1886">
          <cell r="A1886" t="str">
            <v>ARS</v>
          </cell>
          <cell r="B1886" t="str">
            <v>602313994</v>
          </cell>
          <cell r="C1886" t="str">
            <v xml:space="preserve">Reche, Daniel Angel </v>
          </cell>
          <cell r="G1886">
            <v>3645604.7</v>
          </cell>
          <cell r="H1886">
            <v>3645604.7</v>
          </cell>
          <cell r="I1886" t="str">
            <v>602</v>
          </cell>
        </row>
        <row r="1887">
          <cell r="A1887" t="str">
            <v>ARS</v>
          </cell>
          <cell r="B1887" t="str">
            <v>602314345</v>
          </cell>
          <cell r="C1887" t="str">
            <v>Raimondi, Mauro Federico o Parra, Maria Georgina</v>
          </cell>
          <cell r="G1887">
            <v>2002656</v>
          </cell>
          <cell r="H1887">
            <v>2002656</v>
          </cell>
          <cell r="I1887" t="str">
            <v>602</v>
          </cell>
        </row>
        <row r="1888">
          <cell r="A1888" t="str">
            <v>ARS</v>
          </cell>
          <cell r="B1888" t="str">
            <v>602331391</v>
          </cell>
          <cell r="C1888" t="str">
            <v>Tamborini, Alberto Atilio o Bonet, Aurelia Carmen o Tamborini, Alejandra Carolina u otros</v>
          </cell>
          <cell r="G1888">
            <v>5534550</v>
          </cell>
          <cell r="H1888">
            <v>5534550</v>
          </cell>
          <cell r="I1888" t="str">
            <v>602</v>
          </cell>
        </row>
        <row r="1889">
          <cell r="A1889" t="str">
            <v>ARS</v>
          </cell>
          <cell r="B1889" t="str">
            <v>602333725</v>
          </cell>
          <cell r="C1889" t="str">
            <v>Tamborini, Alejandra Carolina</v>
          </cell>
          <cell r="G1889">
            <v>972400</v>
          </cell>
          <cell r="H1889">
            <v>972400</v>
          </cell>
          <cell r="I1889" t="str">
            <v>602</v>
          </cell>
        </row>
        <row r="1890">
          <cell r="A1890" t="str">
            <v>ARS</v>
          </cell>
          <cell r="B1890" t="str">
            <v>602334037</v>
          </cell>
          <cell r="C1890" t="str">
            <v>Tamborini, Paola Valeria o Tamborini, Alejandra Carolina</v>
          </cell>
          <cell r="G1890">
            <v>1489001.6</v>
          </cell>
          <cell r="H1890">
            <v>1489001.6</v>
          </cell>
          <cell r="I1890" t="str">
            <v>602</v>
          </cell>
        </row>
        <row r="1891">
          <cell r="A1891" t="str">
            <v>ARS</v>
          </cell>
          <cell r="B1891" t="str">
            <v>602334086</v>
          </cell>
          <cell r="C1891" t="str">
            <v>Tamborini,Leticia Rosana</v>
          </cell>
          <cell r="G1891">
            <v>105030</v>
          </cell>
          <cell r="H1891">
            <v>105030</v>
          </cell>
          <cell r="I1891" t="str">
            <v>602</v>
          </cell>
        </row>
        <row r="1892">
          <cell r="A1892" t="str">
            <v>ARS</v>
          </cell>
          <cell r="B1892" t="str">
            <v>602344289</v>
          </cell>
          <cell r="C1892" t="str">
            <v>Ubino, Daniel Gerardo</v>
          </cell>
          <cell r="G1892">
            <v>2054390</v>
          </cell>
          <cell r="H1892">
            <v>2054390</v>
          </cell>
          <cell r="I1892" t="str">
            <v>602</v>
          </cell>
        </row>
        <row r="1893">
          <cell r="A1893" t="str">
            <v>ARS</v>
          </cell>
          <cell r="B1893" t="str">
            <v>602354159</v>
          </cell>
          <cell r="C1893" t="str">
            <v>Vives, Edit Elena</v>
          </cell>
          <cell r="G1893">
            <v>163241</v>
          </cell>
          <cell r="H1893">
            <v>163241</v>
          </cell>
          <cell r="I1893" t="str">
            <v>602</v>
          </cell>
        </row>
        <row r="1894">
          <cell r="A1894" t="str">
            <v>ARS</v>
          </cell>
          <cell r="B1894" t="str">
            <v>602354166</v>
          </cell>
          <cell r="C1894" t="str">
            <v>Van Der Meulen, Juan Pablo</v>
          </cell>
          <cell r="G1894">
            <v>599646.80000000005</v>
          </cell>
          <cell r="H1894">
            <v>599646.80000000005</v>
          </cell>
          <cell r="I1894" t="str">
            <v>602</v>
          </cell>
        </row>
        <row r="1895">
          <cell r="A1895" t="str">
            <v>ARS</v>
          </cell>
          <cell r="B1895" t="str">
            <v>602363910</v>
          </cell>
          <cell r="C1895" t="str">
            <v>Weksler, Jose Ricardo o Santori, Graciela Haydee o Weksler, Celeste</v>
          </cell>
          <cell r="G1895">
            <v>10088574</v>
          </cell>
          <cell r="H1895">
            <v>10088574</v>
          </cell>
          <cell r="I1895" t="str">
            <v>602</v>
          </cell>
        </row>
        <row r="1896">
          <cell r="A1896" t="str">
            <v>ARS</v>
          </cell>
          <cell r="B1896" t="str">
            <v>602384340</v>
          </cell>
          <cell r="C1896" t="str">
            <v>Yaccuzzi, Carolina Paola o Galimberti, Sabrina Cecilia o La Malfa Bualo, Diana Elizabeth</v>
          </cell>
          <cell r="G1896">
            <v>90869</v>
          </cell>
          <cell r="H1896">
            <v>90869</v>
          </cell>
          <cell r="I1896" t="str">
            <v>602</v>
          </cell>
        </row>
        <row r="1897">
          <cell r="A1897" t="str">
            <v>ARS</v>
          </cell>
          <cell r="B1897" t="str">
            <v>602384343</v>
          </cell>
          <cell r="C1897" t="str">
            <v>Yaccuzzi, Mauro Alexis</v>
          </cell>
          <cell r="G1897">
            <v>1997199</v>
          </cell>
          <cell r="H1897">
            <v>1997199</v>
          </cell>
          <cell r="I1897" t="str">
            <v>602</v>
          </cell>
        </row>
        <row r="1898">
          <cell r="A1898" t="str">
            <v>ARS</v>
          </cell>
          <cell r="B1898" t="str">
            <v>619051768</v>
          </cell>
          <cell r="C1898" t="str">
            <v>GUNEGONDI , ALBERTO FEDERICO</v>
          </cell>
          <cell r="G1898">
            <v>211453970.22999999</v>
          </cell>
          <cell r="H1898">
            <v>211453970.22999999</v>
          </cell>
          <cell r="I1898" t="str">
            <v>619</v>
          </cell>
        </row>
        <row r="1899">
          <cell r="A1899" t="str">
            <v>ARS</v>
          </cell>
          <cell r="B1899" t="str">
            <v>620303210</v>
          </cell>
          <cell r="C1899" t="str">
            <v>ROBERTO NANT S.R.L.</v>
          </cell>
          <cell r="G1899">
            <v>288229.8</v>
          </cell>
          <cell r="H1899">
            <v>288229.8</v>
          </cell>
          <cell r="I1899" t="str">
            <v>620</v>
          </cell>
        </row>
        <row r="1900">
          <cell r="A1900" t="str">
            <v>ARS</v>
          </cell>
          <cell r="B1900" t="str">
            <v>624000080</v>
          </cell>
          <cell r="C1900" t="str">
            <v>LISTRO, VICENTE (CARTERA PROPIA)</v>
          </cell>
          <cell r="G1900">
            <v>91987888.150000006</v>
          </cell>
          <cell r="H1900">
            <v>91987888.150000006</v>
          </cell>
          <cell r="I1900" t="str">
            <v>624</v>
          </cell>
        </row>
        <row r="1901">
          <cell r="A1901" t="str">
            <v>ARS</v>
          </cell>
          <cell r="B1901" t="str">
            <v>624000135</v>
          </cell>
          <cell r="C1901" t="str">
            <v>CAVODURO RUBEN DARIO</v>
          </cell>
          <cell r="G1901">
            <v>3668390.71</v>
          </cell>
          <cell r="H1901">
            <v>3668390.71</v>
          </cell>
          <cell r="I1901" t="str">
            <v>624</v>
          </cell>
        </row>
        <row r="1902">
          <cell r="A1902" t="str">
            <v>ARS</v>
          </cell>
          <cell r="B1902" t="str">
            <v>624000263</v>
          </cell>
          <cell r="C1902" t="str">
            <v>FAKIN, ALEJANDRO o GRANATTA , GRACIELA ALICIA o FAKIN, MAURO u otros</v>
          </cell>
          <cell r="G1902">
            <v>3394912.15</v>
          </cell>
          <cell r="H1902">
            <v>3394912.15</v>
          </cell>
          <cell r="I1902" t="str">
            <v>624</v>
          </cell>
        </row>
        <row r="1903">
          <cell r="A1903" t="str">
            <v>ARS</v>
          </cell>
          <cell r="B1903" t="str">
            <v>624000279</v>
          </cell>
          <cell r="C1903" t="str">
            <v>LANTERI, MARCELO ROBERTO</v>
          </cell>
          <cell r="G1903">
            <v>5040289.91</v>
          </cell>
          <cell r="H1903">
            <v>5040289.91</v>
          </cell>
          <cell r="I1903" t="str">
            <v>624</v>
          </cell>
        </row>
        <row r="1904">
          <cell r="A1904" t="str">
            <v>ARS</v>
          </cell>
          <cell r="B1904" t="str">
            <v>624000319</v>
          </cell>
          <cell r="C1904" t="str">
            <v>TEDESCO , LILIAN MARIA o MARTINEZ , DAVID PABLO o MARTINEZ , VALERIA LILIAN u otros</v>
          </cell>
          <cell r="G1904">
            <v>75846847.390000001</v>
          </cell>
          <cell r="H1904">
            <v>75846847.390000001</v>
          </cell>
          <cell r="I1904" t="str">
            <v>624</v>
          </cell>
        </row>
        <row r="1905">
          <cell r="A1905" t="str">
            <v>ARS</v>
          </cell>
          <cell r="B1905" t="str">
            <v>624000373</v>
          </cell>
          <cell r="C1905" t="str">
            <v>FANARA  , JUAN CARLOS o MORRONE  , MONICA ADA</v>
          </cell>
          <cell r="G1905">
            <v>8758789.6400000006</v>
          </cell>
          <cell r="H1905">
            <v>8758789.6400000006</v>
          </cell>
          <cell r="I1905" t="str">
            <v>624</v>
          </cell>
        </row>
        <row r="1906">
          <cell r="A1906" t="str">
            <v>ARS</v>
          </cell>
          <cell r="B1906" t="str">
            <v>624000375</v>
          </cell>
          <cell r="C1906" t="str">
            <v>JAUREGUI, PEDRO HORACIO o  JAUREGUI , MARCELINA LUCIA</v>
          </cell>
          <cell r="G1906">
            <v>11121852.859999999</v>
          </cell>
          <cell r="H1906">
            <v>11121852.859999999</v>
          </cell>
          <cell r="I1906" t="str">
            <v>624</v>
          </cell>
        </row>
        <row r="1907">
          <cell r="A1907" t="str">
            <v>ARS</v>
          </cell>
          <cell r="B1907" t="str">
            <v>624000384</v>
          </cell>
          <cell r="C1907" t="str">
            <v>GOBBI, CARLOS ALBERTO o MOUZET DE GOBBI, MAGDALENA TERESA o GOBBI , FABIO ANDRES u otros</v>
          </cell>
          <cell r="G1907">
            <v>5047821.55</v>
          </cell>
          <cell r="H1907">
            <v>5047821.55</v>
          </cell>
          <cell r="I1907" t="str">
            <v>624</v>
          </cell>
        </row>
        <row r="1908">
          <cell r="A1908" t="str">
            <v>ARS</v>
          </cell>
          <cell r="B1908" t="str">
            <v>624000394</v>
          </cell>
          <cell r="C1908" t="str">
            <v>GUTIERREZ, CECILIO ANTONIO o MORI DE GUTIERREZ , EDITH MARIA o GUTIERREZ, MARIA CECILIA</v>
          </cell>
          <cell r="G1908">
            <v>4630105.8600000003</v>
          </cell>
          <cell r="H1908">
            <v>4630105.8600000003</v>
          </cell>
          <cell r="I1908" t="str">
            <v>624</v>
          </cell>
        </row>
        <row r="1909">
          <cell r="A1909" t="str">
            <v>ARS</v>
          </cell>
          <cell r="B1909" t="str">
            <v>624000660</v>
          </cell>
          <cell r="C1909" t="str">
            <v>PINTOS HERIBERTO ARMANDO</v>
          </cell>
          <cell r="G1909">
            <v>62333076.82</v>
          </cell>
          <cell r="H1909">
            <v>62333076.82</v>
          </cell>
          <cell r="I1909" t="str">
            <v>624</v>
          </cell>
        </row>
        <row r="1910">
          <cell r="A1910" t="str">
            <v>ARS</v>
          </cell>
          <cell r="B1910" t="str">
            <v>624000718</v>
          </cell>
          <cell r="C1910" t="str">
            <v>TESSMER DANIEL ADOLFO</v>
          </cell>
          <cell r="G1910">
            <v>17885896.489999998</v>
          </cell>
          <cell r="H1910">
            <v>17885896.489999998</v>
          </cell>
          <cell r="I1910" t="str">
            <v>624</v>
          </cell>
        </row>
        <row r="1911">
          <cell r="A1911" t="str">
            <v>ARS</v>
          </cell>
          <cell r="B1911" t="str">
            <v>624000802</v>
          </cell>
          <cell r="C1911" t="str">
            <v>SIRI, OSCAR HORACIO o PRETINI DE SIRI, HAYDEE CLELIA</v>
          </cell>
          <cell r="G1911">
            <v>27335145.140000001</v>
          </cell>
          <cell r="H1911">
            <v>27335145.140000001</v>
          </cell>
          <cell r="I1911" t="str">
            <v>624</v>
          </cell>
        </row>
        <row r="1912">
          <cell r="A1912" t="str">
            <v>ARS</v>
          </cell>
          <cell r="B1912" t="str">
            <v>624000878</v>
          </cell>
          <cell r="C1912" t="str">
            <v>BIANCULLI, LUIS ANGEL o TORELLI , ALICIA LIVIA o BIANCULLI , ANDRES LEANDRO</v>
          </cell>
          <cell r="G1912">
            <v>100706225.25</v>
          </cell>
          <cell r="H1912">
            <v>100706225.25</v>
          </cell>
          <cell r="I1912" t="str">
            <v>624</v>
          </cell>
        </row>
        <row r="1913">
          <cell r="A1913" t="str">
            <v>ARS</v>
          </cell>
          <cell r="B1913" t="str">
            <v>624001151</v>
          </cell>
          <cell r="C1913" t="str">
            <v>PEDONE, JUAN CARLOS</v>
          </cell>
          <cell r="G1913">
            <v>123641473.98</v>
          </cell>
          <cell r="H1913">
            <v>123641473.98</v>
          </cell>
          <cell r="I1913" t="str">
            <v>624</v>
          </cell>
        </row>
        <row r="1914">
          <cell r="A1914" t="str">
            <v>ARS</v>
          </cell>
          <cell r="B1914" t="str">
            <v>624001277</v>
          </cell>
          <cell r="C1914" t="str">
            <v>NUCCI , NICOLAS ALFREDO o NUCCI , ZANDRA STELLA MARIS</v>
          </cell>
          <cell r="G1914">
            <v>9079446.2100000009</v>
          </cell>
          <cell r="H1914">
            <v>9079446.2100000009</v>
          </cell>
          <cell r="I1914" t="str">
            <v>624</v>
          </cell>
        </row>
        <row r="1915">
          <cell r="A1915" t="str">
            <v>ARS</v>
          </cell>
          <cell r="B1915" t="str">
            <v>624001311</v>
          </cell>
          <cell r="C1915" t="str">
            <v>BOGLIETTI , ADA GRACIELA o CABEZAS BOGLIETTI , TANIA GRACIELA</v>
          </cell>
          <cell r="G1915">
            <v>93884026.549999997</v>
          </cell>
          <cell r="H1915">
            <v>93884026.549999997</v>
          </cell>
          <cell r="I1915" t="str">
            <v>624</v>
          </cell>
        </row>
        <row r="1916">
          <cell r="A1916" t="str">
            <v>ARS</v>
          </cell>
          <cell r="B1916" t="str">
            <v>624001522</v>
          </cell>
          <cell r="C1916" t="str">
            <v>ARINO, RODOLFO CARLOS</v>
          </cell>
          <cell r="G1916">
            <v>6769830.5</v>
          </cell>
          <cell r="H1916">
            <v>6769830.5</v>
          </cell>
          <cell r="I1916" t="str">
            <v>624</v>
          </cell>
        </row>
        <row r="1917">
          <cell r="A1917" t="str">
            <v>ARS</v>
          </cell>
          <cell r="B1917" t="str">
            <v>624001630</v>
          </cell>
          <cell r="C1917" t="str">
            <v>COTTA, FABIANA ALEJANDRA</v>
          </cell>
          <cell r="G1917">
            <v>14982054.73</v>
          </cell>
          <cell r="H1917">
            <v>14982054.73</v>
          </cell>
          <cell r="I1917" t="str">
            <v>624</v>
          </cell>
        </row>
        <row r="1918">
          <cell r="A1918" t="str">
            <v>ARS</v>
          </cell>
          <cell r="B1918" t="str">
            <v>624001636</v>
          </cell>
          <cell r="C1918" t="str">
            <v>VIRGA, SALVADOR HUGO o VIRGA, ROBERTO HUGO o VIRGA, ADRIAN ESTEBAN u otros</v>
          </cell>
          <cell r="G1918">
            <v>1889545.35</v>
          </cell>
          <cell r="H1918">
            <v>1889545.35</v>
          </cell>
          <cell r="I1918" t="str">
            <v>624</v>
          </cell>
        </row>
        <row r="1919">
          <cell r="A1919" t="str">
            <v>ARS</v>
          </cell>
          <cell r="B1919" t="str">
            <v>624001802</v>
          </cell>
          <cell r="C1919" t="str">
            <v>BALDINO, DAVID PATRICIO o BUSTAMANTE , MARIA PATRICIA o BALDINO, LUCILA</v>
          </cell>
          <cell r="G1919">
            <v>50904740.049999997</v>
          </cell>
          <cell r="H1919">
            <v>50904740.049999997</v>
          </cell>
          <cell r="I1919" t="str">
            <v>624</v>
          </cell>
        </row>
        <row r="1920">
          <cell r="A1920" t="str">
            <v>ARS</v>
          </cell>
          <cell r="B1920" t="str">
            <v>624001821</v>
          </cell>
          <cell r="C1920" t="str">
            <v>BONALUMI ALEJANDRO WALTER</v>
          </cell>
          <cell r="G1920">
            <v>187325343.41</v>
          </cell>
          <cell r="H1920">
            <v>187325343.41</v>
          </cell>
          <cell r="I1920" t="str">
            <v>624</v>
          </cell>
        </row>
        <row r="1921">
          <cell r="A1921" t="str">
            <v>ARS</v>
          </cell>
          <cell r="B1921" t="str">
            <v>624001828</v>
          </cell>
          <cell r="C1921" t="str">
            <v xml:space="preserve">REGNER , ROXANA ANALIA </v>
          </cell>
          <cell r="G1921">
            <v>1443458.87</v>
          </cell>
          <cell r="H1921">
            <v>1443458.87</v>
          </cell>
          <cell r="I1921" t="str">
            <v>624</v>
          </cell>
        </row>
        <row r="1922">
          <cell r="A1922" t="str">
            <v>ARS</v>
          </cell>
          <cell r="B1922" t="str">
            <v>624001896</v>
          </cell>
          <cell r="C1922" t="str">
            <v>PALOU , BERNARDO CARLOS o BETRIA, ALICIA NORMA o FERNANDEZ BETRIA, NESTOR JAVIER u otros</v>
          </cell>
          <cell r="G1922">
            <v>137258217.96000001</v>
          </cell>
          <cell r="H1922">
            <v>137258217.96000001</v>
          </cell>
          <cell r="I1922" t="str">
            <v>624</v>
          </cell>
        </row>
        <row r="1923">
          <cell r="A1923" t="str">
            <v>ARS</v>
          </cell>
          <cell r="B1923" t="str">
            <v>624001924</v>
          </cell>
          <cell r="C1923" t="str">
            <v>MARTINEZ , DAVID PABLO o MARTINEZ, MARIA SOL o MARTINEZ SCHENARDI, TOMAS</v>
          </cell>
          <cell r="G1923">
            <v>709823807.55999994</v>
          </cell>
          <cell r="H1923">
            <v>709823807.55999994</v>
          </cell>
          <cell r="I1923" t="str">
            <v>624</v>
          </cell>
        </row>
        <row r="1924">
          <cell r="A1924" t="str">
            <v>ARS</v>
          </cell>
          <cell r="B1924" t="str">
            <v>624002073</v>
          </cell>
          <cell r="C1924" t="str">
            <v xml:space="preserve">ANDREOMATTEO, ANA MARIA o GALLI, CAROLINA NATALIA </v>
          </cell>
          <cell r="G1924">
            <v>319889285.01999998</v>
          </cell>
          <cell r="H1924">
            <v>319889285.01999998</v>
          </cell>
          <cell r="I1924" t="str">
            <v>624</v>
          </cell>
        </row>
        <row r="1925">
          <cell r="A1925" t="str">
            <v>ARS</v>
          </cell>
          <cell r="B1925" t="str">
            <v>624002107</v>
          </cell>
          <cell r="C1925" t="str">
            <v>NIQUIO, BEATRIZ ANA o ANNONI, ANGEL FERMIN o ANNONI, VERONICA CARLA u otros</v>
          </cell>
          <cell r="G1925">
            <v>6517266.1299999999</v>
          </cell>
          <cell r="H1925">
            <v>6517266.1299999999</v>
          </cell>
          <cell r="I1925" t="str">
            <v>624</v>
          </cell>
        </row>
        <row r="1926">
          <cell r="A1926" t="str">
            <v>ARS</v>
          </cell>
          <cell r="B1926" t="str">
            <v>624002122</v>
          </cell>
          <cell r="C1926" t="str">
            <v xml:space="preserve">BELLITTIERI, ALDO OMAR o CO, ADRIANA ANDREA </v>
          </cell>
          <cell r="G1926">
            <v>4959750.42</v>
          </cell>
          <cell r="H1926">
            <v>4959750.42</v>
          </cell>
          <cell r="I1926" t="str">
            <v>624</v>
          </cell>
        </row>
        <row r="1927">
          <cell r="A1927" t="str">
            <v>ARS</v>
          </cell>
          <cell r="B1927" t="str">
            <v>624002493</v>
          </cell>
          <cell r="C1927" t="str">
            <v>SUAZO, MARIA EMMA o DIAZ, ROBERTO o DIAZ , ARIEL MARTIN</v>
          </cell>
          <cell r="G1927">
            <v>35749207.75</v>
          </cell>
          <cell r="H1927">
            <v>35749207.75</v>
          </cell>
          <cell r="I1927" t="str">
            <v>624</v>
          </cell>
        </row>
        <row r="1928">
          <cell r="A1928" t="str">
            <v>ARS</v>
          </cell>
          <cell r="B1928" t="str">
            <v>624002531</v>
          </cell>
          <cell r="C1928" t="str">
            <v>SERCA DE BELOTTI , NELIDA BEATRIZ o BELOTTI, RAUL ALBERTO o BELOTTI, MARIA PAULA u otros</v>
          </cell>
          <cell r="G1928">
            <v>27200</v>
          </cell>
          <cell r="H1928">
            <v>27200</v>
          </cell>
          <cell r="I1928" t="str">
            <v>624</v>
          </cell>
        </row>
        <row r="1929">
          <cell r="A1929" t="str">
            <v>ARS</v>
          </cell>
          <cell r="B1929" t="str">
            <v>624002545</v>
          </cell>
          <cell r="C1929" t="str">
            <v>LEOCATA , JUAN CARLOS o LEOCATA , IVANA ROMINA</v>
          </cell>
          <cell r="G1929">
            <v>5031828.87</v>
          </cell>
          <cell r="H1929">
            <v>5031828.87</v>
          </cell>
          <cell r="I1929" t="str">
            <v>624</v>
          </cell>
        </row>
        <row r="1930">
          <cell r="A1930" t="str">
            <v>ARS</v>
          </cell>
          <cell r="B1930" t="str">
            <v>624002555</v>
          </cell>
          <cell r="C1930" t="str">
            <v>LISTRO FABRICIO J. (CARTERA PROPIA)</v>
          </cell>
          <cell r="G1930">
            <v>1711281368.28</v>
          </cell>
          <cell r="H1930">
            <v>1711281368.28</v>
          </cell>
          <cell r="I1930" t="str">
            <v>624</v>
          </cell>
        </row>
        <row r="1931">
          <cell r="A1931" t="str">
            <v>ARS</v>
          </cell>
          <cell r="B1931" t="str">
            <v>624002558</v>
          </cell>
          <cell r="C1931" t="str">
            <v>ORAZI, DANIEL FEDERICO JOSE u ORAZI, FEDERICO TOMAS</v>
          </cell>
          <cell r="G1931">
            <v>3535565.26</v>
          </cell>
          <cell r="H1931">
            <v>3535565.26</v>
          </cell>
          <cell r="I1931" t="str">
            <v>624</v>
          </cell>
        </row>
        <row r="1932">
          <cell r="A1932" t="str">
            <v>ARS</v>
          </cell>
          <cell r="B1932" t="str">
            <v>624002577</v>
          </cell>
          <cell r="C1932" t="str">
            <v>MUGICA , MATIAS NICOLAS o MUGICA DIAZ , PATRICIO MATIAS o MUGICA DIAZ, JOAQUIN NICOLAS</v>
          </cell>
          <cell r="G1932">
            <v>20080294.84</v>
          </cell>
          <cell r="H1932">
            <v>20080294.84</v>
          </cell>
          <cell r="I1932" t="str">
            <v>624</v>
          </cell>
        </row>
        <row r="1933">
          <cell r="A1933" t="str">
            <v>ARS</v>
          </cell>
          <cell r="B1933" t="str">
            <v>624002598</v>
          </cell>
          <cell r="C1933" t="str">
            <v>DI GIACOMO , OSCAR ROBERTO o SCHNEIDER , OLGA ZULMA o DI GIACOMO , LORENA PAOLA u otros</v>
          </cell>
          <cell r="G1933">
            <v>561533.31000000006</v>
          </cell>
          <cell r="H1933">
            <v>561533.31000000006</v>
          </cell>
          <cell r="I1933" t="str">
            <v>624</v>
          </cell>
        </row>
        <row r="1934">
          <cell r="A1934" t="str">
            <v>ARS</v>
          </cell>
          <cell r="B1934" t="str">
            <v>624002804</v>
          </cell>
          <cell r="C1934" t="str">
            <v xml:space="preserve">SVETAZ, ANA MARIA </v>
          </cell>
          <cell r="G1934">
            <v>132799494.11</v>
          </cell>
          <cell r="H1934">
            <v>132799494.11</v>
          </cell>
          <cell r="I1934" t="str">
            <v>624</v>
          </cell>
        </row>
        <row r="1935">
          <cell r="A1935" t="str">
            <v>ARS</v>
          </cell>
          <cell r="B1935" t="str">
            <v>624002841</v>
          </cell>
          <cell r="C1935" t="str">
            <v>MORINI , FABIAN PABLO</v>
          </cell>
          <cell r="G1935">
            <v>1358735.88</v>
          </cell>
          <cell r="H1935">
            <v>1358735.88</v>
          </cell>
          <cell r="I1935" t="str">
            <v>624</v>
          </cell>
        </row>
        <row r="1936">
          <cell r="A1936" t="str">
            <v>ARS</v>
          </cell>
          <cell r="B1936" t="str">
            <v>624002887</v>
          </cell>
          <cell r="C1936" t="str">
            <v>PROIND INGENIERIA SRL</v>
          </cell>
          <cell r="G1936">
            <v>200069601</v>
          </cell>
          <cell r="H1936">
            <v>200069601</v>
          </cell>
          <cell r="I1936" t="str">
            <v>624</v>
          </cell>
        </row>
        <row r="1937">
          <cell r="A1937" t="str">
            <v>ARS</v>
          </cell>
          <cell r="B1937" t="str">
            <v>624002953</v>
          </cell>
          <cell r="C1937" t="str">
            <v>BASTERRETCHE, MIGUEL ALBERTO o MONTERO MARIELA, LUJAN o BASTERRETCHE MONTERO,  MARINA PAULA</v>
          </cell>
          <cell r="G1937">
            <v>127472217.23</v>
          </cell>
          <cell r="H1937">
            <v>127472217.23</v>
          </cell>
          <cell r="I1937" t="str">
            <v>624</v>
          </cell>
        </row>
        <row r="1938">
          <cell r="A1938" t="str">
            <v>ARS</v>
          </cell>
          <cell r="B1938" t="str">
            <v>624003016</v>
          </cell>
          <cell r="C1938" t="str">
            <v>DIAZ, GUSTAVO ADRIAN</v>
          </cell>
          <cell r="G1938">
            <v>58601501.590000004</v>
          </cell>
          <cell r="H1938">
            <v>58601501.590000004</v>
          </cell>
          <cell r="I1938" t="str">
            <v>624</v>
          </cell>
        </row>
        <row r="1939">
          <cell r="A1939" t="str">
            <v>ARS</v>
          </cell>
          <cell r="B1939" t="str">
            <v>624003045</v>
          </cell>
          <cell r="C1939" t="str">
            <v>GABRIELLONI , EMILIO  ANGEL o FEDELI, GRACIELA MARIA  o GABRIELLONI, CAROLINA MAGALI</v>
          </cell>
          <cell r="G1939">
            <v>13109997.789999999</v>
          </cell>
          <cell r="H1939">
            <v>13109997.789999999</v>
          </cell>
          <cell r="I1939" t="str">
            <v>624</v>
          </cell>
        </row>
        <row r="1940">
          <cell r="A1940" t="str">
            <v>ARS</v>
          </cell>
          <cell r="B1940" t="str">
            <v>624003080</v>
          </cell>
          <cell r="C1940" t="str">
            <v>LISTRO GISELA RAQUEL (CARTERA PROPIA)</v>
          </cell>
          <cell r="G1940">
            <v>16745240.57</v>
          </cell>
          <cell r="H1940">
            <v>16745240.57</v>
          </cell>
          <cell r="I1940" t="str">
            <v>624</v>
          </cell>
        </row>
        <row r="1941">
          <cell r="A1941" t="str">
            <v>ARS</v>
          </cell>
          <cell r="B1941" t="str">
            <v>624003136</v>
          </cell>
          <cell r="C1941" t="str">
            <v>ORTIZ, LELIO o HANLON , ELIDA ESTHER u ORTIZ, DANIEL u otros</v>
          </cell>
          <cell r="G1941">
            <v>91671399.299999997</v>
          </cell>
          <cell r="H1941">
            <v>91671399.299999997</v>
          </cell>
          <cell r="I1941" t="str">
            <v>624</v>
          </cell>
        </row>
        <row r="1942">
          <cell r="A1942" t="str">
            <v>ARS</v>
          </cell>
          <cell r="B1942" t="str">
            <v>624003156</v>
          </cell>
          <cell r="C1942" t="str">
            <v>LISTRO VALORES S.A.(CARTERA PROPIA)</v>
          </cell>
          <cell r="G1942">
            <v>194997238.99000001</v>
          </cell>
          <cell r="H1942">
            <v>194997238.99000001</v>
          </cell>
          <cell r="I1942" t="str">
            <v>624</v>
          </cell>
        </row>
        <row r="1943">
          <cell r="A1943" t="str">
            <v>ARS</v>
          </cell>
          <cell r="B1943" t="str">
            <v>624003163</v>
          </cell>
          <cell r="C1943" t="str">
            <v>GUSTAFSSON , GUILLERMO MARTIN o GUSTAFSSON , MARCELO ANDRES o GUSTAFSSON, LUCILA u otros</v>
          </cell>
          <cell r="G1943">
            <v>7123910.6200000001</v>
          </cell>
          <cell r="H1943">
            <v>7123910.6200000001</v>
          </cell>
          <cell r="I1943" t="str">
            <v>624</v>
          </cell>
        </row>
        <row r="1944">
          <cell r="A1944" t="str">
            <v>ARS</v>
          </cell>
          <cell r="B1944" t="str">
            <v>624003188</v>
          </cell>
          <cell r="C1944" t="str">
            <v>AYALA , EDUARDO OSCAR o AYALA, SILVINA BEATRIZ</v>
          </cell>
          <cell r="G1944">
            <v>6304308.46</v>
          </cell>
          <cell r="H1944">
            <v>6304308.46</v>
          </cell>
          <cell r="I1944" t="str">
            <v>624</v>
          </cell>
        </row>
        <row r="1945">
          <cell r="A1945" t="str">
            <v>ARS</v>
          </cell>
          <cell r="B1945" t="str">
            <v>624003196</v>
          </cell>
          <cell r="C1945" t="str">
            <v>CAMERLO  , RICARDO ALBERTO o CAMERLO , GUSTAVO ALBERTO</v>
          </cell>
          <cell r="G1945">
            <v>21811804.690000001</v>
          </cell>
          <cell r="H1945">
            <v>21811804.690000001</v>
          </cell>
          <cell r="I1945" t="str">
            <v>624</v>
          </cell>
        </row>
        <row r="1946">
          <cell r="A1946" t="str">
            <v>ARS</v>
          </cell>
          <cell r="B1946" t="str">
            <v>624003248</v>
          </cell>
          <cell r="C1946" t="str">
            <v>AMATO NICOLAS</v>
          </cell>
          <cell r="G1946">
            <v>49027622.829999998</v>
          </cell>
          <cell r="H1946">
            <v>49027622.829999998</v>
          </cell>
          <cell r="I1946" t="str">
            <v>624</v>
          </cell>
        </row>
        <row r="1947">
          <cell r="A1947" t="str">
            <v>ARS</v>
          </cell>
          <cell r="B1947" t="str">
            <v>624003286</v>
          </cell>
          <cell r="C1947" t="str">
            <v>DE GIROLAMI DANIEL HECTOR</v>
          </cell>
          <cell r="G1947">
            <v>1112487.92</v>
          </cell>
          <cell r="H1947">
            <v>1112487.92</v>
          </cell>
          <cell r="I1947" t="str">
            <v>624</v>
          </cell>
        </row>
        <row r="1948">
          <cell r="A1948" t="str">
            <v>ARS</v>
          </cell>
          <cell r="B1948" t="str">
            <v>624003293</v>
          </cell>
          <cell r="C1948" t="str">
            <v>DEFILIPPI CRISTIAN GABRIEL</v>
          </cell>
          <cell r="G1948">
            <v>92487998.659999996</v>
          </cell>
          <cell r="H1948">
            <v>92487998.659999996</v>
          </cell>
          <cell r="I1948" t="str">
            <v>624</v>
          </cell>
        </row>
        <row r="1949">
          <cell r="A1949" t="str">
            <v>ARS</v>
          </cell>
          <cell r="B1949" t="str">
            <v>624003335</v>
          </cell>
          <cell r="C1949" t="str">
            <v>FERRINI GUSTAVO HUGO</v>
          </cell>
          <cell r="G1949">
            <v>1221691.8999999999</v>
          </cell>
          <cell r="H1949">
            <v>1221691.8999999999</v>
          </cell>
          <cell r="I1949" t="str">
            <v>624</v>
          </cell>
        </row>
        <row r="1950">
          <cell r="A1950" t="str">
            <v>ARS</v>
          </cell>
          <cell r="B1950" t="str">
            <v>624003357</v>
          </cell>
          <cell r="C1950" t="str">
            <v>RONCO , CESAR ANGEL</v>
          </cell>
          <cell r="G1950">
            <v>29706753.289999999</v>
          </cell>
          <cell r="H1950">
            <v>29706753.289999999</v>
          </cell>
          <cell r="I1950" t="str">
            <v>624</v>
          </cell>
        </row>
        <row r="1951">
          <cell r="A1951" t="str">
            <v>ARS</v>
          </cell>
          <cell r="B1951" t="str">
            <v>624003361</v>
          </cell>
          <cell r="C1951" t="str">
            <v>LISTRO, GISELA RAQUEL o LISTRO, FABRICIO JESUS o LISTRO, ANA BELEN</v>
          </cell>
          <cell r="G1951">
            <v>39072733.479999997</v>
          </cell>
          <cell r="H1951">
            <v>39072733.479999997</v>
          </cell>
          <cell r="I1951" t="str">
            <v>624</v>
          </cell>
        </row>
        <row r="1952">
          <cell r="A1952" t="str">
            <v>ARS</v>
          </cell>
          <cell r="B1952" t="str">
            <v>624003393</v>
          </cell>
          <cell r="C1952" t="str">
            <v>GUSTINCICH, ALEJANDRA MARCELA o RUIZ , NORA ZULMA</v>
          </cell>
          <cell r="G1952">
            <v>588488.84</v>
          </cell>
          <cell r="H1952">
            <v>588488.84</v>
          </cell>
          <cell r="I1952" t="str">
            <v>624</v>
          </cell>
        </row>
        <row r="1953">
          <cell r="A1953" t="str">
            <v>ARS</v>
          </cell>
          <cell r="B1953" t="str">
            <v>624003400</v>
          </cell>
          <cell r="C1953" t="str">
            <v>CARDAMONE, GABRIEL ALEJANDRO o KOCHANIUK, CECILIA</v>
          </cell>
          <cell r="G1953">
            <v>65415118.710000001</v>
          </cell>
          <cell r="H1953">
            <v>65415118.710000001</v>
          </cell>
          <cell r="I1953" t="str">
            <v>624</v>
          </cell>
        </row>
        <row r="1954">
          <cell r="A1954" t="str">
            <v>ARS</v>
          </cell>
          <cell r="B1954" t="str">
            <v>624003412</v>
          </cell>
          <cell r="C1954" t="str">
            <v>LEMOINE, DANIEL o MORALES , BEATRIZ ELSA</v>
          </cell>
          <cell r="G1954">
            <v>7612907.0499999998</v>
          </cell>
          <cell r="H1954">
            <v>7612907.0499999998</v>
          </cell>
          <cell r="I1954" t="str">
            <v>624</v>
          </cell>
        </row>
        <row r="1955">
          <cell r="A1955" t="str">
            <v>ARS</v>
          </cell>
          <cell r="B1955" t="str">
            <v>624003414</v>
          </cell>
          <cell r="C1955" t="str">
            <v>MORRONE  , MONICA ADA o FANARA, ADA MARIANELA o FANARA , JESICA NATALI</v>
          </cell>
          <cell r="G1955">
            <v>34034834.579999998</v>
          </cell>
          <cell r="H1955">
            <v>34034834.579999998</v>
          </cell>
          <cell r="I1955" t="str">
            <v>624</v>
          </cell>
        </row>
        <row r="1956">
          <cell r="A1956" t="str">
            <v>ARS</v>
          </cell>
          <cell r="B1956" t="str">
            <v>624003431</v>
          </cell>
          <cell r="C1956" t="str">
            <v>DJOUBAILI, JORGE FRANCISCO o AGUSTI ROLDAN, MARIANELA o DJOUBAILI, ANDREA CATALINA u otros</v>
          </cell>
          <cell r="G1956">
            <v>13853373.75</v>
          </cell>
          <cell r="H1956">
            <v>13853373.75</v>
          </cell>
          <cell r="I1956" t="str">
            <v>624</v>
          </cell>
        </row>
        <row r="1957">
          <cell r="A1957" t="str">
            <v>ARS</v>
          </cell>
          <cell r="B1957" t="str">
            <v>624003438</v>
          </cell>
          <cell r="C1957" t="str">
            <v>VEGA, CLAUDIA BEATRIZ o PEYSERE, NICOLAS NAIQUEN</v>
          </cell>
          <cell r="G1957">
            <v>995321.06</v>
          </cell>
          <cell r="H1957">
            <v>995321.06</v>
          </cell>
          <cell r="I1957" t="str">
            <v>624</v>
          </cell>
        </row>
        <row r="1958">
          <cell r="A1958" t="str">
            <v>ARS</v>
          </cell>
          <cell r="B1958" t="str">
            <v>624003461</v>
          </cell>
          <cell r="C1958" t="str">
            <v>IDOMANICO, SANDRA EDIT o MAURUTTO, FABIO HERNAN</v>
          </cell>
          <cell r="G1958">
            <v>1298529330.73</v>
          </cell>
          <cell r="H1958">
            <v>1298529330.73</v>
          </cell>
          <cell r="I1958" t="str">
            <v>624</v>
          </cell>
        </row>
        <row r="1959">
          <cell r="A1959" t="str">
            <v>ARS</v>
          </cell>
          <cell r="B1959" t="str">
            <v>624003464</v>
          </cell>
          <cell r="C1959" t="str">
            <v>FERNANDEZ NORBERTO VICTOR</v>
          </cell>
          <cell r="G1959">
            <v>12920071.9</v>
          </cell>
          <cell r="H1959">
            <v>12920071.9</v>
          </cell>
          <cell r="I1959" t="str">
            <v>624</v>
          </cell>
        </row>
        <row r="1960">
          <cell r="A1960" t="str">
            <v>ARS</v>
          </cell>
          <cell r="B1960" t="str">
            <v>624003468</v>
          </cell>
          <cell r="C1960" t="str">
            <v>CICALESE NICOLA</v>
          </cell>
          <cell r="G1960">
            <v>579507.41</v>
          </cell>
          <cell r="H1960">
            <v>579507.41</v>
          </cell>
          <cell r="I1960" t="str">
            <v>624</v>
          </cell>
        </row>
        <row r="1961">
          <cell r="A1961" t="str">
            <v>ARS</v>
          </cell>
          <cell r="B1961" t="str">
            <v>624003484</v>
          </cell>
          <cell r="C1961" t="str">
            <v>CALABRO , EDUARDO FRANCISCO o MARUSSO , PATRICIA BEATRIZ</v>
          </cell>
          <cell r="G1961">
            <v>393664808.99000001</v>
          </cell>
          <cell r="H1961">
            <v>393664808.99000001</v>
          </cell>
          <cell r="I1961" t="str">
            <v>624</v>
          </cell>
        </row>
        <row r="1962">
          <cell r="A1962" t="str">
            <v>ARS</v>
          </cell>
          <cell r="B1962" t="str">
            <v>624003491</v>
          </cell>
          <cell r="C1962" t="str">
            <v>PROKESEL INTERNATIONAL CORPORATION</v>
          </cell>
          <cell r="G1962">
            <v>504135474.57999998</v>
          </cell>
          <cell r="H1962">
            <v>504135474.57999998</v>
          </cell>
          <cell r="I1962" t="str">
            <v>624</v>
          </cell>
        </row>
        <row r="1963">
          <cell r="A1963" t="str">
            <v>ARS</v>
          </cell>
          <cell r="B1963" t="str">
            <v>624003493</v>
          </cell>
          <cell r="C1963" t="str">
            <v>CABRERA, GUSTAVO ANDRES o SVETAZ, ANA MARIA</v>
          </cell>
          <cell r="G1963">
            <v>704730.17</v>
          </cell>
          <cell r="H1963">
            <v>704730.17</v>
          </cell>
          <cell r="I1963" t="str">
            <v>624</v>
          </cell>
        </row>
        <row r="1964">
          <cell r="A1964" t="str">
            <v>ARS</v>
          </cell>
          <cell r="B1964" t="str">
            <v>624003514</v>
          </cell>
          <cell r="C1964" t="str">
            <v>CIRCULO DE AVIACION</v>
          </cell>
          <cell r="G1964">
            <v>26536826.449999999</v>
          </cell>
          <cell r="H1964">
            <v>26536826.449999999</v>
          </cell>
          <cell r="I1964" t="str">
            <v>624</v>
          </cell>
        </row>
        <row r="1965">
          <cell r="A1965" t="str">
            <v>ARS</v>
          </cell>
          <cell r="B1965" t="str">
            <v>624003516</v>
          </cell>
          <cell r="C1965" t="str">
            <v>AMATO  , JUAN CARLOS o FIORINI, DORA MARIA DEL CARMEN</v>
          </cell>
          <cell r="G1965">
            <v>24959190.800000001</v>
          </cell>
          <cell r="H1965">
            <v>24959190.800000001</v>
          </cell>
          <cell r="I1965" t="str">
            <v>624</v>
          </cell>
        </row>
        <row r="1966">
          <cell r="A1966" t="str">
            <v>ARS</v>
          </cell>
          <cell r="B1966" t="str">
            <v>624003533</v>
          </cell>
          <cell r="C1966" t="str">
            <v>RUBIO PEÑARANDA, CONCEPCION o KOCHANIUK , MIGUEL ALBERTO o KOCHANIUK, RODRIGO ANDRES</v>
          </cell>
          <cell r="G1966">
            <v>2274252.5</v>
          </cell>
          <cell r="H1966">
            <v>2274252.5</v>
          </cell>
          <cell r="I1966" t="str">
            <v>624</v>
          </cell>
        </row>
        <row r="1967">
          <cell r="A1967" t="str">
            <v>ARS</v>
          </cell>
          <cell r="B1967" t="str">
            <v>624003541</v>
          </cell>
          <cell r="C1967" t="str">
            <v>BOLSANELLA, MARIANA o MOGLIATI, EDGARDO JOSE</v>
          </cell>
          <cell r="G1967">
            <v>50556354.759999998</v>
          </cell>
          <cell r="H1967">
            <v>50556354.759999998</v>
          </cell>
          <cell r="I1967" t="str">
            <v>624</v>
          </cell>
        </row>
        <row r="1968">
          <cell r="A1968" t="str">
            <v>ARS</v>
          </cell>
          <cell r="B1968" t="str">
            <v>624003546</v>
          </cell>
          <cell r="C1968" t="str">
            <v>PEREYRA, CINTIA DAIANA o PEREYRA , MIGUEL ANGEL o RUIZ , ALICIA NORA</v>
          </cell>
          <cell r="G1968">
            <v>2025642.5</v>
          </cell>
          <cell r="H1968">
            <v>2025642.5</v>
          </cell>
          <cell r="I1968" t="str">
            <v>624</v>
          </cell>
        </row>
        <row r="1969">
          <cell r="A1969" t="str">
            <v>ARS</v>
          </cell>
          <cell r="B1969" t="str">
            <v>624003548</v>
          </cell>
          <cell r="C1969" t="str">
            <v>ARASA, EDGARDO JOSE o ARASA, NAZARENO JOSE o ARASA, LAUTARO EDGARDO</v>
          </cell>
          <cell r="G1969">
            <v>163336512.91999999</v>
          </cell>
          <cell r="H1969">
            <v>163336512.91999999</v>
          </cell>
          <cell r="I1969" t="str">
            <v>624</v>
          </cell>
        </row>
        <row r="1970">
          <cell r="A1970" t="str">
            <v>ARS</v>
          </cell>
          <cell r="B1970" t="str">
            <v>624003568</v>
          </cell>
          <cell r="C1970" t="str">
            <v>IDOMANICO, CARINA ANDREA u ORTOLANI , GUSTAVO ALEJANDRO u ORTOLANI, GINO ANDRES  u otros</v>
          </cell>
          <cell r="G1970">
            <v>675173072.55999994</v>
          </cell>
          <cell r="H1970">
            <v>675173072.55999994</v>
          </cell>
          <cell r="I1970" t="str">
            <v>624</v>
          </cell>
        </row>
        <row r="1971">
          <cell r="A1971" t="str">
            <v>ARS</v>
          </cell>
          <cell r="B1971" t="str">
            <v>624003584</v>
          </cell>
          <cell r="C1971" t="str">
            <v>PERALTA, RAUL RAMON o AQUINO, OFELIA NELLY</v>
          </cell>
          <cell r="G1971">
            <v>116819626.98999999</v>
          </cell>
          <cell r="H1971">
            <v>116819626.98999999</v>
          </cell>
          <cell r="I1971" t="str">
            <v>624</v>
          </cell>
        </row>
        <row r="1972">
          <cell r="A1972" t="str">
            <v>ARS</v>
          </cell>
          <cell r="B1972" t="str">
            <v>624003588</v>
          </cell>
          <cell r="C1972" t="str">
            <v>SAMBOLINO, MARIA DEL ROSARIO</v>
          </cell>
          <cell r="G1972">
            <v>6413457.0800000001</v>
          </cell>
          <cell r="H1972">
            <v>6413457.0800000001</v>
          </cell>
          <cell r="I1972" t="str">
            <v>624</v>
          </cell>
        </row>
        <row r="1973">
          <cell r="A1973" t="str">
            <v>ARS</v>
          </cell>
          <cell r="B1973" t="str">
            <v>624003597</v>
          </cell>
          <cell r="C1973" t="str">
            <v>DESMOURES, EDITA NORMA</v>
          </cell>
          <cell r="G1973">
            <v>18236627.32</v>
          </cell>
          <cell r="H1973">
            <v>18236627.32</v>
          </cell>
          <cell r="I1973" t="str">
            <v>624</v>
          </cell>
        </row>
        <row r="1974">
          <cell r="A1974" t="str">
            <v>ARS</v>
          </cell>
          <cell r="B1974" t="str">
            <v>624003598</v>
          </cell>
          <cell r="C1974" t="str">
            <v>FERNANDEZ , ARSENIO OMAR</v>
          </cell>
          <cell r="G1974">
            <v>1371895.77</v>
          </cell>
          <cell r="H1974">
            <v>1371895.77</v>
          </cell>
          <cell r="I1974" t="str">
            <v>624</v>
          </cell>
        </row>
        <row r="1975">
          <cell r="A1975" t="str">
            <v>ARS</v>
          </cell>
          <cell r="B1975" t="str">
            <v>624003599</v>
          </cell>
          <cell r="C1975" t="str">
            <v>OLTOLINO, ALICIA BEATRIZ u OPETE, DAIANA LAURA</v>
          </cell>
          <cell r="G1975">
            <v>10161106.189999999</v>
          </cell>
          <cell r="H1975">
            <v>10161106.189999999</v>
          </cell>
          <cell r="I1975" t="str">
            <v>624</v>
          </cell>
        </row>
        <row r="1976">
          <cell r="A1976" t="str">
            <v>ARS</v>
          </cell>
          <cell r="B1976" t="str">
            <v>624003619</v>
          </cell>
          <cell r="C1976" t="str">
            <v>PALACIOS, LUIS OSVALDO o TESOLINI, MARIA FLORENCIA</v>
          </cell>
          <cell r="G1976">
            <v>285853342.12</v>
          </cell>
          <cell r="H1976">
            <v>285853342.12</v>
          </cell>
          <cell r="I1976" t="str">
            <v>624</v>
          </cell>
        </row>
        <row r="1977">
          <cell r="A1977" t="str">
            <v>ARS</v>
          </cell>
          <cell r="B1977" t="str">
            <v>624003620</v>
          </cell>
          <cell r="C1977" t="str">
            <v>CONSORCIO DE COPROP. PARQUE INDUSTRIAL ALVEAR</v>
          </cell>
          <cell r="G1977">
            <v>1646220.81</v>
          </cell>
          <cell r="H1977">
            <v>1646220.81</v>
          </cell>
          <cell r="I1977" t="str">
            <v>624</v>
          </cell>
        </row>
        <row r="1978">
          <cell r="A1978" t="str">
            <v>ARS</v>
          </cell>
          <cell r="B1978" t="str">
            <v>624003626</v>
          </cell>
          <cell r="C1978" t="str">
            <v>GENTILE, LEONARDO EUGENIO</v>
          </cell>
          <cell r="G1978">
            <v>52832116.600000001</v>
          </cell>
          <cell r="H1978">
            <v>52832116.600000001</v>
          </cell>
          <cell r="I1978" t="str">
            <v>624</v>
          </cell>
        </row>
        <row r="1979">
          <cell r="A1979" t="str">
            <v>ARS</v>
          </cell>
          <cell r="B1979" t="str">
            <v>624003629</v>
          </cell>
          <cell r="C1979" t="str">
            <v>CARABAJAL, FACUNDO EZEQUIEL o VIRZI, TRIANA MURIEL</v>
          </cell>
          <cell r="G1979">
            <v>45356558</v>
          </cell>
          <cell r="H1979">
            <v>45356558</v>
          </cell>
          <cell r="I1979" t="str">
            <v>624</v>
          </cell>
        </row>
        <row r="1980">
          <cell r="A1980" t="str">
            <v>ARS</v>
          </cell>
          <cell r="B1980" t="str">
            <v>624003635</v>
          </cell>
          <cell r="C1980" t="str">
            <v>SILVERA, MARTIN</v>
          </cell>
          <cell r="G1980">
            <v>190346261.75999999</v>
          </cell>
          <cell r="H1980">
            <v>190346261.75999999</v>
          </cell>
          <cell r="I1980" t="str">
            <v>624</v>
          </cell>
        </row>
        <row r="1981">
          <cell r="A1981" t="str">
            <v>ARS</v>
          </cell>
          <cell r="B1981" t="str">
            <v>624003639</v>
          </cell>
          <cell r="C1981" t="str">
            <v>BELLONI, ELSA BEATRIZ o BELMONTE, GEORGINA BEATRIZ</v>
          </cell>
          <cell r="G1981">
            <v>10972707.300000001</v>
          </cell>
          <cell r="H1981">
            <v>10972707.300000001</v>
          </cell>
          <cell r="I1981" t="str">
            <v>624</v>
          </cell>
        </row>
        <row r="1982">
          <cell r="A1982" t="str">
            <v>ARS</v>
          </cell>
          <cell r="B1982" t="str">
            <v>624003650</v>
          </cell>
          <cell r="C1982" t="str">
            <v>NOSTE, JOSE LUIS o MALISANI, SUSANA LUISA  o NOSTE, FERNANDO LUIS</v>
          </cell>
          <cell r="G1982">
            <v>185391383.90000001</v>
          </cell>
          <cell r="H1982">
            <v>185391383.90000001</v>
          </cell>
          <cell r="I1982" t="str">
            <v>624</v>
          </cell>
        </row>
        <row r="1983">
          <cell r="A1983" t="str">
            <v>ARS</v>
          </cell>
          <cell r="B1983" t="str">
            <v>624003651</v>
          </cell>
          <cell r="C1983" t="str">
            <v>CALABRO S.R.L.</v>
          </cell>
          <cell r="G1983">
            <v>2485248.67</v>
          </cell>
          <cell r="H1983">
            <v>2485248.67</v>
          </cell>
          <cell r="I1983" t="str">
            <v>624</v>
          </cell>
        </row>
        <row r="1984">
          <cell r="A1984" t="str">
            <v>ARS</v>
          </cell>
          <cell r="B1984" t="str">
            <v>624003652</v>
          </cell>
          <cell r="C1984" t="str">
            <v>BERTOLOTTI, FERNANDO JESUS o MARCHETTI, NOEMI</v>
          </cell>
          <cell r="G1984">
            <v>1008786</v>
          </cell>
          <cell r="H1984">
            <v>1008786</v>
          </cell>
          <cell r="I1984" t="str">
            <v>624</v>
          </cell>
        </row>
        <row r="1985">
          <cell r="A1985" t="str">
            <v>ARS</v>
          </cell>
          <cell r="B1985" t="str">
            <v>624003653</v>
          </cell>
          <cell r="C1985" t="str">
            <v>FERNANDEZ, DARIO OMAR o FALCO, VERONICA ISABEL</v>
          </cell>
          <cell r="G1985">
            <v>9781752.9600000009</v>
          </cell>
          <cell r="H1985">
            <v>9781752.9600000009</v>
          </cell>
          <cell r="I1985" t="str">
            <v>624</v>
          </cell>
        </row>
        <row r="1986">
          <cell r="A1986" t="str">
            <v>ARS</v>
          </cell>
          <cell r="B1986" t="str">
            <v>624003657</v>
          </cell>
          <cell r="C1986" t="str">
            <v>FRISANI, OSVALDO DANIEL o ADAD, GRACIELA BEATRIZ o FRISANI, PABLO EMILIANO</v>
          </cell>
          <cell r="G1986">
            <v>11506513.99</v>
          </cell>
          <cell r="H1986">
            <v>11506513.99</v>
          </cell>
          <cell r="I1986" t="str">
            <v>624</v>
          </cell>
        </row>
        <row r="1987">
          <cell r="A1987" t="str">
            <v>ARS</v>
          </cell>
          <cell r="B1987" t="str">
            <v>624003659</v>
          </cell>
          <cell r="C1987" t="str">
            <v>RUESCA, DARIO FABIAN</v>
          </cell>
          <cell r="G1987">
            <v>3613035.83</v>
          </cell>
          <cell r="H1987">
            <v>3613035.83</v>
          </cell>
          <cell r="I1987" t="str">
            <v>624</v>
          </cell>
        </row>
        <row r="1988">
          <cell r="A1988" t="str">
            <v>ARS</v>
          </cell>
          <cell r="B1988" t="str">
            <v>624003667</v>
          </cell>
          <cell r="C1988" t="str">
            <v>MOLINA, DANIEL OSVALDO</v>
          </cell>
          <cell r="G1988">
            <v>8435484.4600000009</v>
          </cell>
          <cell r="H1988">
            <v>8435484.4600000009</v>
          </cell>
          <cell r="I1988" t="str">
            <v>624</v>
          </cell>
        </row>
        <row r="1989">
          <cell r="A1989" t="str">
            <v>ARS</v>
          </cell>
          <cell r="B1989" t="str">
            <v>624003670</v>
          </cell>
          <cell r="C1989" t="str">
            <v>VIEYRA , DANIEL RUBEN o VIEYRA, FRANCO DANIEL</v>
          </cell>
          <cell r="G1989">
            <v>68400</v>
          </cell>
          <cell r="H1989">
            <v>68400</v>
          </cell>
          <cell r="I1989" t="str">
            <v>624</v>
          </cell>
        </row>
        <row r="1990">
          <cell r="A1990" t="str">
            <v>ARS</v>
          </cell>
          <cell r="B1990" t="str">
            <v>624003672</v>
          </cell>
          <cell r="C1990" t="str">
            <v>FRIGIERI, ANA MARIA o PATRIARCA, MARIA BETANIA</v>
          </cell>
          <cell r="G1990">
            <v>36360</v>
          </cell>
          <cell r="H1990">
            <v>36360</v>
          </cell>
          <cell r="I1990" t="str">
            <v>624</v>
          </cell>
        </row>
        <row r="1991">
          <cell r="A1991" t="str">
            <v>ARS</v>
          </cell>
          <cell r="B1991" t="str">
            <v>624003675</v>
          </cell>
          <cell r="C1991" t="str">
            <v>RIZZO, MARTA SUSANA o ZIMMER, OSCAR MIGUEL</v>
          </cell>
          <cell r="G1991">
            <v>66912794.689999998</v>
          </cell>
          <cell r="H1991">
            <v>66912794.689999998</v>
          </cell>
          <cell r="I1991" t="str">
            <v>624</v>
          </cell>
        </row>
        <row r="1992">
          <cell r="A1992" t="str">
            <v>ARS</v>
          </cell>
          <cell r="B1992" t="str">
            <v>624003677</v>
          </cell>
          <cell r="C1992" t="str">
            <v>PERRONE, ROMAN o PERRONE, GERMAN</v>
          </cell>
          <cell r="G1992">
            <v>14233610</v>
          </cell>
          <cell r="H1992">
            <v>14233610</v>
          </cell>
          <cell r="I1992" t="str">
            <v>624</v>
          </cell>
        </row>
        <row r="1993">
          <cell r="A1993" t="str">
            <v>ARS</v>
          </cell>
          <cell r="B1993" t="str">
            <v>624003700</v>
          </cell>
          <cell r="C1993" t="str">
            <v>MARTINEZ, ELIANA PAOLA</v>
          </cell>
          <cell r="G1993">
            <v>420962.74</v>
          </cell>
          <cell r="H1993">
            <v>420962.74</v>
          </cell>
          <cell r="I1993" t="str">
            <v>624</v>
          </cell>
        </row>
        <row r="1994">
          <cell r="A1994" t="str">
            <v>ARS</v>
          </cell>
          <cell r="B1994" t="str">
            <v>624003714</v>
          </cell>
          <cell r="C1994" t="str">
            <v>GIORDANO, VITALIO BARTOLOME o BLANCO, MARIA INES</v>
          </cell>
          <cell r="G1994">
            <v>1580251.92</v>
          </cell>
          <cell r="H1994">
            <v>1580251.92</v>
          </cell>
          <cell r="I1994" t="str">
            <v>624</v>
          </cell>
        </row>
        <row r="1995">
          <cell r="A1995" t="str">
            <v>ARS</v>
          </cell>
          <cell r="B1995" t="str">
            <v>624003717</v>
          </cell>
          <cell r="C1995" t="str">
            <v>ARIJON, EDUARDO</v>
          </cell>
          <cell r="G1995">
            <v>22440764.629999999</v>
          </cell>
          <cell r="H1995">
            <v>22440764.629999999</v>
          </cell>
          <cell r="I1995" t="str">
            <v>624</v>
          </cell>
        </row>
        <row r="1996">
          <cell r="A1996" t="str">
            <v>ARS</v>
          </cell>
          <cell r="B1996" t="str">
            <v>624003719</v>
          </cell>
          <cell r="C1996" t="str">
            <v>MC DONNELL, LEONOR  ISABEL o MC DONNELL, NORMA</v>
          </cell>
          <cell r="G1996">
            <v>8731004.9399999995</v>
          </cell>
          <cell r="H1996">
            <v>8731004.9399999995</v>
          </cell>
          <cell r="I1996" t="str">
            <v>624</v>
          </cell>
        </row>
        <row r="1997">
          <cell r="A1997" t="str">
            <v>ARS</v>
          </cell>
          <cell r="B1997" t="str">
            <v>624003723</v>
          </cell>
          <cell r="C1997" t="str">
            <v>ARIJON, JUAN JOSE o PASCUAL, VIVIANA EUGENIA</v>
          </cell>
          <cell r="G1997">
            <v>10884334.199999999</v>
          </cell>
          <cell r="H1997">
            <v>10884334.199999999</v>
          </cell>
          <cell r="I1997" t="str">
            <v>624</v>
          </cell>
        </row>
        <row r="1998">
          <cell r="A1998" t="str">
            <v>ARS</v>
          </cell>
          <cell r="B1998" t="str">
            <v>624003725</v>
          </cell>
          <cell r="C1998" t="str">
            <v>SANFILIPPO, GRACIELA BEATRIZ RITA o PELIQUIN, WALTER SILVIO</v>
          </cell>
          <cell r="G1998">
            <v>4608920</v>
          </cell>
          <cell r="H1998">
            <v>4608920</v>
          </cell>
          <cell r="I1998" t="str">
            <v>624</v>
          </cell>
        </row>
        <row r="1999">
          <cell r="A1999" t="str">
            <v>ARS</v>
          </cell>
          <cell r="B1999" t="str">
            <v>624003728</v>
          </cell>
          <cell r="C1999" t="str">
            <v>BADIA, DANIEL OSCAR o BADIA, JONATAN GONZALO</v>
          </cell>
          <cell r="G1999">
            <v>24976258.309999999</v>
          </cell>
          <cell r="H1999">
            <v>24976258.309999999</v>
          </cell>
          <cell r="I1999" t="str">
            <v>624</v>
          </cell>
        </row>
        <row r="2000">
          <cell r="A2000" t="str">
            <v>ARS</v>
          </cell>
          <cell r="B2000" t="str">
            <v>624003731</v>
          </cell>
          <cell r="C2000" t="str">
            <v>BARAVALLE, ROBERTO ANIBAL</v>
          </cell>
          <cell r="G2000">
            <v>8495</v>
          </cell>
          <cell r="H2000">
            <v>8495</v>
          </cell>
          <cell r="I2000" t="str">
            <v>624</v>
          </cell>
        </row>
        <row r="2001">
          <cell r="A2001" t="str">
            <v>ARS</v>
          </cell>
          <cell r="B2001" t="str">
            <v>624003734</v>
          </cell>
          <cell r="C2001" t="str">
            <v>SANCHEZ, SUSANA BEATRIZ o CASAL, IVANA ROCIO</v>
          </cell>
          <cell r="G2001">
            <v>3732357.96</v>
          </cell>
          <cell r="H2001">
            <v>3732357.96</v>
          </cell>
          <cell r="I2001" t="str">
            <v>624</v>
          </cell>
        </row>
        <row r="2002">
          <cell r="A2002" t="str">
            <v>ARS</v>
          </cell>
          <cell r="B2002" t="str">
            <v>624003742</v>
          </cell>
          <cell r="C2002" t="str">
            <v>MARTIN, TERESITA JOSEFINA o AYALA, SILVINA BEATRIZ</v>
          </cell>
          <cell r="G2002">
            <v>12329468.939999999</v>
          </cell>
          <cell r="H2002">
            <v>12329468.939999999</v>
          </cell>
          <cell r="I2002" t="str">
            <v>624</v>
          </cell>
        </row>
        <row r="2003">
          <cell r="A2003" t="str">
            <v>ARS</v>
          </cell>
          <cell r="B2003" t="str">
            <v>624003757</v>
          </cell>
          <cell r="C2003" t="str">
            <v>BUA, CONCEPCION o GOMEZ, HECTOR DAVID</v>
          </cell>
          <cell r="G2003">
            <v>19558606.710000001</v>
          </cell>
          <cell r="H2003">
            <v>19558606.710000001</v>
          </cell>
          <cell r="I2003" t="str">
            <v>624</v>
          </cell>
        </row>
        <row r="2004">
          <cell r="A2004" t="str">
            <v>ARS</v>
          </cell>
          <cell r="B2004" t="str">
            <v>624003767</v>
          </cell>
          <cell r="C2004" t="str">
            <v>AGÜERO, MARISA ROSANA o BOLZON, RENZO o MOLINARO, HERNAN JOSE</v>
          </cell>
          <cell r="G2004">
            <v>12914819.67</v>
          </cell>
          <cell r="H2004">
            <v>12914819.67</v>
          </cell>
          <cell r="I2004" t="str">
            <v>624</v>
          </cell>
        </row>
        <row r="2005">
          <cell r="A2005" t="str">
            <v>ARS</v>
          </cell>
          <cell r="B2005" t="str">
            <v>624003773</v>
          </cell>
          <cell r="C2005" t="str">
            <v>OLDANI, ALICIA DANIELA o GONZALEZ, CELSO DARIO</v>
          </cell>
          <cell r="G2005">
            <v>1549461.49</v>
          </cell>
          <cell r="H2005">
            <v>1549461.49</v>
          </cell>
          <cell r="I2005" t="str">
            <v>624</v>
          </cell>
        </row>
        <row r="2006">
          <cell r="A2006" t="str">
            <v>ARS</v>
          </cell>
          <cell r="B2006" t="str">
            <v>624003774</v>
          </cell>
          <cell r="C2006" t="str">
            <v>BARROSO, ENRIQUE LUJAN o ZORZENON , BARBARA JULIANA</v>
          </cell>
          <cell r="G2006">
            <v>9133664.8399999999</v>
          </cell>
          <cell r="H2006">
            <v>9133664.8399999999</v>
          </cell>
          <cell r="I2006" t="str">
            <v>624</v>
          </cell>
        </row>
        <row r="2007">
          <cell r="A2007" t="str">
            <v>ARS</v>
          </cell>
          <cell r="B2007" t="str">
            <v>624003775</v>
          </cell>
          <cell r="C2007" t="str">
            <v>VILLALBA, ANALIA BEATRIZ o LISTRO, LEONEL ARIEL</v>
          </cell>
          <cell r="G2007">
            <v>905170</v>
          </cell>
          <cell r="H2007">
            <v>905170</v>
          </cell>
          <cell r="I2007" t="str">
            <v>624</v>
          </cell>
        </row>
        <row r="2008">
          <cell r="A2008" t="str">
            <v>ARS</v>
          </cell>
          <cell r="B2008" t="str">
            <v>624003785</v>
          </cell>
          <cell r="C2008" t="str">
            <v>COINTRY, PABLO BERNABE</v>
          </cell>
          <cell r="G2008">
            <v>322638.24</v>
          </cell>
          <cell r="H2008">
            <v>322638.24</v>
          </cell>
          <cell r="I2008" t="str">
            <v>624</v>
          </cell>
        </row>
        <row r="2009">
          <cell r="A2009" t="str">
            <v>ARS</v>
          </cell>
          <cell r="B2009" t="str">
            <v>624003801</v>
          </cell>
          <cell r="C2009" t="str">
            <v>LUNA, RODRIGO EDUARDO RAMON</v>
          </cell>
          <cell r="G2009">
            <v>1410221</v>
          </cell>
          <cell r="H2009">
            <v>1410221</v>
          </cell>
          <cell r="I2009" t="str">
            <v>624</v>
          </cell>
        </row>
        <row r="2010">
          <cell r="A2010" t="str">
            <v>ARS</v>
          </cell>
          <cell r="B2010" t="str">
            <v>624003804</v>
          </cell>
          <cell r="C2010" t="str">
            <v>FRAILE, ELENA JOSEFA o LEDESMA, CRISTINA BEATRIZ</v>
          </cell>
          <cell r="G2010">
            <v>3956713.64</v>
          </cell>
          <cell r="H2010">
            <v>3956713.64</v>
          </cell>
          <cell r="I2010" t="str">
            <v>624</v>
          </cell>
        </row>
        <row r="2011">
          <cell r="A2011" t="str">
            <v>ARS</v>
          </cell>
          <cell r="B2011" t="str">
            <v>624003805</v>
          </cell>
          <cell r="C2011" t="str">
            <v>PERRONE, GERMAN u ONYSKIW, SABRINA JUDITH</v>
          </cell>
          <cell r="G2011">
            <v>14541890</v>
          </cell>
          <cell r="H2011">
            <v>14541890</v>
          </cell>
          <cell r="I2011" t="str">
            <v>624</v>
          </cell>
        </row>
        <row r="2012">
          <cell r="A2012" t="str">
            <v>ARS</v>
          </cell>
          <cell r="B2012" t="str">
            <v>624003806</v>
          </cell>
          <cell r="C2012" t="str">
            <v>TOMASSONE  , GRACIELA BEATRIZ o BANCHIO, MARTA OFELIA</v>
          </cell>
          <cell r="G2012">
            <v>30300187.890000001</v>
          </cell>
          <cell r="H2012">
            <v>30300187.890000001</v>
          </cell>
          <cell r="I2012" t="str">
            <v>624</v>
          </cell>
        </row>
        <row r="2013">
          <cell r="A2013" t="str">
            <v>ARS</v>
          </cell>
          <cell r="B2013" t="str">
            <v>624003816</v>
          </cell>
          <cell r="C2013" t="str">
            <v xml:space="preserve">GIORDANO, JOSE MARIA </v>
          </cell>
          <cell r="G2013">
            <v>44553447.25</v>
          </cell>
          <cell r="H2013">
            <v>44553447.25</v>
          </cell>
          <cell r="I2013" t="str">
            <v>624</v>
          </cell>
        </row>
        <row r="2014">
          <cell r="A2014" t="str">
            <v>ARS</v>
          </cell>
          <cell r="B2014" t="str">
            <v>624003833</v>
          </cell>
          <cell r="C2014" t="str">
            <v>ALDANA, LILIANA MIRTA o BONGELLI, OSCAR ANTONIO o ZAMBRANO, LEANDRO ARIEL</v>
          </cell>
          <cell r="G2014">
            <v>42071519.439999998</v>
          </cell>
          <cell r="H2014">
            <v>42071519.439999998</v>
          </cell>
          <cell r="I2014" t="str">
            <v>624</v>
          </cell>
        </row>
        <row r="2015">
          <cell r="A2015" t="str">
            <v>ARS</v>
          </cell>
          <cell r="B2015" t="str">
            <v>624003835</v>
          </cell>
          <cell r="C2015" t="str">
            <v>GIORDANO, SUSANA RAQUEL o DE DOMINICIS, SANTIAGO ALDO</v>
          </cell>
          <cell r="G2015">
            <v>2903575.01</v>
          </cell>
          <cell r="H2015">
            <v>2903575.01</v>
          </cell>
          <cell r="I2015" t="str">
            <v>624</v>
          </cell>
        </row>
        <row r="2016">
          <cell r="A2016" t="str">
            <v>ARS</v>
          </cell>
          <cell r="B2016" t="str">
            <v>624003849</v>
          </cell>
          <cell r="C2016" t="str">
            <v>LEDESMA, CRISTINA BEATRIZ</v>
          </cell>
          <cell r="G2016">
            <v>6303824.3700000001</v>
          </cell>
          <cell r="H2016">
            <v>6303824.3700000001</v>
          </cell>
          <cell r="I2016" t="str">
            <v>624</v>
          </cell>
        </row>
        <row r="2017">
          <cell r="A2017" t="str">
            <v>ARS</v>
          </cell>
          <cell r="B2017" t="str">
            <v>624003863</v>
          </cell>
          <cell r="C2017" t="str">
            <v>DI FRANCESCO, STELLA MARIS o DI FRANCESCO, NANCY RAQUEL</v>
          </cell>
          <cell r="G2017">
            <v>20889142.57</v>
          </cell>
          <cell r="H2017">
            <v>20889142.57</v>
          </cell>
          <cell r="I2017" t="str">
            <v>624</v>
          </cell>
        </row>
        <row r="2018">
          <cell r="A2018" t="str">
            <v>ARS</v>
          </cell>
          <cell r="B2018" t="str">
            <v>624003893</v>
          </cell>
          <cell r="C2018" t="str">
            <v xml:space="preserve">COLEGIO DE CORREDORES INMOBILIARIOS DE ROSARIO   </v>
          </cell>
          <cell r="G2018">
            <v>301406.42</v>
          </cell>
          <cell r="H2018">
            <v>301406.42</v>
          </cell>
          <cell r="I2018" t="str">
            <v>624</v>
          </cell>
        </row>
        <row r="2019">
          <cell r="A2019" t="str">
            <v>ARS</v>
          </cell>
          <cell r="B2019" t="str">
            <v>624003894</v>
          </cell>
          <cell r="C2019" t="str">
            <v>FALCON, GERMAN</v>
          </cell>
          <cell r="G2019">
            <v>4155355.5</v>
          </cell>
          <cell r="H2019">
            <v>4155355.5</v>
          </cell>
          <cell r="I2019" t="str">
            <v>624</v>
          </cell>
        </row>
        <row r="2020">
          <cell r="A2020" t="str">
            <v>ARS</v>
          </cell>
          <cell r="B2020" t="str">
            <v>624003904</v>
          </cell>
          <cell r="C2020" t="str">
            <v>CASAL, ERICA ESTEFANIA o SANCHEZ, SUSANA BEATRIZ</v>
          </cell>
          <cell r="G2020">
            <v>329374.24</v>
          </cell>
          <cell r="H2020">
            <v>329374.24</v>
          </cell>
          <cell r="I2020" t="str">
            <v>624</v>
          </cell>
        </row>
        <row r="2021">
          <cell r="A2021" t="str">
            <v>ARS</v>
          </cell>
          <cell r="B2021" t="str">
            <v>624003924</v>
          </cell>
          <cell r="C2021" t="str">
            <v>JAROSZCZUK, SUSANA EUNICE o JAROSZCZUK, LORENA RAQUEL</v>
          </cell>
          <cell r="G2021">
            <v>2728052.53</v>
          </cell>
          <cell r="H2021">
            <v>2728052.53</v>
          </cell>
          <cell r="I2021" t="str">
            <v>624</v>
          </cell>
        </row>
        <row r="2022">
          <cell r="A2022" t="str">
            <v>ARS</v>
          </cell>
          <cell r="B2022" t="str">
            <v>624003933</v>
          </cell>
          <cell r="C2022" t="str">
            <v xml:space="preserve"> FORTE, BRUNO</v>
          </cell>
          <cell r="G2022">
            <v>370000059.27999997</v>
          </cell>
          <cell r="H2022">
            <v>370000059.27999997</v>
          </cell>
          <cell r="I2022" t="str">
            <v>624</v>
          </cell>
        </row>
        <row r="2023">
          <cell r="A2023" t="str">
            <v>ARS</v>
          </cell>
          <cell r="B2023" t="str">
            <v>624003935</v>
          </cell>
          <cell r="C2023" t="str">
            <v>MORENO, CECILIA CARLA o ZURBRIGGEN, GASTON CARLOS</v>
          </cell>
          <cell r="G2023">
            <v>29457270.890000001</v>
          </cell>
          <cell r="H2023">
            <v>29457270.890000001</v>
          </cell>
          <cell r="I2023" t="str">
            <v>624</v>
          </cell>
        </row>
        <row r="2024">
          <cell r="A2024" t="str">
            <v>ARS</v>
          </cell>
          <cell r="B2024" t="str">
            <v>624003967</v>
          </cell>
          <cell r="C2024" t="str">
            <v>PIGATTO, JULIA ELENA</v>
          </cell>
          <cell r="G2024">
            <v>302070</v>
          </cell>
          <cell r="H2024">
            <v>302070</v>
          </cell>
          <cell r="I2024" t="str">
            <v>624</v>
          </cell>
        </row>
        <row r="2025">
          <cell r="A2025" t="str">
            <v>ARS</v>
          </cell>
          <cell r="B2025" t="str">
            <v>624003970</v>
          </cell>
          <cell r="C2025" t="str">
            <v>CANTARELLA, GABRIEL ALEJANDRO o GASPARRI, MARIA BELEN</v>
          </cell>
          <cell r="G2025">
            <v>51464870</v>
          </cell>
          <cell r="H2025">
            <v>51464870</v>
          </cell>
          <cell r="I2025" t="str">
            <v>624</v>
          </cell>
        </row>
        <row r="2026">
          <cell r="A2026" t="str">
            <v>ARS</v>
          </cell>
          <cell r="B2026" t="str">
            <v>624003974</v>
          </cell>
          <cell r="C2026" t="str">
            <v>TOMMASINO, MARIA INES o AYALA GAUNA, RICARDO ALBERTO</v>
          </cell>
          <cell r="G2026">
            <v>6143768.8799999999</v>
          </cell>
          <cell r="H2026">
            <v>6143768.8799999999</v>
          </cell>
          <cell r="I2026" t="str">
            <v>624</v>
          </cell>
        </row>
        <row r="2027">
          <cell r="A2027" t="str">
            <v>ARS</v>
          </cell>
          <cell r="B2027" t="str">
            <v>624003985</v>
          </cell>
          <cell r="C2027" t="str">
            <v>SUAREZ, GABRIEL ADRIAN</v>
          </cell>
          <cell r="G2027">
            <v>6314805.3300000001</v>
          </cell>
          <cell r="H2027">
            <v>6314805.3300000001</v>
          </cell>
          <cell r="I2027" t="str">
            <v>624</v>
          </cell>
        </row>
        <row r="2028">
          <cell r="A2028" t="str">
            <v>ARS</v>
          </cell>
          <cell r="B2028" t="str">
            <v>624003987</v>
          </cell>
          <cell r="C2028" t="str">
            <v>AZZARELLO, FEDERICO JESUS o BANCHERO, CRISTINA ESTER</v>
          </cell>
          <cell r="G2028">
            <v>59936296.210000001</v>
          </cell>
          <cell r="H2028">
            <v>59936296.210000001</v>
          </cell>
          <cell r="I2028" t="str">
            <v>624</v>
          </cell>
        </row>
        <row r="2029">
          <cell r="A2029" t="str">
            <v>ARS</v>
          </cell>
          <cell r="B2029" t="str">
            <v>624003988</v>
          </cell>
          <cell r="C2029" t="str">
            <v>GRIMBLAT, HECTOR SAMUEL o GOLDIN , JOSEFINA ELVIRA o GRIMBLAT, NICOLAS</v>
          </cell>
          <cell r="G2029">
            <v>13702664.609999999</v>
          </cell>
          <cell r="H2029">
            <v>13702664.609999999</v>
          </cell>
          <cell r="I2029" t="str">
            <v>624</v>
          </cell>
        </row>
        <row r="2030">
          <cell r="A2030" t="str">
            <v>ARS</v>
          </cell>
          <cell r="B2030" t="str">
            <v>624004005</v>
          </cell>
          <cell r="C2030" t="str">
            <v>CORREA, ALEXIS DEMIAN o AGUIRRE, NADIA ITATI</v>
          </cell>
          <cell r="G2030">
            <v>4914885.5199999996</v>
          </cell>
          <cell r="H2030">
            <v>4914885.5199999996</v>
          </cell>
          <cell r="I2030" t="str">
            <v>624</v>
          </cell>
        </row>
        <row r="2031">
          <cell r="A2031" t="str">
            <v>ARS</v>
          </cell>
          <cell r="B2031" t="str">
            <v>624004012</v>
          </cell>
          <cell r="C2031" t="str">
            <v xml:space="preserve"> IÑIGUEZ, JUAN IGNACIO</v>
          </cell>
          <cell r="G2031">
            <v>33356113</v>
          </cell>
          <cell r="H2031">
            <v>33356113</v>
          </cell>
          <cell r="I2031" t="str">
            <v>624</v>
          </cell>
        </row>
        <row r="2032">
          <cell r="A2032" t="str">
            <v>ARS</v>
          </cell>
          <cell r="B2032" t="str">
            <v>624004020</v>
          </cell>
          <cell r="C2032" t="str">
            <v>ALONSO, ANALIA o ESTEBAN ALONSO, AGUSTIN</v>
          </cell>
          <cell r="G2032">
            <v>1542246.73</v>
          </cell>
          <cell r="H2032">
            <v>1542246.73</v>
          </cell>
          <cell r="I2032" t="str">
            <v>624</v>
          </cell>
        </row>
        <row r="2033">
          <cell r="A2033" t="str">
            <v>ARS</v>
          </cell>
          <cell r="B2033" t="str">
            <v>624004032</v>
          </cell>
          <cell r="C2033" t="str">
            <v>FRISANI, GIULIANA LUCIANA</v>
          </cell>
          <cell r="G2033">
            <v>898962.16</v>
          </cell>
          <cell r="H2033">
            <v>898962.16</v>
          </cell>
          <cell r="I2033" t="str">
            <v>624</v>
          </cell>
        </row>
        <row r="2034">
          <cell r="A2034" t="str">
            <v>ARS</v>
          </cell>
          <cell r="B2034" t="str">
            <v>624004035</v>
          </cell>
          <cell r="C2034" t="str">
            <v>D'AMICO, JOSE LUIS VICTOR</v>
          </cell>
          <cell r="G2034">
            <v>1899875772.26</v>
          </cell>
          <cell r="H2034">
            <v>1899875772.26</v>
          </cell>
          <cell r="I2034" t="str">
            <v>624</v>
          </cell>
        </row>
        <row r="2035">
          <cell r="A2035" t="str">
            <v>ARS</v>
          </cell>
          <cell r="B2035" t="str">
            <v>624004041</v>
          </cell>
          <cell r="C2035" t="str">
            <v>SILVA, JUAN MANUEL  o SILVA, DANIELA PRISCILA</v>
          </cell>
          <cell r="G2035">
            <v>530129101.93000001</v>
          </cell>
          <cell r="H2035">
            <v>530129101.93000001</v>
          </cell>
          <cell r="I2035" t="str">
            <v>624</v>
          </cell>
        </row>
        <row r="2036">
          <cell r="A2036" t="str">
            <v>ARS</v>
          </cell>
          <cell r="B2036" t="str">
            <v>624004045</v>
          </cell>
          <cell r="C2036" t="str">
            <v>RED CAFARELL INGENIERIA S.R.L.</v>
          </cell>
          <cell r="G2036">
            <v>460812233.75</v>
          </cell>
          <cell r="H2036">
            <v>460812233.75</v>
          </cell>
          <cell r="I2036" t="str">
            <v>624</v>
          </cell>
        </row>
        <row r="2037">
          <cell r="A2037" t="str">
            <v>ARS</v>
          </cell>
          <cell r="B2037" t="str">
            <v>624004053</v>
          </cell>
          <cell r="C2037" t="str">
            <v>GUSTINCICH, SABRINA VANESA o GUSTINCICH, ALEJANDRA MARCELA</v>
          </cell>
          <cell r="G2037">
            <v>180634.83</v>
          </cell>
          <cell r="H2037">
            <v>180634.83</v>
          </cell>
          <cell r="I2037" t="str">
            <v>624</v>
          </cell>
        </row>
        <row r="2038">
          <cell r="A2038" t="str">
            <v>ARS</v>
          </cell>
          <cell r="B2038" t="str">
            <v>624004064</v>
          </cell>
          <cell r="C2038" t="str">
            <v>VIETTI, SANTIAGO ANDRES o ARASA, ROSANA MARIEL o VIETTI, MACARENA</v>
          </cell>
          <cell r="G2038">
            <v>134275.89000000001</v>
          </cell>
          <cell r="H2038">
            <v>134275.89000000001</v>
          </cell>
          <cell r="I2038" t="str">
            <v>624</v>
          </cell>
        </row>
        <row r="2039">
          <cell r="A2039" t="str">
            <v>ARS</v>
          </cell>
          <cell r="B2039" t="str">
            <v>624004065</v>
          </cell>
          <cell r="C2039" t="str">
            <v>ARIMANY, JEREMIAS</v>
          </cell>
          <cell r="G2039">
            <v>78581789.599999994</v>
          </cell>
          <cell r="H2039">
            <v>78581789.599999994</v>
          </cell>
          <cell r="I2039" t="str">
            <v>624</v>
          </cell>
        </row>
        <row r="2040">
          <cell r="A2040" t="str">
            <v>ARS</v>
          </cell>
          <cell r="B2040" t="str">
            <v>624004066</v>
          </cell>
          <cell r="C2040" t="str">
            <v>CAFARELL, MARIANO OSVALDO</v>
          </cell>
          <cell r="G2040">
            <v>28862358.300000001</v>
          </cell>
          <cell r="H2040">
            <v>28862358.300000001</v>
          </cell>
          <cell r="I2040" t="str">
            <v>624</v>
          </cell>
        </row>
        <row r="2041">
          <cell r="A2041" t="str">
            <v>ARS</v>
          </cell>
          <cell r="B2041" t="str">
            <v>624004070</v>
          </cell>
          <cell r="C2041" t="str">
            <v>NEGRO, FLAVIA XIMENA o NEGRO, CINTIA GERALDINE</v>
          </cell>
          <cell r="G2041">
            <v>66085034.350000001</v>
          </cell>
          <cell r="H2041">
            <v>66085034.350000001</v>
          </cell>
          <cell r="I2041" t="str">
            <v>624</v>
          </cell>
        </row>
        <row r="2042">
          <cell r="A2042" t="str">
            <v>ARS</v>
          </cell>
          <cell r="B2042" t="str">
            <v>624004071</v>
          </cell>
          <cell r="C2042" t="str">
            <v>CAFARELL, OSVALDO RAMON</v>
          </cell>
          <cell r="G2042">
            <v>221238614.94999999</v>
          </cell>
          <cell r="H2042">
            <v>221238614.94999999</v>
          </cell>
          <cell r="I2042" t="str">
            <v>624</v>
          </cell>
        </row>
        <row r="2043">
          <cell r="A2043" t="str">
            <v>ARS</v>
          </cell>
          <cell r="B2043" t="str">
            <v>624004072</v>
          </cell>
          <cell r="C2043" t="str">
            <v>GALEAZZI, JOSE LUIS o FISSORE, MARIA SOLEDAD o GALEAZZI, FRANCO</v>
          </cell>
          <cell r="G2043">
            <v>27318730.420000002</v>
          </cell>
          <cell r="H2043">
            <v>27318730.420000002</v>
          </cell>
          <cell r="I2043" t="str">
            <v>624</v>
          </cell>
        </row>
        <row r="2044">
          <cell r="A2044" t="str">
            <v>ARS</v>
          </cell>
          <cell r="B2044" t="str">
            <v>624004080</v>
          </cell>
          <cell r="C2044" t="str">
            <v>ORTEGA , ENRIQUE HECTOR o BERLINGO NILDA SUSANA</v>
          </cell>
          <cell r="G2044">
            <v>34410420.719999999</v>
          </cell>
          <cell r="H2044">
            <v>34410420.719999999</v>
          </cell>
          <cell r="I2044" t="str">
            <v>624</v>
          </cell>
        </row>
        <row r="2045">
          <cell r="A2045" t="str">
            <v>ARS</v>
          </cell>
          <cell r="B2045" t="str">
            <v>624004096</v>
          </cell>
          <cell r="C2045" t="str">
            <v>ZURBRIGGEN, GASTON CARLOS o MORENO, CECILIA CARLA</v>
          </cell>
          <cell r="G2045">
            <v>3693149.95</v>
          </cell>
          <cell r="H2045">
            <v>3693149.95</v>
          </cell>
          <cell r="I2045" t="str">
            <v>624</v>
          </cell>
        </row>
        <row r="2046">
          <cell r="A2046" t="str">
            <v>ARS</v>
          </cell>
          <cell r="B2046" t="str">
            <v>624004099</v>
          </cell>
          <cell r="C2046" t="str">
            <v>CECCHI, MARIA LUISA o SUAREZ, ISABELINO o SUAREZ, GABRIEL ADRIAN</v>
          </cell>
          <cell r="G2046">
            <v>71173900.329999998</v>
          </cell>
          <cell r="H2046">
            <v>71173900.329999998</v>
          </cell>
          <cell r="I2046" t="str">
            <v>624</v>
          </cell>
        </row>
        <row r="2047">
          <cell r="A2047" t="str">
            <v>ARS</v>
          </cell>
          <cell r="B2047" t="str">
            <v>624004105</v>
          </cell>
          <cell r="C2047" t="str">
            <v>ABDELMALEK , MARIELA CAROLINA</v>
          </cell>
          <cell r="G2047">
            <v>1507688</v>
          </cell>
          <cell r="H2047">
            <v>1507688</v>
          </cell>
          <cell r="I2047" t="str">
            <v>624</v>
          </cell>
        </row>
        <row r="2048">
          <cell r="A2048" t="str">
            <v>ARS</v>
          </cell>
          <cell r="B2048" t="str">
            <v>624004106</v>
          </cell>
          <cell r="C2048" t="str">
            <v>LISTRO, ANA BELEN (CARTERA PROPIA)</v>
          </cell>
          <cell r="G2048">
            <v>1680925.52</v>
          </cell>
          <cell r="H2048">
            <v>1680925.52</v>
          </cell>
          <cell r="I2048" t="str">
            <v>624</v>
          </cell>
        </row>
        <row r="2049">
          <cell r="A2049" t="str">
            <v>ARS</v>
          </cell>
          <cell r="B2049" t="str">
            <v>624004124</v>
          </cell>
          <cell r="C2049" t="str">
            <v>TONSICH, INES DEL LUJAN o DI PEGO, BELEN INES o DI PEGO, IGNACIO FERNANDO</v>
          </cell>
          <cell r="G2049">
            <v>3065517.03</v>
          </cell>
          <cell r="H2049">
            <v>3065517.03</v>
          </cell>
          <cell r="I2049" t="str">
            <v>624</v>
          </cell>
        </row>
        <row r="2050">
          <cell r="A2050" t="str">
            <v>ARS</v>
          </cell>
          <cell r="B2050" t="str">
            <v>624004130</v>
          </cell>
          <cell r="C2050" t="str">
            <v>PONZETTI, MAXIMILIANO IVAN</v>
          </cell>
          <cell r="G2050">
            <v>114963195.37</v>
          </cell>
          <cell r="H2050">
            <v>114963195.37</v>
          </cell>
          <cell r="I2050" t="str">
            <v>624</v>
          </cell>
        </row>
        <row r="2051">
          <cell r="A2051" t="str">
            <v>ARS</v>
          </cell>
          <cell r="B2051" t="str">
            <v>624004136</v>
          </cell>
          <cell r="C2051" t="str">
            <v>ARIJON, JUAN JOSE o ARIJON , JUAN JOSE (H)</v>
          </cell>
          <cell r="G2051">
            <v>2512625.0499999998</v>
          </cell>
          <cell r="H2051">
            <v>2512625.0499999998</v>
          </cell>
          <cell r="I2051" t="str">
            <v>624</v>
          </cell>
        </row>
        <row r="2052">
          <cell r="A2052" t="str">
            <v>ARS</v>
          </cell>
          <cell r="B2052" t="str">
            <v>624004142</v>
          </cell>
          <cell r="C2052" t="str">
            <v>LOYOLA, EMILCE</v>
          </cell>
          <cell r="G2052">
            <v>28839175.870000001</v>
          </cell>
          <cell r="H2052">
            <v>28839175.870000001</v>
          </cell>
          <cell r="I2052" t="str">
            <v>624</v>
          </cell>
        </row>
        <row r="2053">
          <cell r="A2053" t="str">
            <v>ARS</v>
          </cell>
          <cell r="B2053" t="str">
            <v>624004144</v>
          </cell>
          <cell r="C2053" t="str">
            <v>AGUIRRE, NADIA ITATI</v>
          </cell>
          <cell r="G2053">
            <v>1015763.32</v>
          </cell>
          <cell r="H2053">
            <v>1015763.32</v>
          </cell>
          <cell r="I2053" t="str">
            <v>624</v>
          </cell>
        </row>
        <row r="2054">
          <cell r="A2054" t="str">
            <v>ARS</v>
          </cell>
          <cell r="B2054" t="str">
            <v>624004151</v>
          </cell>
          <cell r="C2054" t="str">
            <v>DE LUCA, ANTONELA</v>
          </cell>
          <cell r="G2054">
            <v>62822252.719999999</v>
          </cell>
          <cell r="H2054">
            <v>62822252.719999999</v>
          </cell>
          <cell r="I2054" t="str">
            <v>624</v>
          </cell>
        </row>
        <row r="2055">
          <cell r="A2055" t="str">
            <v>ARS</v>
          </cell>
          <cell r="B2055" t="str">
            <v>624004153</v>
          </cell>
          <cell r="C2055" t="str">
            <v>SANTA CRUZ, MARIA TERESA</v>
          </cell>
          <cell r="G2055">
            <v>2871153.2</v>
          </cell>
          <cell r="H2055">
            <v>2871153.2</v>
          </cell>
          <cell r="I2055" t="str">
            <v>624</v>
          </cell>
        </row>
        <row r="2056">
          <cell r="A2056" t="str">
            <v>ARS</v>
          </cell>
          <cell r="B2056" t="str">
            <v>624004154</v>
          </cell>
          <cell r="C2056" t="str">
            <v>JAZMIN, DELFINA LUCIA o GALARZA, YANINA SOLEDAD</v>
          </cell>
          <cell r="G2056">
            <v>393315</v>
          </cell>
          <cell r="H2056">
            <v>393315</v>
          </cell>
          <cell r="I2056" t="str">
            <v>624</v>
          </cell>
        </row>
        <row r="2057">
          <cell r="A2057" t="str">
            <v>ARS</v>
          </cell>
          <cell r="B2057" t="str">
            <v>624004155</v>
          </cell>
          <cell r="C2057" t="str">
            <v>CAVAGNA, NADIN NICOLE</v>
          </cell>
          <cell r="G2057">
            <v>3773315.72</v>
          </cell>
          <cell r="H2057">
            <v>3773315.72</v>
          </cell>
          <cell r="I2057" t="str">
            <v>624</v>
          </cell>
        </row>
        <row r="2058">
          <cell r="A2058" t="str">
            <v>ARS</v>
          </cell>
          <cell r="B2058" t="str">
            <v>624004158</v>
          </cell>
          <cell r="C2058" t="str">
            <v>DE LA PEÑA, ESTEBAN DANIEL o BERTUCCELLI, ANTONELLA LUCIANA</v>
          </cell>
          <cell r="G2058">
            <v>12295562.130000001</v>
          </cell>
          <cell r="H2058">
            <v>12295562.130000001</v>
          </cell>
          <cell r="I2058" t="str">
            <v>624</v>
          </cell>
        </row>
        <row r="2059">
          <cell r="A2059" t="str">
            <v>ARS</v>
          </cell>
          <cell r="B2059" t="str">
            <v>624004175</v>
          </cell>
          <cell r="C2059" t="str">
            <v>MURADAS, FERNANDO DANIEL o EZCURRA, GRAZIELA ISABEL</v>
          </cell>
          <cell r="G2059">
            <v>2616577.1</v>
          </cell>
          <cell r="H2059">
            <v>2616577.1</v>
          </cell>
          <cell r="I2059" t="str">
            <v>624</v>
          </cell>
        </row>
        <row r="2060">
          <cell r="A2060" t="str">
            <v>ARS</v>
          </cell>
          <cell r="B2060" t="str">
            <v>624004176</v>
          </cell>
          <cell r="C2060" t="str">
            <v>EZCURRA, GRAZIELA ISABEL o MURADAS, FERNANDO DANIEL</v>
          </cell>
          <cell r="G2060">
            <v>4384141.57</v>
          </cell>
          <cell r="H2060">
            <v>4384141.57</v>
          </cell>
          <cell r="I2060" t="str">
            <v>624</v>
          </cell>
        </row>
        <row r="2061">
          <cell r="A2061" t="str">
            <v>ARS</v>
          </cell>
          <cell r="B2061" t="str">
            <v>624004177</v>
          </cell>
          <cell r="C2061" t="str">
            <v>EZCURRA HNOS S.R.L.</v>
          </cell>
          <cell r="G2061">
            <v>1662533.48</v>
          </cell>
          <cell r="H2061">
            <v>1662533.48</v>
          </cell>
          <cell r="I2061" t="str">
            <v>624</v>
          </cell>
        </row>
        <row r="2062">
          <cell r="A2062" t="str">
            <v>ARS</v>
          </cell>
          <cell r="B2062" t="str">
            <v>624004178</v>
          </cell>
          <cell r="C2062" t="str">
            <v>NEW PLENTY S.R.L.</v>
          </cell>
          <cell r="G2062">
            <v>797617302.11000001</v>
          </cell>
          <cell r="H2062">
            <v>797617302.11000001</v>
          </cell>
          <cell r="I2062" t="str">
            <v>624</v>
          </cell>
        </row>
        <row r="2063">
          <cell r="A2063" t="str">
            <v>ARS</v>
          </cell>
          <cell r="B2063" t="str">
            <v>624004186</v>
          </cell>
          <cell r="C2063" t="str">
            <v>EGEA S.R.L.</v>
          </cell>
          <cell r="G2063">
            <v>403778.85</v>
          </cell>
          <cell r="H2063">
            <v>403778.85</v>
          </cell>
          <cell r="I2063" t="str">
            <v>624</v>
          </cell>
        </row>
        <row r="2064">
          <cell r="A2064" t="str">
            <v>ARS</v>
          </cell>
          <cell r="B2064" t="str">
            <v>624004207</v>
          </cell>
          <cell r="C2064" t="str">
            <v>RODRIGUEZ, DENIS EMANUEL</v>
          </cell>
          <cell r="G2064">
            <v>3670440</v>
          </cell>
          <cell r="H2064">
            <v>3670440</v>
          </cell>
          <cell r="I2064" t="str">
            <v>624</v>
          </cell>
        </row>
        <row r="2065">
          <cell r="A2065" t="str">
            <v>ARS</v>
          </cell>
          <cell r="B2065" t="str">
            <v>624004211</v>
          </cell>
          <cell r="C2065" t="str">
            <v>ASTURZZI, ALFONSO LUIS o ASTURZZI, DANIEL HERNAN</v>
          </cell>
          <cell r="G2065">
            <v>466324220.38</v>
          </cell>
          <cell r="H2065">
            <v>466324220.38</v>
          </cell>
          <cell r="I2065" t="str">
            <v>624</v>
          </cell>
        </row>
        <row r="2066">
          <cell r="A2066" t="str">
            <v>ARS</v>
          </cell>
          <cell r="B2066" t="str">
            <v>624004219</v>
          </cell>
          <cell r="C2066" t="str">
            <v>ORTEGA, LUCIANA</v>
          </cell>
          <cell r="G2066">
            <v>13349151.970000001</v>
          </cell>
          <cell r="H2066">
            <v>13349151.970000001</v>
          </cell>
          <cell r="I2066" t="str">
            <v>624</v>
          </cell>
        </row>
        <row r="2067">
          <cell r="A2067" t="str">
            <v>ARS</v>
          </cell>
          <cell r="B2067" t="str">
            <v>624004220</v>
          </cell>
          <cell r="C2067" t="str">
            <v>ROJAS , ANALIA BEATRIZ o MORENO, JUSTO MARIO  o MORENO, NICOLE NAHIR u otros</v>
          </cell>
          <cell r="G2067">
            <v>62388</v>
          </cell>
          <cell r="H2067">
            <v>62388</v>
          </cell>
          <cell r="I2067" t="str">
            <v>624</v>
          </cell>
        </row>
        <row r="2068">
          <cell r="A2068" t="str">
            <v>ARS</v>
          </cell>
          <cell r="B2068" t="str">
            <v>624004233</v>
          </cell>
          <cell r="C2068" t="str">
            <v>RODRIGUEZ, JOSE OSCAR</v>
          </cell>
          <cell r="G2068">
            <v>8222408.9000000004</v>
          </cell>
          <cell r="H2068">
            <v>8222408.9000000004</v>
          </cell>
          <cell r="I2068" t="str">
            <v>624</v>
          </cell>
        </row>
        <row r="2069">
          <cell r="A2069" t="str">
            <v>ARS</v>
          </cell>
          <cell r="B2069" t="str">
            <v>624004236</v>
          </cell>
          <cell r="C2069" t="str">
            <v>BELMONTE, DARIO RAUL o COVACEVICH, NATALIA CECILIA</v>
          </cell>
          <cell r="G2069">
            <v>138400</v>
          </cell>
          <cell r="H2069">
            <v>138400</v>
          </cell>
          <cell r="I2069" t="str">
            <v>624</v>
          </cell>
        </row>
        <row r="2070">
          <cell r="A2070" t="str">
            <v>ARS</v>
          </cell>
          <cell r="B2070" t="str">
            <v>624004242</v>
          </cell>
          <cell r="C2070" t="str">
            <v>UNIAGRO S.A.</v>
          </cell>
          <cell r="G2070">
            <v>671709674.07000005</v>
          </cell>
          <cell r="H2070">
            <v>671709674.07000005</v>
          </cell>
          <cell r="I2070" t="str">
            <v>624</v>
          </cell>
        </row>
        <row r="2071">
          <cell r="A2071" t="str">
            <v>ARS</v>
          </cell>
          <cell r="B2071" t="str">
            <v>624004245</v>
          </cell>
          <cell r="C2071" t="str">
            <v>HOURCADE, JUAN LUIS</v>
          </cell>
          <cell r="G2071">
            <v>285462.49</v>
          </cell>
          <cell r="H2071">
            <v>285462.49</v>
          </cell>
          <cell r="I2071" t="str">
            <v>624</v>
          </cell>
        </row>
        <row r="2072">
          <cell r="A2072" t="str">
            <v>ARS</v>
          </cell>
          <cell r="B2072" t="str">
            <v>624004254</v>
          </cell>
          <cell r="C2072" t="str">
            <v>ESTEBAN ALONSO, AGUSTIN o ALONSO, ANALIA</v>
          </cell>
          <cell r="G2072">
            <v>1389983.72</v>
          </cell>
          <cell r="H2072">
            <v>1389983.72</v>
          </cell>
          <cell r="I2072" t="str">
            <v>624</v>
          </cell>
        </row>
        <row r="2073">
          <cell r="A2073" t="str">
            <v>ARS</v>
          </cell>
          <cell r="B2073" t="str">
            <v>624004255</v>
          </cell>
          <cell r="C2073" t="str">
            <v xml:space="preserve">CALZOLARI, DELMA LUISA o CALZOLARI, ELBA NELIDA o CASTELLETTA, FLORENCIA </v>
          </cell>
          <cell r="G2073">
            <v>99901641.689999998</v>
          </cell>
          <cell r="H2073">
            <v>99901641.689999998</v>
          </cell>
          <cell r="I2073" t="str">
            <v>624</v>
          </cell>
        </row>
        <row r="2074">
          <cell r="A2074" t="str">
            <v>ARS</v>
          </cell>
          <cell r="B2074" t="str">
            <v>624004256</v>
          </cell>
          <cell r="C2074" t="str">
            <v>ZULIANI, SILVANA BEATRIZ o ZULIANI, ETHEL JOSE NICOLAS</v>
          </cell>
          <cell r="G2074">
            <v>130546329.40000001</v>
          </cell>
          <cell r="H2074">
            <v>130546329.40000001</v>
          </cell>
          <cell r="I2074" t="str">
            <v>624</v>
          </cell>
        </row>
        <row r="2075">
          <cell r="A2075" t="str">
            <v>ARS</v>
          </cell>
          <cell r="B2075" t="str">
            <v>624004259</v>
          </cell>
          <cell r="C2075" t="str">
            <v>AMG ODONTOLOGIA CONSORCIO DE COOPERACION</v>
          </cell>
          <cell r="G2075">
            <v>190044661.81</v>
          </cell>
          <cell r="H2075">
            <v>190044661.81</v>
          </cell>
          <cell r="I2075" t="str">
            <v>624</v>
          </cell>
        </row>
        <row r="2076">
          <cell r="A2076" t="str">
            <v>ARS</v>
          </cell>
          <cell r="B2076" t="str">
            <v>624004267</v>
          </cell>
          <cell r="C2076" t="str">
            <v>DIEZ, LEANDRO SEBASTIAN</v>
          </cell>
          <cell r="G2076">
            <v>34765787.299999997</v>
          </cell>
          <cell r="H2076">
            <v>34765787.299999997</v>
          </cell>
          <cell r="I2076" t="str">
            <v>624</v>
          </cell>
        </row>
        <row r="2077">
          <cell r="A2077" t="str">
            <v>ARS</v>
          </cell>
          <cell r="B2077" t="str">
            <v>624004271</v>
          </cell>
          <cell r="C2077" t="str">
            <v>RODRIGUEZ, PABLO OSCAR</v>
          </cell>
          <cell r="G2077">
            <v>6447145.1900000004</v>
          </cell>
          <cell r="H2077">
            <v>6447145.1900000004</v>
          </cell>
          <cell r="I2077" t="str">
            <v>624</v>
          </cell>
        </row>
        <row r="2078">
          <cell r="A2078" t="str">
            <v>ARS</v>
          </cell>
          <cell r="B2078" t="str">
            <v>624004281</v>
          </cell>
          <cell r="C2078" t="str">
            <v>ROLDAN, ROSA LILIANA  o AGUSTI ROLDAN, MARIANELA o DJOUBAILI, JORGE FRANCISCO</v>
          </cell>
          <cell r="G2078">
            <v>8652100.7100000009</v>
          </cell>
          <cell r="H2078">
            <v>8652100.7100000009</v>
          </cell>
          <cell r="I2078" t="str">
            <v>624</v>
          </cell>
        </row>
        <row r="2079">
          <cell r="A2079" t="str">
            <v>ARS</v>
          </cell>
          <cell r="B2079" t="str">
            <v>624004283</v>
          </cell>
          <cell r="C2079" t="str">
            <v xml:space="preserve">PELATTI, GABRIEL IGNACIO o BRUNET, ELISABET PAOLA </v>
          </cell>
          <cell r="G2079">
            <v>21860702</v>
          </cell>
          <cell r="H2079">
            <v>21860702</v>
          </cell>
          <cell r="I2079" t="str">
            <v>624</v>
          </cell>
        </row>
        <row r="2080">
          <cell r="A2080" t="str">
            <v>ARS</v>
          </cell>
          <cell r="B2080" t="str">
            <v>624004286</v>
          </cell>
          <cell r="C2080" t="str">
            <v>D'AGOSTINO, CECILIA CAYETANA RITA</v>
          </cell>
          <cell r="G2080">
            <v>118490</v>
          </cell>
          <cell r="H2080">
            <v>118490</v>
          </cell>
          <cell r="I2080" t="str">
            <v>624</v>
          </cell>
        </row>
        <row r="2081">
          <cell r="A2081" t="str">
            <v>ARS</v>
          </cell>
          <cell r="B2081" t="str">
            <v>624004287</v>
          </cell>
          <cell r="C2081" t="str">
            <v xml:space="preserve">POGLIACOMI, ADELA ADA o MORENO, JUSTO MARIO </v>
          </cell>
          <cell r="G2081">
            <v>8316</v>
          </cell>
          <cell r="H2081">
            <v>8316</v>
          </cell>
          <cell r="I2081" t="str">
            <v>624</v>
          </cell>
        </row>
        <row r="2082">
          <cell r="A2082" t="str">
            <v>ARS</v>
          </cell>
          <cell r="B2082" t="str">
            <v>624004300</v>
          </cell>
          <cell r="C2082" t="str">
            <v>SETTECASI, JULIETA</v>
          </cell>
          <cell r="G2082">
            <v>1498185</v>
          </cell>
          <cell r="H2082">
            <v>1498185</v>
          </cell>
          <cell r="I2082" t="str">
            <v>624</v>
          </cell>
        </row>
        <row r="2083">
          <cell r="A2083" t="str">
            <v>ARS</v>
          </cell>
          <cell r="B2083" t="str">
            <v>624004304</v>
          </cell>
          <cell r="C2083" t="str">
            <v>RESINAS ROSARIO S.R.L.</v>
          </cell>
          <cell r="G2083">
            <v>2144744348.97</v>
          </cell>
          <cell r="H2083">
            <v>2144744348.97</v>
          </cell>
          <cell r="I2083" t="str">
            <v>624</v>
          </cell>
        </row>
        <row r="2084">
          <cell r="A2084" t="str">
            <v>ARS</v>
          </cell>
          <cell r="B2084" t="str">
            <v>624004305</v>
          </cell>
          <cell r="C2084" t="str">
            <v>VEGAS, NESTOR JOSE</v>
          </cell>
          <cell r="G2084">
            <v>186492</v>
          </cell>
          <cell r="H2084">
            <v>186492</v>
          </cell>
          <cell r="I2084" t="str">
            <v>624</v>
          </cell>
        </row>
        <row r="2085">
          <cell r="A2085" t="str">
            <v>ARS</v>
          </cell>
          <cell r="B2085" t="str">
            <v>624004307</v>
          </cell>
          <cell r="C2085" t="str">
            <v>DI BENEDETTI, SANDRA VIVIANA</v>
          </cell>
          <cell r="G2085">
            <v>27772767.559999999</v>
          </cell>
          <cell r="H2085">
            <v>27772767.559999999</v>
          </cell>
          <cell r="I2085" t="str">
            <v>624</v>
          </cell>
        </row>
        <row r="2086">
          <cell r="A2086" t="str">
            <v>ARS</v>
          </cell>
          <cell r="B2086" t="str">
            <v>624004312</v>
          </cell>
          <cell r="C2086" t="str">
            <v>GONZALEZ, MARCELO ALEJANDRO</v>
          </cell>
          <cell r="G2086">
            <v>83646957.540000007</v>
          </cell>
          <cell r="H2086">
            <v>83646957.540000007</v>
          </cell>
          <cell r="I2086" t="str">
            <v>624</v>
          </cell>
        </row>
        <row r="2087">
          <cell r="A2087" t="str">
            <v>ARS</v>
          </cell>
          <cell r="B2087" t="str">
            <v>624004316</v>
          </cell>
          <cell r="C2087" t="str">
            <v>MOROSINI, MARIA DEL CARMEN ELENA</v>
          </cell>
          <cell r="G2087">
            <v>12975944.109999999</v>
          </cell>
          <cell r="H2087">
            <v>12975944.109999999</v>
          </cell>
          <cell r="I2087" t="str">
            <v>624</v>
          </cell>
        </row>
        <row r="2088">
          <cell r="A2088" t="str">
            <v>ARS</v>
          </cell>
          <cell r="B2088" t="str">
            <v>624004317</v>
          </cell>
          <cell r="C2088" t="str">
            <v>MAGE, LILIANA BEATRIZ</v>
          </cell>
          <cell r="G2088">
            <v>290046005.39999998</v>
          </cell>
          <cell r="H2088">
            <v>290046005.39999998</v>
          </cell>
          <cell r="I2088" t="str">
            <v>624</v>
          </cell>
        </row>
        <row r="2089">
          <cell r="A2089" t="str">
            <v>ARS</v>
          </cell>
          <cell r="B2089" t="str">
            <v>624004318</v>
          </cell>
          <cell r="C2089" t="str">
            <v>VEGAS, GUSTAVO ARIEL</v>
          </cell>
          <cell r="G2089">
            <v>35870077.149999999</v>
          </cell>
          <cell r="H2089">
            <v>35870077.149999999</v>
          </cell>
          <cell r="I2089" t="str">
            <v>624</v>
          </cell>
        </row>
        <row r="2090">
          <cell r="A2090" t="str">
            <v>ARS</v>
          </cell>
          <cell r="B2090" t="str">
            <v>624004321</v>
          </cell>
          <cell r="C2090" t="str">
            <v>LIBERATORE, ALICIA ELDA</v>
          </cell>
          <cell r="G2090">
            <v>24111040.309999999</v>
          </cell>
          <cell r="H2090">
            <v>24111040.309999999</v>
          </cell>
          <cell r="I2090" t="str">
            <v>624</v>
          </cell>
        </row>
        <row r="2091">
          <cell r="A2091" t="str">
            <v>ARS</v>
          </cell>
          <cell r="B2091" t="str">
            <v>624004324</v>
          </cell>
          <cell r="C2091" t="str">
            <v>SILVA, DANIELA PRISCILA</v>
          </cell>
          <cell r="G2091">
            <v>1548166.6</v>
          </cell>
          <cell r="H2091">
            <v>1548166.6</v>
          </cell>
          <cell r="I2091" t="str">
            <v>624</v>
          </cell>
        </row>
        <row r="2092">
          <cell r="A2092" t="str">
            <v>ARS</v>
          </cell>
          <cell r="B2092" t="str">
            <v>624004330</v>
          </cell>
          <cell r="C2092" t="str">
            <v>GRIPLAST SOC. de HECHO</v>
          </cell>
          <cell r="G2092">
            <v>275056185.20999998</v>
          </cell>
          <cell r="H2092">
            <v>275056185.20999998</v>
          </cell>
          <cell r="I2092" t="str">
            <v>624</v>
          </cell>
        </row>
        <row r="2093">
          <cell r="A2093" t="str">
            <v>ARS</v>
          </cell>
          <cell r="B2093" t="str">
            <v>624004332</v>
          </cell>
          <cell r="C2093" t="str">
            <v>EZPELETA, HORACIO ESTEBAN</v>
          </cell>
          <cell r="G2093">
            <v>344486.9</v>
          </cell>
          <cell r="H2093">
            <v>344486.9</v>
          </cell>
          <cell r="I2093" t="str">
            <v>624</v>
          </cell>
        </row>
        <row r="2094">
          <cell r="A2094" t="str">
            <v>ARS</v>
          </cell>
          <cell r="B2094" t="str">
            <v>624004335</v>
          </cell>
          <cell r="C2094" t="str">
            <v>SCARPIGNATO, CELINA</v>
          </cell>
          <cell r="G2094">
            <v>86340</v>
          </cell>
          <cell r="H2094">
            <v>86340</v>
          </cell>
          <cell r="I2094" t="str">
            <v>624</v>
          </cell>
        </row>
        <row r="2095">
          <cell r="A2095" t="str">
            <v>ARS</v>
          </cell>
          <cell r="B2095" t="str">
            <v>624004344</v>
          </cell>
          <cell r="C2095" t="str">
            <v>PERETTI, GABRIELA FERNANDA o PERETTI, LUIS ALBERTO o PERETTI, LUCIANA BELEN</v>
          </cell>
          <cell r="G2095">
            <v>6104000</v>
          </cell>
          <cell r="H2095">
            <v>6104000</v>
          </cell>
          <cell r="I2095" t="str">
            <v>624</v>
          </cell>
        </row>
        <row r="2096">
          <cell r="A2096" t="str">
            <v>ARS</v>
          </cell>
          <cell r="B2096" t="str">
            <v>624004353</v>
          </cell>
          <cell r="C2096" t="str">
            <v>BARRILLI, GRACIELA ESTHER  o SYLWAN, ALBERTO GUSTAVO</v>
          </cell>
          <cell r="G2096">
            <v>1025584.72</v>
          </cell>
          <cell r="H2096">
            <v>1025584.72</v>
          </cell>
          <cell r="I2096" t="str">
            <v>624</v>
          </cell>
        </row>
        <row r="2097">
          <cell r="A2097" t="str">
            <v>ARS</v>
          </cell>
          <cell r="B2097" t="str">
            <v>624004354</v>
          </cell>
          <cell r="C2097" t="str">
            <v>SEMPRINI, ANA MARIA</v>
          </cell>
          <cell r="G2097">
            <v>30694981.280000001</v>
          </cell>
          <cell r="H2097">
            <v>30694981.280000001</v>
          </cell>
          <cell r="I2097" t="str">
            <v>624</v>
          </cell>
        </row>
        <row r="2098">
          <cell r="A2098" t="str">
            <v>ARS</v>
          </cell>
          <cell r="B2098" t="str">
            <v>624004363</v>
          </cell>
          <cell r="C2098" t="str">
            <v>KYOJIN S.A.</v>
          </cell>
          <cell r="G2098">
            <v>69750</v>
          </cell>
          <cell r="H2098">
            <v>69750</v>
          </cell>
          <cell r="I2098" t="str">
            <v>624</v>
          </cell>
        </row>
        <row r="2099">
          <cell r="A2099" t="str">
            <v>ARS</v>
          </cell>
          <cell r="B2099" t="str">
            <v>624004374</v>
          </cell>
          <cell r="C2099" t="str">
            <v>MONTECCHIARI, ANDRES PABLO</v>
          </cell>
          <cell r="G2099">
            <v>185775.4</v>
          </cell>
          <cell r="H2099">
            <v>185775.4</v>
          </cell>
          <cell r="I2099" t="str">
            <v>624</v>
          </cell>
        </row>
        <row r="2100">
          <cell r="A2100" t="str">
            <v>ARS</v>
          </cell>
          <cell r="B2100" t="str">
            <v>624004375</v>
          </cell>
          <cell r="C2100" t="str">
            <v>BAO, OSVALDO HECTOR o WITT, NORMA CRISTINA</v>
          </cell>
          <cell r="G2100">
            <v>1006471.1</v>
          </cell>
          <cell r="H2100">
            <v>1006471.1</v>
          </cell>
          <cell r="I2100" t="str">
            <v>624</v>
          </cell>
        </row>
        <row r="2101">
          <cell r="A2101" t="str">
            <v>ARS</v>
          </cell>
          <cell r="B2101" t="str">
            <v>624004380</v>
          </cell>
          <cell r="C2101" t="str">
            <v>RODRIGUEZ , MARIA ROSA o LOPEZ, SILVINA ANDREA</v>
          </cell>
          <cell r="G2101">
            <v>184267614.5</v>
          </cell>
          <cell r="H2101">
            <v>184267614.5</v>
          </cell>
          <cell r="I2101" t="str">
            <v>624</v>
          </cell>
        </row>
        <row r="2102">
          <cell r="A2102" t="str">
            <v>ARS</v>
          </cell>
          <cell r="B2102" t="str">
            <v>624004387</v>
          </cell>
          <cell r="C2102" t="str">
            <v>ORTIZ, DANIEL o FISICARO, MARIA ALEJANDRA</v>
          </cell>
          <cell r="G2102">
            <v>22247296.359999999</v>
          </cell>
          <cell r="H2102">
            <v>22247296.359999999</v>
          </cell>
          <cell r="I2102" t="str">
            <v>624</v>
          </cell>
        </row>
        <row r="2103">
          <cell r="A2103" t="str">
            <v>ARS</v>
          </cell>
          <cell r="B2103" t="str">
            <v>624004389</v>
          </cell>
          <cell r="C2103" t="str">
            <v>FERNANDEZ, MARIA DEL ROSARIO o HACHEN, LUCIANA  o HACHEN, ULISES</v>
          </cell>
          <cell r="G2103">
            <v>25575777.09</v>
          </cell>
          <cell r="H2103">
            <v>25575777.09</v>
          </cell>
          <cell r="I2103" t="str">
            <v>624</v>
          </cell>
        </row>
        <row r="2104">
          <cell r="A2104" t="str">
            <v>ARS</v>
          </cell>
          <cell r="B2104" t="str">
            <v>624004392</v>
          </cell>
          <cell r="C2104" t="str">
            <v>LOYOLA, EMILCE MARIA Y LOYOLA IGNACIO GUSTAVO S. CAP I SECC IV</v>
          </cell>
          <cell r="G2104">
            <v>36826541.340000004</v>
          </cell>
          <cell r="H2104">
            <v>36826541.340000004</v>
          </cell>
          <cell r="I2104" t="str">
            <v>624</v>
          </cell>
        </row>
        <row r="2105">
          <cell r="A2105" t="str">
            <v>ARS</v>
          </cell>
          <cell r="B2105" t="str">
            <v>624004394</v>
          </cell>
          <cell r="C2105" t="str">
            <v>DELL'ELCE, KARINA PAOLA o DELL'ELCE, LAURA MARIELA</v>
          </cell>
          <cell r="G2105">
            <v>9463950.9700000007</v>
          </cell>
          <cell r="H2105">
            <v>9463950.9700000007</v>
          </cell>
          <cell r="I2105" t="str">
            <v>624</v>
          </cell>
        </row>
        <row r="2106">
          <cell r="A2106" t="str">
            <v>ARS</v>
          </cell>
          <cell r="B2106" t="str">
            <v>624004395</v>
          </cell>
          <cell r="C2106" t="str">
            <v>DELL'ELCE, LAURA MARIELA o DELL'ELCE, KARINA PAOLA</v>
          </cell>
          <cell r="G2106">
            <v>31663733.43</v>
          </cell>
          <cell r="H2106">
            <v>31663733.43</v>
          </cell>
          <cell r="I2106" t="str">
            <v>624</v>
          </cell>
        </row>
        <row r="2107">
          <cell r="A2107" t="str">
            <v>ARS</v>
          </cell>
          <cell r="B2107" t="str">
            <v>624004396</v>
          </cell>
          <cell r="C2107" t="str">
            <v>DELL'ELCE, KARINA PAOLA o DELL'ELCE, LAURA MARIELA</v>
          </cell>
          <cell r="G2107">
            <v>36693231.07</v>
          </cell>
          <cell r="H2107">
            <v>36693231.07</v>
          </cell>
          <cell r="I2107" t="str">
            <v>624</v>
          </cell>
        </row>
        <row r="2108">
          <cell r="A2108" t="str">
            <v>ARS</v>
          </cell>
          <cell r="B2108" t="str">
            <v>624004411</v>
          </cell>
          <cell r="C2108" t="str">
            <v>NOBAU, LUCIANO ANDRES o LARIO, NATALIA GISELA</v>
          </cell>
          <cell r="G2108">
            <v>12123309.210000001</v>
          </cell>
          <cell r="H2108">
            <v>12123309.210000001</v>
          </cell>
          <cell r="I2108" t="str">
            <v>624</v>
          </cell>
        </row>
        <row r="2109">
          <cell r="A2109" t="str">
            <v>ARS</v>
          </cell>
          <cell r="B2109" t="str">
            <v>624004415</v>
          </cell>
          <cell r="C2109" t="str">
            <v xml:space="preserve"> [C.E.R.A.] PINAZO, MARIA SUSANA</v>
          </cell>
          <cell r="G2109">
            <v>46705</v>
          </cell>
          <cell r="H2109">
            <v>46705</v>
          </cell>
          <cell r="I2109" t="str">
            <v>624</v>
          </cell>
        </row>
        <row r="2110">
          <cell r="A2110" t="str">
            <v>ARS</v>
          </cell>
          <cell r="B2110" t="str">
            <v>624004420</v>
          </cell>
          <cell r="C2110" t="str">
            <v xml:space="preserve">ELISEI, MATIAS GABRIEL </v>
          </cell>
          <cell r="G2110">
            <v>3205440.96</v>
          </cell>
          <cell r="H2110">
            <v>3205440.96</v>
          </cell>
          <cell r="I2110" t="str">
            <v>624</v>
          </cell>
        </row>
        <row r="2111">
          <cell r="A2111" t="str">
            <v>ARS</v>
          </cell>
          <cell r="B2111" t="str">
            <v>624004427</v>
          </cell>
          <cell r="C2111" t="str">
            <v>OLIVERA, CAROLINA ALEJANDRA DEL VALLE</v>
          </cell>
          <cell r="G2111">
            <v>2820750.1</v>
          </cell>
          <cell r="H2111">
            <v>2820750.1</v>
          </cell>
          <cell r="I2111" t="str">
            <v>624</v>
          </cell>
        </row>
        <row r="2112">
          <cell r="A2112" t="str">
            <v>ARS</v>
          </cell>
          <cell r="B2112" t="str">
            <v>624004430</v>
          </cell>
          <cell r="C2112" t="str">
            <v>CODESIDO, LIDIA MARTA LILIANA o LEIVA, FRANCISCO GABRIEL</v>
          </cell>
          <cell r="G2112">
            <v>42890361.25</v>
          </cell>
          <cell r="H2112">
            <v>42890361.25</v>
          </cell>
          <cell r="I2112" t="str">
            <v>624</v>
          </cell>
        </row>
        <row r="2113">
          <cell r="A2113" t="str">
            <v>ARS</v>
          </cell>
          <cell r="B2113" t="str">
            <v>624004432</v>
          </cell>
          <cell r="C2113" t="str">
            <v>PETRINI , EDUARDO FERNANDO o PETRINI, MARTIN EDUARDO</v>
          </cell>
          <cell r="G2113">
            <v>81689790.819999993</v>
          </cell>
          <cell r="H2113">
            <v>81689790.819999993</v>
          </cell>
          <cell r="I2113" t="str">
            <v>624</v>
          </cell>
        </row>
        <row r="2114">
          <cell r="A2114" t="str">
            <v>ARS</v>
          </cell>
          <cell r="B2114" t="str">
            <v>624004436</v>
          </cell>
          <cell r="C2114" t="str">
            <v>FISSORE, MARIA ESTER o ZURBRIGGEN, CARLOS ALBERTO o ZURBRIGGEN, GASTON CARLOS</v>
          </cell>
          <cell r="G2114">
            <v>3446612.74</v>
          </cell>
          <cell r="H2114">
            <v>3446612.74</v>
          </cell>
          <cell r="I2114" t="str">
            <v>624</v>
          </cell>
        </row>
        <row r="2115">
          <cell r="A2115" t="str">
            <v>ARS</v>
          </cell>
          <cell r="B2115" t="str">
            <v>624004438</v>
          </cell>
          <cell r="C2115" t="str">
            <v>AGUSTI, RUBEN ANIBAL o AGUSTI ROLDAN, MARIANELA o DJOUBAILI, JORGE FRANCISCO</v>
          </cell>
          <cell r="G2115">
            <v>39498147.509999998</v>
          </cell>
          <cell r="H2115">
            <v>39498147.509999998</v>
          </cell>
          <cell r="I2115" t="str">
            <v>624</v>
          </cell>
        </row>
        <row r="2116">
          <cell r="A2116" t="str">
            <v>ARS</v>
          </cell>
          <cell r="B2116" t="str">
            <v>624004441</v>
          </cell>
          <cell r="C2116" t="str">
            <v>KAPLAN, MELISA MIRIAN O COMAN, MARIA DE LOS ANGELES (CARTERA PROPIA)</v>
          </cell>
          <cell r="G2116">
            <v>6798665.8600000003</v>
          </cell>
          <cell r="H2116">
            <v>6798665.8600000003</v>
          </cell>
          <cell r="I2116" t="str">
            <v>624</v>
          </cell>
        </row>
        <row r="2117">
          <cell r="A2117" t="str">
            <v>ARS</v>
          </cell>
          <cell r="B2117" t="str">
            <v>624004442</v>
          </cell>
          <cell r="C2117" t="str">
            <v>BELTRAN, JUAN</v>
          </cell>
          <cell r="G2117">
            <v>44262919.759999998</v>
          </cell>
          <cell r="H2117">
            <v>44262919.759999998</v>
          </cell>
          <cell r="I2117" t="str">
            <v>624</v>
          </cell>
        </row>
        <row r="2118">
          <cell r="A2118" t="str">
            <v>ARS</v>
          </cell>
          <cell r="B2118" t="str">
            <v>624004444</v>
          </cell>
          <cell r="C2118" t="str">
            <v>NAYMARK , CARLOS GABRIEL</v>
          </cell>
          <cell r="G2118">
            <v>344355</v>
          </cell>
          <cell r="H2118">
            <v>344355</v>
          </cell>
          <cell r="I2118" t="str">
            <v>624</v>
          </cell>
        </row>
        <row r="2119">
          <cell r="A2119" t="str">
            <v>ARS</v>
          </cell>
          <cell r="B2119" t="str">
            <v>624004446</v>
          </cell>
          <cell r="C2119" t="str">
            <v>CARPINETTI, NATALIA MARIA o BERTANI, RODRIGO LIONEL</v>
          </cell>
          <cell r="G2119">
            <v>5441625.8200000003</v>
          </cell>
          <cell r="H2119">
            <v>5441625.8200000003</v>
          </cell>
          <cell r="I2119" t="str">
            <v>624</v>
          </cell>
        </row>
        <row r="2120">
          <cell r="A2120" t="str">
            <v>ARS</v>
          </cell>
          <cell r="B2120" t="str">
            <v>624004448</v>
          </cell>
          <cell r="C2120" t="str">
            <v>PELLIZZER, CLAUDIA SILVANA o DRUKER, NATASHA LEA o DRUKER, COSTANZA YAEL</v>
          </cell>
          <cell r="G2120">
            <v>336180</v>
          </cell>
          <cell r="H2120">
            <v>336180</v>
          </cell>
          <cell r="I2120" t="str">
            <v>624</v>
          </cell>
        </row>
        <row r="2121">
          <cell r="A2121" t="str">
            <v>ARS</v>
          </cell>
          <cell r="B2121" t="str">
            <v>624004449</v>
          </cell>
          <cell r="C2121" t="str">
            <v>ELISAVETSKY JUAREZ, ERNESTO GUSTAVO o ZORZOLI, MIRTA MONICA</v>
          </cell>
          <cell r="G2121">
            <v>74192920.599999994</v>
          </cell>
          <cell r="H2121">
            <v>74192920.599999994</v>
          </cell>
          <cell r="I2121" t="str">
            <v>624</v>
          </cell>
        </row>
        <row r="2122">
          <cell r="A2122" t="str">
            <v>ARS</v>
          </cell>
          <cell r="B2122" t="str">
            <v>624004451</v>
          </cell>
          <cell r="C2122" t="str">
            <v xml:space="preserve">ZAFFORA , DANIEL LEONARDO o TIBALDO, DAIANA JACINTA </v>
          </cell>
          <cell r="G2122">
            <v>2326514.5099999998</v>
          </cell>
          <cell r="H2122">
            <v>2326514.5099999998</v>
          </cell>
          <cell r="I2122" t="str">
            <v>624</v>
          </cell>
        </row>
        <row r="2123">
          <cell r="A2123" t="str">
            <v>ARS</v>
          </cell>
          <cell r="B2123" t="str">
            <v>624004454</v>
          </cell>
          <cell r="C2123" t="str">
            <v xml:space="preserve">BERETTA , OSCAR MARCELO </v>
          </cell>
          <cell r="G2123">
            <v>3963468.85</v>
          </cell>
          <cell r="H2123">
            <v>3963468.85</v>
          </cell>
          <cell r="I2123" t="str">
            <v>624</v>
          </cell>
        </row>
        <row r="2124">
          <cell r="A2124" t="str">
            <v>ARS</v>
          </cell>
          <cell r="B2124" t="str">
            <v>648014013</v>
          </cell>
          <cell r="C2124" t="str">
            <v>AMBASCH MARIO ELIAS</v>
          </cell>
          <cell r="G2124">
            <v>3479811</v>
          </cell>
          <cell r="H2124">
            <v>3479811</v>
          </cell>
          <cell r="I2124" t="str">
            <v>648</v>
          </cell>
        </row>
        <row r="2125">
          <cell r="A2125" t="str">
            <v>ARS</v>
          </cell>
          <cell r="B2125" t="str">
            <v>649003789</v>
          </cell>
          <cell r="C2125" t="str">
            <v>LABORATORIOS BETA S.A</v>
          </cell>
          <cell r="G2125">
            <v>419697823.98000002</v>
          </cell>
          <cell r="H2125">
            <v>419697823.98000002</v>
          </cell>
          <cell r="I2125" t="str">
            <v>649</v>
          </cell>
        </row>
        <row r="2126">
          <cell r="A2126" t="str">
            <v>ARS</v>
          </cell>
          <cell r="B2126" t="str">
            <v>687000005</v>
          </cell>
          <cell r="C2126" t="str">
            <v>SAVINI, SERGIO OMAR o SANTOS, MARTA SILVIA</v>
          </cell>
          <cell r="G2126">
            <v>1717000</v>
          </cell>
          <cell r="H2126">
            <v>1717000</v>
          </cell>
          <cell r="I2126" t="str">
            <v>687</v>
          </cell>
        </row>
        <row r="2127">
          <cell r="A2127" t="str">
            <v>ARS</v>
          </cell>
          <cell r="B2127" t="str">
            <v>687000022</v>
          </cell>
          <cell r="C2127" t="str">
            <v>PIANO DANIEL</v>
          </cell>
          <cell r="G2127">
            <v>9329</v>
          </cell>
          <cell r="H2127">
            <v>9329</v>
          </cell>
          <cell r="I2127" t="str">
            <v>687</v>
          </cell>
        </row>
        <row r="2128">
          <cell r="A2128" t="str">
            <v>ARS</v>
          </cell>
          <cell r="B2128" t="str">
            <v>687000039</v>
          </cell>
          <cell r="C2128" t="str">
            <v xml:space="preserve">BERNELLI, PAOLA ALEJANDRA o BERNELLI, RAUL AUGUSTO o BERNELLI, CECILIA ANDREA </v>
          </cell>
          <cell r="G2128">
            <v>97846685.540000007</v>
          </cell>
          <cell r="H2128">
            <v>97846685.540000007</v>
          </cell>
          <cell r="I2128" t="str">
            <v>687</v>
          </cell>
        </row>
        <row r="2129">
          <cell r="A2129" t="str">
            <v>ARS</v>
          </cell>
          <cell r="B2129" t="str">
            <v>687000040</v>
          </cell>
          <cell r="C2129" t="str">
            <v>BERNELLI, RAUL AUGUSTO o MAISONNAVE, CARLOTA EMILIA o BERNELLI, CECILIA ANDREA</v>
          </cell>
          <cell r="G2129">
            <v>102056358.34999999</v>
          </cell>
          <cell r="H2129">
            <v>102056358.34999999</v>
          </cell>
          <cell r="I2129" t="str">
            <v>687</v>
          </cell>
        </row>
        <row r="2130">
          <cell r="A2130" t="str">
            <v>ARS</v>
          </cell>
          <cell r="B2130" t="str">
            <v>687000141</v>
          </cell>
          <cell r="C2130" t="str">
            <v>ARCEO, HORACIO MIGUEL</v>
          </cell>
          <cell r="G2130">
            <v>756000</v>
          </cell>
          <cell r="H2130">
            <v>756000</v>
          </cell>
          <cell r="I2130" t="str">
            <v>687</v>
          </cell>
        </row>
        <row r="2131">
          <cell r="A2131" t="str">
            <v>ARS</v>
          </cell>
          <cell r="B2131" t="str">
            <v>687000184</v>
          </cell>
          <cell r="C2131" t="str">
            <v>RESTOVICH, ROBERTO CARLOS</v>
          </cell>
          <cell r="G2131">
            <v>382510</v>
          </cell>
          <cell r="H2131">
            <v>382510</v>
          </cell>
          <cell r="I2131" t="str">
            <v>687</v>
          </cell>
        </row>
        <row r="2132">
          <cell r="A2132" t="str">
            <v>ARS</v>
          </cell>
          <cell r="B2132" t="str">
            <v>687000202</v>
          </cell>
          <cell r="C2132" t="str">
            <v>CEFOLA, ALDO VIDAL o CEFOLA, MARIA VERONICA o CEFOLA, MARIA FABIANA</v>
          </cell>
          <cell r="G2132">
            <v>337777371.56</v>
          </cell>
          <cell r="H2132">
            <v>337777371.56</v>
          </cell>
          <cell r="I2132" t="str">
            <v>687</v>
          </cell>
        </row>
        <row r="2133">
          <cell r="A2133" t="str">
            <v>ARS</v>
          </cell>
          <cell r="B2133" t="str">
            <v>687000213</v>
          </cell>
          <cell r="C2133" t="str">
            <v>SBARRA, SALVADOR PEDRO o SBARRA LEONARDO TOMAS o DI CARLO JUANA</v>
          </cell>
          <cell r="G2133">
            <v>238599372</v>
          </cell>
          <cell r="H2133">
            <v>238599372</v>
          </cell>
          <cell r="I2133" t="str">
            <v>687</v>
          </cell>
        </row>
        <row r="2134">
          <cell r="A2134" t="str">
            <v>ARS</v>
          </cell>
          <cell r="B2134" t="str">
            <v>687000219</v>
          </cell>
          <cell r="C2134" t="str">
            <v>CHIARAMONE, LUIS HUMBERTO</v>
          </cell>
          <cell r="G2134">
            <v>83151000</v>
          </cell>
          <cell r="H2134">
            <v>83151000</v>
          </cell>
          <cell r="I2134" t="str">
            <v>687</v>
          </cell>
        </row>
        <row r="2135">
          <cell r="A2135" t="str">
            <v>ARS</v>
          </cell>
          <cell r="B2135" t="str">
            <v>687000233</v>
          </cell>
          <cell r="C2135" t="str">
            <v xml:space="preserve">ROMERO, GRISELDA MARIA o MENENDEZ, FACUNDO ROY </v>
          </cell>
          <cell r="G2135">
            <v>24568000</v>
          </cell>
          <cell r="H2135">
            <v>24568000</v>
          </cell>
          <cell r="I2135" t="str">
            <v>687</v>
          </cell>
        </row>
        <row r="2136">
          <cell r="A2136" t="str">
            <v>ARS</v>
          </cell>
          <cell r="B2136" t="str">
            <v>687000237</v>
          </cell>
          <cell r="C2136" t="str">
            <v>BUTTIGLIERO, CARLOS RAUL</v>
          </cell>
          <cell r="G2136">
            <v>289000</v>
          </cell>
          <cell r="H2136">
            <v>289000</v>
          </cell>
          <cell r="I2136" t="str">
            <v>687</v>
          </cell>
        </row>
        <row r="2137">
          <cell r="A2137" t="str">
            <v>ARS</v>
          </cell>
          <cell r="B2137" t="str">
            <v>687000252</v>
          </cell>
          <cell r="C2137" t="str">
            <v>DI PAOLO, HORACIO MIGUEL o RON, RAQUEL o DI PAOLO, CRISTIAN ARIEL</v>
          </cell>
          <cell r="G2137">
            <v>130661798.95</v>
          </cell>
          <cell r="H2137">
            <v>130661798.95</v>
          </cell>
          <cell r="I2137" t="str">
            <v>687</v>
          </cell>
        </row>
        <row r="2138">
          <cell r="A2138" t="str">
            <v>ARS</v>
          </cell>
          <cell r="B2138" t="str">
            <v>687000272</v>
          </cell>
          <cell r="C2138" t="str">
            <v>MOGETTA, PEDRO LUIS o JIMENEZ, GABRIELA</v>
          </cell>
          <cell r="G2138">
            <v>263996</v>
          </cell>
          <cell r="H2138">
            <v>263996</v>
          </cell>
          <cell r="I2138" t="str">
            <v>687</v>
          </cell>
        </row>
        <row r="2139">
          <cell r="A2139" t="str">
            <v>ARS</v>
          </cell>
          <cell r="B2139" t="str">
            <v>687000278</v>
          </cell>
          <cell r="C2139" t="str">
            <v>BARTOLELLI, LUCAS WALDEMAR o MAINI ANTONINI, MARINA</v>
          </cell>
          <cell r="G2139">
            <v>5360000</v>
          </cell>
          <cell r="H2139">
            <v>5360000</v>
          </cell>
          <cell r="I2139" t="str">
            <v>687</v>
          </cell>
        </row>
        <row r="2140">
          <cell r="A2140" t="str">
            <v>ARS</v>
          </cell>
          <cell r="B2140" t="str">
            <v>687000299</v>
          </cell>
          <cell r="C2140" t="str">
            <v>DE SANCTIS, MARIANA o FUSTER, RAUL WALTER o FUSTER, MANUEL</v>
          </cell>
          <cell r="G2140">
            <v>30170000</v>
          </cell>
          <cell r="H2140">
            <v>30170000</v>
          </cell>
          <cell r="I2140" t="str">
            <v>687</v>
          </cell>
        </row>
        <row r="2141">
          <cell r="A2141" t="str">
            <v>ARS</v>
          </cell>
          <cell r="B2141" t="str">
            <v>687000318</v>
          </cell>
          <cell r="C2141" t="str">
            <v>NEIROTTI, MARIO AGUSTIN o NEIROTTI, ILEANA MARIA o NEIROTTI, ANDRES JOSE</v>
          </cell>
          <cell r="G2141">
            <v>6970000</v>
          </cell>
          <cell r="H2141">
            <v>6970000</v>
          </cell>
          <cell r="I2141" t="str">
            <v>687</v>
          </cell>
        </row>
        <row r="2142">
          <cell r="A2142" t="str">
            <v>ARS</v>
          </cell>
          <cell r="B2142" t="str">
            <v>687000360</v>
          </cell>
          <cell r="C2142" t="str">
            <v>PELLEGRINI, ADRIANA MABEL o PAGANI, JORGE CRISTIAN</v>
          </cell>
          <cell r="G2142">
            <v>8150866.2599999998</v>
          </cell>
          <cell r="H2142">
            <v>8150866.2599999998</v>
          </cell>
          <cell r="I2142" t="str">
            <v>687</v>
          </cell>
        </row>
        <row r="2143">
          <cell r="A2143" t="str">
            <v>ARS</v>
          </cell>
          <cell r="B2143" t="str">
            <v>687000370</v>
          </cell>
          <cell r="C2143" t="str">
            <v>FAZIO, RODOLFO LEONARDO o RAMPELLO, DANIELA DEL LUJAN o MATEO GABRIEL, FAZIO</v>
          </cell>
          <cell r="G2143">
            <v>913690387.29999995</v>
          </cell>
          <cell r="H2143">
            <v>913690387.29999995</v>
          </cell>
          <cell r="I2143" t="str">
            <v>687</v>
          </cell>
        </row>
        <row r="2144">
          <cell r="A2144" t="str">
            <v>ARS</v>
          </cell>
          <cell r="B2144" t="str">
            <v>687000371</v>
          </cell>
          <cell r="C2144" t="str">
            <v>SUFFRITI, LEOPOLDO o CEFOLA, MARIA VERONICA</v>
          </cell>
          <cell r="G2144">
            <v>192894</v>
          </cell>
          <cell r="H2144">
            <v>192894</v>
          </cell>
          <cell r="I2144" t="str">
            <v>687</v>
          </cell>
        </row>
        <row r="2145">
          <cell r="A2145" t="str">
            <v>ARS</v>
          </cell>
          <cell r="B2145" t="str">
            <v>687000400</v>
          </cell>
          <cell r="C2145" t="str">
            <v>NUÑEZ, MONICA VIVIANA o RUIZ, MICAELA ALEJANDRA o RUIZ, JUAN JOSE</v>
          </cell>
          <cell r="G2145">
            <v>78991248.049999997</v>
          </cell>
          <cell r="H2145">
            <v>78991248.049999997</v>
          </cell>
          <cell r="I2145" t="str">
            <v>687</v>
          </cell>
        </row>
        <row r="2146">
          <cell r="A2146" t="str">
            <v>ARS</v>
          </cell>
          <cell r="B2146" t="str">
            <v>687000403</v>
          </cell>
          <cell r="C2146" t="str">
            <v>FRIGUGLIETTI, PAULO ANDRES o DI, FILIPPO LORENA</v>
          </cell>
          <cell r="G2146">
            <v>469000</v>
          </cell>
          <cell r="H2146">
            <v>469000</v>
          </cell>
          <cell r="I2146" t="str">
            <v>687</v>
          </cell>
        </row>
        <row r="2147">
          <cell r="A2147" t="str">
            <v>ARS</v>
          </cell>
          <cell r="B2147" t="str">
            <v>687000410</v>
          </cell>
          <cell r="C2147" t="str">
            <v>CEFOLA, MARIA FABIANA</v>
          </cell>
          <cell r="G2147">
            <v>206631156.15000001</v>
          </cell>
          <cell r="H2147">
            <v>206631156.15000001</v>
          </cell>
          <cell r="I2147" t="str">
            <v>687</v>
          </cell>
        </row>
        <row r="2148">
          <cell r="A2148" t="str">
            <v>ARS</v>
          </cell>
          <cell r="B2148" t="str">
            <v>687000421</v>
          </cell>
          <cell r="C2148" t="str">
            <v xml:space="preserve">DFC CAPITAL MANAGEMENT SA </v>
          </cell>
          <cell r="G2148">
            <v>2865499</v>
          </cell>
          <cell r="H2148">
            <v>2865499</v>
          </cell>
          <cell r="I2148" t="str">
            <v>687</v>
          </cell>
        </row>
        <row r="2149">
          <cell r="A2149" t="str">
            <v>ARS</v>
          </cell>
          <cell r="B2149" t="str">
            <v>687000431</v>
          </cell>
          <cell r="C2149" t="str">
            <v>MUGUERZA, MARTA IRENE o MUGUERZA, MARIA ELENA</v>
          </cell>
          <cell r="G2149">
            <v>72495716.069999993</v>
          </cell>
          <cell r="H2149">
            <v>72495716.069999993</v>
          </cell>
          <cell r="I2149" t="str">
            <v>687</v>
          </cell>
        </row>
        <row r="2150">
          <cell r="A2150" t="str">
            <v>ARS</v>
          </cell>
          <cell r="B2150" t="str">
            <v>687000432</v>
          </cell>
          <cell r="C2150" t="str">
            <v>FONTANA, HIPOLITO RIZIERI o GHIGLIONE, LUISA BEATRIZ o FONTANA, ADRIANA GRACIELA</v>
          </cell>
          <cell r="G2150">
            <v>2431098674.4699998</v>
          </cell>
          <cell r="H2150">
            <v>2431098674.4699998</v>
          </cell>
          <cell r="I2150" t="str">
            <v>687</v>
          </cell>
        </row>
        <row r="2151">
          <cell r="A2151" t="str">
            <v>ARS</v>
          </cell>
          <cell r="B2151" t="str">
            <v>687000448</v>
          </cell>
          <cell r="C2151" t="str">
            <v>MARTIN, CATHERINE</v>
          </cell>
          <cell r="G2151">
            <v>4650000</v>
          </cell>
          <cell r="H2151">
            <v>4650000</v>
          </cell>
          <cell r="I2151" t="str">
            <v>687</v>
          </cell>
        </row>
        <row r="2152">
          <cell r="A2152" t="str">
            <v>ARS</v>
          </cell>
          <cell r="B2152" t="str">
            <v>687000450</v>
          </cell>
          <cell r="C2152" t="str">
            <v>TERSOGLIO, MARIELA LUCIA o PEREZ CALOGERO, NELIDA ESTHER</v>
          </cell>
          <cell r="G2152">
            <v>52400000</v>
          </cell>
          <cell r="H2152">
            <v>52400000</v>
          </cell>
          <cell r="I2152" t="str">
            <v>687</v>
          </cell>
        </row>
        <row r="2153">
          <cell r="A2153" t="str">
            <v>ARS</v>
          </cell>
          <cell r="B2153" t="str">
            <v>687000459</v>
          </cell>
          <cell r="C2153" t="str">
            <v>CONTESTI, JUAN EMILIO o PAGANO, ANALIA EVELIN</v>
          </cell>
          <cell r="G2153">
            <v>449335506.81</v>
          </cell>
          <cell r="H2153">
            <v>449335506.81</v>
          </cell>
          <cell r="I2153" t="str">
            <v>687</v>
          </cell>
        </row>
        <row r="2154">
          <cell r="A2154" t="str">
            <v>ARS</v>
          </cell>
          <cell r="B2154" t="str">
            <v>687000470</v>
          </cell>
          <cell r="C2154" t="str">
            <v>DELALOYE, NICANOR FELIX ALEJO</v>
          </cell>
          <cell r="G2154">
            <v>33547000</v>
          </cell>
          <cell r="H2154">
            <v>33547000</v>
          </cell>
          <cell r="I2154" t="str">
            <v>687</v>
          </cell>
        </row>
        <row r="2155">
          <cell r="A2155" t="str">
            <v>ARS</v>
          </cell>
          <cell r="B2155" t="str">
            <v>687000483</v>
          </cell>
          <cell r="C2155" t="str">
            <v>DAMINATO, LUCIANO o DAMINATO, FRANCA</v>
          </cell>
          <cell r="G2155">
            <v>7962000</v>
          </cell>
          <cell r="H2155">
            <v>7962000</v>
          </cell>
          <cell r="I2155" t="str">
            <v>687</v>
          </cell>
        </row>
        <row r="2156">
          <cell r="A2156" t="str">
            <v>ARS</v>
          </cell>
          <cell r="B2156" t="str">
            <v>687000502</v>
          </cell>
          <cell r="C2156" t="str">
            <v>BALONCHARD, HECTOR MARIO o BALONCHARD, LUCAS MARIO o BALONCHARD, LEONARDO MATIAS</v>
          </cell>
          <cell r="G2156">
            <v>23497324.960000001</v>
          </cell>
          <cell r="H2156">
            <v>23497324.960000001</v>
          </cell>
          <cell r="I2156" t="str">
            <v>687</v>
          </cell>
        </row>
        <row r="2157">
          <cell r="A2157" t="str">
            <v>ARS</v>
          </cell>
          <cell r="B2157" t="str">
            <v>687000511</v>
          </cell>
          <cell r="C2157" t="str">
            <v>FERNANDEZ MENDEZ, CARLOS ALBERTO</v>
          </cell>
          <cell r="G2157">
            <v>625000</v>
          </cell>
          <cell r="H2157">
            <v>625000</v>
          </cell>
          <cell r="I2157" t="str">
            <v>687</v>
          </cell>
        </row>
        <row r="2158">
          <cell r="A2158" t="str">
            <v>ARS</v>
          </cell>
          <cell r="B2158" t="str">
            <v>687000524</v>
          </cell>
          <cell r="C2158" t="str">
            <v>ALESSI, EZIO DANTE o ALESSI, SERGIO LUIS</v>
          </cell>
          <cell r="G2158">
            <v>9970000</v>
          </cell>
          <cell r="H2158">
            <v>9970000</v>
          </cell>
          <cell r="I2158" t="str">
            <v>687</v>
          </cell>
        </row>
        <row r="2159">
          <cell r="A2159" t="str">
            <v>ARS</v>
          </cell>
          <cell r="B2159" t="str">
            <v>687000537</v>
          </cell>
          <cell r="C2159" t="str">
            <v>ETCHEVERS, PEDRO JUAN o GONZALEZ, DIANA CECILIA</v>
          </cell>
          <cell r="G2159">
            <v>59731060</v>
          </cell>
          <cell r="H2159">
            <v>59731060</v>
          </cell>
          <cell r="I2159" t="str">
            <v>687</v>
          </cell>
        </row>
        <row r="2160">
          <cell r="A2160" t="str">
            <v>ARS</v>
          </cell>
          <cell r="B2160" t="str">
            <v>687000540</v>
          </cell>
          <cell r="C2160" t="str">
            <v>RAMPELLO, HECTOR MARIO o MORRESI, EDIT MARCELA o FAZIO, RODOLFO LEONARDO</v>
          </cell>
          <cell r="G2160">
            <v>29952648.609999999</v>
          </cell>
          <cell r="H2160">
            <v>29952648.609999999</v>
          </cell>
          <cell r="I2160" t="str">
            <v>687</v>
          </cell>
        </row>
        <row r="2161">
          <cell r="A2161" t="str">
            <v>ARS</v>
          </cell>
          <cell r="B2161" t="str">
            <v>687000550</v>
          </cell>
          <cell r="C2161" t="str">
            <v>BRIL, ANDRES SIMON o GUTIERREZ, VERONICA</v>
          </cell>
          <cell r="G2161">
            <v>52851906.399999999</v>
          </cell>
          <cell r="H2161">
            <v>52851906.399999999</v>
          </cell>
          <cell r="I2161" t="str">
            <v>687</v>
          </cell>
        </row>
        <row r="2162">
          <cell r="A2162" t="str">
            <v>ARS</v>
          </cell>
          <cell r="B2162" t="str">
            <v>687000551</v>
          </cell>
          <cell r="C2162" t="str">
            <v>CASADEI, GERARDO MARTIN</v>
          </cell>
          <cell r="G2162">
            <v>4386427.9000000004</v>
          </cell>
          <cell r="H2162">
            <v>4386427.9000000004</v>
          </cell>
          <cell r="I2162" t="str">
            <v>687</v>
          </cell>
        </row>
        <row r="2163">
          <cell r="A2163" t="str">
            <v>ARS</v>
          </cell>
          <cell r="B2163" t="str">
            <v>687000579</v>
          </cell>
          <cell r="C2163" t="str">
            <v>ZORATTI, VICTOR ANTONIO ESTEBAN o ZORATTI, GABRIEL MARCOS o ZORATTI, ANDREA BEATRIZ</v>
          </cell>
          <cell r="G2163">
            <v>677806.75</v>
          </cell>
          <cell r="H2163">
            <v>677806.75</v>
          </cell>
          <cell r="I2163" t="str">
            <v>687</v>
          </cell>
        </row>
        <row r="2164">
          <cell r="A2164" t="str">
            <v>ARS</v>
          </cell>
          <cell r="B2164" t="str">
            <v>687000581</v>
          </cell>
          <cell r="C2164" t="str">
            <v>LORTE, ERNESTO PABLO</v>
          </cell>
          <cell r="G2164">
            <v>54100166.789999999</v>
          </cell>
          <cell r="H2164">
            <v>54100166.789999999</v>
          </cell>
          <cell r="I2164" t="str">
            <v>687</v>
          </cell>
        </row>
        <row r="2165">
          <cell r="A2165" t="str">
            <v>ARS</v>
          </cell>
          <cell r="B2165" t="str">
            <v>687000587</v>
          </cell>
          <cell r="C2165" t="str">
            <v>MAOLONI, PAOLA MARIA o GALVANI, LUCAS ARIEL o FIORENTINI, NORA ISABEL</v>
          </cell>
          <cell r="G2165">
            <v>4357687988.0500002</v>
          </cell>
          <cell r="H2165">
            <v>4357687988.0500002</v>
          </cell>
          <cell r="I2165" t="str">
            <v>687</v>
          </cell>
        </row>
        <row r="2166">
          <cell r="A2166" t="str">
            <v>ARS</v>
          </cell>
          <cell r="B2166" t="str">
            <v>687000594</v>
          </cell>
          <cell r="C2166" t="str">
            <v>CACCHIONE, BEATRIZ ELENA o CACCHIONE, RAUL JUAN</v>
          </cell>
          <cell r="G2166">
            <v>530370</v>
          </cell>
          <cell r="H2166">
            <v>530370</v>
          </cell>
          <cell r="I2166" t="str">
            <v>687</v>
          </cell>
        </row>
        <row r="2167">
          <cell r="A2167" t="str">
            <v>ARS</v>
          </cell>
          <cell r="B2167" t="str">
            <v>687000596</v>
          </cell>
          <cell r="C2167" t="str">
            <v>OLOBARDI, SERGIO ENZO o RAMALLO, ADELINA</v>
          </cell>
          <cell r="G2167">
            <v>1870000</v>
          </cell>
          <cell r="H2167">
            <v>1870000</v>
          </cell>
          <cell r="I2167" t="str">
            <v>687</v>
          </cell>
        </row>
        <row r="2168">
          <cell r="A2168" t="str">
            <v>ARS</v>
          </cell>
          <cell r="B2168" t="str">
            <v>687000597</v>
          </cell>
          <cell r="C2168" t="str">
            <v>GARCIA, ENRIQUE NORBERTO</v>
          </cell>
          <cell r="G2168">
            <v>3154595932.52</v>
          </cell>
          <cell r="H2168">
            <v>3154595932.52</v>
          </cell>
          <cell r="I2168" t="str">
            <v>687</v>
          </cell>
        </row>
        <row r="2169">
          <cell r="A2169" t="str">
            <v>ARS</v>
          </cell>
          <cell r="B2169" t="str">
            <v>687000616</v>
          </cell>
          <cell r="C2169" t="str">
            <v>GARCIA, MARCELO PEDRO o MANOCHI, MARIEL RAQUEL o SEGANFREDDO, LIBERTAD</v>
          </cell>
          <cell r="G2169">
            <v>10913700</v>
          </cell>
          <cell r="H2169">
            <v>10913700</v>
          </cell>
          <cell r="I2169" t="str">
            <v>687</v>
          </cell>
        </row>
        <row r="2170">
          <cell r="A2170" t="str">
            <v>ARS</v>
          </cell>
          <cell r="B2170" t="str">
            <v>687000665</v>
          </cell>
          <cell r="C2170" t="str">
            <v>TORRES, NATALIA EVANGELINA o IANNARELLI ERCOLE, JUAN BRUNO</v>
          </cell>
          <cell r="G2170">
            <v>81348285</v>
          </cell>
          <cell r="H2170">
            <v>81348285</v>
          </cell>
          <cell r="I2170" t="str">
            <v>687</v>
          </cell>
        </row>
        <row r="2171">
          <cell r="A2171" t="str">
            <v>ARS</v>
          </cell>
          <cell r="B2171" t="str">
            <v>687000674</v>
          </cell>
          <cell r="C2171" t="str">
            <v>DE SANCTIS , ANIBAL PERICLES  o DE SANCTIS, SOFIA FLAVIA</v>
          </cell>
          <cell r="G2171">
            <v>8459725</v>
          </cell>
          <cell r="H2171">
            <v>8459725</v>
          </cell>
          <cell r="I2171" t="str">
            <v>687</v>
          </cell>
        </row>
        <row r="2172">
          <cell r="A2172" t="str">
            <v>ARS</v>
          </cell>
          <cell r="B2172" t="str">
            <v>687000681</v>
          </cell>
          <cell r="C2172" t="str">
            <v>PAGLIALUNGA, LEANDRO JAVIER o MARTIÑENA, MELISA</v>
          </cell>
          <cell r="G2172">
            <v>18165218.010000002</v>
          </cell>
          <cell r="H2172">
            <v>18165218.010000002</v>
          </cell>
          <cell r="I2172" t="str">
            <v>687</v>
          </cell>
        </row>
        <row r="2173">
          <cell r="A2173" t="str">
            <v>ARS</v>
          </cell>
          <cell r="B2173" t="str">
            <v>687000685</v>
          </cell>
          <cell r="C2173" t="str">
            <v xml:space="preserve">DE SANCTIS, NICOLAS ANIBAL o DE SANCTIS , ANIBAL PERICLES </v>
          </cell>
          <cell r="G2173">
            <v>3909358.4</v>
          </cell>
          <cell r="H2173">
            <v>3909358.4</v>
          </cell>
          <cell r="I2173" t="str">
            <v>687</v>
          </cell>
        </row>
        <row r="2174">
          <cell r="A2174" t="str">
            <v>ARS</v>
          </cell>
          <cell r="B2174" t="str">
            <v>687000698</v>
          </cell>
          <cell r="C2174" t="str">
            <v>ARIAS, RAMIRO</v>
          </cell>
          <cell r="G2174">
            <v>407085000</v>
          </cell>
          <cell r="H2174">
            <v>407085000</v>
          </cell>
          <cell r="I2174" t="str">
            <v>687</v>
          </cell>
        </row>
        <row r="2175">
          <cell r="A2175" t="str">
            <v>ARS</v>
          </cell>
          <cell r="B2175" t="str">
            <v>687000705</v>
          </cell>
          <cell r="C2175" t="str">
            <v>MARTIN, ALBERTO JORGE</v>
          </cell>
          <cell r="G2175">
            <v>26675806.199999999</v>
          </cell>
          <cell r="H2175">
            <v>26675806.199999999</v>
          </cell>
          <cell r="I2175" t="str">
            <v>687</v>
          </cell>
        </row>
        <row r="2176">
          <cell r="A2176" t="str">
            <v>ARS</v>
          </cell>
          <cell r="B2176" t="str">
            <v>687000713</v>
          </cell>
          <cell r="C2176" t="str">
            <v>RINESI, JORGELINA o DAMINATO, ROBERTO JUAN</v>
          </cell>
          <cell r="G2176">
            <v>48833000</v>
          </cell>
          <cell r="H2176">
            <v>48833000</v>
          </cell>
          <cell r="I2176" t="str">
            <v>687</v>
          </cell>
        </row>
        <row r="2177">
          <cell r="A2177" t="str">
            <v>ARS</v>
          </cell>
          <cell r="B2177" t="str">
            <v>687000740</v>
          </cell>
          <cell r="C2177" t="str">
            <v>CAMPOSTRINI, MARIA EUGENIA o GONZALEZ, MAURO</v>
          </cell>
          <cell r="G2177">
            <v>767167506.45000005</v>
          </cell>
          <cell r="H2177">
            <v>767167506.45000005</v>
          </cell>
          <cell r="I2177" t="str">
            <v>687</v>
          </cell>
        </row>
        <row r="2178">
          <cell r="A2178" t="str">
            <v>ARS</v>
          </cell>
          <cell r="B2178" t="str">
            <v>687000748</v>
          </cell>
          <cell r="C2178" t="str">
            <v>FERRI, GLADYS ESTHER o TOMEI, SANDRA MARISA o TOMEI, MARIANO JOSE u otros</v>
          </cell>
          <cell r="G2178">
            <v>12319211559.15</v>
          </cell>
          <cell r="H2178">
            <v>12319211559.15</v>
          </cell>
          <cell r="I2178" t="str">
            <v>687</v>
          </cell>
        </row>
        <row r="2179">
          <cell r="A2179" t="str">
            <v>ARS</v>
          </cell>
          <cell r="B2179" t="str">
            <v>687000754</v>
          </cell>
          <cell r="C2179" t="str">
            <v>RIBECCA, SEBASTIAN LUCIANO</v>
          </cell>
          <cell r="G2179">
            <v>60193000</v>
          </cell>
          <cell r="H2179">
            <v>60193000</v>
          </cell>
          <cell r="I2179" t="str">
            <v>687</v>
          </cell>
        </row>
        <row r="2180">
          <cell r="A2180" t="str">
            <v>ARS</v>
          </cell>
          <cell r="B2180" t="str">
            <v>687000761</v>
          </cell>
          <cell r="C2180" t="str">
            <v>ZORATTI, CRISTIAN PABLO o ZORATTI, ANDREA BEATRIZ o ZORATTI, VICTOR ANTONIO ESTEBAN</v>
          </cell>
          <cell r="G2180">
            <v>1148614.6000000001</v>
          </cell>
          <cell r="H2180">
            <v>1148614.6000000001</v>
          </cell>
          <cell r="I2180" t="str">
            <v>687</v>
          </cell>
        </row>
        <row r="2181">
          <cell r="A2181" t="str">
            <v>ARS</v>
          </cell>
          <cell r="B2181" t="str">
            <v>687000763</v>
          </cell>
          <cell r="C2181" t="str">
            <v>BIANCONI, SILVINA ANDREA</v>
          </cell>
          <cell r="G2181">
            <v>1677000</v>
          </cell>
          <cell r="H2181">
            <v>1677000</v>
          </cell>
          <cell r="I2181" t="str">
            <v>687</v>
          </cell>
        </row>
        <row r="2182">
          <cell r="A2182" t="str">
            <v>ARS</v>
          </cell>
          <cell r="B2182" t="str">
            <v>687000767</v>
          </cell>
          <cell r="C2182" t="str">
            <v>ALESSI, SERGIO LUIS</v>
          </cell>
          <cell r="G2182">
            <v>2638000</v>
          </cell>
          <cell r="H2182">
            <v>2638000</v>
          </cell>
          <cell r="I2182" t="str">
            <v>687</v>
          </cell>
        </row>
        <row r="2183">
          <cell r="A2183" t="str">
            <v>ARS</v>
          </cell>
          <cell r="B2183" t="str">
            <v>687000768</v>
          </cell>
          <cell r="C2183" t="str">
            <v>BORRI, GABRIELA ROSANA</v>
          </cell>
          <cell r="G2183">
            <v>40455000</v>
          </cell>
          <cell r="H2183">
            <v>40455000</v>
          </cell>
          <cell r="I2183" t="str">
            <v>687</v>
          </cell>
        </row>
        <row r="2184">
          <cell r="A2184" t="str">
            <v>ARS</v>
          </cell>
          <cell r="B2184" t="str">
            <v>687000771</v>
          </cell>
          <cell r="C2184" t="str">
            <v>GALVANI, GASTON ALEJANDRO o MATTIA, MARIA VIRGINIA</v>
          </cell>
          <cell r="G2184">
            <v>35043000</v>
          </cell>
          <cell r="H2184">
            <v>35043000</v>
          </cell>
          <cell r="I2184" t="str">
            <v>687</v>
          </cell>
        </row>
        <row r="2185">
          <cell r="A2185" t="str">
            <v>ARS</v>
          </cell>
          <cell r="B2185" t="str">
            <v>687000782</v>
          </cell>
          <cell r="C2185" t="str">
            <v xml:space="preserve">ASOCIACION MUTUAL DEMOS SALUD </v>
          </cell>
          <cell r="G2185">
            <v>819848508.75</v>
          </cell>
          <cell r="H2185">
            <v>819848508.75</v>
          </cell>
          <cell r="I2185" t="str">
            <v>687</v>
          </cell>
        </row>
        <row r="2186">
          <cell r="A2186" t="str">
            <v>ARS</v>
          </cell>
          <cell r="B2186" t="str">
            <v>687000784</v>
          </cell>
          <cell r="C2186" t="str">
            <v>COLETTA, MARCOS ANDRES</v>
          </cell>
          <cell r="G2186">
            <v>25681375.199999999</v>
          </cell>
          <cell r="H2186">
            <v>25681375.199999999</v>
          </cell>
          <cell r="I2186" t="str">
            <v>687</v>
          </cell>
        </row>
        <row r="2187">
          <cell r="A2187" t="str">
            <v>ARS</v>
          </cell>
          <cell r="B2187" t="str">
            <v>687000785</v>
          </cell>
          <cell r="C2187" t="str">
            <v>MARTINEZ, MARIO GERARDO</v>
          </cell>
          <cell r="G2187">
            <v>783697200</v>
          </cell>
          <cell r="H2187">
            <v>783697200</v>
          </cell>
          <cell r="I2187" t="str">
            <v>687</v>
          </cell>
        </row>
        <row r="2188">
          <cell r="A2188" t="str">
            <v>ARS</v>
          </cell>
          <cell r="B2188" t="str">
            <v>687000788</v>
          </cell>
          <cell r="C2188" t="str">
            <v>SAN MARTIN, GERMAN JULIAN</v>
          </cell>
          <cell r="G2188">
            <v>1781847710.99</v>
          </cell>
          <cell r="H2188">
            <v>1781847710.99</v>
          </cell>
          <cell r="I2188" t="str">
            <v>687</v>
          </cell>
        </row>
        <row r="2189">
          <cell r="A2189" t="str">
            <v>ARS</v>
          </cell>
          <cell r="B2189" t="str">
            <v>687000789</v>
          </cell>
          <cell r="C2189" t="str">
            <v>RUIZ, HERNAN GERARDO</v>
          </cell>
          <cell r="G2189">
            <v>2549658391.3000002</v>
          </cell>
          <cell r="H2189">
            <v>2549658391.3000002</v>
          </cell>
          <cell r="I2189" t="str">
            <v>687</v>
          </cell>
        </row>
        <row r="2190">
          <cell r="A2190" t="str">
            <v>ARS</v>
          </cell>
          <cell r="B2190" t="str">
            <v>687000796</v>
          </cell>
          <cell r="C2190" t="str">
            <v>FIORENTINI, NORA ISABEL o GALVANI, LUCAS ARIEL</v>
          </cell>
          <cell r="G2190">
            <v>10512478.720000001</v>
          </cell>
          <cell r="H2190">
            <v>10512478.720000001</v>
          </cell>
          <cell r="I2190" t="str">
            <v>687</v>
          </cell>
        </row>
        <row r="2191">
          <cell r="A2191" t="str">
            <v>ARS</v>
          </cell>
          <cell r="B2191" t="str">
            <v>687000807</v>
          </cell>
          <cell r="C2191" t="str">
            <v>CHAIN, LUIS ALBERTO o CHAIN, PRISCILA NANCI</v>
          </cell>
          <cell r="G2191">
            <v>46575</v>
          </cell>
          <cell r="H2191">
            <v>46575</v>
          </cell>
          <cell r="I2191" t="str">
            <v>687</v>
          </cell>
        </row>
        <row r="2192">
          <cell r="A2192" t="str">
            <v>ARS</v>
          </cell>
          <cell r="B2192" t="str">
            <v>687000809</v>
          </cell>
          <cell r="C2192" t="str">
            <v>NAVARRO, CRISTIAN DANIEL</v>
          </cell>
          <cell r="G2192">
            <v>186437490.87</v>
          </cell>
          <cell r="H2192">
            <v>186437490.87</v>
          </cell>
          <cell r="I2192" t="str">
            <v>687</v>
          </cell>
        </row>
        <row r="2193">
          <cell r="A2193" t="str">
            <v>ARS</v>
          </cell>
          <cell r="B2193" t="str">
            <v>687000814</v>
          </cell>
          <cell r="C2193" t="str">
            <v>PEREZ CORTES, IGNACIO o MARZIONI, MELISA AGOSTINA</v>
          </cell>
          <cell r="G2193">
            <v>516309</v>
          </cell>
          <cell r="H2193">
            <v>516309</v>
          </cell>
          <cell r="I2193" t="str">
            <v>687</v>
          </cell>
        </row>
        <row r="2194">
          <cell r="A2194" t="str">
            <v>ARS</v>
          </cell>
          <cell r="B2194" t="str">
            <v>687000822</v>
          </cell>
          <cell r="C2194" t="str">
            <v>CARNINO, MARIA ISABEL o BARAT CARNINO, PALOMA o BARAT CARNINO, MERCEDES</v>
          </cell>
          <cell r="G2194">
            <v>74340</v>
          </cell>
          <cell r="H2194">
            <v>74340</v>
          </cell>
          <cell r="I2194" t="str">
            <v>687</v>
          </cell>
        </row>
        <row r="2195">
          <cell r="A2195" t="str">
            <v>ARS</v>
          </cell>
          <cell r="B2195" t="str">
            <v>687000825</v>
          </cell>
          <cell r="C2195" t="str">
            <v>RISSO, EDUARDO ANTONIO</v>
          </cell>
          <cell r="G2195">
            <v>3040724.1</v>
          </cell>
          <cell r="H2195">
            <v>3040724.1</v>
          </cell>
          <cell r="I2195" t="str">
            <v>687</v>
          </cell>
        </row>
        <row r="2196">
          <cell r="A2196" t="str">
            <v>ARS</v>
          </cell>
          <cell r="B2196" t="str">
            <v>687000829</v>
          </cell>
          <cell r="C2196" t="str">
            <v>MUTUAL DEL CLUB ATLETICO JUVENTUD UNIDA</v>
          </cell>
          <cell r="G2196">
            <v>6688577683.4399996</v>
          </cell>
          <cell r="H2196">
            <v>6688577683.4399996</v>
          </cell>
          <cell r="I2196" t="str">
            <v>687</v>
          </cell>
        </row>
        <row r="2197">
          <cell r="A2197" t="str">
            <v>ARS</v>
          </cell>
          <cell r="B2197" t="str">
            <v>687000832</v>
          </cell>
          <cell r="C2197" t="str">
            <v xml:space="preserve">MAOLONI, ÓSCAR </v>
          </cell>
          <cell r="G2197">
            <v>104358000</v>
          </cell>
          <cell r="H2197">
            <v>104358000</v>
          </cell>
          <cell r="I2197" t="str">
            <v>687</v>
          </cell>
        </row>
        <row r="2198">
          <cell r="A2198" t="str">
            <v>ARS</v>
          </cell>
          <cell r="B2198" t="str">
            <v>687000833</v>
          </cell>
          <cell r="C2198" t="str">
            <v>GALLI, EUGENIA MARIA o BARAT, JUAN MANUEL</v>
          </cell>
          <cell r="G2198">
            <v>114833.4</v>
          </cell>
          <cell r="H2198">
            <v>114833.4</v>
          </cell>
          <cell r="I2198" t="str">
            <v>687</v>
          </cell>
        </row>
        <row r="2199">
          <cell r="A2199" t="str">
            <v>ARS</v>
          </cell>
          <cell r="B2199" t="str">
            <v>687000845</v>
          </cell>
          <cell r="C2199" t="str">
            <v>LA FAMILLE S.A.</v>
          </cell>
          <cell r="G2199">
            <v>552320843.19000006</v>
          </cell>
          <cell r="H2199">
            <v>552320843.19000006</v>
          </cell>
          <cell r="I2199" t="str">
            <v>687</v>
          </cell>
        </row>
        <row r="2200">
          <cell r="A2200" t="str">
            <v>ARS</v>
          </cell>
          <cell r="B2200" t="str">
            <v>687000847</v>
          </cell>
          <cell r="C2200" t="str">
            <v>MOLLARD, MARTIN ENRIQUE o CASAS, SILVANA NATALIA</v>
          </cell>
          <cell r="G2200">
            <v>88476735.469999999</v>
          </cell>
          <cell r="H2200">
            <v>88476735.469999999</v>
          </cell>
          <cell r="I2200" t="str">
            <v>687</v>
          </cell>
        </row>
        <row r="2201">
          <cell r="A2201" t="str">
            <v>ARS</v>
          </cell>
          <cell r="B2201" t="str">
            <v>687000855</v>
          </cell>
          <cell r="C2201" t="str">
            <v>LABADIE, MARIA JULIETA o SOLA, LEANDRO ARIEL</v>
          </cell>
          <cell r="G2201">
            <v>591816080</v>
          </cell>
          <cell r="H2201">
            <v>591816080</v>
          </cell>
          <cell r="I2201" t="str">
            <v>687</v>
          </cell>
        </row>
        <row r="2202">
          <cell r="A2202" t="str">
            <v>ARS</v>
          </cell>
          <cell r="B2202" t="str">
            <v>687000860</v>
          </cell>
          <cell r="C2202" t="str">
            <v>AUDISALUD S.R.L</v>
          </cell>
          <cell r="G2202">
            <v>233749645.5</v>
          </cell>
          <cell r="H2202">
            <v>233749645.5</v>
          </cell>
          <cell r="I2202" t="str">
            <v>687</v>
          </cell>
        </row>
        <row r="2203">
          <cell r="A2203" t="str">
            <v>ARS</v>
          </cell>
          <cell r="B2203" t="str">
            <v>687000867</v>
          </cell>
          <cell r="C2203" t="str">
            <v>MATKOVICH, MARCOS</v>
          </cell>
          <cell r="G2203">
            <v>28175986.149999999</v>
          </cell>
          <cell r="H2203">
            <v>28175986.149999999</v>
          </cell>
          <cell r="I2203" t="str">
            <v>687</v>
          </cell>
        </row>
        <row r="2204">
          <cell r="A2204" t="str">
            <v>ARS</v>
          </cell>
          <cell r="B2204" t="str">
            <v>687000871</v>
          </cell>
          <cell r="C2204" t="str">
            <v>GALVANI, GRACIELA NORA o GALVANI, HECTOR OSCAR</v>
          </cell>
          <cell r="G2204">
            <v>4281000</v>
          </cell>
          <cell r="H2204">
            <v>4281000</v>
          </cell>
          <cell r="I2204" t="str">
            <v>687</v>
          </cell>
        </row>
        <row r="2205">
          <cell r="A2205" t="str">
            <v>ARS</v>
          </cell>
          <cell r="B2205" t="str">
            <v>687000883</v>
          </cell>
          <cell r="C2205" t="str">
            <v>RAMACCIOTTI, LAUTARO o RAMACCIOTTI, FAVIO PEDRO</v>
          </cell>
          <cell r="G2205">
            <v>835000</v>
          </cell>
          <cell r="H2205">
            <v>835000</v>
          </cell>
          <cell r="I2205" t="str">
            <v>687</v>
          </cell>
        </row>
        <row r="2206">
          <cell r="A2206" t="str">
            <v>ARS</v>
          </cell>
          <cell r="B2206" t="str">
            <v>687000885</v>
          </cell>
          <cell r="C2206" t="str">
            <v>PICARDI, JAVIER ANDRES</v>
          </cell>
          <cell r="G2206">
            <v>10558855</v>
          </cell>
          <cell r="H2206">
            <v>10558855</v>
          </cell>
          <cell r="I2206" t="str">
            <v>687</v>
          </cell>
        </row>
        <row r="2207">
          <cell r="A2207" t="str">
            <v>ARS</v>
          </cell>
          <cell r="B2207" t="str">
            <v>687000906</v>
          </cell>
          <cell r="C2207" t="str">
            <v>CASAGRANDE, PATRICIO GONZALO</v>
          </cell>
          <cell r="G2207">
            <v>24489349.940000001</v>
          </cell>
          <cell r="H2207">
            <v>24489349.940000001</v>
          </cell>
          <cell r="I2207" t="str">
            <v>687</v>
          </cell>
        </row>
        <row r="2208">
          <cell r="A2208" t="str">
            <v>ARS</v>
          </cell>
          <cell r="B2208" t="str">
            <v>687000911</v>
          </cell>
          <cell r="C2208" t="str">
            <v>HERNANDEZ, GONZALO RAUL o PAZ, MELODI NATALI</v>
          </cell>
          <cell r="G2208">
            <v>53997000</v>
          </cell>
          <cell r="H2208">
            <v>53997000</v>
          </cell>
          <cell r="I2208" t="str">
            <v>687</v>
          </cell>
        </row>
        <row r="2209">
          <cell r="A2209" t="str">
            <v>ARS</v>
          </cell>
          <cell r="B2209" t="str">
            <v>687000912</v>
          </cell>
          <cell r="C2209" t="str">
            <v xml:space="preserve">TENAGLIA, JULIAN PABLO o PEDRO , MARIA DEL LUJAN </v>
          </cell>
          <cell r="G2209">
            <v>237407568.88999999</v>
          </cell>
          <cell r="H2209">
            <v>237407568.88999999</v>
          </cell>
          <cell r="I2209" t="str">
            <v>687</v>
          </cell>
        </row>
        <row r="2210">
          <cell r="A2210" t="str">
            <v>ARS</v>
          </cell>
          <cell r="B2210" t="str">
            <v>687000923</v>
          </cell>
          <cell r="C2210" t="str">
            <v>RIBECA, RAMIRO OSCAR o CARIGNANO IAMONICO, GIULIANA LUCIA</v>
          </cell>
          <cell r="G2210">
            <v>410702000</v>
          </cell>
          <cell r="H2210">
            <v>410702000</v>
          </cell>
          <cell r="I2210" t="str">
            <v>687</v>
          </cell>
        </row>
        <row r="2211">
          <cell r="A2211" t="str">
            <v>ARS</v>
          </cell>
          <cell r="B2211" t="str">
            <v>687000925</v>
          </cell>
          <cell r="C2211" t="str">
            <v>YOCCO, WALTER DARIO</v>
          </cell>
          <cell r="G2211">
            <v>9585000</v>
          </cell>
          <cell r="H2211">
            <v>9585000</v>
          </cell>
          <cell r="I2211" t="str">
            <v>687</v>
          </cell>
        </row>
        <row r="2212">
          <cell r="A2212" t="str">
            <v>ARS</v>
          </cell>
          <cell r="B2212" t="str">
            <v>687000928</v>
          </cell>
          <cell r="C2212" t="str">
            <v>CORDIVIOLA, ESTEBAN GABRIEL</v>
          </cell>
          <cell r="G2212">
            <v>7355182046.4399996</v>
          </cell>
          <cell r="H2212">
            <v>7355182046.4399996</v>
          </cell>
          <cell r="I2212" t="str">
            <v>687</v>
          </cell>
        </row>
        <row r="2213">
          <cell r="A2213" t="str">
            <v>ARS</v>
          </cell>
          <cell r="B2213" t="str">
            <v>687000929</v>
          </cell>
          <cell r="C2213" t="str">
            <v xml:space="preserve">DFC CAPITAL MANAGEMENT SA </v>
          </cell>
          <cell r="G2213">
            <v>5888532654.21</v>
          </cell>
          <cell r="H2213">
            <v>5888532654.21</v>
          </cell>
          <cell r="I2213" t="str">
            <v>687</v>
          </cell>
        </row>
        <row r="2214">
          <cell r="A2214" t="str">
            <v>ARS</v>
          </cell>
          <cell r="B2214" t="str">
            <v>687000931</v>
          </cell>
          <cell r="C2214" t="str">
            <v>MENENDEZ, IGNACIO MARTIN</v>
          </cell>
          <cell r="G2214">
            <v>726258</v>
          </cell>
          <cell r="H2214">
            <v>726258</v>
          </cell>
          <cell r="I2214" t="str">
            <v>687</v>
          </cell>
        </row>
        <row r="2215">
          <cell r="A2215" t="str">
            <v>ARS</v>
          </cell>
          <cell r="B2215" t="str">
            <v>687000932</v>
          </cell>
          <cell r="C2215" t="str">
            <v>ASOCIACION MUTUAL DESARROLLO REGIONAL</v>
          </cell>
          <cell r="G2215">
            <v>526523132.10000002</v>
          </cell>
          <cell r="H2215">
            <v>526523132.10000002</v>
          </cell>
          <cell r="I2215" t="str">
            <v>687</v>
          </cell>
        </row>
        <row r="2216">
          <cell r="A2216" t="str">
            <v>ARS</v>
          </cell>
          <cell r="B2216" t="str">
            <v>687000933</v>
          </cell>
          <cell r="C2216" t="str">
            <v xml:space="preserve">TASSILE, MONICA EMILSE </v>
          </cell>
          <cell r="G2216">
            <v>26144388.59</v>
          </cell>
          <cell r="H2216">
            <v>26144388.59</v>
          </cell>
          <cell r="I2216" t="str">
            <v>687</v>
          </cell>
        </row>
        <row r="2217">
          <cell r="A2217" t="str">
            <v>ARS</v>
          </cell>
          <cell r="B2217" t="str">
            <v>687000934</v>
          </cell>
          <cell r="C2217" t="str">
            <v>LION HEAD SRL</v>
          </cell>
          <cell r="G2217">
            <v>78443083.170000002</v>
          </cell>
          <cell r="H2217">
            <v>78443083.170000002</v>
          </cell>
          <cell r="I2217" t="str">
            <v>687</v>
          </cell>
        </row>
        <row r="2218">
          <cell r="A2218" t="str">
            <v>ARS</v>
          </cell>
          <cell r="B2218" t="str">
            <v>687000936</v>
          </cell>
          <cell r="C2218" t="str">
            <v>MANCINI, IVANA ROMINA</v>
          </cell>
          <cell r="G2218">
            <v>410047499.22000003</v>
          </cell>
          <cell r="H2218">
            <v>410047499.22000003</v>
          </cell>
          <cell r="I2218" t="str">
            <v>687</v>
          </cell>
        </row>
        <row r="2219">
          <cell r="A2219" t="str">
            <v>ARS</v>
          </cell>
          <cell r="B2219" t="str">
            <v>687000942</v>
          </cell>
          <cell r="C2219" t="str">
            <v>ERMAGIVA SA</v>
          </cell>
          <cell r="G2219">
            <v>51699599</v>
          </cell>
          <cell r="H2219">
            <v>51699599</v>
          </cell>
          <cell r="I2219" t="str">
            <v>687</v>
          </cell>
        </row>
        <row r="2220">
          <cell r="A2220" t="str">
            <v>ARS</v>
          </cell>
          <cell r="B2220" t="str">
            <v>687000946</v>
          </cell>
          <cell r="C2220" t="str">
            <v>MACHADO, JUAN IGNACIO</v>
          </cell>
          <cell r="G2220">
            <v>248959829.41</v>
          </cell>
          <cell r="H2220">
            <v>248959829.41</v>
          </cell>
          <cell r="I2220" t="str">
            <v>687</v>
          </cell>
        </row>
        <row r="2221">
          <cell r="A2221" t="str">
            <v>ARS</v>
          </cell>
          <cell r="B2221" t="str">
            <v>687000947</v>
          </cell>
          <cell r="C2221" t="str">
            <v xml:space="preserve">PROCOPIO, PABLO SILVIO </v>
          </cell>
          <cell r="G2221">
            <v>848020</v>
          </cell>
          <cell r="H2221">
            <v>848020</v>
          </cell>
          <cell r="I2221" t="str">
            <v>687</v>
          </cell>
        </row>
        <row r="2222">
          <cell r="A2222" t="str">
            <v>ARS</v>
          </cell>
          <cell r="B2222" t="str">
            <v>687000955</v>
          </cell>
          <cell r="C2222" t="str">
            <v>D'ALESSANDRO, SANTIAGO PEDRO</v>
          </cell>
          <cell r="G2222">
            <v>6622035</v>
          </cell>
          <cell r="H2222">
            <v>6622035</v>
          </cell>
          <cell r="I2222" t="str">
            <v>687</v>
          </cell>
        </row>
        <row r="2223">
          <cell r="A2223" t="str">
            <v>ARS</v>
          </cell>
          <cell r="B2223" t="str">
            <v>687000958</v>
          </cell>
          <cell r="C2223" t="str">
            <v>BORRELL, MARIANA</v>
          </cell>
          <cell r="G2223">
            <v>26963366.789999999</v>
          </cell>
          <cell r="H2223">
            <v>26963366.789999999</v>
          </cell>
          <cell r="I2223" t="str">
            <v>687</v>
          </cell>
        </row>
        <row r="2224">
          <cell r="A2224" t="str">
            <v>ARS</v>
          </cell>
          <cell r="B2224" t="str">
            <v>687000960</v>
          </cell>
          <cell r="C2224" t="str">
            <v>FARINA S.R.L</v>
          </cell>
          <cell r="G2224">
            <v>423298000</v>
          </cell>
          <cell r="H2224">
            <v>423298000</v>
          </cell>
          <cell r="I2224" t="str">
            <v>687</v>
          </cell>
        </row>
        <row r="2225">
          <cell r="A2225" t="str">
            <v>ARS</v>
          </cell>
          <cell r="B2225" t="str">
            <v>687000961</v>
          </cell>
          <cell r="C2225" t="str">
            <v>MARZIONI, MELISA AGOSTINA</v>
          </cell>
          <cell r="G2225">
            <v>4213988.5999999996</v>
          </cell>
          <cell r="H2225">
            <v>4213988.5999999996</v>
          </cell>
          <cell r="I2225" t="str">
            <v>687</v>
          </cell>
        </row>
        <row r="2226">
          <cell r="A2226" t="str">
            <v>ARS</v>
          </cell>
          <cell r="B2226" t="str">
            <v>687000964</v>
          </cell>
          <cell r="C2226" t="str">
            <v>YOCCO, ELIZABETH SOLEDAD</v>
          </cell>
          <cell r="G2226">
            <v>51800</v>
          </cell>
          <cell r="H2226">
            <v>51800</v>
          </cell>
          <cell r="I2226" t="str">
            <v>687</v>
          </cell>
        </row>
        <row r="2227">
          <cell r="A2227" t="str">
            <v>ARS</v>
          </cell>
          <cell r="B2227" t="str">
            <v>687000968</v>
          </cell>
          <cell r="C2227" t="str">
            <v>GARCIA, AGUSTIN GASTON</v>
          </cell>
          <cell r="G2227">
            <v>47640944.140000001</v>
          </cell>
          <cell r="H2227">
            <v>47640944.140000001</v>
          </cell>
          <cell r="I2227" t="str">
            <v>687</v>
          </cell>
        </row>
        <row r="2228">
          <cell r="A2228" t="str">
            <v>ARS</v>
          </cell>
          <cell r="B2228" t="str">
            <v>687000969</v>
          </cell>
          <cell r="C2228" t="str">
            <v>VIALE, JUAN MANUEL</v>
          </cell>
          <cell r="G2228">
            <v>408879000</v>
          </cell>
          <cell r="H2228">
            <v>408879000</v>
          </cell>
          <cell r="I2228" t="str">
            <v>687</v>
          </cell>
        </row>
        <row r="2229">
          <cell r="A2229" t="str">
            <v>ARS</v>
          </cell>
          <cell r="B2229" t="str">
            <v>687000970</v>
          </cell>
          <cell r="C2229" t="str">
            <v>SENTINELLI, LUCA</v>
          </cell>
          <cell r="G2229">
            <v>35055358.810000002</v>
          </cell>
          <cell r="H2229">
            <v>35055358.810000002</v>
          </cell>
          <cell r="I2229" t="str">
            <v>687</v>
          </cell>
        </row>
        <row r="2230">
          <cell r="A2230" t="str">
            <v>ARS</v>
          </cell>
          <cell r="B2230" t="str">
            <v>687000973</v>
          </cell>
          <cell r="C2230" t="str">
            <v>MALPASSI, LUCIANO DAMIAN</v>
          </cell>
          <cell r="G2230">
            <v>142089240.97</v>
          </cell>
          <cell r="H2230">
            <v>142089240.97</v>
          </cell>
          <cell r="I2230" t="str">
            <v>687</v>
          </cell>
        </row>
        <row r="2231">
          <cell r="A2231" t="str">
            <v>ARS</v>
          </cell>
          <cell r="B2231" t="str">
            <v>687000978</v>
          </cell>
          <cell r="C2231" t="str">
            <v>KOBILA, ANIBAL ABEL o MESSINA, LORENA ANDREA</v>
          </cell>
          <cell r="G2231">
            <v>10017.4</v>
          </cell>
          <cell r="H2231">
            <v>10017.4</v>
          </cell>
          <cell r="I2231" t="str">
            <v>687</v>
          </cell>
        </row>
        <row r="2232">
          <cell r="A2232" t="str">
            <v>ARS</v>
          </cell>
          <cell r="B2232" t="str">
            <v>687000980</v>
          </cell>
          <cell r="C2232" t="str">
            <v>MARTIN, JUAN IGNACIO</v>
          </cell>
          <cell r="G2232">
            <v>862620</v>
          </cell>
          <cell r="H2232">
            <v>862620</v>
          </cell>
          <cell r="I2232" t="str">
            <v>687</v>
          </cell>
        </row>
        <row r="2233">
          <cell r="A2233" t="str">
            <v>ARS</v>
          </cell>
          <cell r="B2233" t="str">
            <v>687000981</v>
          </cell>
          <cell r="C2233" t="str">
            <v>GARCIA, FRANCO</v>
          </cell>
          <cell r="G2233">
            <v>17438221</v>
          </cell>
          <cell r="H2233">
            <v>17438221</v>
          </cell>
          <cell r="I2233" t="str">
            <v>687</v>
          </cell>
        </row>
        <row r="2234">
          <cell r="A2234" t="str">
            <v>ARS</v>
          </cell>
          <cell r="B2234" t="str">
            <v>687000983</v>
          </cell>
          <cell r="C2234" t="str">
            <v>YALKH, ALAN HERNAN</v>
          </cell>
          <cell r="G2234">
            <v>399430</v>
          </cell>
          <cell r="H2234">
            <v>399430</v>
          </cell>
          <cell r="I2234" t="str">
            <v>687</v>
          </cell>
        </row>
        <row r="2235">
          <cell r="A2235" t="str">
            <v>ARS</v>
          </cell>
          <cell r="B2235" t="str">
            <v>687000985</v>
          </cell>
          <cell r="C2235" t="str">
            <v>BOTTI, CLARISA  o LANG, DENIS MIGUEL</v>
          </cell>
          <cell r="G2235">
            <v>235712000</v>
          </cell>
          <cell r="H2235">
            <v>235712000</v>
          </cell>
          <cell r="I2235" t="str">
            <v>687</v>
          </cell>
        </row>
        <row r="2236">
          <cell r="A2236" t="str">
            <v>ARS</v>
          </cell>
          <cell r="B2236" t="str">
            <v>687000989</v>
          </cell>
          <cell r="C2236" t="str">
            <v xml:space="preserve">BONORIS, FERNANDO DANIEL o MINUET, ELIZABETH </v>
          </cell>
          <cell r="G2236">
            <v>276049.84000000003</v>
          </cell>
          <cell r="H2236">
            <v>276049.84000000003</v>
          </cell>
          <cell r="I2236" t="str">
            <v>687</v>
          </cell>
        </row>
        <row r="2237">
          <cell r="A2237" t="str">
            <v>ARS</v>
          </cell>
          <cell r="B2237" t="str">
            <v>687000991</v>
          </cell>
          <cell r="C2237" t="str">
            <v>RUFACH, SERGIO FABIAN o SCIURBA, ROSA MARIA VICENTA</v>
          </cell>
          <cell r="G2237">
            <v>679361297.80999994</v>
          </cell>
          <cell r="H2237">
            <v>679361297.80999994</v>
          </cell>
          <cell r="I2237" t="str">
            <v>687</v>
          </cell>
        </row>
        <row r="2238">
          <cell r="A2238" t="str">
            <v>ARS</v>
          </cell>
          <cell r="B2238" t="str">
            <v>687000992</v>
          </cell>
          <cell r="C2238" t="str">
            <v>PIATTI, CRISTIAN LEONARDO o MANGIONE, CARLA o PIATTI, CAMILO</v>
          </cell>
          <cell r="G2238">
            <v>730957079.23000002</v>
          </cell>
          <cell r="H2238">
            <v>730957079.23000002</v>
          </cell>
          <cell r="I2238" t="str">
            <v>687</v>
          </cell>
        </row>
        <row r="2239">
          <cell r="A2239" t="str">
            <v>ARS</v>
          </cell>
          <cell r="B2239" t="str">
            <v>687000995</v>
          </cell>
          <cell r="C2239" t="str">
            <v>ROMANO, PATRICIO</v>
          </cell>
          <cell r="G2239">
            <v>1602.6</v>
          </cell>
          <cell r="H2239">
            <v>1602.6</v>
          </cell>
          <cell r="I2239" t="str">
            <v>687</v>
          </cell>
        </row>
        <row r="2240">
          <cell r="A2240" t="str">
            <v>ARS</v>
          </cell>
          <cell r="B2240" t="str">
            <v>687000997</v>
          </cell>
          <cell r="C2240" t="str">
            <v>OJEDA, GUIDO ANTONIO</v>
          </cell>
          <cell r="G2240">
            <v>5789737.5800000001</v>
          </cell>
          <cell r="H2240">
            <v>5789737.5800000001</v>
          </cell>
          <cell r="I2240" t="str">
            <v>687</v>
          </cell>
        </row>
        <row r="2241">
          <cell r="A2241" t="str">
            <v>ARS</v>
          </cell>
          <cell r="B2241" t="str">
            <v>687000998</v>
          </cell>
          <cell r="C2241" t="str">
            <v>MORELLI, XIMENA NATALIA</v>
          </cell>
          <cell r="G2241">
            <v>1237600</v>
          </cell>
          <cell r="H2241">
            <v>1237600</v>
          </cell>
          <cell r="I2241" t="str">
            <v>687</v>
          </cell>
        </row>
        <row r="2242">
          <cell r="A2242" t="str">
            <v>ARS</v>
          </cell>
          <cell r="B2242" t="str">
            <v>687001000</v>
          </cell>
          <cell r="C2242" t="str">
            <v>LABAC S.A.</v>
          </cell>
          <cell r="G2242">
            <v>384410972.86000001</v>
          </cell>
          <cell r="H2242">
            <v>384410972.86000001</v>
          </cell>
          <cell r="I2242" t="str">
            <v>687</v>
          </cell>
        </row>
        <row r="2243">
          <cell r="A2243" t="str">
            <v>ARS</v>
          </cell>
          <cell r="B2243" t="str">
            <v>687001003</v>
          </cell>
          <cell r="C2243" t="str">
            <v>SOCSeMe SAS</v>
          </cell>
          <cell r="G2243">
            <v>220129785.41</v>
          </cell>
          <cell r="H2243">
            <v>220129785.41</v>
          </cell>
          <cell r="I2243" t="str">
            <v>687</v>
          </cell>
        </row>
        <row r="2244">
          <cell r="A2244" t="str">
            <v>ARS</v>
          </cell>
          <cell r="B2244" t="str">
            <v>687001004</v>
          </cell>
          <cell r="C2244" t="str">
            <v>STE SRL</v>
          </cell>
          <cell r="G2244">
            <v>186555490.22999999</v>
          </cell>
          <cell r="H2244">
            <v>186555490.22999999</v>
          </cell>
          <cell r="I2244" t="str">
            <v>687</v>
          </cell>
        </row>
        <row r="2245">
          <cell r="A2245" t="str">
            <v>ARS</v>
          </cell>
          <cell r="B2245" t="str">
            <v>687001005</v>
          </cell>
          <cell r="C2245" t="str">
            <v>Moreno, Juan Pablo</v>
          </cell>
          <cell r="G2245">
            <v>9908000</v>
          </cell>
          <cell r="H2245">
            <v>9908000</v>
          </cell>
          <cell r="I2245" t="str">
            <v>687</v>
          </cell>
        </row>
        <row r="2246">
          <cell r="A2246" t="str">
            <v>ARS</v>
          </cell>
          <cell r="B2246" t="str">
            <v>717002001</v>
          </cell>
          <cell r="C2246" t="str">
            <v>BARRILLI S.A.</v>
          </cell>
          <cell r="G2246">
            <v>317388764.60000002</v>
          </cell>
          <cell r="H2246">
            <v>317388764.60000002</v>
          </cell>
          <cell r="I2246" t="str">
            <v>717</v>
          </cell>
        </row>
        <row r="2247">
          <cell r="A2247" t="str">
            <v>ARS</v>
          </cell>
          <cell r="B2247" t="str">
            <v>717002144</v>
          </cell>
          <cell r="C2247" t="str">
            <v>NASELLO AURELIO PABLO</v>
          </cell>
          <cell r="G2247">
            <v>75455546.140000001</v>
          </cell>
          <cell r="H2247">
            <v>75455546.140000001</v>
          </cell>
          <cell r="I2247" t="str">
            <v>717</v>
          </cell>
        </row>
        <row r="2248">
          <cell r="A2248" t="str">
            <v>ARS</v>
          </cell>
          <cell r="B2248" t="str">
            <v>717003756</v>
          </cell>
          <cell r="C2248" t="str">
            <v>SERVIGRAIN S.A</v>
          </cell>
          <cell r="G2248">
            <v>1557984315.6600001</v>
          </cell>
          <cell r="H2248">
            <v>1557984315.6600001</v>
          </cell>
          <cell r="I2248" t="str">
            <v>717</v>
          </cell>
        </row>
        <row r="2249">
          <cell r="A2249" t="str">
            <v>ARS</v>
          </cell>
          <cell r="B2249" t="str">
            <v>717006527</v>
          </cell>
          <cell r="C2249" t="str">
            <v>AGROLEY S.A.</v>
          </cell>
          <cell r="G2249">
            <v>143363433.19</v>
          </cell>
          <cell r="H2249">
            <v>143363433.19</v>
          </cell>
          <cell r="I2249" t="str">
            <v>717</v>
          </cell>
        </row>
        <row r="2250">
          <cell r="A2250" t="str">
            <v>ARS</v>
          </cell>
          <cell r="B2250" t="str">
            <v>717006653</v>
          </cell>
          <cell r="C2250" t="str">
            <v>CAMURRI SA</v>
          </cell>
          <cell r="G2250">
            <v>578333597</v>
          </cell>
          <cell r="H2250">
            <v>578333597</v>
          </cell>
          <cell r="I2250" t="str">
            <v>717</v>
          </cell>
        </row>
        <row r="2251">
          <cell r="A2251" t="str">
            <v>ARS</v>
          </cell>
          <cell r="B2251" t="str">
            <v>717008565</v>
          </cell>
          <cell r="C2251" t="str">
            <v>ESCARRA FERNANDO</v>
          </cell>
          <cell r="G2251">
            <v>1906547333.24</v>
          </cell>
          <cell r="H2251">
            <v>1906547333.24</v>
          </cell>
          <cell r="I2251" t="str">
            <v>717</v>
          </cell>
        </row>
        <row r="2252">
          <cell r="A2252" t="str">
            <v>ARS</v>
          </cell>
          <cell r="B2252" t="str">
            <v>717009563</v>
          </cell>
          <cell r="C2252" t="str">
            <v>OSCAR ROBERTO DI SCIASCIO SRL.</v>
          </cell>
          <cell r="G2252">
            <v>300000</v>
          </cell>
          <cell r="H2252">
            <v>300000</v>
          </cell>
          <cell r="I2252" t="str">
            <v>717</v>
          </cell>
        </row>
        <row r="2253">
          <cell r="A2253" t="str">
            <v>ARS</v>
          </cell>
          <cell r="B2253" t="str">
            <v>717019643</v>
          </cell>
          <cell r="C2253" t="str">
            <v>GRUPO MARYMAR S.A.</v>
          </cell>
          <cell r="G2253">
            <v>39359217.600000001</v>
          </cell>
          <cell r="H2253">
            <v>39359217.600000001</v>
          </cell>
          <cell r="I2253" t="str">
            <v>717</v>
          </cell>
        </row>
        <row r="2254">
          <cell r="A2254" t="str">
            <v>ARS</v>
          </cell>
          <cell r="B2254" t="str">
            <v>717035674</v>
          </cell>
          <cell r="C2254" t="str">
            <v>SERVICIOS AGROTECNICOS S.R.L.</v>
          </cell>
          <cell r="G2254">
            <v>1333889881</v>
          </cell>
          <cell r="H2254">
            <v>1333889881</v>
          </cell>
          <cell r="I2254" t="str">
            <v>717</v>
          </cell>
        </row>
        <row r="2255">
          <cell r="A2255" t="str">
            <v>ARS</v>
          </cell>
          <cell r="B2255" t="str">
            <v>717041369</v>
          </cell>
          <cell r="C2255" t="str">
            <v>FENOGLIO DARIEN DIEGO</v>
          </cell>
          <cell r="G2255">
            <v>29221648.300000001</v>
          </cell>
          <cell r="H2255">
            <v>29221648.300000001</v>
          </cell>
          <cell r="I2255" t="str">
            <v>717</v>
          </cell>
        </row>
        <row r="2256">
          <cell r="A2256" t="str">
            <v>ARS</v>
          </cell>
          <cell r="B2256" t="str">
            <v>717041429</v>
          </cell>
          <cell r="C2256" t="str">
            <v>NEIROTTI JULIAN EDGARDO</v>
          </cell>
          <cell r="G2256">
            <v>2017572.5</v>
          </cell>
          <cell r="H2256">
            <v>2017572.5</v>
          </cell>
          <cell r="I2256" t="str">
            <v>717</v>
          </cell>
        </row>
        <row r="2257">
          <cell r="A2257" t="str">
            <v>ARS</v>
          </cell>
          <cell r="B2257" t="str">
            <v>717041993</v>
          </cell>
          <cell r="C2257" t="str">
            <v>DERVA HERNAN JORGE</v>
          </cell>
          <cell r="G2257">
            <v>12267098</v>
          </cell>
          <cell r="H2257">
            <v>12267098</v>
          </cell>
          <cell r="I2257" t="str">
            <v>717</v>
          </cell>
        </row>
        <row r="2258">
          <cell r="A2258" t="str">
            <v>ARS</v>
          </cell>
          <cell r="B2258" t="str">
            <v>717042297</v>
          </cell>
          <cell r="C2258" t="str">
            <v>BARRILLI GUSTAVO MARCELO</v>
          </cell>
          <cell r="G2258">
            <v>5636059.3600000003</v>
          </cell>
          <cell r="H2258">
            <v>5636059.3600000003</v>
          </cell>
          <cell r="I2258" t="str">
            <v>717</v>
          </cell>
        </row>
        <row r="2259">
          <cell r="A2259" t="str">
            <v>ARS</v>
          </cell>
          <cell r="B2259" t="str">
            <v>717042379</v>
          </cell>
          <cell r="C2259" t="str">
            <v>BOLATTI IVANA NATALIA</v>
          </cell>
          <cell r="G2259">
            <v>111321</v>
          </cell>
          <cell r="H2259">
            <v>111321</v>
          </cell>
          <cell r="I2259" t="str">
            <v>717</v>
          </cell>
        </row>
        <row r="2260">
          <cell r="A2260" t="str">
            <v>ARS</v>
          </cell>
          <cell r="B2260" t="str">
            <v>717043349</v>
          </cell>
          <cell r="C2260" t="str">
            <v>MONTEDORO MARA SOLEDAD</v>
          </cell>
          <cell r="G2260">
            <v>1532321.18</v>
          </cell>
          <cell r="H2260">
            <v>1532321.18</v>
          </cell>
          <cell r="I2260" t="str">
            <v>717</v>
          </cell>
        </row>
        <row r="2261">
          <cell r="A2261" t="str">
            <v>ARS</v>
          </cell>
          <cell r="B2261" t="str">
            <v>717044115</v>
          </cell>
          <cell r="C2261" t="str">
            <v>SZEKIETA PAOLA ANDREA</v>
          </cell>
          <cell r="G2261">
            <v>3772.5</v>
          </cell>
          <cell r="H2261">
            <v>3772.5</v>
          </cell>
          <cell r="I2261" t="str">
            <v>717</v>
          </cell>
        </row>
        <row r="2262">
          <cell r="A2262" t="str">
            <v>ARS</v>
          </cell>
          <cell r="B2262" t="str">
            <v>717044235</v>
          </cell>
          <cell r="C2262" t="str">
            <v>JORGE LIBRA S.A.</v>
          </cell>
          <cell r="G2262">
            <v>68176200</v>
          </cell>
          <cell r="H2262">
            <v>68176200</v>
          </cell>
          <cell r="I2262" t="str">
            <v>717</v>
          </cell>
        </row>
        <row r="2263">
          <cell r="A2263" t="str">
            <v>ARS</v>
          </cell>
          <cell r="B2263" t="str">
            <v>717045575</v>
          </cell>
          <cell r="C2263" t="str">
            <v>BIANCUCCI HUGO OSCAR</v>
          </cell>
          <cell r="G2263">
            <v>61623505.060000002</v>
          </cell>
          <cell r="H2263">
            <v>61623505.060000002</v>
          </cell>
          <cell r="I2263" t="str">
            <v>717</v>
          </cell>
        </row>
        <row r="2264">
          <cell r="A2264" t="str">
            <v>ARS</v>
          </cell>
          <cell r="B2264" t="str">
            <v>717045689</v>
          </cell>
          <cell r="C2264" t="str">
            <v>BECERRA JUAN JOSE ANTONIO</v>
          </cell>
          <cell r="G2264">
            <v>21889769.289999999</v>
          </cell>
          <cell r="H2264">
            <v>21889769.289999999</v>
          </cell>
          <cell r="I2264" t="str">
            <v>717</v>
          </cell>
        </row>
        <row r="2265">
          <cell r="A2265" t="str">
            <v>ARS</v>
          </cell>
          <cell r="B2265" t="str">
            <v>717054875</v>
          </cell>
          <cell r="C2265" t="str">
            <v>GATTO FERNANDEZ, GONZALO ENRIQUE  o MIGUEL ANGEL MARIO, GATTO</v>
          </cell>
          <cell r="G2265">
            <v>28568585</v>
          </cell>
          <cell r="H2265">
            <v>28568585</v>
          </cell>
          <cell r="I2265" t="str">
            <v>717</v>
          </cell>
        </row>
        <row r="2266">
          <cell r="A2266" t="str">
            <v>ARS</v>
          </cell>
          <cell r="B2266" t="str">
            <v>717055664</v>
          </cell>
          <cell r="C2266" t="str">
            <v>AGRO RIO SA</v>
          </cell>
          <cell r="G2266">
            <v>74293091</v>
          </cell>
          <cell r="H2266">
            <v>74293091</v>
          </cell>
          <cell r="I2266" t="str">
            <v>717</v>
          </cell>
        </row>
        <row r="2267">
          <cell r="A2267" t="str">
            <v>ARS</v>
          </cell>
          <cell r="B2267" t="str">
            <v>717058636</v>
          </cell>
          <cell r="C2267" t="str">
            <v>ALVAREZ, ANDRES</v>
          </cell>
          <cell r="G2267">
            <v>1093485</v>
          </cell>
          <cell r="H2267">
            <v>1093485</v>
          </cell>
          <cell r="I2267" t="str">
            <v>717</v>
          </cell>
        </row>
        <row r="2268">
          <cell r="A2268" t="str">
            <v>ARS</v>
          </cell>
          <cell r="B2268" t="str">
            <v>717060041</v>
          </cell>
          <cell r="C2268" t="str">
            <v>CUATRO HOJAS S.A.</v>
          </cell>
          <cell r="G2268">
            <v>639773630.75</v>
          </cell>
          <cell r="H2268">
            <v>639773630.75</v>
          </cell>
          <cell r="I2268" t="str">
            <v>717</v>
          </cell>
        </row>
        <row r="2269">
          <cell r="A2269" t="str">
            <v>ARS</v>
          </cell>
          <cell r="B2269" t="str">
            <v>717100012</v>
          </cell>
          <cell r="C2269" t="str">
            <v>UJOVICH, ILEANA NADINA</v>
          </cell>
          <cell r="G2269">
            <v>182325</v>
          </cell>
          <cell r="H2269">
            <v>182325</v>
          </cell>
          <cell r="I2269" t="str">
            <v>717</v>
          </cell>
        </row>
        <row r="2270">
          <cell r="A2270" t="str">
            <v>ARS</v>
          </cell>
          <cell r="B2270" t="str">
            <v>717100016</v>
          </cell>
          <cell r="C2270" t="str">
            <v>BORRI ALDO JOSE</v>
          </cell>
          <cell r="G2270">
            <v>42305011.600000001</v>
          </cell>
          <cell r="H2270">
            <v>42305011.600000001</v>
          </cell>
          <cell r="I2270" t="str">
            <v>717</v>
          </cell>
        </row>
        <row r="2271">
          <cell r="A2271" t="str">
            <v>ARS</v>
          </cell>
          <cell r="B2271" t="str">
            <v>717100032</v>
          </cell>
          <cell r="C2271" t="str">
            <v>ANDRESITO S.A.</v>
          </cell>
          <cell r="G2271">
            <v>2129107.56</v>
          </cell>
          <cell r="H2271">
            <v>2129107.56</v>
          </cell>
          <cell r="I2271" t="str">
            <v>717</v>
          </cell>
        </row>
        <row r="2272">
          <cell r="A2272" t="str">
            <v>ARS</v>
          </cell>
          <cell r="B2272" t="str">
            <v>717100036</v>
          </cell>
          <cell r="C2272" t="str">
            <v>GONZALEZ, MATIAS</v>
          </cell>
          <cell r="G2272">
            <v>31214905</v>
          </cell>
          <cell r="H2272">
            <v>31214905</v>
          </cell>
          <cell r="I2272" t="str">
            <v>717</v>
          </cell>
        </row>
        <row r="2273">
          <cell r="A2273" t="str">
            <v>ARS</v>
          </cell>
          <cell r="B2273" t="str">
            <v>717100063</v>
          </cell>
          <cell r="C2273" t="str">
            <v>BRASESCO, DANIEL JETRO ELIEZER</v>
          </cell>
          <cell r="G2273">
            <v>17775543</v>
          </cell>
          <cell r="H2273">
            <v>17775543</v>
          </cell>
          <cell r="I2273" t="str">
            <v>717</v>
          </cell>
        </row>
        <row r="2274">
          <cell r="A2274" t="str">
            <v>ARS</v>
          </cell>
          <cell r="B2274" t="str">
            <v>717100083</v>
          </cell>
          <cell r="C2274" t="str">
            <v>CACIORGNA, HECTOR PASCUAL</v>
          </cell>
          <cell r="G2274">
            <v>407689065</v>
          </cell>
          <cell r="H2274">
            <v>407689065</v>
          </cell>
          <cell r="I2274" t="str">
            <v>717</v>
          </cell>
        </row>
        <row r="2275">
          <cell r="A2275" t="str">
            <v>ARS</v>
          </cell>
          <cell r="B2275" t="str">
            <v>717100091</v>
          </cell>
          <cell r="C2275" t="str">
            <v>LA PIRCA SRL</v>
          </cell>
          <cell r="G2275">
            <v>26308568</v>
          </cell>
          <cell r="H2275">
            <v>26308568</v>
          </cell>
          <cell r="I2275" t="str">
            <v>717</v>
          </cell>
        </row>
        <row r="2276">
          <cell r="A2276" t="str">
            <v>ARS</v>
          </cell>
          <cell r="B2276" t="str">
            <v>717100107</v>
          </cell>
          <cell r="C2276" t="str">
            <v>ALGORITMO SA</v>
          </cell>
          <cell r="G2276">
            <v>3403231600.04</v>
          </cell>
          <cell r="H2276">
            <v>3403231600.04</v>
          </cell>
          <cell r="I2276" t="str">
            <v>717</v>
          </cell>
        </row>
        <row r="2277">
          <cell r="A2277" t="str">
            <v>ARS</v>
          </cell>
          <cell r="B2277" t="str">
            <v>717100108</v>
          </cell>
          <cell r="C2277" t="str">
            <v>LATORRE CARIMATTI, GONZALO TOMAS</v>
          </cell>
          <cell r="G2277">
            <v>14833085</v>
          </cell>
          <cell r="H2277">
            <v>14833085</v>
          </cell>
          <cell r="I2277" t="str">
            <v>717</v>
          </cell>
        </row>
        <row r="2278">
          <cell r="A2278" t="str">
            <v>ARS</v>
          </cell>
          <cell r="B2278" t="str">
            <v>717100110</v>
          </cell>
          <cell r="C2278" t="str">
            <v>REY, ENRIQUE LUIS</v>
          </cell>
          <cell r="G2278">
            <v>4822.5</v>
          </cell>
          <cell r="H2278">
            <v>4822.5</v>
          </cell>
          <cell r="I2278" t="str">
            <v>717</v>
          </cell>
        </row>
        <row r="2279">
          <cell r="A2279" t="str">
            <v>ARS</v>
          </cell>
          <cell r="B2279" t="str">
            <v>717100113</v>
          </cell>
          <cell r="C2279" t="str">
            <v>IZQUIERDOZ, CARLOS ROBERTO</v>
          </cell>
          <cell r="G2279">
            <v>192242709.81</v>
          </cell>
          <cell r="H2279">
            <v>192242709.81</v>
          </cell>
          <cell r="I2279" t="str">
            <v>717</v>
          </cell>
        </row>
        <row r="2280">
          <cell r="A2280" t="str">
            <v>ARS</v>
          </cell>
          <cell r="B2280" t="str">
            <v>717100116</v>
          </cell>
          <cell r="C2280" t="str">
            <v>TABARES, ELSA LILIANA</v>
          </cell>
          <cell r="G2280">
            <v>365994</v>
          </cell>
          <cell r="H2280">
            <v>365994</v>
          </cell>
          <cell r="I2280" t="str">
            <v>717</v>
          </cell>
        </row>
        <row r="2281">
          <cell r="A2281" t="str">
            <v>ARS</v>
          </cell>
          <cell r="B2281" t="str">
            <v>717100122</v>
          </cell>
          <cell r="C2281" t="str">
            <v xml:space="preserve">BORTOLUTTI, REMO RICARDO o CASTELAU, MARGARITA </v>
          </cell>
          <cell r="G2281">
            <v>403598945.81999999</v>
          </cell>
          <cell r="H2281">
            <v>403598945.81999999</v>
          </cell>
          <cell r="I2281" t="str">
            <v>717</v>
          </cell>
        </row>
        <row r="2282">
          <cell r="A2282" t="str">
            <v>ARS</v>
          </cell>
          <cell r="B2282" t="str">
            <v>717100127</v>
          </cell>
          <cell r="C2282" t="str">
            <v>BORTOLUTTI, CARLOS</v>
          </cell>
          <cell r="G2282">
            <v>249259089.81999999</v>
          </cell>
          <cell r="H2282">
            <v>249259089.81999999</v>
          </cell>
          <cell r="I2282" t="str">
            <v>717</v>
          </cell>
        </row>
        <row r="2283">
          <cell r="A2283" t="str">
            <v>ARS</v>
          </cell>
          <cell r="B2283" t="str">
            <v>717100128</v>
          </cell>
          <cell r="C2283" t="str">
            <v>CARRIZO, JUAN CARLOS</v>
          </cell>
          <cell r="G2283">
            <v>75818349.730000004</v>
          </cell>
          <cell r="H2283">
            <v>75818349.730000004</v>
          </cell>
          <cell r="I2283" t="str">
            <v>717</v>
          </cell>
        </row>
        <row r="2284">
          <cell r="A2284" t="str">
            <v>ARS</v>
          </cell>
          <cell r="B2284" t="str">
            <v>717100130</v>
          </cell>
          <cell r="C2284" t="str">
            <v>CALANI, PAULA ANDREA</v>
          </cell>
          <cell r="G2284">
            <v>15170331.59</v>
          </cell>
          <cell r="H2284">
            <v>15170331.59</v>
          </cell>
          <cell r="I2284" t="str">
            <v>717</v>
          </cell>
        </row>
        <row r="2285">
          <cell r="A2285" t="str">
            <v>ARS</v>
          </cell>
          <cell r="B2285" t="str">
            <v>717100135</v>
          </cell>
          <cell r="C2285" t="str">
            <v>ALBERICI, GISELLE ANDREA</v>
          </cell>
          <cell r="G2285">
            <v>6318123</v>
          </cell>
          <cell r="H2285">
            <v>6318123</v>
          </cell>
          <cell r="I2285" t="str">
            <v>717</v>
          </cell>
        </row>
        <row r="2286">
          <cell r="A2286" t="str">
            <v>ARS</v>
          </cell>
          <cell r="B2286" t="str">
            <v>717100137</v>
          </cell>
          <cell r="C2286" t="str">
            <v>DIAZ, CARLOS EDUARDO</v>
          </cell>
          <cell r="G2286">
            <v>76687086.099999994</v>
          </cell>
          <cell r="H2286">
            <v>76687086.099999994</v>
          </cell>
          <cell r="I2286" t="str">
            <v>717</v>
          </cell>
        </row>
        <row r="2287">
          <cell r="A2287" t="str">
            <v>ARS</v>
          </cell>
          <cell r="B2287" t="str">
            <v>717100139</v>
          </cell>
          <cell r="C2287" t="str">
            <v>ARENAS ALZUA SRL</v>
          </cell>
          <cell r="G2287">
            <v>100344171.94</v>
          </cell>
          <cell r="H2287">
            <v>100344171.94</v>
          </cell>
          <cell r="I2287" t="str">
            <v>717</v>
          </cell>
        </row>
        <row r="2288">
          <cell r="A2288" t="str">
            <v>ARS</v>
          </cell>
          <cell r="B2288" t="str">
            <v>717100144</v>
          </cell>
          <cell r="C2288" t="str">
            <v>FRAGMA SUR SRL</v>
          </cell>
          <cell r="G2288">
            <v>10180544.210000001</v>
          </cell>
          <cell r="H2288">
            <v>10180544.210000001</v>
          </cell>
          <cell r="I2288" t="str">
            <v>717</v>
          </cell>
        </row>
        <row r="2289">
          <cell r="A2289" t="str">
            <v>ARS</v>
          </cell>
          <cell r="B2289" t="str">
            <v>717100146</v>
          </cell>
          <cell r="C2289" t="str">
            <v>SABENA, MARTIN HUGO</v>
          </cell>
          <cell r="G2289">
            <v>39578700.090000004</v>
          </cell>
          <cell r="H2289">
            <v>39578700.090000004</v>
          </cell>
          <cell r="I2289" t="str">
            <v>717</v>
          </cell>
        </row>
        <row r="2290">
          <cell r="A2290" t="str">
            <v>ARS</v>
          </cell>
          <cell r="B2290" t="str">
            <v>717100153</v>
          </cell>
          <cell r="C2290" t="str">
            <v>BORELLO, MATIAS GERMAN</v>
          </cell>
          <cell r="G2290">
            <v>133071880.28</v>
          </cell>
          <cell r="H2290">
            <v>133071880.28</v>
          </cell>
          <cell r="I2290" t="str">
            <v>717</v>
          </cell>
        </row>
        <row r="2291">
          <cell r="A2291" t="str">
            <v>ARS</v>
          </cell>
          <cell r="B2291" t="str">
            <v>717100158</v>
          </cell>
          <cell r="C2291" t="str">
            <v>CORTESI, MIGUEL ANGEL</v>
          </cell>
          <cell r="G2291">
            <v>183606086.59999999</v>
          </cell>
          <cell r="H2291">
            <v>183606086.59999999</v>
          </cell>
          <cell r="I2291" t="str">
            <v>717</v>
          </cell>
        </row>
        <row r="2292">
          <cell r="A2292" t="str">
            <v>ARS</v>
          </cell>
          <cell r="B2292" t="str">
            <v>717100161</v>
          </cell>
          <cell r="C2292" t="str">
            <v>FUNDACION CIENCIAS AGRARIAS</v>
          </cell>
          <cell r="G2292">
            <v>66597114.5</v>
          </cell>
          <cell r="H2292">
            <v>66597114.5</v>
          </cell>
          <cell r="I2292" t="str">
            <v>717</v>
          </cell>
        </row>
        <row r="2293">
          <cell r="A2293" t="str">
            <v>ARS</v>
          </cell>
          <cell r="B2293" t="str">
            <v>717100163</v>
          </cell>
          <cell r="C2293" t="str">
            <v>TRAPE, DANIEL RUBEN</v>
          </cell>
          <cell r="G2293">
            <v>597451</v>
          </cell>
          <cell r="H2293">
            <v>597451</v>
          </cell>
          <cell r="I2293" t="str">
            <v>717</v>
          </cell>
        </row>
        <row r="2294">
          <cell r="A2294" t="str">
            <v>ARS</v>
          </cell>
          <cell r="B2294" t="str">
            <v>717100169</v>
          </cell>
          <cell r="C2294" t="str">
            <v>ELLECKTRA IMAGEN GLOBAL SA</v>
          </cell>
          <cell r="G2294">
            <v>120652418.45</v>
          </cell>
          <cell r="H2294">
            <v>120652418.45</v>
          </cell>
          <cell r="I2294" t="str">
            <v>717</v>
          </cell>
        </row>
        <row r="2295">
          <cell r="A2295" t="str">
            <v>ARS</v>
          </cell>
          <cell r="B2295" t="str">
            <v>717100175</v>
          </cell>
          <cell r="C2295" t="str">
            <v>DEL BASSO, DARIO DAVID</v>
          </cell>
          <cell r="G2295">
            <v>28473029.66</v>
          </cell>
          <cell r="H2295">
            <v>28473029.66</v>
          </cell>
          <cell r="I2295" t="str">
            <v>717</v>
          </cell>
        </row>
        <row r="2296">
          <cell r="A2296" t="str">
            <v>ARS</v>
          </cell>
          <cell r="B2296" t="str">
            <v>717100179</v>
          </cell>
          <cell r="C2296" t="str">
            <v>SAN EMILIO SOCIEDAD ANONIMA</v>
          </cell>
          <cell r="G2296">
            <v>49470095.5</v>
          </cell>
          <cell r="H2296">
            <v>49470095.5</v>
          </cell>
          <cell r="I2296" t="str">
            <v>717</v>
          </cell>
        </row>
        <row r="2297">
          <cell r="A2297" t="str">
            <v>ARS</v>
          </cell>
          <cell r="B2297" t="str">
            <v>717100184</v>
          </cell>
          <cell r="C2297" t="str">
            <v>MARINO, ANGEL DAVID</v>
          </cell>
          <cell r="G2297">
            <v>187354573.74000001</v>
          </cell>
          <cell r="H2297">
            <v>187354573.74000001</v>
          </cell>
          <cell r="I2297" t="str">
            <v>717</v>
          </cell>
        </row>
        <row r="2298">
          <cell r="A2298" t="str">
            <v>ARS</v>
          </cell>
          <cell r="B2298" t="str">
            <v>717100185</v>
          </cell>
          <cell r="C2298" t="str">
            <v>ZURCHER, DANIEL HORACIO</v>
          </cell>
          <cell r="G2298">
            <v>246306693.41</v>
          </cell>
          <cell r="H2298">
            <v>246306693.41</v>
          </cell>
          <cell r="I2298" t="str">
            <v>717</v>
          </cell>
        </row>
        <row r="2299">
          <cell r="A2299" t="str">
            <v>ARS</v>
          </cell>
          <cell r="B2299" t="str">
            <v>717100190</v>
          </cell>
          <cell r="C2299" t="str">
            <v>J M AGROPECUARIA SA</v>
          </cell>
          <cell r="G2299">
            <v>193970870</v>
          </cell>
          <cell r="H2299">
            <v>193970870</v>
          </cell>
          <cell r="I2299" t="str">
            <v>717</v>
          </cell>
        </row>
        <row r="2300">
          <cell r="A2300" t="str">
            <v>ARS</v>
          </cell>
          <cell r="B2300" t="str">
            <v>717100195</v>
          </cell>
          <cell r="C2300" t="str">
            <v>CARRIZO, SANTIAGO o CALANI, PAULA ANDREA</v>
          </cell>
          <cell r="G2300">
            <v>23550935.57</v>
          </cell>
          <cell r="H2300">
            <v>23550935.57</v>
          </cell>
          <cell r="I2300" t="str">
            <v>717</v>
          </cell>
        </row>
        <row r="2301">
          <cell r="A2301" t="str">
            <v>ARS</v>
          </cell>
          <cell r="B2301" t="str">
            <v>717100198</v>
          </cell>
          <cell r="C2301" t="str">
            <v>BOSCHERO, SEBASTIAN RODRIGO</v>
          </cell>
          <cell r="G2301">
            <v>203618042.08000001</v>
          </cell>
          <cell r="H2301">
            <v>203618042.08000001</v>
          </cell>
          <cell r="I2301" t="str">
            <v>717</v>
          </cell>
        </row>
        <row r="2302">
          <cell r="A2302" t="str">
            <v>ARS</v>
          </cell>
          <cell r="B2302" t="str">
            <v>717100203</v>
          </cell>
          <cell r="C2302" t="str">
            <v>NOVARETTO, DANIEL GUSTAVO</v>
          </cell>
          <cell r="G2302">
            <v>297347424</v>
          </cell>
          <cell r="H2302">
            <v>297347424</v>
          </cell>
          <cell r="I2302" t="str">
            <v>717</v>
          </cell>
        </row>
        <row r="2303">
          <cell r="A2303" t="str">
            <v>ARS</v>
          </cell>
          <cell r="B2303" t="str">
            <v>717100207</v>
          </cell>
          <cell r="C2303" t="str">
            <v>POLANC, CARLOS ALBERTO o CHIODIN, MARIANELA</v>
          </cell>
          <cell r="G2303">
            <v>9456884.3300000001</v>
          </cell>
          <cell r="H2303">
            <v>9456884.3300000001</v>
          </cell>
          <cell r="I2303" t="str">
            <v>717</v>
          </cell>
        </row>
        <row r="2304">
          <cell r="A2304" t="str">
            <v>ARS</v>
          </cell>
          <cell r="B2304" t="str">
            <v>717100214</v>
          </cell>
          <cell r="C2304" t="str">
            <v>TRECCO, DANIEL DOMINGO</v>
          </cell>
          <cell r="G2304">
            <v>374370790.68000001</v>
          </cell>
          <cell r="H2304">
            <v>374370790.68000001</v>
          </cell>
          <cell r="I2304" t="str">
            <v>717</v>
          </cell>
        </row>
        <row r="2305">
          <cell r="A2305" t="str">
            <v>ARS</v>
          </cell>
          <cell r="B2305" t="str">
            <v>717100216</v>
          </cell>
          <cell r="C2305" t="str">
            <v>GRECH, FABIAN JOSE</v>
          </cell>
          <cell r="G2305">
            <v>13050657</v>
          </cell>
          <cell r="H2305">
            <v>13050657</v>
          </cell>
          <cell r="I2305" t="str">
            <v>717</v>
          </cell>
        </row>
        <row r="2306">
          <cell r="A2306" t="str">
            <v>ARS</v>
          </cell>
          <cell r="B2306" t="str">
            <v>717100226</v>
          </cell>
          <cell r="C2306" t="str">
            <v>HABEGGER LUIS ALFREDO Y HABEGGER GABRIEL ALFREDO SOC DE HECHO</v>
          </cell>
          <cell r="G2306">
            <v>745520599.52999997</v>
          </cell>
          <cell r="H2306">
            <v>745520599.52999997</v>
          </cell>
          <cell r="I2306" t="str">
            <v>717</v>
          </cell>
        </row>
        <row r="2307">
          <cell r="A2307" t="str">
            <v>ARS</v>
          </cell>
          <cell r="B2307" t="str">
            <v>717100227</v>
          </cell>
          <cell r="C2307" t="str">
            <v>TABARES, MARIA ISABEL</v>
          </cell>
          <cell r="G2307">
            <v>268302</v>
          </cell>
          <cell r="H2307">
            <v>268302</v>
          </cell>
          <cell r="I2307" t="str">
            <v>717</v>
          </cell>
        </row>
        <row r="2308">
          <cell r="A2308" t="str">
            <v>ARS</v>
          </cell>
          <cell r="B2308" t="str">
            <v>717100240</v>
          </cell>
          <cell r="C2308" t="str">
            <v>IZUCO S.A</v>
          </cell>
          <cell r="G2308">
            <v>461793385.13</v>
          </cell>
          <cell r="H2308">
            <v>461793385.13</v>
          </cell>
          <cell r="I2308" t="str">
            <v>717</v>
          </cell>
        </row>
        <row r="2309">
          <cell r="A2309" t="str">
            <v>ARS</v>
          </cell>
          <cell r="B2309" t="str">
            <v>717100241</v>
          </cell>
          <cell r="C2309" t="str">
            <v>FRANCOVICH, CARINA ANALIA</v>
          </cell>
          <cell r="G2309">
            <v>24518853.68</v>
          </cell>
          <cell r="H2309">
            <v>24518853.68</v>
          </cell>
          <cell r="I2309" t="str">
            <v>717</v>
          </cell>
        </row>
        <row r="2310">
          <cell r="A2310" t="str">
            <v>ARS</v>
          </cell>
          <cell r="B2310" t="str">
            <v>717100245</v>
          </cell>
          <cell r="C2310" t="str">
            <v>GOTLIEB, VERONICA</v>
          </cell>
          <cell r="G2310">
            <v>35003390.450000003</v>
          </cell>
          <cell r="H2310">
            <v>35003390.450000003</v>
          </cell>
          <cell r="I2310" t="str">
            <v>717</v>
          </cell>
        </row>
        <row r="2311">
          <cell r="A2311" t="str">
            <v>ARS</v>
          </cell>
          <cell r="B2311" t="str">
            <v>717100250</v>
          </cell>
          <cell r="C2311" t="str">
            <v>DIEZ, LEONIDAS</v>
          </cell>
          <cell r="G2311">
            <v>25686100</v>
          </cell>
          <cell r="H2311">
            <v>25686100</v>
          </cell>
          <cell r="I2311" t="str">
            <v>717</v>
          </cell>
        </row>
        <row r="2312">
          <cell r="A2312" t="str">
            <v>ARS</v>
          </cell>
          <cell r="B2312" t="str">
            <v>717100252</v>
          </cell>
          <cell r="C2312" t="str">
            <v>BARTOLOME, YANINA ELIANA</v>
          </cell>
          <cell r="G2312">
            <v>5593506</v>
          </cell>
          <cell r="H2312">
            <v>5593506</v>
          </cell>
          <cell r="I2312" t="str">
            <v>717</v>
          </cell>
        </row>
        <row r="2313">
          <cell r="A2313" t="str">
            <v>ARS</v>
          </cell>
          <cell r="B2313" t="str">
            <v>717100253</v>
          </cell>
          <cell r="C2313" t="str">
            <v>SABBATINELLI, DANIEL CRISTIAN</v>
          </cell>
          <cell r="G2313">
            <v>24052081</v>
          </cell>
          <cell r="H2313">
            <v>24052081</v>
          </cell>
          <cell r="I2313" t="str">
            <v>717</v>
          </cell>
        </row>
        <row r="2314">
          <cell r="A2314" t="str">
            <v>ARS</v>
          </cell>
          <cell r="B2314" t="str">
            <v>717100254</v>
          </cell>
          <cell r="C2314" t="str">
            <v>PINATTI MARTIN ALEJANDRO</v>
          </cell>
          <cell r="G2314">
            <v>2220372.35</v>
          </cell>
          <cell r="H2314">
            <v>2220372.35</v>
          </cell>
          <cell r="I2314" t="str">
            <v>717</v>
          </cell>
        </row>
        <row r="2315">
          <cell r="A2315" t="str">
            <v>ARS</v>
          </cell>
          <cell r="B2315" t="str">
            <v>717100255</v>
          </cell>
          <cell r="C2315" t="str">
            <v>FLORES, OSVALDO FABIAN o FLORES, FEDERICO GABRIEL</v>
          </cell>
          <cell r="G2315">
            <v>37658983</v>
          </cell>
          <cell r="H2315">
            <v>37658983</v>
          </cell>
          <cell r="I2315" t="str">
            <v>717</v>
          </cell>
        </row>
        <row r="2316">
          <cell r="A2316" t="str">
            <v>ARS</v>
          </cell>
          <cell r="B2316" t="str">
            <v>717100259</v>
          </cell>
          <cell r="C2316" t="str">
            <v>BRIZIO, MARTA ANGELA</v>
          </cell>
          <cell r="G2316">
            <v>136588.5</v>
          </cell>
          <cell r="H2316">
            <v>136588.5</v>
          </cell>
          <cell r="I2316" t="str">
            <v>717</v>
          </cell>
        </row>
        <row r="2317">
          <cell r="A2317" t="str">
            <v>ARS</v>
          </cell>
          <cell r="B2317" t="str">
            <v>717100264</v>
          </cell>
          <cell r="C2317" t="str">
            <v>FALCIGLIO, JAVIER NORBERTO</v>
          </cell>
          <cell r="G2317">
            <v>332304</v>
          </cell>
          <cell r="H2317">
            <v>332304</v>
          </cell>
          <cell r="I2317" t="str">
            <v>717</v>
          </cell>
        </row>
        <row r="2318">
          <cell r="A2318" t="str">
            <v>ARS</v>
          </cell>
          <cell r="B2318" t="str">
            <v>717100266</v>
          </cell>
          <cell r="C2318" t="str">
            <v>GARNICAS LILIAN</v>
          </cell>
          <cell r="G2318">
            <v>80479040</v>
          </cell>
          <cell r="H2318">
            <v>80479040</v>
          </cell>
          <cell r="I2318" t="str">
            <v>717</v>
          </cell>
        </row>
        <row r="2319">
          <cell r="A2319" t="str">
            <v>ARS</v>
          </cell>
          <cell r="B2319" t="str">
            <v>717100273</v>
          </cell>
          <cell r="C2319" t="str">
            <v>BORTOLUTTI MARGARITA</v>
          </cell>
          <cell r="G2319">
            <v>43816105.530000001</v>
          </cell>
          <cell r="H2319">
            <v>43816105.530000001</v>
          </cell>
          <cell r="I2319" t="str">
            <v>717</v>
          </cell>
        </row>
        <row r="2320">
          <cell r="A2320" t="str">
            <v>ARS</v>
          </cell>
          <cell r="B2320" t="str">
            <v>717100276</v>
          </cell>
          <cell r="C2320" t="str">
            <v>BUCHAILLOT, GISELLE IVANA</v>
          </cell>
          <cell r="G2320">
            <v>235514674.19</v>
          </cell>
          <cell r="H2320">
            <v>235514674.19</v>
          </cell>
          <cell r="I2320" t="str">
            <v>717</v>
          </cell>
        </row>
        <row r="2321">
          <cell r="A2321" t="str">
            <v>ARS</v>
          </cell>
          <cell r="B2321" t="str">
            <v>717100281</v>
          </cell>
          <cell r="C2321" t="str">
            <v>SD MONTAJES SRL</v>
          </cell>
          <cell r="G2321">
            <v>60490807.890000001</v>
          </cell>
          <cell r="H2321">
            <v>60490807.890000001</v>
          </cell>
          <cell r="I2321" t="str">
            <v>717</v>
          </cell>
        </row>
        <row r="2322">
          <cell r="A2322" t="str">
            <v>ARS</v>
          </cell>
          <cell r="B2322" t="str">
            <v>717100282</v>
          </cell>
          <cell r="C2322" t="str">
            <v>MEMELEN SA</v>
          </cell>
          <cell r="G2322">
            <v>246583150.19999999</v>
          </cell>
          <cell r="H2322">
            <v>246583150.19999999</v>
          </cell>
          <cell r="I2322" t="str">
            <v>717</v>
          </cell>
        </row>
        <row r="2323">
          <cell r="A2323" t="str">
            <v>ARS</v>
          </cell>
          <cell r="B2323" t="str">
            <v>717100283</v>
          </cell>
          <cell r="C2323" t="str">
            <v>PELLICCIOTTA, VANINA LILIANA</v>
          </cell>
          <cell r="G2323">
            <v>18884829.050000001</v>
          </cell>
          <cell r="H2323">
            <v>18884829.050000001</v>
          </cell>
          <cell r="I2323" t="str">
            <v>717</v>
          </cell>
        </row>
        <row r="2324">
          <cell r="A2324" t="str">
            <v>ARS</v>
          </cell>
          <cell r="B2324" t="str">
            <v>717100284</v>
          </cell>
          <cell r="C2324" t="str">
            <v>FRANCHI, GERMAN ERNESTO</v>
          </cell>
          <cell r="G2324">
            <v>31122860.199999999</v>
          </cell>
          <cell r="H2324">
            <v>31122860.199999999</v>
          </cell>
          <cell r="I2324" t="str">
            <v>717</v>
          </cell>
        </row>
        <row r="2325">
          <cell r="A2325" t="str">
            <v>ARS</v>
          </cell>
          <cell r="B2325" t="str">
            <v>717100285</v>
          </cell>
          <cell r="C2325" t="str">
            <v>FIRPO, ALESSIO GABRIEL</v>
          </cell>
          <cell r="G2325">
            <v>63538585</v>
          </cell>
          <cell r="H2325">
            <v>63538585</v>
          </cell>
          <cell r="I2325" t="str">
            <v>717</v>
          </cell>
        </row>
        <row r="2326">
          <cell r="A2326" t="str">
            <v>ARS</v>
          </cell>
          <cell r="B2326" t="str">
            <v>717100287</v>
          </cell>
          <cell r="C2326" t="str">
            <v>[C.E.R.A.] BORTOLUTTI, CARLOS</v>
          </cell>
          <cell r="G2326">
            <v>321573417.81</v>
          </cell>
          <cell r="H2326">
            <v>321573417.81</v>
          </cell>
          <cell r="I2326" t="str">
            <v>717</v>
          </cell>
        </row>
        <row r="2327">
          <cell r="A2327" t="str">
            <v>ARS</v>
          </cell>
          <cell r="B2327" t="str">
            <v>717100288</v>
          </cell>
          <cell r="C2327" t="str">
            <v>[C.E.R.A.] PANGEA SOCIEDAD SIMPLE</v>
          </cell>
          <cell r="G2327">
            <v>320116</v>
          </cell>
          <cell r="H2327">
            <v>320116</v>
          </cell>
          <cell r="I2327" t="str">
            <v>717</v>
          </cell>
        </row>
        <row r="2328">
          <cell r="A2328" t="str">
            <v>ARS</v>
          </cell>
          <cell r="B2328" t="str">
            <v>717100290</v>
          </cell>
          <cell r="C2328" t="str">
            <v>[C.E.R.A.] BORTOLUTTI, MARGARITA</v>
          </cell>
          <cell r="G2328">
            <v>751576010.51999998</v>
          </cell>
          <cell r="H2328">
            <v>751576010.51999998</v>
          </cell>
          <cell r="I2328" t="str">
            <v>717</v>
          </cell>
        </row>
        <row r="2329">
          <cell r="A2329" t="str">
            <v>ARS</v>
          </cell>
          <cell r="B2329" t="str">
            <v>717100291</v>
          </cell>
          <cell r="C2329" t="str">
            <v xml:space="preserve">BATTISTINO VALLA , SEBASTIAN </v>
          </cell>
          <cell r="G2329">
            <v>5820710</v>
          </cell>
          <cell r="H2329">
            <v>5820710</v>
          </cell>
          <cell r="I2329" t="str">
            <v>717</v>
          </cell>
        </row>
        <row r="2330">
          <cell r="A2330" t="str">
            <v>ARS</v>
          </cell>
          <cell r="B2330" t="str">
            <v>717100292</v>
          </cell>
          <cell r="C2330" t="str">
            <v>AMERISE, SEBASTIAN ANDRES</v>
          </cell>
          <cell r="G2330">
            <v>50600.25</v>
          </cell>
          <cell r="H2330">
            <v>50600.25</v>
          </cell>
          <cell r="I2330" t="str">
            <v>717</v>
          </cell>
        </row>
        <row r="2331">
          <cell r="A2331" t="str">
            <v>ARS</v>
          </cell>
          <cell r="B2331" t="str">
            <v>717100293</v>
          </cell>
          <cell r="C2331" t="str">
            <v>COZZI , OMAR ARTURO</v>
          </cell>
          <cell r="G2331">
            <v>1276545.93</v>
          </cell>
          <cell r="H2331">
            <v>1276545.93</v>
          </cell>
          <cell r="I2331" t="str">
            <v>717</v>
          </cell>
        </row>
        <row r="2332">
          <cell r="A2332" t="str">
            <v>ARS</v>
          </cell>
          <cell r="B2332" t="str">
            <v>717100296</v>
          </cell>
          <cell r="C2332" t="str">
            <v>SABENA, HUGO RICARDO</v>
          </cell>
          <cell r="G2332">
            <v>1757341.82</v>
          </cell>
          <cell r="H2332">
            <v>1757341.82</v>
          </cell>
          <cell r="I2332" t="str">
            <v>717</v>
          </cell>
        </row>
        <row r="2333">
          <cell r="A2333" t="str">
            <v>ARS</v>
          </cell>
          <cell r="B2333" t="str">
            <v>717100297</v>
          </cell>
          <cell r="C2333" t="str">
            <v>SABENA , NATALIA SOFIA</v>
          </cell>
          <cell r="G2333">
            <v>40090864.579999998</v>
          </cell>
          <cell r="H2333">
            <v>40090864.579999998</v>
          </cell>
          <cell r="I2333" t="str">
            <v>717</v>
          </cell>
        </row>
        <row r="2334">
          <cell r="A2334" t="str">
            <v>ARS</v>
          </cell>
          <cell r="B2334" t="str">
            <v>717100300</v>
          </cell>
          <cell r="C2334" t="str">
            <v>MANSILLA, MARCOS HERNAN</v>
          </cell>
          <cell r="G2334">
            <v>197481751</v>
          </cell>
          <cell r="H2334">
            <v>197481751</v>
          </cell>
          <cell r="I2334" t="str">
            <v>717</v>
          </cell>
        </row>
        <row r="2335">
          <cell r="A2335" t="str">
            <v>ARS</v>
          </cell>
          <cell r="B2335" t="str">
            <v>717100302</v>
          </cell>
          <cell r="C2335" t="str">
            <v>BALDELLOU, NELSON ROBERTO</v>
          </cell>
          <cell r="G2335">
            <v>149233500.63999999</v>
          </cell>
          <cell r="H2335">
            <v>149233500.63999999</v>
          </cell>
          <cell r="I2335" t="str">
            <v>717</v>
          </cell>
        </row>
        <row r="2336">
          <cell r="A2336" t="str">
            <v>ARS</v>
          </cell>
          <cell r="B2336" t="str">
            <v>717100309</v>
          </cell>
          <cell r="C2336" t="str">
            <v>INDUSOIL SERVICIOS S. R. L.</v>
          </cell>
          <cell r="G2336">
            <v>29669675.100000001</v>
          </cell>
          <cell r="H2336">
            <v>29669675.100000001</v>
          </cell>
          <cell r="I2336" t="str">
            <v>717</v>
          </cell>
        </row>
        <row r="2337">
          <cell r="A2337" t="str">
            <v>ARS</v>
          </cell>
          <cell r="B2337" t="str">
            <v>758001000</v>
          </cell>
          <cell r="C2337" t="str">
            <v>Gorostiaga Bursatil S.A.</v>
          </cell>
          <cell r="G2337">
            <v>785591562.5</v>
          </cell>
          <cell r="H2337">
            <v>785591562.5</v>
          </cell>
          <cell r="I2337" t="str">
            <v>758</v>
          </cell>
        </row>
        <row r="2338">
          <cell r="A2338" t="str">
            <v>ARS</v>
          </cell>
          <cell r="B2338" t="str">
            <v>758001829</v>
          </cell>
          <cell r="C2338" t="str">
            <v>Trovato, Nicolas</v>
          </cell>
          <cell r="G2338">
            <v>71888020.069999993</v>
          </cell>
          <cell r="H2338">
            <v>71888020.069999993</v>
          </cell>
          <cell r="I2338" t="str">
            <v>758</v>
          </cell>
        </row>
        <row r="2339">
          <cell r="A2339" t="str">
            <v>ARS</v>
          </cell>
          <cell r="B2339" t="str">
            <v>758002002</v>
          </cell>
          <cell r="C2339" t="str">
            <v>Gilone, Patricia Monica</v>
          </cell>
          <cell r="G2339">
            <v>325192.2</v>
          </cell>
          <cell r="H2339">
            <v>325192.2</v>
          </cell>
          <cell r="I2339" t="str">
            <v>758</v>
          </cell>
        </row>
        <row r="2340">
          <cell r="A2340" t="str">
            <v>ARS</v>
          </cell>
          <cell r="B2340" t="str">
            <v>758002003</v>
          </cell>
          <cell r="C2340" t="str">
            <v>Poggi, Barbara Selene</v>
          </cell>
          <cell r="G2340">
            <v>576253</v>
          </cell>
          <cell r="H2340">
            <v>576253</v>
          </cell>
          <cell r="I2340" t="str">
            <v>758</v>
          </cell>
        </row>
        <row r="2341">
          <cell r="A2341" t="str">
            <v>ARS</v>
          </cell>
          <cell r="B2341" t="str">
            <v>758002005</v>
          </cell>
          <cell r="C2341" t="str">
            <v>Esposito, Sergio Emiliano</v>
          </cell>
          <cell r="G2341">
            <v>431138</v>
          </cell>
          <cell r="H2341">
            <v>431138</v>
          </cell>
          <cell r="I2341" t="str">
            <v>758</v>
          </cell>
        </row>
        <row r="2342">
          <cell r="A2342" t="str">
            <v>ARS</v>
          </cell>
          <cell r="B2342" t="str">
            <v>758002006</v>
          </cell>
          <cell r="C2342" t="str">
            <v>Poggi, Rodrigo Gaston y/o Imbert, Erika Noelia</v>
          </cell>
          <cell r="G2342">
            <v>1049776600.46</v>
          </cell>
          <cell r="H2342">
            <v>1049776600.46</v>
          </cell>
          <cell r="I2342" t="str">
            <v>758</v>
          </cell>
        </row>
        <row r="2343">
          <cell r="A2343" t="str">
            <v>ARS</v>
          </cell>
          <cell r="B2343" t="str">
            <v>758002010</v>
          </cell>
          <cell r="C2343" t="str">
            <v>Poggi, Federico Hernan y/o Carresson, María Belén</v>
          </cell>
          <cell r="G2343">
            <v>2416320234.2600002</v>
          </cell>
          <cell r="H2343">
            <v>2416320234.2600002</v>
          </cell>
          <cell r="I2343" t="str">
            <v>758</v>
          </cell>
        </row>
        <row r="2344">
          <cell r="A2344" t="str">
            <v>ARS</v>
          </cell>
          <cell r="B2344" t="str">
            <v>758002014</v>
          </cell>
          <cell r="C2344" t="str">
            <v>Poggi, Facundo Lionel</v>
          </cell>
          <cell r="G2344">
            <v>5032373.8</v>
          </cell>
          <cell r="H2344">
            <v>5032373.8</v>
          </cell>
          <cell r="I2344" t="str">
            <v>758</v>
          </cell>
        </row>
        <row r="2345">
          <cell r="A2345" t="str">
            <v>ARS</v>
          </cell>
          <cell r="B2345" t="str">
            <v>758002019</v>
          </cell>
          <cell r="C2345" t="str">
            <v>Hermida Graciela Alicia y/o Crawford, Osvaldo Aristobulo y/o Crawford Nadia</v>
          </cell>
          <cell r="G2345">
            <v>3167325</v>
          </cell>
          <cell r="H2345">
            <v>3167325</v>
          </cell>
          <cell r="I2345" t="str">
            <v>758</v>
          </cell>
        </row>
        <row r="2346">
          <cell r="A2346" t="str">
            <v>ARS</v>
          </cell>
          <cell r="B2346" t="str">
            <v>758002032</v>
          </cell>
          <cell r="C2346" t="str">
            <v>Epifanio, Laila Angela</v>
          </cell>
          <cell r="G2346">
            <v>50246893</v>
          </cell>
          <cell r="H2346">
            <v>50246893</v>
          </cell>
          <cell r="I2346" t="str">
            <v>758</v>
          </cell>
        </row>
        <row r="2347">
          <cell r="A2347" t="str">
            <v>ARS</v>
          </cell>
          <cell r="B2347" t="str">
            <v>758002035</v>
          </cell>
          <cell r="C2347" t="str">
            <v>Bortot Gabriela Fernanda</v>
          </cell>
          <cell r="G2347">
            <v>705575</v>
          </cell>
          <cell r="H2347">
            <v>705575</v>
          </cell>
          <cell r="I2347" t="str">
            <v>758</v>
          </cell>
        </row>
        <row r="2348">
          <cell r="A2348" t="str">
            <v>ARS</v>
          </cell>
          <cell r="B2348" t="str">
            <v>758002038</v>
          </cell>
          <cell r="C2348" t="str">
            <v>Cañete Gorosito Alberto Isidoro</v>
          </cell>
          <cell r="G2348">
            <v>496986</v>
          </cell>
          <cell r="H2348">
            <v>496986</v>
          </cell>
          <cell r="I2348" t="str">
            <v>758</v>
          </cell>
        </row>
        <row r="2349">
          <cell r="A2349" t="str">
            <v>ARS</v>
          </cell>
          <cell r="B2349" t="str">
            <v>758002040</v>
          </cell>
          <cell r="C2349" t="str">
            <v>Elosu Jose Maria</v>
          </cell>
          <cell r="G2349">
            <v>7247790</v>
          </cell>
          <cell r="H2349">
            <v>7247790</v>
          </cell>
          <cell r="I2349" t="str">
            <v>758</v>
          </cell>
        </row>
        <row r="2350">
          <cell r="A2350" t="str">
            <v>ARS</v>
          </cell>
          <cell r="B2350" t="str">
            <v>758002043</v>
          </cell>
          <cell r="C2350" t="str">
            <v>PIRANI, JULIO CESAR</v>
          </cell>
          <cell r="G2350">
            <v>1074455.2</v>
          </cell>
          <cell r="H2350">
            <v>1074455.2</v>
          </cell>
          <cell r="I2350" t="str">
            <v>758</v>
          </cell>
        </row>
        <row r="2351">
          <cell r="A2351" t="str">
            <v>ARS</v>
          </cell>
          <cell r="B2351" t="str">
            <v>758002048</v>
          </cell>
          <cell r="C2351" t="str">
            <v>RAJO, GONZALO RAUL</v>
          </cell>
          <cell r="G2351">
            <v>5650</v>
          </cell>
          <cell r="H2351">
            <v>5650</v>
          </cell>
          <cell r="I2351" t="str">
            <v>758</v>
          </cell>
        </row>
        <row r="2352">
          <cell r="A2352" t="str">
            <v>ARS</v>
          </cell>
          <cell r="B2352" t="str">
            <v>758002049</v>
          </cell>
          <cell r="C2352" t="str">
            <v>LADINO, SANTIAGO ANDRES</v>
          </cell>
          <cell r="G2352">
            <v>52268253.539999999</v>
          </cell>
          <cell r="H2352">
            <v>52268253.539999999</v>
          </cell>
          <cell r="I2352" t="str">
            <v>758</v>
          </cell>
        </row>
        <row r="2353">
          <cell r="A2353" t="str">
            <v>ARS</v>
          </cell>
          <cell r="B2353" t="str">
            <v>758002050</v>
          </cell>
          <cell r="C2353" t="str">
            <v>SHERMAN, JOSE IGNACIO</v>
          </cell>
          <cell r="G2353">
            <v>10505154</v>
          </cell>
          <cell r="H2353">
            <v>10505154</v>
          </cell>
          <cell r="I2353" t="str">
            <v>758</v>
          </cell>
        </row>
        <row r="2354">
          <cell r="A2354" t="str">
            <v>ARS</v>
          </cell>
          <cell r="B2354" t="str">
            <v>758002052</v>
          </cell>
          <cell r="C2354" t="str">
            <v>MAZZONI, MAXIMILIANO LEANDRO</v>
          </cell>
          <cell r="G2354">
            <v>8415</v>
          </cell>
          <cell r="H2354">
            <v>8415</v>
          </cell>
          <cell r="I2354" t="str">
            <v>758</v>
          </cell>
        </row>
        <row r="2355">
          <cell r="A2355" t="str">
            <v>ARS</v>
          </cell>
          <cell r="B2355" t="str">
            <v>758003001</v>
          </cell>
          <cell r="C2355" t="str">
            <v>Montagano, María Concepción</v>
          </cell>
          <cell r="G2355">
            <v>115725739.5</v>
          </cell>
          <cell r="H2355">
            <v>115725739.5</v>
          </cell>
          <cell r="I2355" t="str">
            <v>758</v>
          </cell>
        </row>
        <row r="2356">
          <cell r="A2356" t="str">
            <v>ARS</v>
          </cell>
          <cell r="B2356" t="str">
            <v>758003005</v>
          </cell>
          <cell r="C2356" t="str">
            <v>Mainfin S.R.L</v>
          </cell>
          <cell r="G2356">
            <v>3893098</v>
          </cell>
          <cell r="H2356">
            <v>3893098</v>
          </cell>
          <cell r="I2356" t="str">
            <v>758</v>
          </cell>
        </row>
        <row r="2357">
          <cell r="A2357" t="str">
            <v>ARS</v>
          </cell>
          <cell r="B2357" t="str">
            <v>758003012</v>
          </cell>
          <cell r="C2357" t="str">
            <v>Carrera, Diego Fernando</v>
          </cell>
          <cell r="G2357">
            <v>13530395</v>
          </cell>
          <cell r="H2357">
            <v>13530395</v>
          </cell>
          <cell r="I2357" t="str">
            <v>758</v>
          </cell>
        </row>
        <row r="2358">
          <cell r="A2358" t="str">
            <v>ARS</v>
          </cell>
          <cell r="B2358" t="str">
            <v>758003013</v>
          </cell>
          <cell r="C2358" t="str">
            <v>Miglio, Carlos Alberto y/o Miglio, Micaela Florencia</v>
          </cell>
          <cell r="G2358">
            <v>24221175.420000002</v>
          </cell>
          <cell r="H2358">
            <v>24221175.420000002</v>
          </cell>
          <cell r="I2358" t="str">
            <v>758</v>
          </cell>
        </row>
        <row r="2359">
          <cell r="A2359" t="str">
            <v>ARS</v>
          </cell>
          <cell r="B2359" t="str">
            <v>758003014</v>
          </cell>
          <cell r="C2359" t="str">
            <v>Brunel, Irma Olga y/o Vassallo, Daniel</v>
          </cell>
          <cell r="G2359">
            <v>254740</v>
          </cell>
          <cell r="H2359">
            <v>254740</v>
          </cell>
          <cell r="I2359" t="str">
            <v>758</v>
          </cell>
        </row>
        <row r="2360">
          <cell r="A2360" t="str">
            <v>ARS</v>
          </cell>
          <cell r="B2360" t="str">
            <v>758003017</v>
          </cell>
          <cell r="C2360" t="str">
            <v>Tito, Valeria Laura y/o Brandan Miriam Mabel</v>
          </cell>
          <cell r="G2360">
            <v>63112709.509999998</v>
          </cell>
          <cell r="H2360">
            <v>63112709.509999998</v>
          </cell>
          <cell r="I2360" t="str">
            <v>758</v>
          </cell>
        </row>
        <row r="2361">
          <cell r="A2361" t="str">
            <v>ARS</v>
          </cell>
          <cell r="B2361" t="str">
            <v>758003018</v>
          </cell>
          <cell r="C2361" t="str">
            <v>Tito, Valeria Laura y/o Perugini Alejandro Hugo</v>
          </cell>
          <cell r="G2361">
            <v>86414105</v>
          </cell>
          <cell r="H2361">
            <v>86414105</v>
          </cell>
          <cell r="I2361" t="str">
            <v>758</v>
          </cell>
        </row>
        <row r="2362">
          <cell r="A2362" t="str">
            <v>ARS</v>
          </cell>
          <cell r="B2362" t="str">
            <v>758003019</v>
          </cell>
          <cell r="C2362" t="str">
            <v>Linares, Julián</v>
          </cell>
          <cell r="G2362">
            <v>2819650</v>
          </cell>
          <cell r="H2362">
            <v>2819650</v>
          </cell>
          <cell r="I2362" t="str">
            <v>758</v>
          </cell>
        </row>
        <row r="2363">
          <cell r="A2363" t="str">
            <v>ARS</v>
          </cell>
          <cell r="B2363" t="str">
            <v>758003020</v>
          </cell>
          <cell r="C2363" t="str">
            <v>Santucho, Julio Cesar de Jesús</v>
          </cell>
          <cell r="G2363">
            <v>98168452.900000006</v>
          </cell>
          <cell r="H2363">
            <v>98168452.900000006</v>
          </cell>
          <cell r="I2363" t="str">
            <v>758</v>
          </cell>
        </row>
        <row r="2364">
          <cell r="A2364" t="str">
            <v>ARS</v>
          </cell>
          <cell r="B2364" t="str">
            <v>758003021</v>
          </cell>
          <cell r="C2364" t="str">
            <v>Soto, Carlos Alberto y/o Soto, María Laura</v>
          </cell>
          <cell r="G2364">
            <v>417267271</v>
          </cell>
          <cell r="H2364">
            <v>417267271</v>
          </cell>
          <cell r="I2364" t="str">
            <v>758</v>
          </cell>
        </row>
        <row r="2365">
          <cell r="A2365" t="str">
            <v>ARS</v>
          </cell>
          <cell r="B2365" t="str">
            <v>758003022</v>
          </cell>
          <cell r="C2365" t="str">
            <v>Longo, Gladys Patricia y/o Lo Gullo, Franco</v>
          </cell>
          <cell r="G2365">
            <v>618413.73</v>
          </cell>
          <cell r="H2365">
            <v>618413.73</v>
          </cell>
          <cell r="I2365" t="str">
            <v>758</v>
          </cell>
        </row>
        <row r="2366">
          <cell r="A2366" t="str">
            <v>ARS</v>
          </cell>
          <cell r="B2366" t="str">
            <v>758003023</v>
          </cell>
          <cell r="C2366" t="str">
            <v>Lo Gullo, Franco</v>
          </cell>
          <cell r="G2366">
            <v>561008</v>
          </cell>
          <cell r="H2366">
            <v>561008</v>
          </cell>
          <cell r="I2366" t="str">
            <v>758</v>
          </cell>
        </row>
        <row r="2367">
          <cell r="A2367" t="str">
            <v>ARS</v>
          </cell>
          <cell r="B2367" t="str">
            <v>758003024</v>
          </cell>
          <cell r="C2367" t="str">
            <v>Batetta, Susana Beatriz y/o Rosales, Deborah Susana</v>
          </cell>
          <cell r="G2367">
            <v>6158445.0899999999</v>
          </cell>
          <cell r="H2367">
            <v>6158445.0899999999</v>
          </cell>
          <cell r="I2367" t="str">
            <v>758</v>
          </cell>
        </row>
        <row r="2368">
          <cell r="A2368" t="str">
            <v>ARS</v>
          </cell>
          <cell r="B2368" t="str">
            <v>758003029</v>
          </cell>
          <cell r="C2368" t="str">
            <v>Perugini, Eduardo Daniel y/o Degregorio, Iris Elvira Margarita</v>
          </cell>
          <cell r="G2368">
            <v>136975845</v>
          </cell>
          <cell r="H2368">
            <v>136975845</v>
          </cell>
          <cell r="I2368" t="str">
            <v>758</v>
          </cell>
        </row>
        <row r="2369">
          <cell r="A2369" t="str">
            <v>ARS</v>
          </cell>
          <cell r="B2369" t="str">
            <v>758003030</v>
          </cell>
          <cell r="C2369" t="str">
            <v>Perugini, Eduardo Daniel y/o Carra, Nora Angélica</v>
          </cell>
          <cell r="G2369">
            <v>6238018</v>
          </cell>
          <cell r="H2369">
            <v>6238018</v>
          </cell>
          <cell r="I2369" t="str">
            <v>758</v>
          </cell>
        </row>
        <row r="2370">
          <cell r="A2370" t="str">
            <v>ARS</v>
          </cell>
          <cell r="B2370" t="str">
            <v>758003031</v>
          </cell>
          <cell r="C2370" t="str">
            <v>Paolin, Gabriel Antonio y/o Prenollio, Jorgelina Noemi</v>
          </cell>
          <cell r="G2370">
            <v>30955784.609999999</v>
          </cell>
          <cell r="H2370">
            <v>30955784.609999999</v>
          </cell>
          <cell r="I2370" t="str">
            <v>758</v>
          </cell>
        </row>
        <row r="2371">
          <cell r="A2371" t="str">
            <v>ARS</v>
          </cell>
          <cell r="B2371" t="str">
            <v>758003034</v>
          </cell>
          <cell r="C2371" t="str">
            <v>Mundin, Anabella</v>
          </cell>
          <cell r="G2371">
            <v>50368154</v>
          </cell>
          <cell r="H2371">
            <v>50368154</v>
          </cell>
          <cell r="I2371" t="str">
            <v>758</v>
          </cell>
        </row>
        <row r="2372">
          <cell r="A2372" t="str">
            <v>ARS</v>
          </cell>
          <cell r="B2372" t="str">
            <v>758003038</v>
          </cell>
          <cell r="C2372" t="str">
            <v>Vera Mendez, Francisco</v>
          </cell>
          <cell r="G2372">
            <v>9213474</v>
          </cell>
          <cell r="H2372">
            <v>9213474</v>
          </cell>
          <cell r="I2372" t="str">
            <v>758</v>
          </cell>
        </row>
        <row r="2373">
          <cell r="A2373" t="str">
            <v>ARS</v>
          </cell>
          <cell r="B2373" t="str">
            <v>758003040</v>
          </cell>
          <cell r="C2373" t="str">
            <v>Gawlik, Jose Ramon y/o Valdovino, Maria Cristina</v>
          </cell>
          <cell r="G2373">
            <v>1519230</v>
          </cell>
          <cell r="H2373">
            <v>1519230</v>
          </cell>
          <cell r="I2373" t="str">
            <v>758</v>
          </cell>
        </row>
        <row r="2374">
          <cell r="A2374" t="str">
            <v>ARS</v>
          </cell>
          <cell r="B2374" t="str">
            <v>758003042</v>
          </cell>
          <cell r="C2374" t="str">
            <v>Pusineri, Germán Juan y/o Persoglia, Ines Luisa</v>
          </cell>
          <cell r="G2374">
            <v>47220136</v>
          </cell>
          <cell r="H2374">
            <v>47220136</v>
          </cell>
          <cell r="I2374" t="str">
            <v>758</v>
          </cell>
        </row>
        <row r="2375">
          <cell r="A2375" t="str">
            <v>ARS</v>
          </cell>
          <cell r="B2375" t="str">
            <v>758003044</v>
          </cell>
          <cell r="C2375" t="str">
            <v>Ferreiro Lodeiro, Adolfo y/o Ferreiro, German Andres</v>
          </cell>
          <cell r="G2375">
            <v>2616750</v>
          </cell>
          <cell r="H2375">
            <v>2616750</v>
          </cell>
          <cell r="I2375" t="str">
            <v>758</v>
          </cell>
        </row>
        <row r="2376">
          <cell r="A2376" t="str">
            <v>ARS</v>
          </cell>
          <cell r="B2376" t="str">
            <v>758003047</v>
          </cell>
          <cell r="C2376" t="str">
            <v xml:space="preserve">Korell, Mario Ernesto </v>
          </cell>
          <cell r="G2376">
            <v>100586431.5</v>
          </cell>
          <cell r="H2376">
            <v>100586431.5</v>
          </cell>
          <cell r="I2376" t="str">
            <v>758</v>
          </cell>
        </row>
        <row r="2377">
          <cell r="A2377" t="str">
            <v>ARS</v>
          </cell>
          <cell r="B2377" t="str">
            <v>758003048</v>
          </cell>
          <cell r="C2377" t="str">
            <v>Rpg Latam S.R.L.</v>
          </cell>
          <cell r="G2377">
            <v>288522883</v>
          </cell>
          <cell r="H2377">
            <v>288522883</v>
          </cell>
          <cell r="I2377" t="str">
            <v>758</v>
          </cell>
        </row>
        <row r="2378">
          <cell r="A2378" t="str">
            <v>ARS</v>
          </cell>
          <cell r="B2378" t="str">
            <v>758003051</v>
          </cell>
          <cell r="C2378" t="str">
            <v>Perugini, Luciano y/o Perugini, Martina</v>
          </cell>
          <cell r="G2378">
            <v>121894336</v>
          </cell>
          <cell r="H2378">
            <v>121894336</v>
          </cell>
          <cell r="I2378" t="str">
            <v>758</v>
          </cell>
        </row>
        <row r="2379">
          <cell r="A2379" t="str">
            <v>ARS</v>
          </cell>
          <cell r="B2379" t="str">
            <v>758003061</v>
          </cell>
          <cell r="C2379" t="str">
            <v>Psj Global Solution</v>
          </cell>
          <cell r="G2379">
            <v>26302150.600000001</v>
          </cell>
          <cell r="H2379">
            <v>26302150.600000001</v>
          </cell>
          <cell r="I2379" t="str">
            <v>758</v>
          </cell>
        </row>
        <row r="2380">
          <cell r="A2380" t="str">
            <v>ARS</v>
          </cell>
          <cell r="B2380" t="str">
            <v>758003064</v>
          </cell>
          <cell r="C2380" t="str">
            <v>Noroña, Diego Mariano</v>
          </cell>
          <cell r="G2380">
            <v>40700712</v>
          </cell>
          <cell r="H2380">
            <v>40700712</v>
          </cell>
          <cell r="I2380" t="str">
            <v>758</v>
          </cell>
        </row>
        <row r="2381">
          <cell r="A2381" t="str">
            <v>ARS</v>
          </cell>
          <cell r="B2381" t="str">
            <v>758003071</v>
          </cell>
          <cell r="C2381" t="str">
            <v>Altieri, Alvaro Francisco</v>
          </cell>
          <cell r="G2381">
            <v>879713</v>
          </cell>
          <cell r="H2381">
            <v>879713</v>
          </cell>
          <cell r="I2381" t="str">
            <v>758</v>
          </cell>
        </row>
        <row r="2382">
          <cell r="A2382" t="str">
            <v>ARS</v>
          </cell>
          <cell r="B2382" t="str">
            <v>758003076</v>
          </cell>
          <cell r="C2382" t="str">
            <v>Bock, Carlos Walter</v>
          </cell>
          <cell r="G2382">
            <v>60337798.399999999</v>
          </cell>
          <cell r="H2382">
            <v>60337798.399999999</v>
          </cell>
          <cell r="I2382" t="str">
            <v>758</v>
          </cell>
        </row>
        <row r="2383">
          <cell r="A2383" t="str">
            <v>ARS</v>
          </cell>
          <cell r="B2383" t="str">
            <v>758003080</v>
          </cell>
          <cell r="C2383" t="str">
            <v>Mutual de profesionales y tecnicos de la administacion publica y/o Juarez, Matías Ezequiel</v>
          </cell>
          <cell r="G2383">
            <v>22539709.5</v>
          </cell>
          <cell r="H2383">
            <v>22539709.5</v>
          </cell>
          <cell r="I2383" t="str">
            <v>758</v>
          </cell>
        </row>
        <row r="2384">
          <cell r="A2384" t="str">
            <v>ARS</v>
          </cell>
          <cell r="B2384" t="str">
            <v>758003083</v>
          </cell>
          <cell r="C2384" t="str">
            <v>Cominetti, Patricio Luis</v>
          </cell>
          <cell r="G2384">
            <v>43669939</v>
          </cell>
          <cell r="H2384">
            <v>43669939</v>
          </cell>
          <cell r="I2384" t="str">
            <v>758</v>
          </cell>
        </row>
        <row r="2385">
          <cell r="A2385" t="str">
            <v>ARS</v>
          </cell>
          <cell r="B2385" t="str">
            <v>758003084</v>
          </cell>
          <cell r="C2385" t="str">
            <v>Martinez, Gustavo Alejo</v>
          </cell>
          <cell r="G2385">
            <v>287833347.5</v>
          </cell>
          <cell r="H2385">
            <v>287833347.5</v>
          </cell>
          <cell r="I2385" t="str">
            <v>758</v>
          </cell>
        </row>
        <row r="2386">
          <cell r="A2386" t="str">
            <v>ARS</v>
          </cell>
          <cell r="B2386" t="str">
            <v>758003098</v>
          </cell>
          <cell r="C2386" t="str">
            <v>Escalante, Christian Andres</v>
          </cell>
          <cell r="G2386">
            <v>44243583</v>
          </cell>
          <cell r="H2386">
            <v>44243583</v>
          </cell>
          <cell r="I2386" t="str">
            <v>758</v>
          </cell>
        </row>
        <row r="2387">
          <cell r="A2387" t="str">
            <v>ARS</v>
          </cell>
          <cell r="B2387" t="str">
            <v>758003099</v>
          </cell>
          <cell r="C2387" t="str">
            <v>Alonso, Hector Luis y/o Alonso Badano, Javier</v>
          </cell>
          <cell r="G2387">
            <v>67571318.840000004</v>
          </cell>
          <cell r="H2387">
            <v>67571318.840000004</v>
          </cell>
          <cell r="I2387" t="str">
            <v>758</v>
          </cell>
        </row>
        <row r="2388">
          <cell r="A2388" t="str">
            <v>ARS</v>
          </cell>
          <cell r="B2388" t="str">
            <v>758003104</v>
          </cell>
          <cell r="C2388" t="str">
            <v>Gavilan Prodanov Augusto Matias</v>
          </cell>
          <cell r="G2388">
            <v>1125315</v>
          </cell>
          <cell r="H2388">
            <v>1125315</v>
          </cell>
          <cell r="I2388" t="str">
            <v>758</v>
          </cell>
        </row>
        <row r="2389">
          <cell r="A2389" t="str">
            <v>ARS</v>
          </cell>
          <cell r="B2389" t="str">
            <v>758003105</v>
          </cell>
          <cell r="C2389" t="str">
            <v>De Lorenzo Carlos Alberto</v>
          </cell>
          <cell r="G2389">
            <v>1539256</v>
          </cell>
          <cell r="H2389">
            <v>1539256</v>
          </cell>
          <cell r="I2389" t="str">
            <v>758</v>
          </cell>
        </row>
        <row r="2390">
          <cell r="A2390" t="str">
            <v>ARS</v>
          </cell>
          <cell r="B2390" t="str">
            <v>758003111</v>
          </cell>
          <cell r="C2390" t="str">
            <v>Lopez Carlos Javier</v>
          </cell>
          <cell r="G2390">
            <v>5000590</v>
          </cell>
          <cell r="H2390">
            <v>5000590</v>
          </cell>
          <cell r="I2390" t="str">
            <v>758</v>
          </cell>
        </row>
        <row r="2391">
          <cell r="A2391" t="str">
            <v>ARS</v>
          </cell>
          <cell r="B2391" t="str">
            <v>758003113</v>
          </cell>
          <cell r="C2391" t="str">
            <v>Tornello Tamara Lucia</v>
          </cell>
          <cell r="G2391">
            <v>519915</v>
          </cell>
          <cell r="H2391">
            <v>519915</v>
          </cell>
          <cell r="I2391" t="str">
            <v>758</v>
          </cell>
        </row>
        <row r="2392">
          <cell r="A2392" t="str">
            <v>ARS</v>
          </cell>
          <cell r="B2392" t="str">
            <v>758003132</v>
          </cell>
          <cell r="C2392" t="str">
            <v>Pressburger, Damian Gabriel y/o Orlando, Veronica Daniela</v>
          </cell>
          <cell r="G2392">
            <v>308471</v>
          </cell>
          <cell r="H2392">
            <v>308471</v>
          </cell>
          <cell r="I2392" t="str">
            <v>758</v>
          </cell>
        </row>
        <row r="2393">
          <cell r="A2393" t="str">
            <v>ARS</v>
          </cell>
          <cell r="B2393" t="str">
            <v>758003134</v>
          </cell>
          <cell r="C2393" t="str">
            <v>Sanchez Santiago</v>
          </cell>
          <cell r="G2393">
            <v>639070</v>
          </cell>
          <cell r="H2393">
            <v>639070</v>
          </cell>
          <cell r="I2393" t="str">
            <v>758</v>
          </cell>
        </row>
        <row r="2394">
          <cell r="A2394" t="str">
            <v>ARS</v>
          </cell>
          <cell r="B2394" t="str">
            <v>758003137</v>
          </cell>
          <cell r="C2394" t="str">
            <v>Rojas Roberto y/o Rojas Fernando Roberto</v>
          </cell>
          <cell r="G2394">
            <v>55072.5</v>
          </cell>
          <cell r="H2394">
            <v>55072.5</v>
          </cell>
          <cell r="I2394" t="str">
            <v>758</v>
          </cell>
        </row>
        <row r="2395">
          <cell r="A2395" t="str">
            <v>ARS</v>
          </cell>
          <cell r="B2395" t="str">
            <v>758003142</v>
          </cell>
          <cell r="C2395" t="str">
            <v>De Chiara Juan Adrian</v>
          </cell>
          <cell r="G2395">
            <v>2757061</v>
          </cell>
          <cell r="H2395">
            <v>2757061</v>
          </cell>
          <cell r="I2395" t="str">
            <v>758</v>
          </cell>
        </row>
        <row r="2396">
          <cell r="A2396" t="str">
            <v>ARS</v>
          </cell>
          <cell r="B2396" t="str">
            <v>758003143</v>
          </cell>
          <cell r="C2396" t="str">
            <v>Scarpato, Gloria</v>
          </cell>
          <cell r="G2396">
            <v>307624</v>
          </cell>
          <cell r="H2396">
            <v>307624</v>
          </cell>
          <cell r="I2396" t="str">
            <v>758</v>
          </cell>
        </row>
        <row r="2397">
          <cell r="A2397" t="str">
            <v>ARS</v>
          </cell>
          <cell r="B2397" t="str">
            <v>758003161</v>
          </cell>
          <cell r="C2397" t="str">
            <v>Bravo, Roberto Carlos Antonio</v>
          </cell>
          <cell r="G2397">
            <v>72495723</v>
          </cell>
          <cell r="H2397">
            <v>72495723</v>
          </cell>
          <cell r="I2397" t="str">
            <v>758</v>
          </cell>
        </row>
        <row r="2398">
          <cell r="A2398" t="str">
            <v>ARS</v>
          </cell>
          <cell r="B2398" t="str">
            <v>758003162</v>
          </cell>
          <cell r="C2398" t="str">
            <v>Perugini, Eduardo Daniel y/o Perugini, Ana Paula y/o Perugini, Valentina</v>
          </cell>
          <cell r="G2398">
            <v>133098671.59999999</v>
          </cell>
          <cell r="H2398">
            <v>133098671.59999999</v>
          </cell>
          <cell r="I2398" t="str">
            <v>758</v>
          </cell>
        </row>
        <row r="2399">
          <cell r="A2399" t="str">
            <v>ARS</v>
          </cell>
          <cell r="B2399" t="str">
            <v>758003164</v>
          </cell>
          <cell r="C2399" t="str">
            <v>Lira, Marcela Patricia</v>
          </cell>
          <cell r="G2399">
            <v>909207</v>
          </cell>
          <cell r="H2399">
            <v>909207</v>
          </cell>
          <cell r="I2399" t="str">
            <v>758</v>
          </cell>
        </row>
        <row r="2400">
          <cell r="A2400" t="str">
            <v>ARS</v>
          </cell>
          <cell r="B2400" t="str">
            <v>758003165</v>
          </cell>
          <cell r="C2400" t="str">
            <v>Schreck, Diego Alejandro y/o Schreck, Jacqueline Carina</v>
          </cell>
          <cell r="G2400">
            <v>62146491</v>
          </cell>
          <cell r="H2400">
            <v>62146491</v>
          </cell>
          <cell r="I2400" t="str">
            <v>758</v>
          </cell>
        </row>
        <row r="2401">
          <cell r="A2401" t="str">
            <v>ARS</v>
          </cell>
          <cell r="B2401" t="str">
            <v>758003166</v>
          </cell>
          <cell r="C2401" t="str">
            <v>Fretes, Luis Alberto</v>
          </cell>
          <cell r="G2401">
            <v>2120607</v>
          </cell>
          <cell r="H2401">
            <v>2120607</v>
          </cell>
          <cell r="I2401" t="str">
            <v>758</v>
          </cell>
        </row>
        <row r="2402">
          <cell r="A2402" t="str">
            <v>ARS</v>
          </cell>
          <cell r="B2402" t="str">
            <v>758003172</v>
          </cell>
          <cell r="C2402" t="str">
            <v>De Chiara, Ricardo y/o De Chiara, Juan Adrian</v>
          </cell>
          <cell r="G2402">
            <v>923419</v>
          </cell>
          <cell r="H2402">
            <v>923419</v>
          </cell>
          <cell r="I2402" t="str">
            <v>758</v>
          </cell>
        </row>
        <row r="2403">
          <cell r="A2403" t="str">
            <v>ARS</v>
          </cell>
          <cell r="B2403" t="str">
            <v>758003173</v>
          </cell>
          <cell r="C2403" t="str">
            <v>Castillo, Maria Leopoldina y/o Montagano, Maximiliano Gaston</v>
          </cell>
          <cell r="G2403">
            <v>5471365</v>
          </cell>
          <cell r="H2403">
            <v>5471365</v>
          </cell>
          <cell r="I2403" t="str">
            <v>758</v>
          </cell>
        </row>
        <row r="2404">
          <cell r="A2404" t="str">
            <v>ARS</v>
          </cell>
          <cell r="B2404" t="str">
            <v>758003174</v>
          </cell>
          <cell r="C2404" t="str">
            <v>Perugini, Martina y/o Perugini, Luciano</v>
          </cell>
          <cell r="G2404">
            <v>80149105</v>
          </cell>
          <cell r="H2404">
            <v>80149105</v>
          </cell>
          <cell r="I2404" t="str">
            <v>758</v>
          </cell>
        </row>
        <row r="2405">
          <cell r="A2405" t="str">
            <v>ARS</v>
          </cell>
          <cell r="B2405" t="str">
            <v>758003175</v>
          </cell>
          <cell r="C2405" t="str">
            <v>Brandan, Miriam Mabel y/o Bruschini, Norberto Oscar</v>
          </cell>
          <cell r="G2405">
            <v>109925190</v>
          </cell>
          <cell r="H2405">
            <v>109925190</v>
          </cell>
          <cell r="I2405" t="str">
            <v>758</v>
          </cell>
        </row>
        <row r="2406">
          <cell r="A2406" t="str">
            <v>ARS</v>
          </cell>
          <cell r="B2406" t="str">
            <v>758004006</v>
          </cell>
          <cell r="C2406" t="str">
            <v>Escudero, Marly tatiana</v>
          </cell>
          <cell r="G2406">
            <v>1409701</v>
          </cell>
          <cell r="H2406">
            <v>1409701</v>
          </cell>
          <cell r="I2406" t="str">
            <v>758</v>
          </cell>
        </row>
        <row r="2407">
          <cell r="A2407" t="str">
            <v>ARS</v>
          </cell>
          <cell r="B2407" t="str">
            <v>758004013</v>
          </cell>
          <cell r="C2407" t="str">
            <v>Scotto, Sergio Martin</v>
          </cell>
          <cell r="G2407">
            <v>2133148</v>
          </cell>
          <cell r="H2407">
            <v>2133148</v>
          </cell>
          <cell r="I2407" t="str">
            <v>758</v>
          </cell>
        </row>
        <row r="2408">
          <cell r="A2408" t="str">
            <v>ARS</v>
          </cell>
          <cell r="B2408" t="str">
            <v>758004016</v>
          </cell>
          <cell r="C2408" t="str">
            <v>Pons Stella Maris</v>
          </cell>
          <cell r="G2408">
            <v>4149430.13</v>
          </cell>
          <cell r="H2408">
            <v>4149430.13</v>
          </cell>
          <cell r="I2408" t="str">
            <v>758</v>
          </cell>
        </row>
        <row r="2409">
          <cell r="A2409" t="str">
            <v>ARS</v>
          </cell>
          <cell r="B2409" t="str">
            <v>758005001</v>
          </cell>
          <cell r="C2409" t="str">
            <v>Rey Fortes, Glenda</v>
          </cell>
          <cell r="G2409">
            <v>790734</v>
          </cell>
          <cell r="H2409">
            <v>790734</v>
          </cell>
          <cell r="I2409" t="str">
            <v>758</v>
          </cell>
        </row>
        <row r="2410">
          <cell r="A2410" t="str">
            <v>ARS</v>
          </cell>
          <cell r="B2410" t="str">
            <v>758005017</v>
          </cell>
          <cell r="C2410" t="str">
            <v>Raffo, Agustin</v>
          </cell>
          <cell r="G2410">
            <v>855621</v>
          </cell>
          <cell r="H2410">
            <v>855621</v>
          </cell>
          <cell r="I2410" t="str">
            <v>758</v>
          </cell>
        </row>
        <row r="2411">
          <cell r="A2411" t="str">
            <v>ARS</v>
          </cell>
          <cell r="B2411" t="str">
            <v>758005021</v>
          </cell>
          <cell r="C2411" t="str">
            <v>Ghiara, Gaston Roberto</v>
          </cell>
          <cell r="G2411">
            <v>103037</v>
          </cell>
          <cell r="H2411">
            <v>103037</v>
          </cell>
          <cell r="I2411" t="str">
            <v>758</v>
          </cell>
        </row>
        <row r="2412">
          <cell r="A2412" t="str">
            <v>ARS</v>
          </cell>
          <cell r="B2412" t="str">
            <v>758005028</v>
          </cell>
          <cell r="C2412" t="str">
            <v>JPH SA</v>
          </cell>
          <cell r="G2412">
            <v>1296840751.8699999</v>
          </cell>
          <cell r="H2412">
            <v>1296840751.8699999</v>
          </cell>
          <cell r="I2412" t="str">
            <v>758</v>
          </cell>
        </row>
        <row r="2413">
          <cell r="A2413" t="str">
            <v>ARS</v>
          </cell>
          <cell r="B2413" t="str">
            <v>758005029</v>
          </cell>
          <cell r="C2413" t="str">
            <v>SEALS TECNO S.A.</v>
          </cell>
          <cell r="G2413">
            <v>1685027487.5799999</v>
          </cell>
          <cell r="H2413">
            <v>1685027487.5799999</v>
          </cell>
          <cell r="I2413" t="str">
            <v>758</v>
          </cell>
        </row>
        <row r="2414">
          <cell r="A2414" t="str">
            <v>ARS</v>
          </cell>
          <cell r="B2414" t="str">
            <v>758005030</v>
          </cell>
          <cell r="C2414" t="str">
            <v>Spacematic General Services SA</v>
          </cell>
          <cell r="G2414">
            <v>4166126081.8000002</v>
          </cell>
          <cell r="H2414">
            <v>4166126081.8000002</v>
          </cell>
          <cell r="I2414" t="str">
            <v>758</v>
          </cell>
        </row>
        <row r="2415">
          <cell r="A2415" t="str">
            <v>ARS</v>
          </cell>
          <cell r="B2415" t="str">
            <v>758005034</v>
          </cell>
          <cell r="C2415" t="str">
            <v>Jose Nuñez S.R.L.</v>
          </cell>
          <cell r="G2415">
            <v>84445157.629999995</v>
          </cell>
          <cell r="H2415">
            <v>84445157.629999995</v>
          </cell>
          <cell r="I2415" t="str">
            <v>758</v>
          </cell>
        </row>
        <row r="2416">
          <cell r="A2416" t="str">
            <v>ARS</v>
          </cell>
          <cell r="B2416" t="str">
            <v>758005035</v>
          </cell>
          <cell r="C2416" t="str">
            <v>Mendonca, Juan Sebastian</v>
          </cell>
          <cell r="G2416">
            <v>763747</v>
          </cell>
          <cell r="H2416">
            <v>763747</v>
          </cell>
          <cell r="I2416" t="str">
            <v>758</v>
          </cell>
        </row>
        <row r="2417">
          <cell r="A2417" t="str">
            <v>ARS</v>
          </cell>
          <cell r="B2417" t="str">
            <v>758005040</v>
          </cell>
          <cell r="C2417" t="str">
            <v>ARCHIVOS ORAS</v>
          </cell>
          <cell r="G2417">
            <v>183328193.97</v>
          </cell>
          <cell r="H2417">
            <v>183328193.97</v>
          </cell>
          <cell r="I2417" t="str">
            <v>758</v>
          </cell>
        </row>
        <row r="2418">
          <cell r="A2418" t="str">
            <v>ARS</v>
          </cell>
          <cell r="B2418" t="str">
            <v>758005041</v>
          </cell>
          <cell r="C2418" t="str">
            <v>SEALS TECH</v>
          </cell>
          <cell r="G2418">
            <v>2218200500.8699999</v>
          </cell>
          <cell r="H2418">
            <v>2218200500.8699999</v>
          </cell>
          <cell r="I2418" t="str">
            <v>758</v>
          </cell>
        </row>
        <row r="2419">
          <cell r="A2419" t="str">
            <v>ARS</v>
          </cell>
          <cell r="B2419" t="str">
            <v>758005042</v>
          </cell>
          <cell r="C2419" t="str">
            <v>Arpino, Leónidas Pascual</v>
          </cell>
          <cell r="G2419">
            <v>364952980.12</v>
          </cell>
          <cell r="H2419">
            <v>364952980.12</v>
          </cell>
          <cell r="I2419" t="str">
            <v>758</v>
          </cell>
        </row>
        <row r="2420">
          <cell r="A2420" t="str">
            <v>ARS</v>
          </cell>
          <cell r="B2420" t="str">
            <v>758006001</v>
          </cell>
          <cell r="C2420" t="str">
            <v>Vela, Andres Santiago</v>
          </cell>
          <cell r="G2420">
            <v>45367660</v>
          </cell>
          <cell r="H2420">
            <v>45367660</v>
          </cell>
          <cell r="I2420" t="str">
            <v>758</v>
          </cell>
        </row>
        <row r="2421">
          <cell r="A2421" t="str">
            <v>ARS</v>
          </cell>
          <cell r="B2421" t="str">
            <v>758006006</v>
          </cell>
          <cell r="C2421" t="str">
            <v>Salinas Gerardo Daniel</v>
          </cell>
          <cell r="G2421">
            <v>7462856</v>
          </cell>
          <cell r="H2421">
            <v>7462856</v>
          </cell>
          <cell r="I2421" t="str">
            <v>758</v>
          </cell>
        </row>
        <row r="2422">
          <cell r="A2422" t="str">
            <v>ARS</v>
          </cell>
          <cell r="B2422" t="str">
            <v>758006009</v>
          </cell>
          <cell r="C2422" t="str">
            <v>Parra Diego Facundo</v>
          </cell>
          <cell r="G2422">
            <v>967126</v>
          </cell>
          <cell r="H2422">
            <v>967126</v>
          </cell>
          <cell r="I2422" t="str">
            <v>758</v>
          </cell>
        </row>
        <row r="2423">
          <cell r="A2423" t="str">
            <v>ARS</v>
          </cell>
          <cell r="B2423" t="str">
            <v>758006010</v>
          </cell>
          <cell r="C2423" t="str">
            <v>Vera Diego</v>
          </cell>
          <cell r="G2423">
            <v>27949076</v>
          </cell>
          <cell r="H2423">
            <v>27949076</v>
          </cell>
          <cell r="I2423" t="str">
            <v>758</v>
          </cell>
        </row>
        <row r="2424">
          <cell r="A2424" t="str">
            <v>ARS</v>
          </cell>
          <cell r="B2424" t="str">
            <v>758006013</v>
          </cell>
          <cell r="C2424" t="str">
            <v>Martignano Juan Adrian</v>
          </cell>
          <cell r="G2424">
            <v>16744598</v>
          </cell>
          <cell r="H2424">
            <v>16744598</v>
          </cell>
          <cell r="I2424" t="str">
            <v>758</v>
          </cell>
        </row>
        <row r="2425">
          <cell r="A2425" t="str">
            <v>ARS</v>
          </cell>
          <cell r="B2425" t="str">
            <v>758006014</v>
          </cell>
          <cell r="C2425" t="str">
            <v>Sarcuno Andres Sebastian</v>
          </cell>
          <cell r="G2425">
            <v>26436578</v>
          </cell>
          <cell r="H2425">
            <v>26436578</v>
          </cell>
          <cell r="I2425" t="str">
            <v>758</v>
          </cell>
        </row>
        <row r="2426">
          <cell r="A2426" t="str">
            <v>ARS</v>
          </cell>
          <cell r="B2426" t="str">
            <v>758006016</v>
          </cell>
          <cell r="C2426" t="str">
            <v>Giacomini Diego Pablo</v>
          </cell>
          <cell r="G2426">
            <v>32672687</v>
          </cell>
          <cell r="H2426">
            <v>32672687</v>
          </cell>
          <cell r="I2426" t="str">
            <v>758</v>
          </cell>
        </row>
        <row r="2427">
          <cell r="A2427" t="str">
            <v>ARS</v>
          </cell>
          <cell r="B2427" t="str">
            <v>758006018</v>
          </cell>
          <cell r="C2427" t="str">
            <v>Verdun Gaston Haroldo y/o Fermanelli Maria Carolina</v>
          </cell>
          <cell r="G2427">
            <v>40103663</v>
          </cell>
          <cell r="H2427">
            <v>40103663</v>
          </cell>
          <cell r="I2427" t="str">
            <v>758</v>
          </cell>
        </row>
        <row r="2428">
          <cell r="A2428" t="str">
            <v>ARS</v>
          </cell>
          <cell r="B2428" t="str">
            <v>758006019</v>
          </cell>
          <cell r="C2428" t="str">
            <v xml:space="preserve">Elementik SRL </v>
          </cell>
          <cell r="G2428">
            <v>87210251.599999994</v>
          </cell>
          <cell r="H2428">
            <v>87210251.599999994</v>
          </cell>
          <cell r="I2428" t="str">
            <v>758</v>
          </cell>
        </row>
        <row r="2429">
          <cell r="A2429" t="str">
            <v>ARS</v>
          </cell>
          <cell r="B2429" t="str">
            <v>758006020</v>
          </cell>
          <cell r="C2429" t="str">
            <v xml:space="preserve"> Graziani, Nilda Mary y/o Barreiro, Ricardo Oreste y/o Barreiro, Silvio Francisco </v>
          </cell>
          <cell r="G2429">
            <v>1474717</v>
          </cell>
          <cell r="H2429">
            <v>1474717</v>
          </cell>
          <cell r="I2429" t="str">
            <v>758</v>
          </cell>
        </row>
        <row r="2430">
          <cell r="A2430" t="str">
            <v>ARS</v>
          </cell>
          <cell r="B2430" t="str">
            <v>758006022</v>
          </cell>
          <cell r="C2430" t="str">
            <v>Berardini Javier Angel</v>
          </cell>
          <cell r="G2430">
            <v>1105666</v>
          </cell>
          <cell r="H2430">
            <v>1105666</v>
          </cell>
          <cell r="I2430" t="str">
            <v>758</v>
          </cell>
        </row>
        <row r="2431">
          <cell r="A2431" t="str">
            <v>ARS</v>
          </cell>
          <cell r="B2431" t="str">
            <v>758006023</v>
          </cell>
          <cell r="C2431" t="str">
            <v>Gogoodie SRL</v>
          </cell>
          <cell r="G2431">
            <v>74307524.799999997</v>
          </cell>
          <cell r="H2431">
            <v>74307524.799999997</v>
          </cell>
          <cell r="I2431" t="str">
            <v>758</v>
          </cell>
        </row>
        <row r="2432">
          <cell r="A2432" t="str">
            <v>ARS</v>
          </cell>
          <cell r="B2432" t="str">
            <v>758006026</v>
          </cell>
          <cell r="C2432" t="str">
            <v>GAMONDI, HUGO ARIEL</v>
          </cell>
          <cell r="G2432">
            <v>76075139.5</v>
          </cell>
          <cell r="H2432">
            <v>76075139.5</v>
          </cell>
          <cell r="I2432" t="str">
            <v>758</v>
          </cell>
        </row>
        <row r="2433">
          <cell r="A2433" t="str">
            <v>ARS</v>
          </cell>
          <cell r="B2433" t="str">
            <v>758006029</v>
          </cell>
          <cell r="C2433" t="str">
            <v>FERRARI, IVAN AGUSTIN</v>
          </cell>
          <cell r="G2433">
            <v>2261600</v>
          </cell>
          <cell r="H2433">
            <v>2261600</v>
          </cell>
          <cell r="I2433" t="str">
            <v>758</v>
          </cell>
        </row>
        <row r="2434">
          <cell r="A2434" t="str">
            <v>ARS</v>
          </cell>
          <cell r="B2434" t="str">
            <v>758006030</v>
          </cell>
          <cell r="C2434" t="str">
            <v>TROVATO, HÉCTOR NORBERTO Y/O DE FORTIS FELISA ANGELA</v>
          </cell>
          <cell r="G2434">
            <v>5410726</v>
          </cell>
          <cell r="H2434">
            <v>5410726</v>
          </cell>
          <cell r="I2434" t="str">
            <v>758</v>
          </cell>
        </row>
        <row r="2435">
          <cell r="A2435" t="str">
            <v>ARS</v>
          </cell>
          <cell r="B2435" t="str">
            <v>758006032</v>
          </cell>
          <cell r="C2435" t="str">
            <v>MAURE, MARIO DANIEL</v>
          </cell>
          <cell r="G2435">
            <v>1288671</v>
          </cell>
          <cell r="H2435">
            <v>1288671</v>
          </cell>
          <cell r="I2435" t="str">
            <v>758</v>
          </cell>
        </row>
        <row r="2436">
          <cell r="A2436" t="str">
            <v>ARS</v>
          </cell>
          <cell r="B2436" t="str">
            <v>758006033</v>
          </cell>
          <cell r="C2436" t="str">
            <v>Cerdeira, Santiago Enrique y/o Artese, Daiana Gisele</v>
          </cell>
          <cell r="G2436">
            <v>1702553</v>
          </cell>
          <cell r="H2436">
            <v>1702553</v>
          </cell>
          <cell r="I2436" t="str">
            <v>758</v>
          </cell>
        </row>
        <row r="2437">
          <cell r="A2437" t="str">
            <v>ARS</v>
          </cell>
          <cell r="B2437" t="str">
            <v>758006034</v>
          </cell>
          <cell r="C2437" t="str">
            <v xml:space="preserve">Brandon, Alejandro </v>
          </cell>
          <cell r="G2437">
            <v>88487393.5</v>
          </cell>
          <cell r="H2437">
            <v>88487393.5</v>
          </cell>
          <cell r="I2437" t="str">
            <v>758</v>
          </cell>
        </row>
        <row r="2438">
          <cell r="A2438" t="str">
            <v>ARS</v>
          </cell>
          <cell r="B2438" t="str">
            <v>758006038</v>
          </cell>
          <cell r="C2438" t="str">
            <v>LE BAS, ANDRES ROBERTO</v>
          </cell>
          <cell r="G2438">
            <v>5432363</v>
          </cell>
          <cell r="H2438">
            <v>5432363</v>
          </cell>
          <cell r="I2438" t="str">
            <v>758</v>
          </cell>
        </row>
        <row r="2439">
          <cell r="A2439" t="str">
            <v>ARS</v>
          </cell>
          <cell r="B2439" t="str">
            <v>758006040</v>
          </cell>
          <cell r="C2439" t="str">
            <v>Collia Ignacio Jose</v>
          </cell>
          <cell r="G2439">
            <v>1233989.92</v>
          </cell>
          <cell r="H2439">
            <v>1233989.92</v>
          </cell>
          <cell r="I2439" t="str">
            <v>758</v>
          </cell>
        </row>
        <row r="2440">
          <cell r="A2440" t="str">
            <v>ARS</v>
          </cell>
          <cell r="B2440" t="str">
            <v>758006042</v>
          </cell>
          <cell r="C2440" t="str">
            <v>Rossi Antonio y/0 Mucci Angela Dora</v>
          </cell>
          <cell r="G2440">
            <v>716400</v>
          </cell>
          <cell r="H2440">
            <v>716400</v>
          </cell>
          <cell r="I2440" t="str">
            <v>758</v>
          </cell>
        </row>
        <row r="2441">
          <cell r="A2441" t="str">
            <v>ARS</v>
          </cell>
          <cell r="B2441" t="str">
            <v>758006045</v>
          </cell>
          <cell r="C2441" t="str">
            <v>GOMEZ, LUIS SEBASTIAN</v>
          </cell>
          <cell r="G2441">
            <v>3411029</v>
          </cell>
          <cell r="H2441">
            <v>3411029</v>
          </cell>
          <cell r="I2441" t="str">
            <v>758</v>
          </cell>
        </row>
        <row r="2442">
          <cell r="A2442" t="str">
            <v>ARS</v>
          </cell>
          <cell r="B2442" t="str">
            <v>758006046</v>
          </cell>
          <cell r="C2442" t="str">
            <v>FILIPPO, ROMINA</v>
          </cell>
          <cell r="G2442">
            <v>66231202</v>
          </cell>
          <cell r="H2442">
            <v>66231202</v>
          </cell>
          <cell r="I2442" t="str">
            <v>758</v>
          </cell>
        </row>
        <row r="2443">
          <cell r="A2443" t="str">
            <v>ARS</v>
          </cell>
          <cell r="B2443" t="str">
            <v>758006051</v>
          </cell>
          <cell r="C2443" t="str">
            <v>FUENTES, GUSTAVO DANIEL</v>
          </cell>
          <cell r="G2443">
            <v>60508482</v>
          </cell>
          <cell r="H2443">
            <v>60508482</v>
          </cell>
          <cell r="I2443" t="str">
            <v>758</v>
          </cell>
        </row>
        <row r="2444">
          <cell r="A2444" t="str">
            <v>ARS</v>
          </cell>
          <cell r="B2444" t="str">
            <v>758006054</v>
          </cell>
          <cell r="C2444" t="str">
            <v>ARNOLDT, ROBERTO ANTONIO</v>
          </cell>
          <cell r="G2444">
            <v>7988384</v>
          </cell>
          <cell r="H2444">
            <v>7988384</v>
          </cell>
          <cell r="I2444" t="str">
            <v>758</v>
          </cell>
        </row>
        <row r="2445">
          <cell r="A2445" t="str">
            <v>ARS</v>
          </cell>
          <cell r="B2445" t="str">
            <v>758006055</v>
          </cell>
          <cell r="C2445" t="str">
            <v>MAURE REBOREDO, ARIADNA LUCÍA</v>
          </cell>
          <cell r="G2445">
            <v>21717463</v>
          </cell>
          <cell r="H2445">
            <v>21717463</v>
          </cell>
          <cell r="I2445" t="str">
            <v>758</v>
          </cell>
        </row>
        <row r="2446">
          <cell r="A2446" t="str">
            <v>ARS</v>
          </cell>
          <cell r="B2446" t="str">
            <v>758006056</v>
          </cell>
          <cell r="C2446" t="str">
            <v>Graziani Nilda Mary y/o Barreiro Ricardo Oreste y/o Barreiro Silvio Francisco y/o Gianandrea Javier</v>
          </cell>
          <cell r="G2446">
            <v>56434622.799999997</v>
          </cell>
          <cell r="H2446">
            <v>56434622.799999997</v>
          </cell>
          <cell r="I2446" t="str">
            <v>758</v>
          </cell>
        </row>
        <row r="2447">
          <cell r="A2447" t="str">
            <v>ARS</v>
          </cell>
          <cell r="B2447" t="str">
            <v>758006057</v>
          </cell>
          <cell r="C2447" t="str">
            <v>AYALA MAGGI, CÉSAR NAZARENO</v>
          </cell>
          <cell r="G2447">
            <v>129297745.8</v>
          </cell>
          <cell r="H2447">
            <v>129297745.8</v>
          </cell>
          <cell r="I2447" t="str">
            <v>758</v>
          </cell>
        </row>
        <row r="2448">
          <cell r="A2448" t="str">
            <v>ARS</v>
          </cell>
          <cell r="B2448" t="str">
            <v>758006061</v>
          </cell>
          <cell r="C2448" t="str">
            <v>MARTINEZ DI PACE, DIEGO CRUZ</v>
          </cell>
          <cell r="G2448">
            <v>19133684</v>
          </cell>
          <cell r="H2448">
            <v>19133684</v>
          </cell>
          <cell r="I2448" t="str">
            <v>758</v>
          </cell>
        </row>
        <row r="2449">
          <cell r="A2449" t="str">
            <v>ARS</v>
          </cell>
          <cell r="B2449" t="str">
            <v>758006062</v>
          </cell>
          <cell r="C2449" t="str">
            <v>BAQUEDANO, MARTIN</v>
          </cell>
          <cell r="G2449">
            <v>7524751</v>
          </cell>
          <cell r="H2449">
            <v>7524751</v>
          </cell>
          <cell r="I2449" t="str">
            <v>758</v>
          </cell>
        </row>
        <row r="2450">
          <cell r="A2450" t="str">
            <v>ARS</v>
          </cell>
          <cell r="B2450" t="str">
            <v>758006067</v>
          </cell>
          <cell r="C2450" t="str">
            <v>AZAMBUJA, FERNANDO JOSE</v>
          </cell>
          <cell r="G2450">
            <v>17746292</v>
          </cell>
          <cell r="H2450">
            <v>17746292</v>
          </cell>
          <cell r="I2450" t="str">
            <v>758</v>
          </cell>
        </row>
        <row r="2451">
          <cell r="A2451" t="str">
            <v>ARS</v>
          </cell>
          <cell r="B2451" t="str">
            <v>758006068</v>
          </cell>
          <cell r="C2451" t="str">
            <v>SOLANO, CLAUDIO RODOLFO</v>
          </cell>
          <cell r="G2451">
            <v>418233718.80000001</v>
          </cell>
          <cell r="H2451">
            <v>418233718.80000001</v>
          </cell>
          <cell r="I2451" t="str">
            <v>758</v>
          </cell>
        </row>
        <row r="2452">
          <cell r="A2452" t="str">
            <v>ARS</v>
          </cell>
          <cell r="B2452" t="str">
            <v>758006069</v>
          </cell>
          <cell r="C2452" t="str">
            <v>LARROQUE, CARLOS MIGUEL</v>
          </cell>
          <cell r="G2452">
            <v>48871076.100000001</v>
          </cell>
          <cell r="H2452">
            <v>48871076.100000001</v>
          </cell>
          <cell r="I2452" t="str">
            <v>758</v>
          </cell>
        </row>
        <row r="2453">
          <cell r="A2453" t="str">
            <v>ARS</v>
          </cell>
          <cell r="B2453" t="str">
            <v>758006070</v>
          </cell>
          <cell r="C2453" t="str">
            <v>NARDI, JUAN JOSÉ</v>
          </cell>
          <cell r="G2453">
            <v>1014060</v>
          </cell>
          <cell r="H2453">
            <v>1014060</v>
          </cell>
          <cell r="I2453" t="str">
            <v>758</v>
          </cell>
        </row>
        <row r="2454">
          <cell r="A2454" t="str">
            <v>ARS</v>
          </cell>
          <cell r="B2454" t="str">
            <v>758006071</v>
          </cell>
          <cell r="C2454" t="str">
            <v>HINCKELMANN, CARLOS FEDERICO</v>
          </cell>
          <cell r="G2454">
            <v>33911161</v>
          </cell>
          <cell r="H2454">
            <v>33911161</v>
          </cell>
          <cell r="I2454" t="str">
            <v>758</v>
          </cell>
        </row>
        <row r="2455">
          <cell r="A2455" t="str">
            <v>ARS</v>
          </cell>
          <cell r="B2455" t="str">
            <v>758006072</v>
          </cell>
          <cell r="C2455" t="str">
            <v>LOZA BUSTOS EXEQUIEL JESUS</v>
          </cell>
          <cell r="G2455">
            <v>3834118</v>
          </cell>
          <cell r="H2455">
            <v>3834118</v>
          </cell>
          <cell r="I2455" t="str">
            <v>758</v>
          </cell>
        </row>
        <row r="2456">
          <cell r="A2456" t="str">
            <v>ARS</v>
          </cell>
          <cell r="B2456" t="str">
            <v>758006073</v>
          </cell>
          <cell r="C2456" t="str">
            <v>RIVAS, VIVIANI MARIA Y/O CARLOS FEDERICO HINCKELMANN</v>
          </cell>
          <cell r="G2456">
            <v>24129630.050000001</v>
          </cell>
          <cell r="H2456">
            <v>24129630.050000001</v>
          </cell>
          <cell r="I2456" t="str">
            <v>758</v>
          </cell>
        </row>
        <row r="2457">
          <cell r="A2457" t="str">
            <v>ARS</v>
          </cell>
          <cell r="B2457" t="str">
            <v>758006075</v>
          </cell>
          <cell r="C2457" t="str">
            <v>BLANCO LARA, MARTIN FERNANDO o POSITIERI, LAURA MARIELA</v>
          </cell>
          <cell r="G2457">
            <v>153942221.59999999</v>
          </cell>
          <cell r="H2457">
            <v>153942221.59999999</v>
          </cell>
          <cell r="I2457" t="str">
            <v>758</v>
          </cell>
        </row>
        <row r="2458">
          <cell r="A2458" t="str">
            <v>ARS</v>
          </cell>
          <cell r="B2458" t="str">
            <v>758006078</v>
          </cell>
          <cell r="C2458" t="str">
            <v>NIVELA, MARIA MONICA o BOTTINELLI, JORGE</v>
          </cell>
          <cell r="G2458">
            <v>6779145</v>
          </cell>
          <cell r="H2458">
            <v>6779145</v>
          </cell>
          <cell r="I2458" t="str">
            <v>758</v>
          </cell>
        </row>
        <row r="2459">
          <cell r="A2459" t="str">
            <v>ARS</v>
          </cell>
          <cell r="B2459" t="str">
            <v>758006079</v>
          </cell>
          <cell r="C2459" t="str">
            <v>SPIRIT SOLUTION NETWORK SA</v>
          </cell>
          <cell r="G2459">
            <v>71041958</v>
          </cell>
          <cell r="H2459">
            <v>71041958</v>
          </cell>
          <cell r="I2459" t="str">
            <v>758</v>
          </cell>
        </row>
        <row r="2460">
          <cell r="A2460" t="str">
            <v>ARS</v>
          </cell>
          <cell r="B2460" t="str">
            <v>758006081</v>
          </cell>
          <cell r="C2460" t="str">
            <v>VILLALBA PALMIERI, SANTIAGO</v>
          </cell>
          <cell r="G2460">
            <v>3122801</v>
          </cell>
          <cell r="H2460">
            <v>3122801</v>
          </cell>
          <cell r="I2460" t="str">
            <v>758</v>
          </cell>
        </row>
        <row r="2461">
          <cell r="A2461" t="str">
            <v>ARS</v>
          </cell>
          <cell r="B2461" t="str">
            <v>758006082</v>
          </cell>
          <cell r="C2461" t="str">
            <v>Bavec, Margarita Luisa y/o Bartolome, Hector Emilio</v>
          </cell>
          <cell r="G2461">
            <v>4159328</v>
          </cell>
          <cell r="H2461">
            <v>4159328</v>
          </cell>
          <cell r="I2461" t="str">
            <v>758</v>
          </cell>
        </row>
        <row r="2462">
          <cell r="A2462" t="str">
            <v>ARS</v>
          </cell>
          <cell r="B2462" t="str">
            <v>758006084</v>
          </cell>
          <cell r="C2462" t="str">
            <v>GALLO, GASTON JORGE o LÓPEZ, NATACHA VERONICA</v>
          </cell>
          <cell r="G2462">
            <v>22759321</v>
          </cell>
          <cell r="H2462">
            <v>22759321</v>
          </cell>
          <cell r="I2462" t="str">
            <v>758</v>
          </cell>
        </row>
        <row r="2463">
          <cell r="A2463" t="str">
            <v>ARS</v>
          </cell>
          <cell r="B2463" t="str">
            <v>758006085</v>
          </cell>
          <cell r="C2463" t="str">
            <v>SELENER, CARLOS GUILLERMO</v>
          </cell>
          <cell r="G2463">
            <v>3219482</v>
          </cell>
          <cell r="H2463">
            <v>3219482</v>
          </cell>
          <cell r="I2463" t="str">
            <v>758</v>
          </cell>
        </row>
        <row r="2464">
          <cell r="A2464" t="str">
            <v>ARS</v>
          </cell>
          <cell r="B2464" t="str">
            <v>758006086</v>
          </cell>
          <cell r="C2464" t="str">
            <v>LAMBERTUCCI, MARCELO FABIAN</v>
          </cell>
          <cell r="G2464">
            <v>1697596</v>
          </cell>
          <cell r="H2464">
            <v>1697596</v>
          </cell>
          <cell r="I2464" t="str">
            <v>758</v>
          </cell>
        </row>
        <row r="2465">
          <cell r="A2465" t="str">
            <v>ARS</v>
          </cell>
          <cell r="B2465" t="str">
            <v>758006087</v>
          </cell>
          <cell r="C2465" t="str">
            <v>VÁZQUEZ, ANDREA CAROLINA</v>
          </cell>
          <cell r="G2465">
            <v>19675819</v>
          </cell>
          <cell r="H2465">
            <v>19675819</v>
          </cell>
          <cell r="I2465" t="str">
            <v>758</v>
          </cell>
        </row>
        <row r="2466">
          <cell r="A2466" t="str">
            <v>ARS</v>
          </cell>
          <cell r="B2466" t="str">
            <v>758006088</v>
          </cell>
          <cell r="C2466" t="str">
            <v>MARTINEZ, ALFREDO IGNACIO</v>
          </cell>
          <cell r="G2466">
            <v>2148471</v>
          </cell>
          <cell r="H2466">
            <v>2148471</v>
          </cell>
          <cell r="I2466" t="str">
            <v>758</v>
          </cell>
        </row>
        <row r="2467">
          <cell r="A2467" t="str">
            <v>ARS</v>
          </cell>
          <cell r="B2467" t="str">
            <v>758006089</v>
          </cell>
          <cell r="C2467" t="str">
            <v>CARZOGLIO, DIEGO</v>
          </cell>
          <cell r="G2467">
            <v>7017350</v>
          </cell>
          <cell r="H2467">
            <v>7017350</v>
          </cell>
          <cell r="I2467" t="str">
            <v>758</v>
          </cell>
        </row>
        <row r="2468">
          <cell r="A2468" t="str">
            <v>ARS</v>
          </cell>
          <cell r="B2468" t="str">
            <v>758006095</v>
          </cell>
          <cell r="C2468" t="str">
            <v>BUTTAZZONI, MARIO ALEJANDRO o BUTTAZZONI, GABRIELA MARIA</v>
          </cell>
          <cell r="G2468">
            <v>5468806</v>
          </cell>
          <cell r="H2468">
            <v>5468806</v>
          </cell>
          <cell r="I2468" t="str">
            <v>758</v>
          </cell>
        </row>
        <row r="2469">
          <cell r="A2469" t="str">
            <v>ARS</v>
          </cell>
          <cell r="B2469" t="str">
            <v>758006097</v>
          </cell>
          <cell r="C2469" t="str">
            <v>TUCINSKAS, VICTORIA ELENA Y/O FERNANDO MOTTILLO</v>
          </cell>
          <cell r="G2469">
            <v>4054273</v>
          </cell>
          <cell r="H2469">
            <v>4054273</v>
          </cell>
          <cell r="I2469" t="str">
            <v>758</v>
          </cell>
        </row>
        <row r="2470">
          <cell r="A2470" t="str">
            <v>ARS</v>
          </cell>
          <cell r="B2470" t="str">
            <v>758006098</v>
          </cell>
          <cell r="C2470" t="str">
            <v>PAZ, JESICA PAOLA</v>
          </cell>
          <cell r="G2470">
            <v>24270321</v>
          </cell>
          <cell r="H2470">
            <v>24270321</v>
          </cell>
          <cell r="I2470" t="str">
            <v>758</v>
          </cell>
        </row>
        <row r="2471">
          <cell r="A2471" t="str">
            <v>ARS</v>
          </cell>
          <cell r="B2471" t="str">
            <v>758006099</v>
          </cell>
          <cell r="C2471" t="str">
            <v>LEONE, FABIAN</v>
          </cell>
          <cell r="G2471">
            <v>2457082</v>
          </cell>
          <cell r="H2471">
            <v>2457082</v>
          </cell>
          <cell r="I2471" t="str">
            <v>758</v>
          </cell>
        </row>
        <row r="2472">
          <cell r="A2472" t="str">
            <v>ARS</v>
          </cell>
          <cell r="B2472" t="str">
            <v>758006100</v>
          </cell>
          <cell r="C2472" t="str">
            <v>LA MENTA SA</v>
          </cell>
          <cell r="G2472">
            <v>64129467.600000001</v>
          </cell>
          <cell r="H2472">
            <v>64129467.600000001</v>
          </cell>
          <cell r="I2472" t="str">
            <v>758</v>
          </cell>
        </row>
        <row r="2473">
          <cell r="A2473" t="str">
            <v>ARS</v>
          </cell>
          <cell r="B2473" t="str">
            <v>758006103</v>
          </cell>
          <cell r="C2473" t="str">
            <v>CECHINI, GONZALO</v>
          </cell>
          <cell r="G2473">
            <v>10014597</v>
          </cell>
          <cell r="H2473">
            <v>10014597</v>
          </cell>
          <cell r="I2473" t="str">
            <v>758</v>
          </cell>
        </row>
        <row r="2474">
          <cell r="A2474" t="str">
            <v>ARS</v>
          </cell>
          <cell r="B2474" t="str">
            <v>758006104</v>
          </cell>
          <cell r="C2474" t="str">
            <v>LISCIO, RAÚL ESTEBAN o MATSUZAKI, CARINA</v>
          </cell>
          <cell r="G2474">
            <v>12442287</v>
          </cell>
          <cell r="H2474">
            <v>12442287</v>
          </cell>
          <cell r="I2474" t="str">
            <v>758</v>
          </cell>
        </row>
        <row r="2475">
          <cell r="A2475" t="str">
            <v>ARS</v>
          </cell>
          <cell r="B2475" t="str">
            <v>758006105</v>
          </cell>
          <cell r="C2475" t="str">
            <v>LE BAS, ANDRES ROBERTO</v>
          </cell>
          <cell r="G2475">
            <v>9872916.4000000004</v>
          </cell>
          <cell r="H2475">
            <v>9872916.4000000004</v>
          </cell>
          <cell r="I2475" t="str">
            <v>758</v>
          </cell>
        </row>
        <row r="2476">
          <cell r="A2476" t="str">
            <v>ARS</v>
          </cell>
          <cell r="B2476" t="str">
            <v>758006106</v>
          </cell>
          <cell r="C2476" t="str">
            <v>Alvarez Gabriel y/o Alvarez Walter Sebastian</v>
          </cell>
          <cell r="G2476">
            <v>482401374.60000002</v>
          </cell>
          <cell r="H2476">
            <v>482401374.60000002</v>
          </cell>
          <cell r="I2476" t="str">
            <v>758</v>
          </cell>
        </row>
        <row r="2477">
          <cell r="A2477" t="str">
            <v>ARS</v>
          </cell>
          <cell r="B2477" t="str">
            <v>758006107</v>
          </cell>
          <cell r="C2477" t="str">
            <v>Alvarez Walter Sebastian y/o Alvarez Gabriel</v>
          </cell>
          <cell r="G2477">
            <v>141456166.19999999</v>
          </cell>
          <cell r="H2477">
            <v>141456166.19999999</v>
          </cell>
          <cell r="I2477" t="str">
            <v>758</v>
          </cell>
        </row>
        <row r="2478">
          <cell r="A2478" t="str">
            <v>ARS</v>
          </cell>
          <cell r="B2478" t="str">
            <v>758006108</v>
          </cell>
          <cell r="C2478" t="str">
            <v>Trovato, Agostina Claudia</v>
          </cell>
          <cell r="G2478">
            <v>5048340</v>
          </cell>
          <cell r="H2478">
            <v>5048340</v>
          </cell>
          <cell r="I2478" t="str">
            <v>758</v>
          </cell>
        </row>
        <row r="2479">
          <cell r="A2479" t="str">
            <v>ARS</v>
          </cell>
          <cell r="B2479" t="str">
            <v>758006109</v>
          </cell>
          <cell r="C2479" t="str">
            <v>Azambuja, Ariel</v>
          </cell>
          <cell r="G2479">
            <v>255009</v>
          </cell>
          <cell r="H2479">
            <v>255009</v>
          </cell>
          <cell r="I2479" t="str">
            <v>758</v>
          </cell>
        </row>
        <row r="2480">
          <cell r="A2480" t="str">
            <v>ARS</v>
          </cell>
          <cell r="B2480" t="str">
            <v>758006110</v>
          </cell>
          <cell r="C2480" t="str">
            <v>Trovato, Agostina Claudia y/o Rivero, Gabriela Berta</v>
          </cell>
          <cell r="G2480">
            <v>26845942</v>
          </cell>
          <cell r="H2480">
            <v>26845942</v>
          </cell>
          <cell r="I2480" t="str">
            <v>758</v>
          </cell>
        </row>
        <row r="2481">
          <cell r="A2481" t="str">
            <v>ARS</v>
          </cell>
          <cell r="B2481" t="str">
            <v>758007001</v>
          </cell>
          <cell r="C2481" t="str">
            <v>MGL45 SRL</v>
          </cell>
          <cell r="G2481">
            <v>817264400</v>
          </cell>
          <cell r="H2481">
            <v>817264400</v>
          </cell>
          <cell r="I2481" t="str">
            <v>758</v>
          </cell>
        </row>
        <row r="2482">
          <cell r="A2482" t="str">
            <v>ARS</v>
          </cell>
          <cell r="B2482" t="str">
            <v>758008001</v>
          </cell>
          <cell r="C2482" t="str">
            <v>Ceballos Figueroa, Maria Cecilia</v>
          </cell>
          <cell r="G2482">
            <v>44951334</v>
          </cell>
          <cell r="H2482">
            <v>44951334</v>
          </cell>
          <cell r="I2482" t="str">
            <v>758</v>
          </cell>
        </row>
        <row r="2483">
          <cell r="A2483" t="str">
            <v>ARS</v>
          </cell>
          <cell r="B2483" t="str">
            <v>758009006</v>
          </cell>
          <cell r="C2483" t="str">
            <v>Perazzi, Liliana Cristina y/o Pugliese, Agustín María y/o Pugliese, María Victoria</v>
          </cell>
          <cell r="G2483">
            <v>356396787.5</v>
          </cell>
          <cell r="H2483">
            <v>356396787.5</v>
          </cell>
          <cell r="I2483" t="str">
            <v>758</v>
          </cell>
        </row>
        <row r="2484">
          <cell r="A2484" t="str">
            <v>ARS</v>
          </cell>
          <cell r="B2484" t="str">
            <v>758009009</v>
          </cell>
          <cell r="C2484" t="str">
            <v>Maiz, Griselda Antonia y/o Pérez, Luis Daniel</v>
          </cell>
          <cell r="G2484">
            <v>429644849.5</v>
          </cell>
          <cell r="H2484">
            <v>429644849.5</v>
          </cell>
          <cell r="I2484" t="str">
            <v>758</v>
          </cell>
        </row>
        <row r="2485">
          <cell r="A2485" t="str">
            <v>ARS</v>
          </cell>
          <cell r="B2485" t="str">
            <v>758009012</v>
          </cell>
          <cell r="C2485" t="str">
            <v>Gonzalez Chiaramonte, Claudio Gabriel y/o Evangelista, Claudia</v>
          </cell>
          <cell r="G2485">
            <v>400087591.29000002</v>
          </cell>
          <cell r="H2485">
            <v>400087591.29000002</v>
          </cell>
          <cell r="I2485" t="str">
            <v>758</v>
          </cell>
        </row>
        <row r="2486">
          <cell r="A2486" t="str">
            <v>ARS</v>
          </cell>
          <cell r="B2486" t="str">
            <v>758009019</v>
          </cell>
          <cell r="C2486" t="str">
            <v>Asociación Trabajadores Argentinos Mutualizados</v>
          </cell>
          <cell r="G2486">
            <v>1197070</v>
          </cell>
          <cell r="H2486">
            <v>1197070</v>
          </cell>
          <cell r="I2486" t="str">
            <v>758</v>
          </cell>
        </row>
        <row r="2487">
          <cell r="A2487" t="str">
            <v>ARS</v>
          </cell>
          <cell r="B2487" t="str">
            <v>758009022</v>
          </cell>
          <cell r="C2487" t="str">
            <v>Orlando, Ricardo Antonio y/o Brennan, Patricia Teresita y/o Orlando Brennan, Tomás Manuel</v>
          </cell>
          <cell r="G2487">
            <v>14204539023.15</v>
          </cell>
          <cell r="H2487">
            <v>14204539023.15</v>
          </cell>
          <cell r="I2487" t="str">
            <v>758</v>
          </cell>
        </row>
        <row r="2488">
          <cell r="A2488" t="str">
            <v>ARS</v>
          </cell>
          <cell r="B2488" t="str">
            <v>758009027</v>
          </cell>
          <cell r="C2488" t="str">
            <v>Ferraro, Juan Carlos</v>
          </cell>
          <cell r="G2488">
            <v>3794293.2</v>
          </cell>
          <cell r="H2488">
            <v>3794293.2</v>
          </cell>
          <cell r="I2488" t="str">
            <v>758</v>
          </cell>
        </row>
        <row r="2489">
          <cell r="A2489" t="str">
            <v>ARS</v>
          </cell>
          <cell r="B2489" t="str">
            <v>758009031</v>
          </cell>
          <cell r="C2489" t="str">
            <v>Lofiego, Alberto Jorge</v>
          </cell>
          <cell r="G2489">
            <v>29742306</v>
          </cell>
          <cell r="H2489">
            <v>29742306</v>
          </cell>
          <cell r="I2489" t="str">
            <v>758</v>
          </cell>
        </row>
        <row r="2490">
          <cell r="A2490" t="str">
            <v>ARS</v>
          </cell>
          <cell r="B2490" t="str">
            <v>758009052</v>
          </cell>
          <cell r="C2490" t="str">
            <v>Lujan, Mabel Elisa y/o Verdun, Pablo Fabián</v>
          </cell>
          <cell r="G2490">
            <v>10755685</v>
          </cell>
          <cell r="H2490">
            <v>10755685</v>
          </cell>
          <cell r="I2490" t="str">
            <v>758</v>
          </cell>
        </row>
        <row r="2491">
          <cell r="A2491" t="str">
            <v>ARS</v>
          </cell>
          <cell r="B2491" t="str">
            <v>758009057</v>
          </cell>
          <cell r="C2491" t="str">
            <v>Fideicomiso Avellaneda</v>
          </cell>
          <cell r="G2491">
            <v>1403799337.6700001</v>
          </cell>
          <cell r="H2491">
            <v>1403799337.6700001</v>
          </cell>
          <cell r="I2491" t="str">
            <v>758</v>
          </cell>
        </row>
        <row r="2492">
          <cell r="A2492" t="str">
            <v>ARS</v>
          </cell>
          <cell r="B2492" t="str">
            <v>758009068</v>
          </cell>
          <cell r="C2492" t="str">
            <v>Fernandez, Jorge Alberto</v>
          </cell>
          <cell r="G2492">
            <v>35071264</v>
          </cell>
          <cell r="H2492">
            <v>35071264</v>
          </cell>
          <cell r="I2492" t="str">
            <v>758</v>
          </cell>
        </row>
        <row r="2493">
          <cell r="A2493" t="str">
            <v>ARS</v>
          </cell>
          <cell r="B2493" t="str">
            <v>758009076</v>
          </cell>
          <cell r="C2493" t="str">
            <v>Orlando Brennan, Maria Luz</v>
          </cell>
          <cell r="G2493">
            <v>156776449.06</v>
          </cell>
          <cell r="H2493">
            <v>156776449.06</v>
          </cell>
          <cell r="I2493" t="str">
            <v>758</v>
          </cell>
        </row>
        <row r="2494">
          <cell r="A2494" t="str">
            <v>ARS</v>
          </cell>
          <cell r="B2494" t="str">
            <v>758009077</v>
          </cell>
          <cell r="C2494" t="str">
            <v>Cicalese, Emanuel Fernando</v>
          </cell>
          <cell r="G2494">
            <v>60085679.950000003</v>
          </cell>
          <cell r="H2494">
            <v>60085679.950000003</v>
          </cell>
          <cell r="I2494" t="str">
            <v>758</v>
          </cell>
        </row>
        <row r="2495">
          <cell r="A2495" t="str">
            <v>ARS</v>
          </cell>
          <cell r="B2495" t="str">
            <v>758009082</v>
          </cell>
          <cell r="C2495" t="str">
            <v>Abad, Orlando y/o Morganti, María Verónica</v>
          </cell>
          <cell r="G2495">
            <v>1792214</v>
          </cell>
          <cell r="H2495">
            <v>1792214</v>
          </cell>
          <cell r="I2495" t="str">
            <v>758</v>
          </cell>
        </row>
        <row r="2496">
          <cell r="A2496" t="str">
            <v>ARS</v>
          </cell>
          <cell r="B2496" t="str">
            <v>758009519</v>
          </cell>
          <cell r="C2496" t="str">
            <v xml:space="preserve">Castells, Ana Maria </v>
          </cell>
          <cell r="G2496">
            <v>603852564</v>
          </cell>
          <cell r="H2496">
            <v>603852564</v>
          </cell>
          <cell r="I2496" t="str">
            <v>758</v>
          </cell>
        </row>
        <row r="2497">
          <cell r="A2497" t="str">
            <v>ARS</v>
          </cell>
          <cell r="B2497" t="str">
            <v>758009536</v>
          </cell>
          <cell r="C2497" t="str">
            <v>Pugliese, Agustin María y/o Pugliese, Mariana Ines y/o Pugliese Ignacio Luis</v>
          </cell>
          <cell r="G2497">
            <v>47087295</v>
          </cell>
          <cell r="H2497">
            <v>47087295</v>
          </cell>
          <cell r="I2497" t="str">
            <v>758</v>
          </cell>
        </row>
        <row r="2498">
          <cell r="A2498" t="str">
            <v>ARS</v>
          </cell>
          <cell r="B2498" t="str">
            <v>758009537</v>
          </cell>
          <cell r="C2498" t="str">
            <v>FIDALGO, DIEGO MARTIN y/o DE SETA, LORENA ALEJANDRA</v>
          </cell>
          <cell r="G2498">
            <v>1623650</v>
          </cell>
          <cell r="H2498">
            <v>1623650</v>
          </cell>
          <cell r="I2498" t="str">
            <v>758</v>
          </cell>
        </row>
        <row r="2499">
          <cell r="A2499" t="str">
            <v>ARS</v>
          </cell>
          <cell r="B2499" t="str">
            <v>758009539</v>
          </cell>
          <cell r="C2499" t="str">
            <v>CAMACHO MALDONADO, ALEXANDER</v>
          </cell>
          <cell r="G2499">
            <v>756465</v>
          </cell>
          <cell r="H2499">
            <v>756465</v>
          </cell>
          <cell r="I2499" t="str">
            <v>758</v>
          </cell>
        </row>
        <row r="2500">
          <cell r="A2500" t="str">
            <v>ARS</v>
          </cell>
          <cell r="B2500" t="str">
            <v>758009540</v>
          </cell>
          <cell r="C2500" t="str">
            <v>Rodriguez Gabriel Omar y/o Rodriguez Joaquin</v>
          </cell>
          <cell r="G2500">
            <v>2094522</v>
          </cell>
          <cell r="H2500">
            <v>2094522</v>
          </cell>
          <cell r="I2500" t="str">
            <v>758</v>
          </cell>
        </row>
        <row r="2501">
          <cell r="A2501" t="str">
            <v>ARS</v>
          </cell>
          <cell r="B2501" t="str">
            <v>758009541</v>
          </cell>
          <cell r="C2501" t="str">
            <v>ROBLES, DAVID Y/O RAVENNA MARINA INES</v>
          </cell>
          <cell r="G2501">
            <v>814313</v>
          </cell>
          <cell r="H2501">
            <v>814313</v>
          </cell>
          <cell r="I2501" t="str">
            <v>758</v>
          </cell>
        </row>
        <row r="2502">
          <cell r="A2502" t="str">
            <v>ARS</v>
          </cell>
          <cell r="B2502" t="str">
            <v>758009545</v>
          </cell>
          <cell r="C2502" t="str">
            <v>Di Rico, María y/o Casasola, Gabriel y/o Casasola, María Cecilia</v>
          </cell>
          <cell r="G2502">
            <v>67650576.700000003</v>
          </cell>
          <cell r="H2502">
            <v>67650576.700000003</v>
          </cell>
          <cell r="I2502" t="str">
            <v>758</v>
          </cell>
        </row>
        <row r="2503">
          <cell r="A2503" t="str">
            <v>ARS</v>
          </cell>
          <cell r="B2503" t="str">
            <v>758009548</v>
          </cell>
          <cell r="C2503" t="str">
            <v>MARTIN DANIEL BELLO LUTTER</v>
          </cell>
          <cell r="G2503">
            <v>22994131.5</v>
          </cell>
          <cell r="H2503">
            <v>22994131.5</v>
          </cell>
          <cell r="I2503" t="str">
            <v>758</v>
          </cell>
        </row>
        <row r="2504">
          <cell r="A2504" t="str">
            <v>ARS</v>
          </cell>
          <cell r="B2504" t="str">
            <v>758009549</v>
          </cell>
          <cell r="C2504" t="str">
            <v>[C.E.R.A.] Patella, Miguel Pablo</v>
          </cell>
          <cell r="G2504">
            <v>373916367.69999999</v>
          </cell>
          <cell r="H2504">
            <v>373916367.69999999</v>
          </cell>
          <cell r="I2504" t="str">
            <v>758</v>
          </cell>
        </row>
        <row r="2505">
          <cell r="A2505" t="str">
            <v>ARS</v>
          </cell>
          <cell r="B2505" t="str">
            <v>758009552</v>
          </cell>
          <cell r="C2505" t="str">
            <v>Patella, Miguel Pablo</v>
          </cell>
          <cell r="G2505">
            <v>2289020</v>
          </cell>
          <cell r="H2505">
            <v>2289020</v>
          </cell>
          <cell r="I2505" t="str">
            <v>758</v>
          </cell>
        </row>
        <row r="2506">
          <cell r="A2506" t="str">
            <v>ARS</v>
          </cell>
          <cell r="B2506" t="str">
            <v>758009555</v>
          </cell>
          <cell r="C2506" t="str">
            <v>Abad, Osvaldo y/o Abad, Orlando</v>
          </cell>
          <cell r="G2506">
            <v>1851332</v>
          </cell>
          <cell r="H2506">
            <v>1851332</v>
          </cell>
          <cell r="I2506" t="str">
            <v>758</v>
          </cell>
        </row>
        <row r="2507">
          <cell r="A2507" t="str">
            <v>ARS</v>
          </cell>
          <cell r="B2507" t="str">
            <v>758009558</v>
          </cell>
          <cell r="C2507" t="str">
            <v>Matthiesen, Juan Carlos y/o Matthiesen, Gaston Carlos</v>
          </cell>
          <cell r="G2507">
            <v>4358970</v>
          </cell>
          <cell r="H2507">
            <v>4358970</v>
          </cell>
          <cell r="I2507" t="str">
            <v>758</v>
          </cell>
        </row>
        <row r="2508">
          <cell r="A2508" t="str">
            <v>ARS</v>
          </cell>
          <cell r="B2508" t="str">
            <v>758009559</v>
          </cell>
          <cell r="C2508" t="str">
            <v>Perazzi, Liliana Cristina y/o Pugliese, Ignacio Luis y/o Pugliese, Maria Victoria</v>
          </cell>
          <cell r="G2508">
            <v>825274</v>
          </cell>
          <cell r="H2508">
            <v>825274</v>
          </cell>
          <cell r="I2508" t="str">
            <v>758</v>
          </cell>
        </row>
        <row r="2509">
          <cell r="A2509" t="str">
            <v>ARS</v>
          </cell>
          <cell r="B2509" t="str">
            <v>758009560</v>
          </cell>
          <cell r="C2509" t="str">
            <v>Poncia, Daniel y/o Toledo, Veronica</v>
          </cell>
          <cell r="G2509">
            <v>10831.6</v>
          </cell>
          <cell r="H2509">
            <v>10831.6</v>
          </cell>
          <cell r="I2509" t="str">
            <v>758</v>
          </cell>
        </row>
        <row r="2510">
          <cell r="A2510" t="str">
            <v>ARS</v>
          </cell>
          <cell r="B2510" t="str">
            <v>758009561</v>
          </cell>
          <cell r="C2510" t="str">
            <v>Prahl, Nelly y/o Prahl, Pablo y/o Prahl, Tomas y/o Prahl, Ludmila y/o Dulce, Marcela</v>
          </cell>
          <cell r="G2510">
            <v>1239424</v>
          </cell>
          <cell r="H2510">
            <v>1239424</v>
          </cell>
          <cell r="I2510" t="str">
            <v>758</v>
          </cell>
        </row>
        <row r="2511">
          <cell r="A2511" t="str">
            <v>ARS</v>
          </cell>
          <cell r="B2511" t="str">
            <v>758009562</v>
          </cell>
          <cell r="C2511" t="str">
            <v>Gonzalez Chiaramonte, Francisco Ernesto y/o Gonzalez Chiaramonte, Claudio Gabriel</v>
          </cell>
          <cell r="G2511">
            <v>1152250</v>
          </cell>
          <cell r="H2511">
            <v>1152250</v>
          </cell>
          <cell r="I2511" t="str">
            <v>758</v>
          </cell>
        </row>
        <row r="2512">
          <cell r="A2512" t="str">
            <v>ARS</v>
          </cell>
          <cell r="B2512" t="str">
            <v>758009563</v>
          </cell>
          <cell r="C2512" t="str">
            <v>Diaz, Miguel y/o Valdenegro Viviana</v>
          </cell>
          <cell r="G2512">
            <v>1703546</v>
          </cell>
          <cell r="H2512">
            <v>1703546</v>
          </cell>
          <cell r="I2512" t="str">
            <v>758</v>
          </cell>
        </row>
        <row r="2513">
          <cell r="A2513" t="str">
            <v>ARS</v>
          </cell>
          <cell r="B2513" t="str">
            <v>758009640</v>
          </cell>
          <cell r="C2513" t="str">
            <v>Vera, Cecilia Luciana</v>
          </cell>
          <cell r="G2513">
            <v>3773195</v>
          </cell>
          <cell r="H2513">
            <v>3773195</v>
          </cell>
          <cell r="I2513" t="str">
            <v>758</v>
          </cell>
        </row>
        <row r="2514">
          <cell r="A2514" t="str">
            <v>ARS</v>
          </cell>
          <cell r="B2514" t="str">
            <v>758009641</v>
          </cell>
          <cell r="C2514" t="str">
            <v>Matthiesen, Gaston Carlos</v>
          </cell>
          <cell r="G2514">
            <v>3658706</v>
          </cell>
          <cell r="H2514">
            <v>3658706</v>
          </cell>
          <cell r="I2514" t="str">
            <v>758</v>
          </cell>
        </row>
        <row r="2515">
          <cell r="A2515" t="str">
            <v>ARS</v>
          </cell>
          <cell r="B2515" t="str">
            <v>758009644</v>
          </cell>
          <cell r="C2515" t="str">
            <v>Rodriguez, Ariel Gonzalo</v>
          </cell>
          <cell r="G2515">
            <v>915684</v>
          </cell>
          <cell r="H2515">
            <v>915684</v>
          </cell>
          <cell r="I2515" t="str">
            <v>758</v>
          </cell>
        </row>
        <row r="2516">
          <cell r="A2516" t="str">
            <v>ARS</v>
          </cell>
          <cell r="B2516" t="str">
            <v>758009645</v>
          </cell>
          <cell r="C2516" t="str">
            <v>Assi Camilo Norberto</v>
          </cell>
          <cell r="G2516">
            <v>971884</v>
          </cell>
          <cell r="H2516">
            <v>971884</v>
          </cell>
          <cell r="I2516" t="str">
            <v>758</v>
          </cell>
        </row>
        <row r="2517">
          <cell r="A2517" t="str">
            <v>ARS</v>
          </cell>
          <cell r="B2517" t="str">
            <v>758009647</v>
          </cell>
          <cell r="C2517" t="str">
            <v>Perez, Martin Sebastian</v>
          </cell>
          <cell r="G2517">
            <v>391840265</v>
          </cell>
          <cell r="H2517">
            <v>391840265</v>
          </cell>
          <cell r="I2517" t="str">
            <v>758</v>
          </cell>
        </row>
        <row r="2518">
          <cell r="A2518" t="str">
            <v>ARS</v>
          </cell>
          <cell r="B2518" t="str">
            <v>758009649</v>
          </cell>
          <cell r="C2518" t="str">
            <v>Bruzzese, Esteban y/o Bruzzese, Andres Nicolas y/o Bruzzese, Diego Hernan</v>
          </cell>
          <cell r="G2518">
            <v>4101124</v>
          </cell>
          <cell r="H2518">
            <v>4101124</v>
          </cell>
          <cell r="I2518" t="str">
            <v>758</v>
          </cell>
        </row>
        <row r="2519">
          <cell r="A2519" t="str">
            <v>ARS</v>
          </cell>
          <cell r="B2519" t="str">
            <v>758009650</v>
          </cell>
          <cell r="C2519" t="str">
            <v>El Shami Omar Alberto</v>
          </cell>
          <cell r="G2519">
            <v>13030330.4</v>
          </cell>
          <cell r="H2519">
            <v>13030330.4</v>
          </cell>
          <cell r="I2519" t="str">
            <v>758</v>
          </cell>
        </row>
        <row r="2520">
          <cell r="A2520" t="str">
            <v>ARS</v>
          </cell>
          <cell r="B2520" t="str">
            <v>758009651</v>
          </cell>
          <cell r="C2520" t="str">
            <v>Botto Javier Francisco</v>
          </cell>
          <cell r="G2520">
            <v>7764182</v>
          </cell>
          <cell r="H2520">
            <v>7764182</v>
          </cell>
          <cell r="I2520" t="str">
            <v>758</v>
          </cell>
        </row>
        <row r="2521">
          <cell r="A2521" t="str">
            <v>ARS</v>
          </cell>
          <cell r="B2521" t="str">
            <v>758009655</v>
          </cell>
          <cell r="C2521" t="str">
            <v>Cicalese Ezequiel Hernan y/o Cicalese Emanuel Fernando y/o Cicalese Sabrina Natalia</v>
          </cell>
          <cell r="G2521">
            <v>20317883</v>
          </cell>
          <cell r="H2521">
            <v>20317883</v>
          </cell>
          <cell r="I2521" t="str">
            <v>758</v>
          </cell>
        </row>
        <row r="2522">
          <cell r="A2522" t="str">
            <v>ARS</v>
          </cell>
          <cell r="B2522" t="str">
            <v>758009656</v>
          </cell>
          <cell r="C2522" t="str">
            <v>Marino Osvaldo Angel y/o Contarino Nelida Beatriz y/o Marino Noelia Natalia</v>
          </cell>
          <cell r="G2522">
            <v>36576699</v>
          </cell>
          <cell r="H2522">
            <v>36576699</v>
          </cell>
          <cell r="I2522" t="str">
            <v>758</v>
          </cell>
        </row>
        <row r="2523">
          <cell r="A2523" t="str">
            <v>ARS</v>
          </cell>
          <cell r="B2523" t="str">
            <v>758009658</v>
          </cell>
          <cell r="C2523" t="str">
            <v>Cristina Victor Pablo</v>
          </cell>
          <cell r="G2523">
            <v>20057262.5</v>
          </cell>
          <cell r="H2523">
            <v>20057262.5</v>
          </cell>
          <cell r="I2523" t="str">
            <v>758</v>
          </cell>
        </row>
        <row r="2524">
          <cell r="A2524" t="str">
            <v>ARS</v>
          </cell>
          <cell r="B2524" t="str">
            <v>758009665</v>
          </cell>
          <cell r="C2524" t="str">
            <v>Paz, Carlos Alberto y/o Iturrioz Marta Irene</v>
          </cell>
          <cell r="G2524">
            <v>16373821.279999999</v>
          </cell>
          <cell r="H2524">
            <v>16373821.279999999</v>
          </cell>
          <cell r="I2524" t="str">
            <v>758</v>
          </cell>
        </row>
        <row r="2525">
          <cell r="A2525" t="str">
            <v>ARS</v>
          </cell>
          <cell r="B2525" t="str">
            <v>758009666</v>
          </cell>
          <cell r="C2525" t="str">
            <v>MARESCA DANIEL NESTOR Y/O LAURA NELIDA LEVETTI</v>
          </cell>
          <cell r="G2525">
            <v>3649437.5</v>
          </cell>
          <cell r="H2525">
            <v>3649437.5</v>
          </cell>
          <cell r="I2525" t="str">
            <v>758</v>
          </cell>
        </row>
        <row r="2526">
          <cell r="A2526" t="str">
            <v>ARS</v>
          </cell>
          <cell r="B2526" t="str">
            <v>758009667</v>
          </cell>
          <cell r="C2526" t="str">
            <v>Cardozo, Ángel Agustin</v>
          </cell>
          <cell r="G2526">
            <v>7037191</v>
          </cell>
          <cell r="H2526">
            <v>7037191</v>
          </cell>
          <cell r="I2526" t="str">
            <v>758</v>
          </cell>
        </row>
        <row r="2527">
          <cell r="A2527" t="str">
            <v>ARS</v>
          </cell>
          <cell r="B2527" t="str">
            <v>758010303</v>
          </cell>
          <cell r="C2527" t="str">
            <v>Imperiale Martin Sebastian</v>
          </cell>
          <cell r="G2527">
            <v>3993169</v>
          </cell>
          <cell r="H2527">
            <v>3993169</v>
          </cell>
          <cell r="I2527" t="str">
            <v>758</v>
          </cell>
        </row>
        <row r="2528">
          <cell r="A2528" t="str">
            <v>ARS</v>
          </cell>
          <cell r="B2528" t="str">
            <v>758010314</v>
          </cell>
          <cell r="C2528" t="str">
            <v>ROMEO, LETICIA HAYDEE</v>
          </cell>
          <cell r="G2528">
            <v>1589515</v>
          </cell>
          <cell r="H2528">
            <v>1589515</v>
          </cell>
          <cell r="I2528" t="str">
            <v>758</v>
          </cell>
        </row>
        <row r="2529">
          <cell r="A2529" t="str">
            <v>ARS</v>
          </cell>
          <cell r="B2529" t="str">
            <v>758010318</v>
          </cell>
          <cell r="C2529" t="str">
            <v>PEREYRA, EZEQUIEL HECTOR</v>
          </cell>
          <cell r="G2529">
            <v>3436729</v>
          </cell>
          <cell r="H2529">
            <v>3436729</v>
          </cell>
          <cell r="I2529" t="str">
            <v>758</v>
          </cell>
        </row>
        <row r="2530">
          <cell r="A2530" t="str">
            <v>ARS</v>
          </cell>
          <cell r="B2530" t="str">
            <v>758010319</v>
          </cell>
          <cell r="C2530" t="str">
            <v>ELORTEGUI, INES MARIA</v>
          </cell>
          <cell r="G2530">
            <v>1539008</v>
          </cell>
          <cell r="H2530">
            <v>1539008</v>
          </cell>
          <cell r="I2530" t="str">
            <v>758</v>
          </cell>
        </row>
        <row r="2531">
          <cell r="A2531" t="str">
            <v>ARS</v>
          </cell>
          <cell r="B2531" t="str">
            <v>758010401</v>
          </cell>
          <cell r="C2531" t="str">
            <v>Ladino, Geraldine Paola</v>
          </cell>
          <cell r="G2531">
            <v>3140164.39</v>
          </cell>
          <cell r="H2531">
            <v>3140164.39</v>
          </cell>
          <cell r="I2531" t="str">
            <v>758</v>
          </cell>
        </row>
        <row r="2532">
          <cell r="A2532" t="str">
            <v>ARS</v>
          </cell>
          <cell r="B2532" t="str">
            <v>758010403</v>
          </cell>
          <cell r="C2532" t="str">
            <v>VANIGLIA, SUSANA CRISTINA</v>
          </cell>
          <cell r="G2532">
            <v>5882672.5999999996</v>
          </cell>
          <cell r="H2532">
            <v>5882672.5999999996</v>
          </cell>
          <cell r="I2532" t="str">
            <v>758</v>
          </cell>
        </row>
        <row r="2533">
          <cell r="A2533" t="str">
            <v>ARS</v>
          </cell>
          <cell r="B2533" t="str">
            <v>758010601</v>
          </cell>
          <cell r="C2533" t="str">
            <v>GARCIA, PABLO JOSE A o GARCIA SCHICKENDANTZ, PEDRO</v>
          </cell>
          <cell r="G2533">
            <v>36317842.200000003</v>
          </cell>
          <cell r="H2533">
            <v>36317842.200000003</v>
          </cell>
          <cell r="I2533" t="str">
            <v>758</v>
          </cell>
        </row>
        <row r="2534">
          <cell r="A2534" t="str">
            <v>ARS</v>
          </cell>
          <cell r="B2534" t="str">
            <v>758011002</v>
          </cell>
          <cell r="C2534" t="str">
            <v>Orlando Brennan Tomas Manuel</v>
          </cell>
          <cell r="G2534">
            <v>49818.7</v>
          </cell>
          <cell r="H2534">
            <v>49818.7</v>
          </cell>
          <cell r="I2534" t="str">
            <v>758</v>
          </cell>
        </row>
        <row r="2535">
          <cell r="A2535" t="str">
            <v>ARS</v>
          </cell>
          <cell r="B2535" t="str">
            <v>758011003</v>
          </cell>
          <cell r="C2535" t="str">
            <v>Cavallotti Lucia</v>
          </cell>
          <cell r="G2535">
            <v>176637</v>
          </cell>
          <cell r="H2535">
            <v>176637</v>
          </cell>
          <cell r="I2535" t="str">
            <v>758</v>
          </cell>
        </row>
        <row r="2536">
          <cell r="A2536" t="str">
            <v>ARS</v>
          </cell>
          <cell r="B2536" t="str">
            <v>758011004</v>
          </cell>
          <cell r="C2536" t="str">
            <v>Alfa Cooperativa de Crédito, Vivienda y Consumo Limitada</v>
          </cell>
          <cell r="G2536">
            <v>633349689.38</v>
          </cell>
          <cell r="H2536">
            <v>633349689.38</v>
          </cell>
          <cell r="I2536" t="str">
            <v>758</v>
          </cell>
        </row>
        <row r="2537">
          <cell r="A2537" t="str">
            <v>ARS</v>
          </cell>
          <cell r="B2537" t="str">
            <v>758030006</v>
          </cell>
          <cell r="C2537" t="str">
            <v>ROMERO, JOSÉ ALBERTO Y/O  HUERTA, MARIA ELENA</v>
          </cell>
          <cell r="G2537">
            <v>128404305</v>
          </cell>
          <cell r="H2537">
            <v>128404305</v>
          </cell>
          <cell r="I2537" t="str">
            <v>758</v>
          </cell>
        </row>
        <row r="2538">
          <cell r="A2538" t="str">
            <v>ARS</v>
          </cell>
          <cell r="B2538" t="str">
            <v>761402830</v>
          </cell>
          <cell r="C2538" t="str">
            <v>SRAIER ANDREA EDITH</v>
          </cell>
          <cell r="G2538">
            <v>97801.5</v>
          </cell>
          <cell r="H2538">
            <v>97801.5</v>
          </cell>
          <cell r="I2538" t="str">
            <v>761</v>
          </cell>
        </row>
        <row r="2539">
          <cell r="A2539" t="str">
            <v>ARS</v>
          </cell>
          <cell r="B2539" t="str">
            <v>765000101</v>
          </cell>
          <cell r="C2539" t="str">
            <v>Hoss SA</v>
          </cell>
          <cell r="G2539">
            <v>86200305.25</v>
          </cell>
          <cell r="H2539">
            <v>86200305.25</v>
          </cell>
          <cell r="I2539" t="str">
            <v>765</v>
          </cell>
        </row>
        <row r="2540">
          <cell r="A2540" t="str">
            <v>ARS</v>
          </cell>
          <cell r="B2540" t="str">
            <v>765000102</v>
          </cell>
          <cell r="C2540" t="str">
            <v>Ignacio Andres Rodriguez</v>
          </cell>
          <cell r="G2540">
            <v>216294568.19999999</v>
          </cell>
          <cell r="H2540">
            <v>216294568.19999999</v>
          </cell>
          <cell r="I2540" t="str">
            <v>765</v>
          </cell>
        </row>
        <row r="2541">
          <cell r="A2541" t="str">
            <v>ARS</v>
          </cell>
          <cell r="B2541" t="str">
            <v>765000105</v>
          </cell>
          <cell r="C2541" t="str">
            <v>Rodriguez, Ayelen Ana Maria</v>
          </cell>
          <cell r="G2541">
            <v>15310561.890000001</v>
          </cell>
          <cell r="H2541">
            <v>15310561.890000001</v>
          </cell>
          <cell r="I2541" t="str">
            <v>765</v>
          </cell>
        </row>
        <row r="2542">
          <cell r="A2542" t="str">
            <v>ARS</v>
          </cell>
          <cell r="B2542" t="str">
            <v>765000108</v>
          </cell>
          <cell r="C2542" t="str">
            <v>Caballero, Leandro Nicolas</v>
          </cell>
          <cell r="G2542">
            <v>124385730.55</v>
          </cell>
          <cell r="H2542">
            <v>124385730.55</v>
          </cell>
          <cell r="I2542" t="str">
            <v>765</v>
          </cell>
        </row>
        <row r="2543">
          <cell r="A2543" t="str">
            <v>ARS</v>
          </cell>
          <cell r="B2543" t="str">
            <v>765000109</v>
          </cell>
          <cell r="C2543" t="str">
            <v>Juncos, Lucila Maria</v>
          </cell>
          <cell r="G2543">
            <v>60062287.390000001</v>
          </cell>
          <cell r="H2543">
            <v>60062287.390000001</v>
          </cell>
          <cell r="I2543" t="str">
            <v>765</v>
          </cell>
        </row>
        <row r="2544">
          <cell r="A2544" t="str">
            <v>ARS</v>
          </cell>
          <cell r="B2544" t="str">
            <v>765000111</v>
          </cell>
          <cell r="C2544" t="str">
            <v>Radulovich, Marcos Daniel</v>
          </cell>
          <cell r="G2544">
            <v>5375788.8300000001</v>
          </cell>
          <cell r="H2544">
            <v>5375788.8300000001</v>
          </cell>
          <cell r="I2544" t="str">
            <v>765</v>
          </cell>
        </row>
        <row r="2545">
          <cell r="A2545" t="str">
            <v>ARS</v>
          </cell>
          <cell r="B2545" t="str">
            <v>765000112</v>
          </cell>
          <cell r="C2545" t="str">
            <v>Menendez, Patricia Graciela</v>
          </cell>
          <cell r="G2545">
            <v>21981730.579999998</v>
          </cell>
          <cell r="H2545">
            <v>21981730.579999998</v>
          </cell>
          <cell r="I2545" t="str">
            <v>765</v>
          </cell>
        </row>
        <row r="2546">
          <cell r="A2546" t="str">
            <v>ARS</v>
          </cell>
          <cell r="B2546" t="str">
            <v>765000113</v>
          </cell>
          <cell r="C2546" t="str">
            <v>Matias Marinozzi</v>
          </cell>
          <cell r="G2546">
            <v>4380984.22</v>
          </cell>
          <cell r="H2546">
            <v>4380984.22</v>
          </cell>
          <cell r="I2546" t="str">
            <v>765</v>
          </cell>
        </row>
        <row r="2547">
          <cell r="A2547" t="str">
            <v>ARS</v>
          </cell>
          <cell r="B2547" t="str">
            <v>765000114</v>
          </cell>
          <cell r="C2547" t="str">
            <v>Ariel Bozikovich</v>
          </cell>
          <cell r="G2547">
            <v>67455800.5</v>
          </cell>
          <cell r="H2547">
            <v>67455800.5</v>
          </cell>
          <cell r="I2547" t="str">
            <v>765</v>
          </cell>
        </row>
        <row r="2548">
          <cell r="A2548" t="str">
            <v>ARS</v>
          </cell>
          <cell r="B2548" t="str">
            <v>765000119</v>
          </cell>
          <cell r="C2548" t="str">
            <v>Gianluca Torrazza</v>
          </cell>
          <cell r="G2548">
            <v>18030640.52</v>
          </cell>
          <cell r="H2548">
            <v>18030640.52</v>
          </cell>
          <cell r="I2548" t="str">
            <v>765</v>
          </cell>
        </row>
        <row r="2549">
          <cell r="A2549" t="str">
            <v>ARS</v>
          </cell>
          <cell r="B2549" t="str">
            <v>765000122</v>
          </cell>
          <cell r="C2549" t="str">
            <v>Brian Ariel Bertelli</v>
          </cell>
          <cell r="G2549">
            <v>25358339.800000001</v>
          </cell>
          <cell r="H2549">
            <v>25358339.800000001</v>
          </cell>
          <cell r="I2549" t="str">
            <v>765</v>
          </cell>
        </row>
        <row r="2550">
          <cell r="A2550" t="str">
            <v>ARS</v>
          </cell>
          <cell r="B2550" t="str">
            <v>765000128</v>
          </cell>
          <cell r="C2550" t="str">
            <v>Instituto de quemados y cirugía reparadora S.R.L.</v>
          </cell>
          <cell r="G2550">
            <v>1187027.95</v>
          </cell>
          <cell r="H2550">
            <v>1187027.95</v>
          </cell>
          <cell r="I2550" t="str">
            <v>765</v>
          </cell>
        </row>
        <row r="2551">
          <cell r="A2551" t="str">
            <v>ARS</v>
          </cell>
          <cell r="B2551" t="str">
            <v>765000134</v>
          </cell>
          <cell r="C2551" t="str">
            <v>TORTI HERMANOS S.R.L.</v>
          </cell>
          <cell r="G2551">
            <v>86643889.549999997</v>
          </cell>
          <cell r="H2551">
            <v>86643889.549999997</v>
          </cell>
          <cell r="I2551" t="str">
            <v>765</v>
          </cell>
        </row>
        <row r="2552">
          <cell r="A2552" t="str">
            <v>ARS</v>
          </cell>
          <cell r="B2552" t="str">
            <v>765000135</v>
          </cell>
          <cell r="C2552" t="str">
            <v>Monteverde, Horacio</v>
          </cell>
          <cell r="G2552">
            <v>1111716.44</v>
          </cell>
          <cell r="H2552">
            <v>1111716.44</v>
          </cell>
          <cell r="I2552" t="str">
            <v>765</v>
          </cell>
        </row>
        <row r="2553">
          <cell r="A2553" t="str">
            <v>ARS</v>
          </cell>
          <cell r="B2553" t="str">
            <v>765000141</v>
          </cell>
          <cell r="C2553" t="str">
            <v>Tesarik, Francisco René</v>
          </cell>
          <cell r="G2553">
            <v>6660730.1600000001</v>
          </cell>
          <cell r="H2553">
            <v>6660730.1600000001</v>
          </cell>
          <cell r="I2553" t="str">
            <v>765</v>
          </cell>
        </row>
        <row r="2554">
          <cell r="A2554" t="str">
            <v>ARS</v>
          </cell>
          <cell r="B2554" t="str">
            <v>765000144</v>
          </cell>
          <cell r="C2554" t="str">
            <v xml:space="preserve"> Luciano Petrini  Ana Dalila Pigni</v>
          </cell>
          <cell r="G2554">
            <v>38792866.490000002</v>
          </cell>
          <cell r="H2554">
            <v>38792866.490000002</v>
          </cell>
          <cell r="I2554" t="str">
            <v>765</v>
          </cell>
        </row>
        <row r="2555">
          <cell r="A2555" t="str">
            <v>ARS</v>
          </cell>
          <cell r="B2555" t="str">
            <v>765000153</v>
          </cell>
          <cell r="C2555" t="str">
            <v>Juan Pablo Martinez</v>
          </cell>
          <cell r="G2555">
            <v>14221312.92</v>
          </cell>
          <cell r="H2555">
            <v>14221312.92</v>
          </cell>
          <cell r="I2555" t="str">
            <v>765</v>
          </cell>
        </row>
        <row r="2556">
          <cell r="A2556" t="str">
            <v>ARS</v>
          </cell>
          <cell r="B2556" t="str">
            <v>765000156</v>
          </cell>
          <cell r="C2556" t="str">
            <v>María Pamela Tonelli</v>
          </cell>
          <cell r="G2556">
            <v>11467533.27</v>
          </cell>
          <cell r="H2556">
            <v>11467533.27</v>
          </cell>
          <cell r="I2556" t="str">
            <v>765</v>
          </cell>
        </row>
        <row r="2557">
          <cell r="A2557" t="str">
            <v>ARS</v>
          </cell>
          <cell r="B2557" t="str">
            <v>765000165</v>
          </cell>
          <cell r="C2557" t="str">
            <v>Celsa Beatriz Roldan</v>
          </cell>
          <cell r="G2557">
            <v>1470516.16</v>
          </cell>
          <cell r="H2557">
            <v>1470516.16</v>
          </cell>
          <cell r="I2557" t="str">
            <v>765</v>
          </cell>
        </row>
        <row r="2558">
          <cell r="A2558" t="str">
            <v>ARS</v>
          </cell>
          <cell r="B2558" t="str">
            <v>765000170</v>
          </cell>
          <cell r="C2558" t="str">
            <v>ROMA MANAGEMENT S.R.L.</v>
          </cell>
          <cell r="G2558">
            <v>52824721.200000003</v>
          </cell>
          <cell r="H2558">
            <v>52824721.200000003</v>
          </cell>
          <cell r="I2558" t="str">
            <v>765</v>
          </cell>
        </row>
        <row r="2559">
          <cell r="A2559" t="str">
            <v>ARS</v>
          </cell>
          <cell r="B2559" t="str">
            <v>765000171</v>
          </cell>
          <cell r="C2559" t="str">
            <v>FIDEICOMISO DE ADMINISTRACIÓN Y DESARROLLO INMOBILIARIO TIERRA DE AUTORES</v>
          </cell>
          <cell r="G2559">
            <v>10110175</v>
          </cell>
          <cell r="H2559">
            <v>10110175</v>
          </cell>
          <cell r="I2559" t="str">
            <v>765</v>
          </cell>
        </row>
        <row r="2560">
          <cell r="A2560" t="str">
            <v>ARS</v>
          </cell>
          <cell r="B2560" t="str">
            <v>765000174</v>
          </cell>
          <cell r="C2560" t="str">
            <v>FIDEICOMISO COMUNIDAD EVOLUTIVA PUEBLO ESTHER</v>
          </cell>
          <cell r="G2560">
            <v>6328984.6100000003</v>
          </cell>
          <cell r="H2560">
            <v>6328984.6100000003</v>
          </cell>
          <cell r="I2560" t="str">
            <v>765</v>
          </cell>
        </row>
        <row r="2561">
          <cell r="A2561" t="str">
            <v>ARS</v>
          </cell>
          <cell r="B2561" t="str">
            <v>765000175</v>
          </cell>
          <cell r="C2561" t="str">
            <v>FIDEICOMISO DE ADM Y DES INMB BARRIO ABIERTO ORIGENES</v>
          </cell>
          <cell r="G2561">
            <v>25273040.350000001</v>
          </cell>
          <cell r="H2561">
            <v>25273040.350000001</v>
          </cell>
          <cell r="I2561" t="str">
            <v>765</v>
          </cell>
        </row>
        <row r="2562">
          <cell r="A2562" t="str">
            <v>ARS</v>
          </cell>
          <cell r="B2562" t="str">
            <v>765000181</v>
          </cell>
          <cell r="C2562" t="str">
            <v>Rene Osvaldo Ramirez</v>
          </cell>
          <cell r="G2562">
            <v>637821.37</v>
          </cell>
          <cell r="H2562">
            <v>637821.37</v>
          </cell>
          <cell r="I2562" t="str">
            <v>765</v>
          </cell>
        </row>
        <row r="2563">
          <cell r="A2563" t="str">
            <v>ARS</v>
          </cell>
          <cell r="B2563" t="str">
            <v>765000184</v>
          </cell>
          <cell r="C2563" t="str">
            <v>EL NARANJO II FIDEICOMISO</v>
          </cell>
          <cell r="G2563">
            <v>108321393.2</v>
          </cell>
          <cell r="H2563">
            <v>108321393.2</v>
          </cell>
          <cell r="I2563" t="str">
            <v>765</v>
          </cell>
        </row>
        <row r="2564">
          <cell r="A2564" t="str">
            <v>ARS</v>
          </cell>
          <cell r="B2564" t="str">
            <v>765000186</v>
          </cell>
          <cell r="C2564" t="str">
            <v>Suarez, Sixto Axel</v>
          </cell>
          <cell r="G2564">
            <v>5357457.26</v>
          </cell>
          <cell r="H2564">
            <v>5357457.26</v>
          </cell>
          <cell r="I2564" t="str">
            <v>765</v>
          </cell>
        </row>
        <row r="2565">
          <cell r="A2565" t="str">
            <v>ARS</v>
          </cell>
          <cell r="B2565" t="str">
            <v>765000188</v>
          </cell>
          <cell r="C2565" t="str">
            <v>ESTABLECIMIENTO DON AVELINO SRL</v>
          </cell>
          <cell r="G2565">
            <v>590737.35</v>
          </cell>
          <cell r="H2565">
            <v>590737.35</v>
          </cell>
          <cell r="I2565" t="str">
            <v>765</v>
          </cell>
        </row>
        <row r="2566">
          <cell r="A2566" t="str">
            <v>ARS</v>
          </cell>
          <cell r="B2566" t="str">
            <v>765000192</v>
          </cell>
          <cell r="C2566" t="str">
            <v>Osia, Facundo Javier</v>
          </cell>
          <cell r="G2566">
            <v>302862829.41000003</v>
          </cell>
          <cell r="H2566">
            <v>302862829.41000003</v>
          </cell>
          <cell r="I2566" t="str">
            <v>765</v>
          </cell>
        </row>
        <row r="2567">
          <cell r="A2567" t="str">
            <v>ARS</v>
          </cell>
          <cell r="B2567" t="str">
            <v>765000201</v>
          </cell>
          <cell r="C2567" t="str">
            <v>Helguera, María Celeste</v>
          </cell>
          <cell r="G2567">
            <v>6348191.5</v>
          </cell>
          <cell r="H2567">
            <v>6348191.5</v>
          </cell>
          <cell r="I2567" t="str">
            <v>765</v>
          </cell>
        </row>
        <row r="2568">
          <cell r="A2568" t="str">
            <v>ARS</v>
          </cell>
          <cell r="B2568" t="str">
            <v>765000203</v>
          </cell>
          <cell r="C2568" t="str">
            <v>Santilli, Jorge Ignacio</v>
          </cell>
          <cell r="G2568">
            <v>6365384.7800000003</v>
          </cell>
          <cell r="H2568">
            <v>6365384.7800000003</v>
          </cell>
          <cell r="I2568" t="str">
            <v>765</v>
          </cell>
        </row>
        <row r="2569">
          <cell r="A2569" t="str">
            <v>ARS</v>
          </cell>
          <cell r="B2569" t="str">
            <v>765000204</v>
          </cell>
          <cell r="C2569" t="str">
            <v>Festa, Matías Jesús</v>
          </cell>
          <cell r="G2569">
            <v>561242.61</v>
          </cell>
          <cell r="H2569">
            <v>561242.61</v>
          </cell>
          <cell r="I2569" t="str">
            <v>765</v>
          </cell>
        </row>
        <row r="2570">
          <cell r="A2570" t="str">
            <v>ARS</v>
          </cell>
          <cell r="B2570" t="str">
            <v>765000209</v>
          </cell>
          <cell r="C2570" t="str">
            <v>Trivisonno, Marcela Alejandra</v>
          </cell>
          <cell r="G2570">
            <v>39060877.25</v>
          </cell>
          <cell r="H2570">
            <v>39060877.25</v>
          </cell>
          <cell r="I2570" t="str">
            <v>765</v>
          </cell>
        </row>
        <row r="2571">
          <cell r="A2571" t="str">
            <v>ARS</v>
          </cell>
          <cell r="B2571" t="str">
            <v>765000210</v>
          </cell>
          <cell r="C2571" t="str">
            <v>Culasso, Ariel Carlos</v>
          </cell>
          <cell r="G2571">
            <v>127691372.95</v>
          </cell>
          <cell r="H2571">
            <v>127691372.95</v>
          </cell>
          <cell r="I2571" t="str">
            <v>765</v>
          </cell>
        </row>
        <row r="2572">
          <cell r="A2572" t="str">
            <v>ARS</v>
          </cell>
          <cell r="B2572" t="str">
            <v>765000214</v>
          </cell>
          <cell r="C2572" t="str">
            <v>Leon, Daniel</v>
          </cell>
          <cell r="G2572">
            <v>1160368.2</v>
          </cell>
          <cell r="H2572">
            <v>1160368.2</v>
          </cell>
          <cell r="I2572" t="str">
            <v>765</v>
          </cell>
        </row>
        <row r="2573">
          <cell r="A2573" t="str">
            <v>ARS</v>
          </cell>
          <cell r="B2573" t="str">
            <v>765000215</v>
          </cell>
          <cell r="C2573" t="str">
            <v>Lepore, Livio Oscar</v>
          </cell>
          <cell r="G2573">
            <v>69056064.5</v>
          </cell>
          <cell r="H2573">
            <v>69056064.5</v>
          </cell>
          <cell r="I2573" t="str">
            <v>765</v>
          </cell>
        </row>
        <row r="2574">
          <cell r="A2574" t="str">
            <v>ARS</v>
          </cell>
          <cell r="B2574" t="str">
            <v>765000217</v>
          </cell>
          <cell r="C2574" t="str">
            <v>Manasseri, Hernán Gustavo</v>
          </cell>
          <cell r="G2574">
            <v>187027128.41999999</v>
          </cell>
          <cell r="H2574">
            <v>187027128.41999999</v>
          </cell>
          <cell r="I2574" t="str">
            <v>765</v>
          </cell>
        </row>
        <row r="2575">
          <cell r="A2575" t="str">
            <v>ARS</v>
          </cell>
          <cell r="B2575" t="str">
            <v>765000218</v>
          </cell>
          <cell r="C2575" t="str">
            <v>Cingolani, Adrián Alberto</v>
          </cell>
          <cell r="G2575">
            <v>57780433.200000003</v>
          </cell>
          <cell r="H2575">
            <v>57780433.200000003</v>
          </cell>
          <cell r="I2575" t="str">
            <v>765</v>
          </cell>
        </row>
        <row r="2576">
          <cell r="A2576" t="str">
            <v>ARS</v>
          </cell>
          <cell r="B2576" t="str">
            <v>765000224</v>
          </cell>
          <cell r="C2576" t="str">
            <v>Moretti, Marcos Mario</v>
          </cell>
          <cell r="G2576">
            <v>399023.01</v>
          </cell>
          <cell r="H2576">
            <v>399023.01</v>
          </cell>
          <cell r="I2576" t="str">
            <v>765</v>
          </cell>
        </row>
        <row r="2577">
          <cell r="A2577" t="str">
            <v>ARS</v>
          </cell>
          <cell r="B2577" t="str">
            <v>765000225</v>
          </cell>
          <cell r="C2577" t="str">
            <v>Silvana Alejandra Castillejos</v>
          </cell>
          <cell r="G2577">
            <v>1137104717.1600001</v>
          </cell>
          <cell r="H2577">
            <v>1137104717.1600001</v>
          </cell>
          <cell r="I2577" t="str">
            <v>765</v>
          </cell>
        </row>
        <row r="2578">
          <cell r="A2578" t="str">
            <v>ARS</v>
          </cell>
          <cell r="B2578" t="str">
            <v>765000228</v>
          </cell>
          <cell r="C2578" t="str">
            <v>Bruno Jorge Angel</v>
          </cell>
          <cell r="G2578">
            <v>36476468.810000002</v>
          </cell>
          <cell r="H2578">
            <v>36476468.810000002</v>
          </cell>
          <cell r="I2578" t="str">
            <v>765</v>
          </cell>
        </row>
        <row r="2579">
          <cell r="A2579" t="str">
            <v>ARS</v>
          </cell>
          <cell r="B2579" t="str">
            <v>765000238</v>
          </cell>
          <cell r="C2579" t="str">
            <v>Zamarini, Monica Alejandra</v>
          </cell>
          <cell r="G2579">
            <v>10503174.619999999</v>
          </cell>
          <cell r="H2579">
            <v>10503174.619999999</v>
          </cell>
          <cell r="I2579" t="str">
            <v>765</v>
          </cell>
        </row>
        <row r="2580">
          <cell r="A2580" t="str">
            <v>ARS</v>
          </cell>
          <cell r="B2580" t="str">
            <v>765000250</v>
          </cell>
          <cell r="C2580" t="str">
            <v>Borri, Mayra Alejandra</v>
          </cell>
          <cell r="G2580">
            <v>2277694.64</v>
          </cell>
          <cell r="H2580">
            <v>2277694.64</v>
          </cell>
          <cell r="I2580" t="str">
            <v>765</v>
          </cell>
        </row>
        <row r="2581">
          <cell r="A2581" t="str">
            <v>ARS</v>
          </cell>
          <cell r="B2581" t="str">
            <v>765000254</v>
          </cell>
          <cell r="C2581" t="str">
            <v>Mazzini, Rita Marta</v>
          </cell>
          <cell r="G2581">
            <v>761654.85</v>
          </cell>
          <cell r="H2581">
            <v>761654.85</v>
          </cell>
          <cell r="I2581" t="str">
            <v>765</v>
          </cell>
        </row>
        <row r="2582">
          <cell r="A2582" t="str">
            <v>ARS</v>
          </cell>
          <cell r="B2582" t="str">
            <v>765000260</v>
          </cell>
          <cell r="C2582" t="str">
            <v xml:space="preserve"> CAMPO MADERO II FIDEICOMISO</v>
          </cell>
          <cell r="G2582">
            <v>425472</v>
          </cell>
          <cell r="H2582">
            <v>425472</v>
          </cell>
          <cell r="I2582" t="str">
            <v>765</v>
          </cell>
        </row>
        <row r="2583">
          <cell r="A2583" t="str">
            <v>ARS</v>
          </cell>
          <cell r="B2583" t="str">
            <v>765000261</v>
          </cell>
          <cell r="C2583" t="str">
            <v>CLUB ATLETICO TREBOLENSE MUTUAL SOCIAL Y BIBLIOTECA</v>
          </cell>
          <cell r="G2583">
            <v>1476947999.3599999</v>
          </cell>
          <cell r="H2583">
            <v>1476947999.3599999</v>
          </cell>
          <cell r="I2583" t="str">
            <v>765</v>
          </cell>
        </row>
        <row r="2584">
          <cell r="A2584" t="str">
            <v>ARS</v>
          </cell>
          <cell r="B2584" t="str">
            <v>765000264</v>
          </cell>
          <cell r="C2584" t="str">
            <v>Manasseri, Franco</v>
          </cell>
          <cell r="G2584">
            <v>640968613.22000003</v>
          </cell>
          <cell r="H2584">
            <v>640968613.22000003</v>
          </cell>
          <cell r="I2584" t="str">
            <v>765</v>
          </cell>
        </row>
        <row r="2585">
          <cell r="A2585" t="str">
            <v>ARS</v>
          </cell>
          <cell r="B2585" t="str">
            <v>765000265</v>
          </cell>
          <cell r="C2585" t="str">
            <v>Pedraza, Franco Ramon</v>
          </cell>
          <cell r="G2585">
            <v>19586750.449999999</v>
          </cell>
          <cell r="H2585">
            <v>19586750.449999999</v>
          </cell>
          <cell r="I2585" t="str">
            <v>765</v>
          </cell>
        </row>
        <row r="2586">
          <cell r="A2586" t="str">
            <v>ARS</v>
          </cell>
          <cell r="B2586" t="str">
            <v>765000270</v>
          </cell>
          <cell r="C2586" t="str">
            <v>COOPERATIVA AGRICOLA GANADERA DE EL TREBOL LTDA</v>
          </cell>
          <cell r="G2586">
            <v>94763858.799999997</v>
          </cell>
          <cell r="H2586">
            <v>94763858.799999997</v>
          </cell>
          <cell r="I2586" t="str">
            <v>765</v>
          </cell>
        </row>
        <row r="2587">
          <cell r="A2587" t="str">
            <v>ARS</v>
          </cell>
          <cell r="B2587" t="str">
            <v>765000276</v>
          </cell>
          <cell r="C2587" t="str">
            <v>Poire, Raul Jose</v>
          </cell>
          <cell r="G2587">
            <v>132509060.52</v>
          </cell>
          <cell r="H2587">
            <v>132509060.52</v>
          </cell>
          <cell r="I2587" t="str">
            <v>765</v>
          </cell>
        </row>
        <row r="2588">
          <cell r="A2588" t="str">
            <v>ARS</v>
          </cell>
          <cell r="B2588" t="str">
            <v>765000280</v>
          </cell>
          <cell r="C2588" t="str">
            <v>SOCIEDAD ITALIANA DE SOCORROS MUTUOS "ESTRELLA DE ITALIA"</v>
          </cell>
          <cell r="G2588">
            <v>2847620793.3000002</v>
          </cell>
          <cell r="H2588">
            <v>2847620793.3000002</v>
          </cell>
          <cell r="I2588" t="str">
            <v>765</v>
          </cell>
        </row>
        <row r="2589">
          <cell r="A2589" t="str">
            <v>ARS</v>
          </cell>
          <cell r="B2589" t="str">
            <v>765000282</v>
          </cell>
          <cell r="C2589" t="str">
            <v>Jesus Monti.</v>
          </cell>
          <cell r="G2589">
            <v>571616.67000000004</v>
          </cell>
          <cell r="H2589">
            <v>571616.67000000004</v>
          </cell>
          <cell r="I2589" t="str">
            <v>765</v>
          </cell>
        </row>
        <row r="2590">
          <cell r="A2590" t="str">
            <v>ARS</v>
          </cell>
          <cell r="B2590" t="str">
            <v>765000288</v>
          </cell>
          <cell r="C2590" t="str">
            <v>Torti, Mariano Leandro</v>
          </cell>
          <cell r="G2590">
            <v>3971923.99</v>
          </cell>
          <cell r="H2590">
            <v>3971923.99</v>
          </cell>
          <cell r="I2590" t="str">
            <v>765</v>
          </cell>
        </row>
        <row r="2591">
          <cell r="A2591" t="str">
            <v>ARS</v>
          </cell>
          <cell r="B2591" t="str">
            <v>765000290</v>
          </cell>
          <cell r="C2591" t="str">
            <v>Penhalvel, Alvaro</v>
          </cell>
          <cell r="G2591">
            <v>421219.7</v>
          </cell>
          <cell r="H2591">
            <v>421219.7</v>
          </cell>
          <cell r="I2591" t="str">
            <v>765</v>
          </cell>
        </row>
        <row r="2592">
          <cell r="A2592" t="str">
            <v>ARS</v>
          </cell>
          <cell r="B2592" t="str">
            <v>765000292</v>
          </cell>
          <cell r="C2592" t="str">
            <v>Gariboldi Gaspar David</v>
          </cell>
          <cell r="G2592">
            <v>6557929.2199999997</v>
          </cell>
          <cell r="H2592">
            <v>6557929.2199999997</v>
          </cell>
          <cell r="I2592" t="str">
            <v>765</v>
          </cell>
        </row>
        <row r="2593">
          <cell r="A2593" t="str">
            <v>ARS</v>
          </cell>
          <cell r="B2593" t="str">
            <v>765000294</v>
          </cell>
          <cell r="C2593" t="str">
            <v>Raúl Mariano Garitta</v>
          </cell>
          <cell r="G2593">
            <v>406913.2</v>
          </cell>
          <cell r="H2593">
            <v>406913.2</v>
          </cell>
          <cell r="I2593" t="str">
            <v>765</v>
          </cell>
        </row>
        <row r="2594">
          <cell r="A2594" t="str">
            <v>ARS</v>
          </cell>
          <cell r="B2594" t="str">
            <v>765000295</v>
          </cell>
          <cell r="C2594" t="str">
            <v>Sanchez, Damian Alfredo</v>
          </cell>
          <cell r="G2594">
            <v>1751864.87</v>
          </cell>
          <cell r="H2594">
            <v>1751864.87</v>
          </cell>
          <cell r="I2594" t="str">
            <v>765</v>
          </cell>
        </row>
        <row r="2595">
          <cell r="A2595" t="str">
            <v>ARS</v>
          </cell>
          <cell r="B2595" t="str">
            <v>765000296</v>
          </cell>
          <cell r="C2595" t="str">
            <v>Cegna Gerardo Marcelo</v>
          </cell>
          <cell r="G2595">
            <v>128081474.72</v>
          </cell>
          <cell r="H2595">
            <v>128081474.72</v>
          </cell>
          <cell r="I2595" t="str">
            <v>765</v>
          </cell>
        </row>
        <row r="2596">
          <cell r="A2596" t="str">
            <v>ARS</v>
          </cell>
          <cell r="B2596" t="str">
            <v>765000297</v>
          </cell>
          <cell r="C2596" t="str">
            <v>Rolando, Nelvis María</v>
          </cell>
          <cell r="G2596">
            <v>108955964.23</v>
          </cell>
          <cell r="H2596">
            <v>108955964.23</v>
          </cell>
          <cell r="I2596" t="str">
            <v>765</v>
          </cell>
        </row>
        <row r="2597">
          <cell r="A2597" t="str">
            <v>ARS</v>
          </cell>
          <cell r="B2597" t="str">
            <v>765000299</v>
          </cell>
          <cell r="C2597" t="str">
            <v>Astorga, Gonzalo Martin</v>
          </cell>
          <cell r="G2597">
            <v>21861922.710000001</v>
          </cell>
          <cell r="H2597">
            <v>21861922.710000001</v>
          </cell>
          <cell r="I2597" t="str">
            <v>765</v>
          </cell>
        </row>
        <row r="2598">
          <cell r="A2598" t="str">
            <v>ARS</v>
          </cell>
          <cell r="B2598" t="str">
            <v>765000306</v>
          </cell>
          <cell r="C2598" t="str">
            <v>Cappello, Elio Alberto</v>
          </cell>
          <cell r="G2598">
            <v>3287017.22</v>
          </cell>
          <cell r="H2598">
            <v>3287017.22</v>
          </cell>
          <cell r="I2598" t="str">
            <v>765</v>
          </cell>
        </row>
        <row r="2599">
          <cell r="A2599" t="str">
            <v>ARS</v>
          </cell>
          <cell r="B2599" t="str">
            <v>765000307</v>
          </cell>
          <cell r="C2599" t="str">
            <v>Etbul, Fabiana Alejandra</v>
          </cell>
          <cell r="G2599">
            <v>40836058.719999999</v>
          </cell>
          <cell r="H2599">
            <v>40836058.719999999</v>
          </cell>
          <cell r="I2599" t="str">
            <v>765</v>
          </cell>
        </row>
        <row r="2600">
          <cell r="A2600" t="str">
            <v>ARS</v>
          </cell>
          <cell r="B2600" t="str">
            <v>765000309</v>
          </cell>
          <cell r="C2600" t="str">
            <v>Racca-Pistarelli</v>
          </cell>
          <cell r="G2600">
            <v>59368739.630000003</v>
          </cell>
          <cell r="H2600">
            <v>59368739.630000003</v>
          </cell>
          <cell r="I2600" t="str">
            <v>765</v>
          </cell>
        </row>
        <row r="2601">
          <cell r="A2601" t="str">
            <v>ARS</v>
          </cell>
          <cell r="B2601" t="str">
            <v>765000311</v>
          </cell>
          <cell r="C2601" t="str">
            <v>Americano Mutual y Social</v>
          </cell>
          <cell r="G2601">
            <v>85904984.290000007</v>
          </cell>
          <cell r="H2601">
            <v>85904984.290000007</v>
          </cell>
          <cell r="I2601" t="str">
            <v>765</v>
          </cell>
        </row>
        <row r="2602">
          <cell r="A2602" t="str">
            <v>ARS</v>
          </cell>
          <cell r="B2602" t="str">
            <v>765000312</v>
          </cell>
          <cell r="C2602" t="str">
            <v>Pistarelli, Gerardo Mario</v>
          </cell>
          <cell r="G2602">
            <v>29900260.75</v>
          </cell>
          <cell r="H2602">
            <v>29900260.75</v>
          </cell>
          <cell r="I2602" t="str">
            <v>765</v>
          </cell>
        </row>
        <row r="2603">
          <cell r="A2603" t="str">
            <v>ARS</v>
          </cell>
          <cell r="B2603" t="str">
            <v>765000313</v>
          </cell>
          <cell r="C2603" t="str">
            <v xml:space="preserve">Piacentini, Carlos Dante </v>
          </cell>
          <cell r="G2603">
            <v>30524949.620000001</v>
          </cell>
          <cell r="H2603">
            <v>30524949.620000001</v>
          </cell>
          <cell r="I2603" t="str">
            <v>765</v>
          </cell>
        </row>
        <row r="2604">
          <cell r="A2604" t="str">
            <v>ARS</v>
          </cell>
          <cell r="B2604" t="str">
            <v>765000320</v>
          </cell>
          <cell r="C2604" t="str">
            <v>Cooperativa Agropecuaria Federada Argentina Limitada</v>
          </cell>
          <cell r="G2604">
            <v>805031.63</v>
          </cell>
          <cell r="H2604">
            <v>805031.63</v>
          </cell>
          <cell r="I2604" t="str">
            <v>765</v>
          </cell>
        </row>
        <row r="2605">
          <cell r="A2605" t="str">
            <v>ARS</v>
          </cell>
          <cell r="B2605" t="str">
            <v>765000321</v>
          </cell>
          <cell r="C2605" t="str">
            <v>Sociedad Italiana de Socorros Mutuos de Carcarañá</v>
          </cell>
          <cell r="G2605">
            <v>1869196240.9200001</v>
          </cell>
          <cell r="H2605">
            <v>1869196240.9200001</v>
          </cell>
          <cell r="I2605" t="str">
            <v>765</v>
          </cell>
        </row>
        <row r="2606">
          <cell r="A2606" t="str">
            <v>ARS</v>
          </cell>
          <cell r="B2606" t="str">
            <v>765000324</v>
          </cell>
          <cell r="C2606" t="str">
            <v>Libonatti, Andrés</v>
          </cell>
          <cell r="G2606">
            <v>21632941.609999999</v>
          </cell>
          <cell r="H2606">
            <v>21632941.609999999</v>
          </cell>
          <cell r="I2606" t="str">
            <v>765</v>
          </cell>
        </row>
        <row r="2607">
          <cell r="A2607" t="str">
            <v>ARS</v>
          </cell>
          <cell r="B2607" t="str">
            <v>765000326</v>
          </cell>
          <cell r="C2607" t="str">
            <v xml:space="preserve">Díaz, Luciano Fernando </v>
          </cell>
          <cell r="G2607">
            <v>14498602.960000001</v>
          </cell>
          <cell r="H2607">
            <v>14498602.960000001</v>
          </cell>
          <cell r="I2607" t="str">
            <v>765</v>
          </cell>
        </row>
        <row r="2608">
          <cell r="A2608" t="str">
            <v>ARS</v>
          </cell>
          <cell r="B2608" t="str">
            <v>765000328</v>
          </cell>
          <cell r="C2608" t="str">
            <v>Racca, Alicia Mercedes</v>
          </cell>
          <cell r="G2608">
            <v>123420306.42</v>
          </cell>
          <cell r="H2608">
            <v>123420306.42</v>
          </cell>
          <cell r="I2608" t="str">
            <v>765</v>
          </cell>
        </row>
        <row r="2609">
          <cell r="A2609" t="str">
            <v>ARS</v>
          </cell>
          <cell r="B2609" t="str">
            <v>765000332</v>
          </cell>
          <cell r="C2609" t="str">
            <v>Bosio, Mauricio Juan</v>
          </cell>
          <cell r="G2609">
            <v>25707483.649999999</v>
          </cell>
          <cell r="H2609">
            <v>25707483.649999999</v>
          </cell>
          <cell r="I2609" t="str">
            <v>765</v>
          </cell>
        </row>
        <row r="2610">
          <cell r="A2610" t="str">
            <v>ARS</v>
          </cell>
          <cell r="B2610" t="str">
            <v>765000334</v>
          </cell>
          <cell r="C2610" t="str">
            <v>Bestetti, Matías Andrés</v>
          </cell>
          <cell r="G2610">
            <v>3035714.62</v>
          </cell>
          <cell r="H2610">
            <v>3035714.62</v>
          </cell>
          <cell r="I2610" t="str">
            <v>765</v>
          </cell>
        </row>
        <row r="2611">
          <cell r="A2611" t="str">
            <v>ARS</v>
          </cell>
          <cell r="B2611" t="str">
            <v>765000336</v>
          </cell>
          <cell r="C2611" t="str">
            <v>Deluca Martin, Trivisonno Gabriela</v>
          </cell>
          <cell r="G2611">
            <v>49444226.890000001</v>
          </cell>
          <cell r="H2611">
            <v>49444226.890000001</v>
          </cell>
          <cell r="I2611" t="str">
            <v>765</v>
          </cell>
        </row>
        <row r="2612">
          <cell r="A2612" t="str">
            <v>ARS</v>
          </cell>
          <cell r="B2612" t="str">
            <v>765000337</v>
          </cell>
          <cell r="C2612" t="str">
            <v>Manasseri, Oscar Marcos</v>
          </cell>
          <cell r="G2612">
            <v>5851141.0099999998</v>
          </cell>
          <cell r="H2612">
            <v>5851141.0099999998</v>
          </cell>
          <cell r="I2612" t="str">
            <v>765</v>
          </cell>
        </row>
        <row r="2613">
          <cell r="A2613" t="str">
            <v>ARS</v>
          </cell>
          <cell r="B2613" t="str">
            <v>765000339</v>
          </cell>
          <cell r="C2613" t="str">
            <v>Monti, Celina Paula</v>
          </cell>
          <cell r="G2613">
            <v>5976035.75</v>
          </cell>
          <cell r="H2613">
            <v>5976035.75</v>
          </cell>
          <cell r="I2613" t="str">
            <v>765</v>
          </cell>
        </row>
        <row r="2614">
          <cell r="A2614" t="str">
            <v>ARS</v>
          </cell>
          <cell r="B2614" t="str">
            <v>765000343</v>
          </cell>
          <cell r="C2614" t="str">
            <v>Karina Verónica Bernardi</v>
          </cell>
          <cell r="G2614">
            <v>4907520.8600000003</v>
          </cell>
          <cell r="H2614">
            <v>4907520.8600000003</v>
          </cell>
          <cell r="I2614" t="str">
            <v>765</v>
          </cell>
        </row>
        <row r="2615">
          <cell r="A2615" t="str">
            <v>ARS</v>
          </cell>
          <cell r="B2615" t="str">
            <v>765000345</v>
          </cell>
          <cell r="C2615" t="str">
            <v xml:space="preserve">Ciccocioppo, Ramiro </v>
          </cell>
          <cell r="G2615">
            <v>7331538.6900000004</v>
          </cell>
          <cell r="H2615">
            <v>7331538.6900000004</v>
          </cell>
          <cell r="I2615" t="str">
            <v>765</v>
          </cell>
        </row>
        <row r="2616">
          <cell r="A2616" t="str">
            <v>ARS</v>
          </cell>
          <cell r="B2616" t="str">
            <v>765000353</v>
          </cell>
          <cell r="C2616" t="str">
            <v>Illarramendi, Matías Agustín</v>
          </cell>
          <cell r="G2616">
            <v>75588852.579999998</v>
          </cell>
          <cell r="H2616">
            <v>75588852.579999998</v>
          </cell>
          <cell r="I2616" t="str">
            <v>765</v>
          </cell>
        </row>
        <row r="2617">
          <cell r="A2617" t="str">
            <v>ARS</v>
          </cell>
          <cell r="B2617" t="str">
            <v>765000357</v>
          </cell>
          <cell r="C2617" t="str">
            <v>Chiera, Ignacio Agustín</v>
          </cell>
          <cell r="G2617">
            <v>8208187.2999999998</v>
          </cell>
          <cell r="H2617">
            <v>8208187.2999999998</v>
          </cell>
          <cell r="I2617" t="str">
            <v>765</v>
          </cell>
        </row>
        <row r="2618">
          <cell r="A2618" t="str">
            <v>ARS</v>
          </cell>
          <cell r="B2618" t="str">
            <v>765000358</v>
          </cell>
          <cell r="C2618" t="str">
            <v>Heligon SA</v>
          </cell>
          <cell r="G2618">
            <v>6256090.79</v>
          </cell>
          <cell r="H2618">
            <v>6256090.79</v>
          </cell>
          <cell r="I2618" t="str">
            <v>765</v>
          </cell>
        </row>
        <row r="2619">
          <cell r="A2619" t="str">
            <v>ARS</v>
          </cell>
          <cell r="B2619" t="str">
            <v>765000360</v>
          </cell>
          <cell r="C2619" t="str">
            <v>Trossero, Silvia María</v>
          </cell>
          <cell r="G2619">
            <v>16218549.529999999</v>
          </cell>
          <cell r="H2619">
            <v>16218549.529999999</v>
          </cell>
          <cell r="I2619" t="str">
            <v>765</v>
          </cell>
        </row>
        <row r="2620">
          <cell r="A2620" t="str">
            <v>ARS</v>
          </cell>
          <cell r="B2620" t="str">
            <v>765000361</v>
          </cell>
          <cell r="C2620" t="str">
            <v>Asociación de Bioquímicos del Departamento San Martín</v>
          </cell>
          <cell r="G2620">
            <v>16757386.289999999</v>
          </cell>
          <cell r="H2620">
            <v>16757386.289999999</v>
          </cell>
          <cell r="I2620" t="str">
            <v>765</v>
          </cell>
        </row>
        <row r="2621">
          <cell r="A2621" t="str">
            <v>ARS</v>
          </cell>
          <cell r="B2621" t="str">
            <v>765000365</v>
          </cell>
          <cell r="C2621" t="str">
            <v>Peña, Sebastían</v>
          </cell>
          <cell r="G2621">
            <v>215494019.12</v>
          </cell>
          <cell r="H2621">
            <v>215494019.12</v>
          </cell>
          <cell r="I2621" t="str">
            <v>765</v>
          </cell>
        </row>
        <row r="2622">
          <cell r="A2622" t="str">
            <v>ARS</v>
          </cell>
          <cell r="B2622" t="str">
            <v>765000372</v>
          </cell>
          <cell r="C2622" t="str">
            <v>Bonetto, Emanuel Mario</v>
          </cell>
          <cell r="G2622">
            <v>534000</v>
          </cell>
          <cell r="H2622">
            <v>534000</v>
          </cell>
          <cell r="I2622" t="str">
            <v>765</v>
          </cell>
        </row>
        <row r="2623">
          <cell r="A2623" t="str">
            <v>ARS</v>
          </cell>
          <cell r="B2623" t="str">
            <v>765000376</v>
          </cell>
          <cell r="C2623" t="str">
            <v>Deschamps, Sandra Roxana</v>
          </cell>
          <cell r="G2623">
            <v>992106.4</v>
          </cell>
          <cell r="H2623">
            <v>992106.4</v>
          </cell>
          <cell r="I2623" t="str">
            <v>765</v>
          </cell>
        </row>
        <row r="2624">
          <cell r="A2624" t="str">
            <v>ARS</v>
          </cell>
          <cell r="B2624" t="str">
            <v>765000378</v>
          </cell>
          <cell r="C2624" t="str">
            <v>Beltrando, Javier Juan</v>
          </cell>
          <cell r="G2624">
            <v>164738265.31999999</v>
          </cell>
          <cell r="H2624">
            <v>164738265.31999999</v>
          </cell>
          <cell r="I2624" t="str">
            <v>765</v>
          </cell>
        </row>
        <row r="2625">
          <cell r="A2625" t="str">
            <v>ARS</v>
          </cell>
          <cell r="B2625" t="str">
            <v>765000381</v>
          </cell>
          <cell r="C2625" t="str">
            <v>Chiattellino, David Alejandro</v>
          </cell>
          <cell r="G2625">
            <v>10215651.16</v>
          </cell>
          <cell r="H2625">
            <v>10215651.16</v>
          </cell>
          <cell r="I2625" t="str">
            <v>765</v>
          </cell>
        </row>
        <row r="2626">
          <cell r="A2626" t="str">
            <v>ARS</v>
          </cell>
          <cell r="B2626" t="str">
            <v>765000382</v>
          </cell>
          <cell r="C2626" t="str">
            <v xml:space="preserve">Manasseri, Andrea de Pilar </v>
          </cell>
          <cell r="G2626">
            <v>81480639.280000001</v>
          </cell>
          <cell r="H2626">
            <v>81480639.280000001</v>
          </cell>
          <cell r="I2626" t="str">
            <v>765</v>
          </cell>
        </row>
        <row r="2627">
          <cell r="A2627" t="str">
            <v>ARS</v>
          </cell>
          <cell r="B2627" t="str">
            <v>765000388</v>
          </cell>
          <cell r="C2627" t="str">
            <v>Gerstner, Julio Ignacio</v>
          </cell>
          <cell r="G2627">
            <v>1861142.59</v>
          </cell>
          <cell r="H2627">
            <v>1861142.59</v>
          </cell>
          <cell r="I2627" t="str">
            <v>765</v>
          </cell>
        </row>
        <row r="2628">
          <cell r="A2628" t="str">
            <v>ARS</v>
          </cell>
          <cell r="B2628" t="str">
            <v>765000393</v>
          </cell>
          <cell r="C2628" t="str">
            <v xml:space="preserve">Bergia, María Cristina </v>
          </cell>
          <cell r="G2628">
            <v>11237045.6</v>
          </cell>
          <cell r="H2628">
            <v>11237045.6</v>
          </cell>
          <cell r="I2628" t="str">
            <v>765</v>
          </cell>
        </row>
        <row r="2629">
          <cell r="A2629" t="str">
            <v>ARS</v>
          </cell>
          <cell r="B2629" t="str">
            <v>765000395</v>
          </cell>
          <cell r="C2629" t="str">
            <v>IMOBERDORF HNOS. S.A</v>
          </cell>
          <cell r="G2629">
            <v>177781724.41</v>
          </cell>
          <cell r="H2629">
            <v>177781724.41</v>
          </cell>
          <cell r="I2629" t="str">
            <v>765</v>
          </cell>
        </row>
        <row r="2630">
          <cell r="A2630" t="str">
            <v>ARS</v>
          </cell>
          <cell r="B2630" t="str">
            <v>765000396</v>
          </cell>
          <cell r="C2630" t="str">
            <v>Álvarez , Adriana Nelida</v>
          </cell>
          <cell r="G2630">
            <v>18557282.350000001</v>
          </cell>
          <cell r="H2630">
            <v>18557282.350000001</v>
          </cell>
          <cell r="I2630" t="str">
            <v>765</v>
          </cell>
        </row>
        <row r="2631">
          <cell r="A2631" t="str">
            <v>ARS</v>
          </cell>
          <cell r="B2631" t="str">
            <v>765000398</v>
          </cell>
          <cell r="C2631" t="str">
            <v>Vilches, Anabela Diana</v>
          </cell>
          <cell r="G2631">
            <v>1314985.71</v>
          </cell>
          <cell r="H2631">
            <v>1314985.71</v>
          </cell>
          <cell r="I2631" t="str">
            <v>765</v>
          </cell>
        </row>
        <row r="2632">
          <cell r="A2632" t="str">
            <v>ARS</v>
          </cell>
          <cell r="B2632" t="str">
            <v>765000401</v>
          </cell>
          <cell r="C2632" t="str">
            <v>Pietrani, Franco Silverio</v>
          </cell>
          <cell r="G2632">
            <v>514341.19</v>
          </cell>
          <cell r="H2632">
            <v>514341.19</v>
          </cell>
          <cell r="I2632" t="str">
            <v>765</v>
          </cell>
        </row>
        <row r="2633">
          <cell r="A2633" t="str">
            <v>ARS</v>
          </cell>
          <cell r="B2633" t="str">
            <v>765000404</v>
          </cell>
          <cell r="C2633" t="str">
            <v>Aguilar, Sergio Eduardo Alejandro</v>
          </cell>
          <cell r="G2633">
            <v>14014520.49</v>
          </cell>
          <cell r="H2633">
            <v>14014520.49</v>
          </cell>
          <cell r="I2633" t="str">
            <v>765</v>
          </cell>
        </row>
        <row r="2634">
          <cell r="A2634" t="str">
            <v>ARS</v>
          </cell>
          <cell r="B2634" t="str">
            <v>765000408</v>
          </cell>
          <cell r="C2634" t="str">
            <v>Rico, Emilia Beatriz</v>
          </cell>
          <cell r="G2634">
            <v>27227501.079999998</v>
          </cell>
          <cell r="H2634">
            <v>27227501.079999998</v>
          </cell>
          <cell r="I2634" t="str">
            <v>765</v>
          </cell>
        </row>
        <row r="2635">
          <cell r="A2635" t="str">
            <v>ARS</v>
          </cell>
          <cell r="B2635" t="str">
            <v>765000411</v>
          </cell>
          <cell r="C2635" t="str">
            <v>Aguilera, Alejandro</v>
          </cell>
          <cell r="G2635">
            <v>2280845.35</v>
          </cell>
          <cell r="H2635">
            <v>2280845.35</v>
          </cell>
          <cell r="I2635" t="str">
            <v>765</v>
          </cell>
        </row>
        <row r="2636">
          <cell r="A2636" t="str">
            <v>ARS</v>
          </cell>
          <cell r="B2636" t="str">
            <v>765000414</v>
          </cell>
          <cell r="C2636" t="str">
            <v>Babini, Lisiel Berenise</v>
          </cell>
          <cell r="G2636">
            <v>15473408.550000001</v>
          </cell>
          <cell r="H2636">
            <v>15473408.550000001</v>
          </cell>
          <cell r="I2636" t="str">
            <v>765</v>
          </cell>
        </row>
        <row r="2637">
          <cell r="A2637" t="str">
            <v>ARS</v>
          </cell>
          <cell r="B2637" t="str">
            <v>765000417</v>
          </cell>
          <cell r="C2637" t="str">
            <v>Babini, Elian Gabriel</v>
          </cell>
          <cell r="G2637">
            <v>20237173.469999999</v>
          </cell>
          <cell r="H2637">
            <v>20237173.469999999</v>
          </cell>
          <cell r="I2637" t="str">
            <v>765</v>
          </cell>
        </row>
        <row r="2638">
          <cell r="A2638" t="str">
            <v>ARS</v>
          </cell>
          <cell r="B2638" t="str">
            <v>765000418</v>
          </cell>
          <cell r="C2638" t="str">
            <v>Caffaratti, Sofía Andrea</v>
          </cell>
          <cell r="G2638">
            <v>8202843.21</v>
          </cell>
          <cell r="H2638">
            <v>8202843.21</v>
          </cell>
          <cell r="I2638" t="str">
            <v>765</v>
          </cell>
        </row>
        <row r="2639">
          <cell r="A2639" t="str">
            <v>ARS</v>
          </cell>
          <cell r="B2639" t="str">
            <v>765000419</v>
          </cell>
          <cell r="C2639" t="str">
            <v>Caffaratti, Guillermo Cesar</v>
          </cell>
          <cell r="G2639">
            <v>6196804.3099999996</v>
          </cell>
          <cell r="H2639">
            <v>6196804.3099999996</v>
          </cell>
          <cell r="I2639" t="str">
            <v>765</v>
          </cell>
        </row>
        <row r="2640">
          <cell r="A2640" t="str">
            <v>ARS</v>
          </cell>
          <cell r="B2640" t="str">
            <v>765000424</v>
          </cell>
          <cell r="C2640" t="str">
            <v>Cappello, Angelo</v>
          </cell>
          <cell r="G2640">
            <v>1987305.11</v>
          </cell>
          <cell r="H2640">
            <v>1987305.11</v>
          </cell>
          <cell r="I2640" t="str">
            <v>765</v>
          </cell>
        </row>
        <row r="2641">
          <cell r="A2641" t="str">
            <v>ARS</v>
          </cell>
          <cell r="B2641" t="str">
            <v>765000426</v>
          </cell>
          <cell r="C2641" t="str">
            <v xml:space="preserve">Mina, Pedro Manuel </v>
          </cell>
          <cell r="G2641">
            <v>5344409.3899999997</v>
          </cell>
          <cell r="H2641">
            <v>5344409.3899999997</v>
          </cell>
          <cell r="I2641" t="str">
            <v>765</v>
          </cell>
        </row>
        <row r="2642">
          <cell r="A2642" t="str">
            <v>ARS</v>
          </cell>
          <cell r="B2642" t="str">
            <v>765000427</v>
          </cell>
          <cell r="C2642" t="str">
            <v>Carranza, Juan Manuel</v>
          </cell>
          <cell r="G2642">
            <v>2687240.37</v>
          </cell>
          <cell r="H2642">
            <v>2687240.37</v>
          </cell>
          <cell r="I2642" t="str">
            <v>765</v>
          </cell>
        </row>
        <row r="2643">
          <cell r="A2643" t="str">
            <v>ARS</v>
          </cell>
          <cell r="B2643" t="str">
            <v>765000430</v>
          </cell>
          <cell r="C2643" t="str">
            <v xml:space="preserve">Racca, Marcelo Jesús </v>
          </cell>
          <cell r="G2643">
            <v>296044.74</v>
          </cell>
          <cell r="H2643">
            <v>296044.74</v>
          </cell>
          <cell r="I2643" t="str">
            <v>765</v>
          </cell>
        </row>
        <row r="2644">
          <cell r="A2644" t="str">
            <v>ARS</v>
          </cell>
          <cell r="B2644" t="str">
            <v>765000433</v>
          </cell>
          <cell r="C2644" t="str">
            <v>Gudel, Franco Eduardo</v>
          </cell>
          <cell r="G2644">
            <v>1297955491.73</v>
          </cell>
          <cell r="H2644">
            <v>1297955491.73</v>
          </cell>
          <cell r="I2644" t="str">
            <v>765</v>
          </cell>
        </row>
        <row r="2645">
          <cell r="A2645" t="str">
            <v>ARS</v>
          </cell>
          <cell r="B2645" t="str">
            <v>765000437</v>
          </cell>
          <cell r="C2645" t="str">
            <v>Castellino, Marcos Jose</v>
          </cell>
          <cell r="G2645">
            <v>16216806.93</v>
          </cell>
          <cell r="H2645">
            <v>16216806.93</v>
          </cell>
          <cell r="I2645" t="str">
            <v>765</v>
          </cell>
        </row>
        <row r="2646">
          <cell r="A2646" t="str">
            <v>ARS</v>
          </cell>
          <cell r="B2646" t="str">
            <v>765000438</v>
          </cell>
          <cell r="C2646" t="str">
            <v>Acosta, Fernando</v>
          </cell>
          <cell r="G2646">
            <v>4642301.25</v>
          </cell>
          <cell r="H2646">
            <v>4642301.25</v>
          </cell>
          <cell r="I2646" t="str">
            <v>765</v>
          </cell>
        </row>
        <row r="2647">
          <cell r="A2647" t="str">
            <v>ARS</v>
          </cell>
          <cell r="B2647" t="str">
            <v>765000439</v>
          </cell>
          <cell r="C2647" t="str">
            <v>Hansen, Jorge Adrian</v>
          </cell>
          <cell r="G2647">
            <v>2657972.84</v>
          </cell>
          <cell r="H2647">
            <v>2657972.84</v>
          </cell>
          <cell r="I2647" t="str">
            <v>765</v>
          </cell>
        </row>
        <row r="2648">
          <cell r="A2648" t="str">
            <v>ARS</v>
          </cell>
          <cell r="B2648" t="str">
            <v>765000443</v>
          </cell>
          <cell r="C2648" t="str">
            <v xml:space="preserve">Gozzi Pecci, Gaston Matias Jose </v>
          </cell>
          <cell r="G2648">
            <v>205160</v>
          </cell>
          <cell r="H2648">
            <v>205160</v>
          </cell>
          <cell r="I2648" t="str">
            <v>765</v>
          </cell>
        </row>
        <row r="2649">
          <cell r="A2649" t="str">
            <v>ARS</v>
          </cell>
          <cell r="B2649" t="str">
            <v>765000445</v>
          </cell>
          <cell r="C2649" t="str">
            <v>Calcaterra, Hugo Oscar</v>
          </cell>
          <cell r="G2649">
            <v>5848494.1200000001</v>
          </cell>
          <cell r="H2649">
            <v>5848494.1200000001</v>
          </cell>
          <cell r="I2649" t="str">
            <v>765</v>
          </cell>
        </row>
        <row r="2650">
          <cell r="A2650" t="str">
            <v>ARS</v>
          </cell>
          <cell r="B2650" t="str">
            <v>765000447</v>
          </cell>
          <cell r="C2650" t="str">
            <v>Traverso, Juan Marcelo</v>
          </cell>
          <cell r="G2650">
            <v>18595023.739999998</v>
          </cell>
          <cell r="H2650">
            <v>18595023.739999998</v>
          </cell>
          <cell r="I2650" t="str">
            <v>765</v>
          </cell>
        </row>
        <row r="2651">
          <cell r="A2651" t="str">
            <v>ARS</v>
          </cell>
          <cell r="B2651" t="str">
            <v>765000453</v>
          </cell>
          <cell r="C2651" t="str">
            <v>Lepore, Luisina</v>
          </cell>
          <cell r="G2651">
            <v>930371.06</v>
          </cell>
          <cell r="H2651">
            <v>930371.06</v>
          </cell>
          <cell r="I2651" t="str">
            <v>765</v>
          </cell>
        </row>
        <row r="2652">
          <cell r="A2652" t="str">
            <v>ARS</v>
          </cell>
          <cell r="B2652" t="str">
            <v>765000457</v>
          </cell>
          <cell r="C2652" t="str">
            <v>Sibona, Enilda Margarita</v>
          </cell>
          <cell r="G2652">
            <v>18246960.75</v>
          </cell>
          <cell r="H2652">
            <v>18246960.75</v>
          </cell>
          <cell r="I2652" t="str">
            <v>765</v>
          </cell>
        </row>
        <row r="2653">
          <cell r="A2653" t="str">
            <v>ARS</v>
          </cell>
          <cell r="B2653" t="str">
            <v>765000458</v>
          </cell>
          <cell r="C2653" t="str">
            <v>Piumetti, María Alejandra</v>
          </cell>
          <cell r="G2653">
            <v>658341</v>
          </cell>
          <cell r="H2653">
            <v>658341</v>
          </cell>
          <cell r="I2653" t="str">
            <v>765</v>
          </cell>
        </row>
        <row r="2654">
          <cell r="A2654" t="str">
            <v>ARS</v>
          </cell>
          <cell r="B2654" t="str">
            <v>765000460</v>
          </cell>
          <cell r="C2654" t="str">
            <v>Mattalia, Isaac Rafael</v>
          </cell>
          <cell r="G2654">
            <v>582072.41</v>
          </cell>
          <cell r="H2654">
            <v>582072.41</v>
          </cell>
          <cell r="I2654" t="str">
            <v>765</v>
          </cell>
        </row>
        <row r="2655">
          <cell r="A2655" t="str">
            <v>ARS</v>
          </cell>
          <cell r="B2655" t="str">
            <v>765000467</v>
          </cell>
          <cell r="C2655" t="str">
            <v>Alvarez, Diego Matias</v>
          </cell>
          <cell r="G2655">
            <v>9190935.9000000004</v>
          </cell>
          <cell r="H2655">
            <v>9190935.9000000004</v>
          </cell>
          <cell r="I2655" t="str">
            <v>765</v>
          </cell>
        </row>
        <row r="2656">
          <cell r="A2656" t="str">
            <v>ARS</v>
          </cell>
          <cell r="B2656" t="str">
            <v>765000468</v>
          </cell>
          <cell r="C2656" t="str">
            <v xml:space="preserve">Quiroga, Hernán Darío </v>
          </cell>
          <cell r="G2656">
            <v>23964900.199999999</v>
          </cell>
          <cell r="H2656">
            <v>23964900.199999999</v>
          </cell>
          <cell r="I2656" t="str">
            <v>765</v>
          </cell>
        </row>
        <row r="2657">
          <cell r="A2657" t="str">
            <v>ARS</v>
          </cell>
          <cell r="B2657" t="str">
            <v>765000469</v>
          </cell>
          <cell r="C2657" t="str">
            <v>Maccari, Lorena Silvia</v>
          </cell>
          <cell r="G2657">
            <v>30165282.399999999</v>
          </cell>
          <cell r="H2657">
            <v>30165282.399999999</v>
          </cell>
          <cell r="I2657" t="str">
            <v>765</v>
          </cell>
        </row>
        <row r="2658">
          <cell r="A2658" t="str">
            <v>ARS</v>
          </cell>
          <cell r="B2658" t="str">
            <v>765000470</v>
          </cell>
          <cell r="C2658" t="str">
            <v>Chapero Dibiasi, Florencia Constanza</v>
          </cell>
          <cell r="G2658">
            <v>622185.87</v>
          </cell>
          <cell r="H2658">
            <v>622185.87</v>
          </cell>
          <cell r="I2658" t="str">
            <v>765</v>
          </cell>
        </row>
        <row r="2659">
          <cell r="A2659" t="str">
            <v>ARS</v>
          </cell>
          <cell r="B2659" t="str">
            <v>765000474</v>
          </cell>
          <cell r="C2659" t="str">
            <v>Prus, Agostina</v>
          </cell>
          <cell r="G2659">
            <v>13991150.449999999</v>
          </cell>
          <cell r="H2659">
            <v>13991150.449999999</v>
          </cell>
          <cell r="I2659" t="str">
            <v>765</v>
          </cell>
        </row>
        <row r="2660">
          <cell r="A2660" t="str">
            <v>ARS</v>
          </cell>
          <cell r="B2660" t="str">
            <v>765000477</v>
          </cell>
          <cell r="C2660" t="str">
            <v>De la Colina, Milagros Belen</v>
          </cell>
          <cell r="G2660">
            <v>30726814.530000001</v>
          </cell>
          <cell r="H2660">
            <v>30726814.530000001</v>
          </cell>
          <cell r="I2660" t="str">
            <v>765</v>
          </cell>
        </row>
        <row r="2661">
          <cell r="A2661" t="str">
            <v>ARS</v>
          </cell>
          <cell r="B2661" t="str">
            <v>765000478</v>
          </cell>
          <cell r="C2661" t="str">
            <v>Lopez, Gimena Mabel</v>
          </cell>
          <cell r="G2661">
            <v>383573.27</v>
          </cell>
          <cell r="H2661">
            <v>383573.27</v>
          </cell>
          <cell r="I2661" t="str">
            <v>765</v>
          </cell>
        </row>
        <row r="2662">
          <cell r="A2662" t="str">
            <v>ARS</v>
          </cell>
          <cell r="B2662" t="str">
            <v>765000479</v>
          </cell>
          <cell r="C2662" t="str">
            <v>Orozco, Patricio Aldo</v>
          </cell>
          <cell r="G2662">
            <v>5465140.9699999997</v>
          </cell>
          <cell r="H2662">
            <v>5465140.9699999997</v>
          </cell>
          <cell r="I2662" t="str">
            <v>765</v>
          </cell>
        </row>
        <row r="2663">
          <cell r="A2663" t="str">
            <v>ARS</v>
          </cell>
          <cell r="B2663" t="str">
            <v>765000482</v>
          </cell>
          <cell r="C2663" t="str">
            <v>Ceci, Paola</v>
          </cell>
          <cell r="G2663">
            <v>3449680.08</v>
          </cell>
          <cell r="H2663">
            <v>3449680.08</v>
          </cell>
          <cell r="I2663" t="str">
            <v>765</v>
          </cell>
        </row>
        <row r="2664">
          <cell r="A2664" t="str">
            <v>ARS</v>
          </cell>
          <cell r="B2664" t="str">
            <v>765000483</v>
          </cell>
          <cell r="C2664" t="str">
            <v>Perona, Sebastian Mauro</v>
          </cell>
          <cell r="G2664">
            <v>32385128.739999998</v>
          </cell>
          <cell r="H2664">
            <v>32385128.739999998</v>
          </cell>
          <cell r="I2664" t="str">
            <v>765</v>
          </cell>
        </row>
        <row r="2665">
          <cell r="A2665" t="str">
            <v>ARS</v>
          </cell>
          <cell r="B2665" t="str">
            <v>765000486</v>
          </cell>
          <cell r="C2665" t="str">
            <v>Ebani, Emanuel Alejandro</v>
          </cell>
          <cell r="G2665">
            <v>28234035.43</v>
          </cell>
          <cell r="H2665">
            <v>28234035.43</v>
          </cell>
          <cell r="I2665" t="str">
            <v>765</v>
          </cell>
        </row>
        <row r="2666">
          <cell r="A2666" t="str">
            <v>ARS</v>
          </cell>
          <cell r="B2666" t="str">
            <v>765000488</v>
          </cell>
          <cell r="C2666" t="str">
            <v>Franco, Mauro Emmanuel</v>
          </cell>
          <cell r="G2666">
            <v>1922141.92</v>
          </cell>
          <cell r="H2666">
            <v>1922141.92</v>
          </cell>
          <cell r="I2666" t="str">
            <v>765</v>
          </cell>
        </row>
        <row r="2667">
          <cell r="A2667" t="str">
            <v>ARS</v>
          </cell>
          <cell r="B2667" t="str">
            <v>765000489</v>
          </cell>
          <cell r="C2667" t="str">
            <v>Torrazza, Stefano</v>
          </cell>
          <cell r="G2667">
            <v>7098194.4199999999</v>
          </cell>
          <cell r="H2667">
            <v>7098194.4199999999</v>
          </cell>
          <cell r="I2667" t="str">
            <v>765</v>
          </cell>
        </row>
        <row r="2668">
          <cell r="A2668" t="str">
            <v>ARS</v>
          </cell>
          <cell r="B2668" t="str">
            <v>765000491</v>
          </cell>
          <cell r="C2668" t="str">
            <v>Martina, Julian Andres</v>
          </cell>
          <cell r="G2668">
            <v>1094978.94</v>
          </cell>
          <cell r="H2668">
            <v>1094978.94</v>
          </cell>
          <cell r="I2668" t="str">
            <v>765</v>
          </cell>
        </row>
        <row r="2669">
          <cell r="A2669" t="str">
            <v>ARS</v>
          </cell>
          <cell r="B2669" t="str">
            <v>765000492</v>
          </cell>
          <cell r="C2669" t="str">
            <v xml:space="preserve">Perlo, Gino Andres </v>
          </cell>
          <cell r="G2669">
            <v>49914013.43</v>
          </cell>
          <cell r="H2669">
            <v>49914013.43</v>
          </cell>
          <cell r="I2669" t="str">
            <v>765</v>
          </cell>
        </row>
        <row r="2670">
          <cell r="A2670" t="str">
            <v>ARS</v>
          </cell>
          <cell r="B2670" t="str">
            <v>765000494</v>
          </cell>
          <cell r="C2670" t="str">
            <v>Picabea, Juan Manuel</v>
          </cell>
          <cell r="G2670">
            <v>9124468.6699999999</v>
          </cell>
          <cell r="H2670">
            <v>9124468.6699999999</v>
          </cell>
          <cell r="I2670" t="str">
            <v>765</v>
          </cell>
        </row>
        <row r="2671">
          <cell r="A2671" t="str">
            <v>ARS</v>
          </cell>
          <cell r="B2671" t="str">
            <v>765000496</v>
          </cell>
          <cell r="C2671" t="str">
            <v>BOASSO Y CIA SRL</v>
          </cell>
          <cell r="G2671">
            <v>24200349.050000001</v>
          </cell>
          <cell r="H2671">
            <v>24200349.050000001</v>
          </cell>
          <cell r="I2671" t="str">
            <v>765</v>
          </cell>
        </row>
        <row r="2672">
          <cell r="A2672" t="str">
            <v>ARS</v>
          </cell>
          <cell r="B2672" t="str">
            <v>765000497</v>
          </cell>
          <cell r="C2672" t="str">
            <v>Rossi, Mariella Irene</v>
          </cell>
          <cell r="G2672">
            <v>10482547.93</v>
          </cell>
          <cell r="H2672">
            <v>10482547.93</v>
          </cell>
          <cell r="I2672" t="str">
            <v>765</v>
          </cell>
        </row>
        <row r="2673">
          <cell r="A2673" t="str">
            <v>ARS</v>
          </cell>
          <cell r="B2673" t="str">
            <v>765000498</v>
          </cell>
          <cell r="C2673" t="str">
            <v>Celotti, Sofía</v>
          </cell>
          <cell r="G2673">
            <v>2402183.2000000002</v>
          </cell>
          <cell r="H2673">
            <v>2402183.2000000002</v>
          </cell>
          <cell r="I2673" t="str">
            <v>765</v>
          </cell>
        </row>
        <row r="2674">
          <cell r="A2674" t="str">
            <v>ARS</v>
          </cell>
          <cell r="B2674" t="str">
            <v>765000499</v>
          </cell>
          <cell r="C2674" t="str">
            <v>Lapassini, Guillermo Raúl</v>
          </cell>
          <cell r="G2674">
            <v>37437707.640000001</v>
          </cell>
          <cell r="H2674">
            <v>37437707.640000001</v>
          </cell>
          <cell r="I2674" t="str">
            <v>765</v>
          </cell>
        </row>
        <row r="2675">
          <cell r="A2675" t="str">
            <v>ARS</v>
          </cell>
          <cell r="B2675" t="str">
            <v>765000500</v>
          </cell>
          <cell r="C2675" t="str">
            <v>Mac Cormack, Thomas</v>
          </cell>
          <cell r="G2675">
            <v>3118798.73</v>
          </cell>
          <cell r="H2675">
            <v>3118798.73</v>
          </cell>
          <cell r="I2675" t="str">
            <v>765</v>
          </cell>
        </row>
        <row r="2676">
          <cell r="A2676" t="str">
            <v>ARS</v>
          </cell>
          <cell r="B2676" t="str">
            <v>765000501</v>
          </cell>
          <cell r="C2676" t="str">
            <v>Ulla, Facundo</v>
          </cell>
          <cell r="G2676">
            <v>9933425.4499999993</v>
          </cell>
          <cell r="H2676">
            <v>9933425.4499999993</v>
          </cell>
          <cell r="I2676" t="str">
            <v>765</v>
          </cell>
        </row>
        <row r="2677">
          <cell r="A2677" t="str">
            <v>ARS</v>
          </cell>
          <cell r="B2677" t="str">
            <v>765000502</v>
          </cell>
          <cell r="C2677" t="str">
            <v>Delgado, Fabiana Belén</v>
          </cell>
          <cell r="G2677">
            <v>63161665.689999998</v>
          </cell>
          <cell r="H2677">
            <v>63161665.689999998</v>
          </cell>
          <cell r="I2677" t="str">
            <v>765</v>
          </cell>
        </row>
        <row r="2678">
          <cell r="A2678" t="str">
            <v>ARS</v>
          </cell>
          <cell r="B2678" t="str">
            <v>765000503</v>
          </cell>
          <cell r="C2678" t="str">
            <v>Argenti, Patricia Sandra</v>
          </cell>
          <cell r="G2678">
            <v>19539137.899999999</v>
          </cell>
          <cell r="H2678">
            <v>19539137.899999999</v>
          </cell>
          <cell r="I2678" t="str">
            <v>765</v>
          </cell>
        </row>
        <row r="2679">
          <cell r="A2679" t="str">
            <v>ARS</v>
          </cell>
          <cell r="B2679" t="str">
            <v>765000504</v>
          </cell>
          <cell r="C2679" t="str">
            <v>Coppari, Mirta Beatriz</v>
          </cell>
          <cell r="G2679">
            <v>30139919.899999999</v>
          </cell>
          <cell r="H2679">
            <v>30139919.899999999</v>
          </cell>
          <cell r="I2679" t="str">
            <v>765</v>
          </cell>
        </row>
        <row r="2680">
          <cell r="A2680" t="str">
            <v>ARS</v>
          </cell>
          <cell r="B2680" t="str">
            <v>765000505</v>
          </cell>
          <cell r="C2680" t="str">
            <v>Ebani, Julio Cesar</v>
          </cell>
          <cell r="G2680">
            <v>888960</v>
          </cell>
          <cell r="H2680">
            <v>888960</v>
          </cell>
          <cell r="I2680" t="str">
            <v>765</v>
          </cell>
        </row>
        <row r="2681">
          <cell r="A2681" t="str">
            <v>ARS</v>
          </cell>
          <cell r="B2681" t="str">
            <v>765000509</v>
          </cell>
          <cell r="C2681" t="str">
            <v>Aresse, Adriana Raquel</v>
          </cell>
          <cell r="G2681">
            <v>51119727.020000003</v>
          </cell>
          <cell r="H2681">
            <v>51119727.020000003</v>
          </cell>
          <cell r="I2681" t="str">
            <v>765</v>
          </cell>
        </row>
        <row r="2682">
          <cell r="A2682" t="str">
            <v>ARS</v>
          </cell>
          <cell r="B2682" t="str">
            <v>765000511</v>
          </cell>
          <cell r="C2682" t="str">
            <v xml:space="preserve">Lombardo, Roció Belén </v>
          </cell>
          <cell r="G2682">
            <v>978854.76</v>
          </cell>
          <cell r="H2682">
            <v>978854.76</v>
          </cell>
          <cell r="I2682" t="str">
            <v>765</v>
          </cell>
        </row>
        <row r="2683">
          <cell r="A2683" t="str">
            <v>ARS</v>
          </cell>
          <cell r="B2683" t="str">
            <v>765000513</v>
          </cell>
          <cell r="C2683" t="str">
            <v>Avalle, Luciana María</v>
          </cell>
          <cell r="G2683">
            <v>85310697.909999996</v>
          </cell>
          <cell r="H2683">
            <v>85310697.909999996</v>
          </cell>
          <cell r="I2683" t="str">
            <v>765</v>
          </cell>
        </row>
        <row r="2684">
          <cell r="A2684" t="str">
            <v>ARS</v>
          </cell>
          <cell r="B2684" t="str">
            <v>765000516</v>
          </cell>
          <cell r="C2684" t="str">
            <v>Babini, Omar Rene</v>
          </cell>
          <cell r="G2684">
            <v>1403157.78</v>
          </cell>
          <cell r="H2684">
            <v>1403157.78</v>
          </cell>
          <cell r="I2684" t="str">
            <v>765</v>
          </cell>
        </row>
        <row r="2685">
          <cell r="A2685" t="str">
            <v>ARS</v>
          </cell>
          <cell r="B2685" t="str">
            <v>765000517</v>
          </cell>
          <cell r="C2685" t="str">
            <v xml:space="preserve">Celotti, Guillermo Federico </v>
          </cell>
          <cell r="G2685">
            <v>30295338.280000001</v>
          </cell>
          <cell r="H2685">
            <v>30295338.280000001</v>
          </cell>
          <cell r="I2685" t="str">
            <v>765</v>
          </cell>
        </row>
        <row r="2686">
          <cell r="A2686" t="str">
            <v>ARS</v>
          </cell>
          <cell r="B2686" t="str">
            <v>765000518</v>
          </cell>
          <cell r="C2686" t="str">
            <v>Culasso Trivisonno, Blas</v>
          </cell>
          <cell r="G2686">
            <v>2136311.1</v>
          </cell>
          <cell r="H2686">
            <v>2136311.1</v>
          </cell>
          <cell r="I2686" t="str">
            <v>765</v>
          </cell>
        </row>
        <row r="2687">
          <cell r="A2687" t="str">
            <v>ARS</v>
          </cell>
          <cell r="B2687" t="str">
            <v>765000521</v>
          </cell>
          <cell r="C2687" t="str">
            <v>Azeretzky, Gastón</v>
          </cell>
          <cell r="G2687">
            <v>80204400.109999999</v>
          </cell>
          <cell r="H2687">
            <v>80204400.109999999</v>
          </cell>
          <cell r="I2687" t="str">
            <v>765</v>
          </cell>
        </row>
        <row r="2688">
          <cell r="A2688" t="str">
            <v>ARS</v>
          </cell>
          <cell r="B2688" t="str">
            <v>765000523</v>
          </cell>
          <cell r="C2688" t="str">
            <v xml:space="preserve">Mutual de Ayuda Entre Asociados y Adherentes del Club Atlético Def de Centeno </v>
          </cell>
          <cell r="G2688">
            <v>533828714.94</v>
          </cell>
          <cell r="H2688">
            <v>533828714.94</v>
          </cell>
          <cell r="I2688" t="str">
            <v>765</v>
          </cell>
        </row>
        <row r="2689">
          <cell r="A2689" t="str">
            <v>ARS</v>
          </cell>
          <cell r="B2689" t="str">
            <v>765000524</v>
          </cell>
          <cell r="C2689" t="str">
            <v>Bartolelli, Cristian Walter</v>
          </cell>
          <cell r="G2689">
            <v>11589950.33</v>
          </cell>
          <cell r="H2689">
            <v>11589950.33</v>
          </cell>
          <cell r="I2689" t="str">
            <v>765</v>
          </cell>
        </row>
        <row r="2690">
          <cell r="A2690" t="str">
            <v>ARS</v>
          </cell>
          <cell r="B2690" t="str">
            <v>765000526</v>
          </cell>
          <cell r="C2690" t="str">
            <v>Gazzola, Julian</v>
          </cell>
          <cell r="G2690">
            <v>983830.02</v>
          </cell>
          <cell r="H2690">
            <v>983830.02</v>
          </cell>
          <cell r="I2690" t="str">
            <v>765</v>
          </cell>
        </row>
        <row r="2691">
          <cell r="A2691" t="str">
            <v>ARS</v>
          </cell>
          <cell r="B2691" t="str">
            <v>765000527</v>
          </cell>
          <cell r="C2691" t="str">
            <v>Calzada, Ignacio Ariel</v>
          </cell>
          <cell r="G2691">
            <v>6018919.7599999998</v>
          </cell>
          <cell r="H2691">
            <v>6018919.7599999998</v>
          </cell>
          <cell r="I2691" t="str">
            <v>765</v>
          </cell>
        </row>
        <row r="2692">
          <cell r="A2692" t="str">
            <v>ARS</v>
          </cell>
          <cell r="B2692" t="str">
            <v>765000529</v>
          </cell>
          <cell r="C2692" t="str">
            <v>Arias, Gustavo Daniel</v>
          </cell>
          <cell r="G2692">
            <v>17628083.379999999</v>
          </cell>
          <cell r="H2692">
            <v>17628083.379999999</v>
          </cell>
          <cell r="I2692" t="str">
            <v>765</v>
          </cell>
        </row>
        <row r="2693">
          <cell r="A2693" t="str">
            <v>ARS</v>
          </cell>
          <cell r="B2693" t="str">
            <v>765000531</v>
          </cell>
          <cell r="C2693" t="str">
            <v xml:space="preserve">Diciembre, Ariel Adrián </v>
          </cell>
          <cell r="G2693">
            <v>27759695</v>
          </cell>
          <cell r="H2693">
            <v>27759695</v>
          </cell>
          <cell r="I2693" t="str">
            <v>765</v>
          </cell>
        </row>
        <row r="2694">
          <cell r="A2694" t="str">
            <v>ARS</v>
          </cell>
          <cell r="B2694" t="str">
            <v>765000532</v>
          </cell>
          <cell r="C2694" t="str">
            <v>Canepa, Cristian Emilio</v>
          </cell>
          <cell r="G2694">
            <v>103012895.90000001</v>
          </cell>
          <cell r="H2694">
            <v>103012895.90000001</v>
          </cell>
          <cell r="I2694" t="str">
            <v>765</v>
          </cell>
        </row>
        <row r="2695">
          <cell r="A2695" t="str">
            <v>ARS</v>
          </cell>
          <cell r="B2695" t="str">
            <v>765000535</v>
          </cell>
          <cell r="C2695" t="str">
            <v>Soria, Omar Alberto</v>
          </cell>
          <cell r="G2695">
            <v>764664</v>
          </cell>
          <cell r="H2695">
            <v>764664</v>
          </cell>
          <cell r="I2695" t="str">
            <v>765</v>
          </cell>
        </row>
        <row r="2696">
          <cell r="A2696" t="str">
            <v>ARS</v>
          </cell>
          <cell r="B2696" t="str">
            <v>765000536</v>
          </cell>
          <cell r="C2696" t="str">
            <v>RAF EVENTOS SRL</v>
          </cell>
          <cell r="G2696">
            <v>6199450.9699999997</v>
          </cell>
          <cell r="H2696">
            <v>6199450.9699999997</v>
          </cell>
          <cell r="I2696" t="str">
            <v>765</v>
          </cell>
        </row>
        <row r="2697">
          <cell r="A2697" t="str">
            <v>ARS</v>
          </cell>
          <cell r="B2697" t="str">
            <v>765000537</v>
          </cell>
          <cell r="C2697" t="str">
            <v>Perisutti, Diego Daniel</v>
          </cell>
          <cell r="G2697">
            <v>1172748.3</v>
          </cell>
          <cell r="H2697">
            <v>1172748.3</v>
          </cell>
          <cell r="I2697" t="str">
            <v>765</v>
          </cell>
        </row>
        <row r="2698">
          <cell r="A2698" t="str">
            <v>ARS</v>
          </cell>
          <cell r="B2698" t="str">
            <v>765000539</v>
          </cell>
          <cell r="C2698" t="str">
            <v>Morello, Luciano Jesus</v>
          </cell>
          <cell r="G2698">
            <v>6047910.5</v>
          </cell>
          <cell r="H2698">
            <v>6047910.5</v>
          </cell>
          <cell r="I2698" t="str">
            <v>765</v>
          </cell>
        </row>
        <row r="2699">
          <cell r="A2699" t="str">
            <v>ARS</v>
          </cell>
          <cell r="B2699" t="str">
            <v>765000540</v>
          </cell>
          <cell r="C2699" t="str">
            <v xml:space="preserve">Lombardo, Mariano Daniel </v>
          </cell>
          <cell r="G2699">
            <v>6456506.4400000004</v>
          </cell>
          <cell r="H2699">
            <v>6456506.4400000004</v>
          </cell>
          <cell r="I2699" t="str">
            <v>765</v>
          </cell>
        </row>
        <row r="2700">
          <cell r="A2700" t="str">
            <v>ARS</v>
          </cell>
          <cell r="B2700" t="str">
            <v>765000542</v>
          </cell>
          <cell r="C2700" t="str">
            <v>Figueredo, Paul</v>
          </cell>
          <cell r="G2700">
            <v>2682565.7999999998</v>
          </cell>
          <cell r="H2700">
            <v>2682565.7999999998</v>
          </cell>
          <cell r="I2700" t="str">
            <v>765</v>
          </cell>
        </row>
        <row r="2701">
          <cell r="A2701" t="str">
            <v>ARS</v>
          </cell>
          <cell r="B2701" t="str">
            <v>765000546</v>
          </cell>
          <cell r="C2701" t="str">
            <v>Murzyla, Fabian Antonio</v>
          </cell>
          <cell r="G2701">
            <v>55837417.729999997</v>
          </cell>
          <cell r="H2701">
            <v>55837417.729999997</v>
          </cell>
          <cell r="I2701" t="str">
            <v>765</v>
          </cell>
        </row>
        <row r="2702">
          <cell r="A2702" t="str">
            <v>ARS</v>
          </cell>
          <cell r="B2702" t="str">
            <v>765000549</v>
          </cell>
          <cell r="C2702" t="str">
            <v>Surace, Nerina Flavia</v>
          </cell>
          <cell r="G2702">
            <v>3806851.2</v>
          </cell>
          <cell r="H2702">
            <v>3806851.2</v>
          </cell>
          <cell r="I2702" t="str">
            <v>765</v>
          </cell>
        </row>
        <row r="2703">
          <cell r="A2703" t="str">
            <v>ARS</v>
          </cell>
          <cell r="B2703" t="str">
            <v>765000552</v>
          </cell>
          <cell r="C2703" t="str">
            <v>Torres, Pablo Jose</v>
          </cell>
          <cell r="G2703">
            <v>10881646.939999999</v>
          </cell>
          <cell r="H2703">
            <v>10881646.939999999</v>
          </cell>
          <cell r="I2703" t="str">
            <v>765</v>
          </cell>
        </row>
        <row r="2704">
          <cell r="A2704" t="str">
            <v>ARS</v>
          </cell>
          <cell r="B2704" t="str">
            <v>765000553</v>
          </cell>
          <cell r="C2704" t="str">
            <v>Boasso, Maria Victoria</v>
          </cell>
          <cell r="G2704">
            <v>962986.73</v>
          </cell>
          <cell r="H2704">
            <v>962986.73</v>
          </cell>
          <cell r="I2704" t="str">
            <v>765</v>
          </cell>
        </row>
        <row r="2705">
          <cell r="A2705" t="str">
            <v>ARS</v>
          </cell>
          <cell r="B2705" t="str">
            <v>765000554</v>
          </cell>
          <cell r="C2705" t="str">
            <v>Torne, Joaquin Jose</v>
          </cell>
          <cell r="G2705">
            <v>1016419.37</v>
          </cell>
          <cell r="H2705">
            <v>1016419.37</v>
          </cell>
          <cell r="I2705" t="str">
            <v>765</v>
          </cell>
        </row>
        <row r="2706">
          <cell r="A2706" t="str">
            <v>ARS</v>
          </cell>
          <cell r="B2706" t="str">
            <v>765000555</v>
          </cell>
          <cell r="C2706" t="str">
            <v>Viapiano, Eduardo Andres</v>
          </cell>
          <cell r="G2706">
            <v>4122143.38</v>
          </cell>
          <cell r="H2706">
            <v>4122143.38</v>
          </cell>
          <cell r="I2706" t="str">
            <v>765</v>
          </cell>
        </row>
        <row r="2707">
          <cell r="A2707" t="str">
            <v>ARS</v>
          </cell>
          <cell r="B2707" t="str">
            <v>765000556</v>
          </cell>
          <cell r="C2707" t="str">
            <v>Garro, Maria Belen</v>
          </cell>
          <cell r="G2707">
            <v>43401</v>
          </cell>
          <cell r="H2707">
            <v>43401</v>
          </cell>
          <cell r="I2707" t="str">
            <v>765</v>
          </cell>
        </row>
        <row r="2708">
          <cell r="A2708" t="str">
            <v>ARS</v>
          </cell>
          <cell r="B2708" t="str">
            <v>765000557</v>
          </cell>
          <cell r="C2708" t="str">
            <v>Celotti, Ignacio</v>
          </cell>
          <cell r="G2708">
            <v>12363855.279999999</v>
          </cell>
          <cell r="H2708">
            <v>12363855.279999999</v>
          </cell>
          <cell r="I2708" t="str">
            <v>765</v>
          </cell>
        </row>
        <row r="2709">
          <cell r="A2709" t="str">
            <v>ARS</v>
          </cell>
          <cell r="B2709" t="str">
            <v>765000558</v>
          </cell>
          <cell r="C2709" t="str">
            <v>Buttice, Ariel Augusto</v>
          </cell>
          <cell r="G2709">
            <v>20025282.010000002</v>
          </cell>
          <cell r="H2709">
            <v>20025282.010000002</v>
          </cell>
          <cell r="I2709" t="str">
            <v>765</v>
          </cell>
        </row>
        <row r="2710">
          <cell r="A2710" t="str">
            <v>ARS</v>
          </cell>
          <cell r="B2710" t="str">
            <v>765000561</v>
          </cell>
          <cell r="C2710" t="str">
            <v>Nonino, María Guadalupe</v>
          </cell>
          <cell r="G2710">
            <v>57986506.600000001</v>
          </cell>
          <cell r="H2710">
            <v>57986506.600000001</v>
          </cell>
          <cell r="I2710" t="str">
            <v>765</v>
          </cell>
        </row>
        <row r="2711">
          <cell r="A2711" t="str">
            <v>ARS</v>
          </cell>
          <cell r="B2711" t="str">
            <v>765000563</v>
          </cell>
          <cell r="C2711" t="str">
            <v>Farruggio, Cristina Soledad</v>
          </cell>
          <cell r="G2711">
            <v>2031050.5</v>
          </cell>
          <cell r="H2711">
            <v>2031050.5</v>
          </cell>
          <cell r="I2711" t="str">
            <v>765</v>
          </cell>
        </row>
        <row r="2712">
          <cell r="A2712" t="str">
            <v>ARS</v>
          </cell>
          <cell r="B2712" t="str">
            <v>765000564</v>
          </cell>
          <cell r="C2712" t="str">
            <v>Sequeira, Agustin Pablo</v>
          </cell>
          <cell r="G2712">
            <v>7194306.5899999999</v>
          </cell>
          <cell r="H2712">
            <v>7194306.5899999999</v>
          </cell>
          <cell r="I2712" t="str">
            <v>765</v>
          </cell>
        </row>
        <row r="2713">
          <cell r="A2713" t="str">
            <v>ARS</v>
          </cell>
          <cell r="B2713" t="str">
            <v>765000565</v>
          </cell>
          <cell r="C2713" t="str">
            <v>Aguilera, Mariano</v>
          </cell>
          <cell r="G2713">
            <v>1341002.83</v>
          </cell>
          <cell r="H2713">
            <v>1341002.83</v>
          </cell>
          <cell r="I2713" t="str">
            <v>765</v>
          </cell>
        </row>
        <row r="2714">
          <cell r="A2714" t="str">
            <v>ARS</v>
          </cell>
          <cell r="B2714" t="str">
            <v>765000568</v>
          </cell>
          <cell r="C2714" t="str">
            <v>Cruz Joya, Luisina Araceli</v>
          </cell>
          <cell r="G2714">
            <v>961132.92</v>
          </cell>
          <cell r="H2714">
            <v>961132.92</v>
          </cell>
          <cell r="I2714" t="str">
            <v>765</v>
          </cell>
        </row>
        <row r="2715">
          <cell r="A2715" t="str">
            <v>ARS</v>
          </cell>
          <cell r="B2715" t="str">
            <v>765000570</v>
          </cell>
          <cell r="C2715" t="str">
            <v>Gudel, Diego Hernan</v>
          </cell>
          <cell r="G2715">
            <v>1095348.07</v>
          </cell>
          <cell r="H2715">
            <v>1095348.07</v>
          </cell>
          <cell r="I2715" t="str">
            <v>765</v>
          </cell>
        </row>
        <row r="2716">
          <cell r="A2716" t="str">
            <v>ARS</v>
          </cell>
          <cell r="B2716" t="str">
            <v>765000571</v>
          </cell>
          <cell r="C2716" t="str">
            <v>Iglesias, Micaela Maria</v>
          </cell>
          <cell r="G2716">
            <v>417017</v>
          </cell>
          <cell r="H2716">
            <v>417017</v>
          </cell>
          <cell r="I2716" t="str">
            <v>765</v>
          </cell>
        </row>
        <row r="2717">
          <cell r="A2717" t="str">
            <v>ARS</v>
          </cell>
          <cell r="B2717" t="str">
            <v>765000572</v>
          </cell>
          <cell r="C2717" t="str">
            <v>Delorenzi, Martin Hector</v>
          </cell>
          <cell r="G2717">
            <v>2033758.77</v>
          </cell>
          <cell r="H2717">
            <v>2033758.77</v>
          </cell>
          <cell r="I2717" t="str">
            <v>765</v>
          </cell>
        </row>
        <row r="2718">
          <cell r="A2718" t="str">
            <v>ARS</v>
          </cell>
          <cell r="B2718" t="str">
            <v>765000573</v>
          </cell>
          <cell r="C2718" t="str">
            <v xml:space="preserve">Bosio, Adriana </v>
          </cell>
          <cell r="G2718">
            <v>851060.55</v>
          </cell>
          <cell r="H2718">
            <v>851060.55</v>
          </cell>
          <cell r="I2718" t="str">
            <v>765</v>
          </cell>
        </row>
        <row r="2719">
          <cell r="A2719" t="str">
            <v>ARS</v>
          </cell>
          <cell r="B2719" t="str">
            <v>765000574</v>
          </cell>
          <cell r="C2719" t="str">
            <v>Tosetti, Fernando Luis</v>
          </cell>
          <cell r="G2719">
            <v>3525321.37</v>
          </cell>
          <cell r="H2719">
            <v>3525321.37</v>
          </cell>
          <cell r="I2719" t="str">
            <v>765</v>
          </cell>
        </row>
        <row r="2720">
          <cell r="A2720" t="str">
            <v>ARS</v>
          </cell>
          <cell r="B2720" t="str">
            <v>765000577</v>
          </cell>
          <cell r="C2720" t="str">
            <v>Giaime, Santiago Luis</v>
          </cell>
          <cell r="G2720">
            <v>166972.84</v>
          </cell>
          <cell r="H2720">
            <v>166972.84</v>
          </cell>
          <cell r="I2720" t="str">
            <v>765</v>
          </cell>
        </row>
        <row r="2721">
          <cell r="A2721" t="str">
            <v>ARS</v>
          </cell>
          <cell r="B2721" t="str">
            <v>765000581</v>
          </cell>
          <cell r="C2721" t="str">
            <v>Manias, Juan Santiago</v>
          </cell>
          <cell r="G2721">
            <v>521978.44</v>
          </cell>
          <cell r="H2721">
            <v>521978.44</v>
          </cell>
          <cell r="I2721" t="str">
            <v>765</v>
          </cell>
        </row>
        <row r="2722">
          <cell r="A2722" t="str">
            <v>ARS</v>
          </cell>
          <cell r="B2722" t="str">
            <v>765000582</v>
          </cell>
          <cell r="C2722" t="str">
            <v>MARIA BELEN, MANSILLA</v>
          </cell>
          <cell r="G2722">
            <v>64278228.100000001</v>
          </cell>
          <cell r="H2722">
            <v>64278228.100000001</v>
          </cell>
          <cell r="I2722" t="str">
            <v>765</v>
          </cell>
        </row>
        <row r="2723">
          <cell r="A2723" t="str">
            <v>ARS</v>
          </cell>
          <cell r="B2723" t="str">
            <v>765000588</v>
          </cell>
          <cell r="C2723" t="str">
            <v>Bianco, Luciano Andres</v>
          </cell>
          <cell r="G2723">
            <v>58974918.869999997</v>
          </cell>
          <cell r="H2723">
            <v>58974918.869999997</v>
          </cell>
          <cell r="I2723" t="str">
            <v>765</v>
          </cell>
        </row>
        <row r="2724">
          <cell r="A2724" t="str">
            <v>ARS</v>
          </cell>
          <cell r="B2724" t="str">
            <v>765000589</v>
          </cell>
          <cell r="C2724" t="str">
            <v>Celotti, Claudio Jose</v>
          </cell>
          <cell r="G2724">
            <v>14540811.939999999</v>
          </cell>
          <cell r="H2724">
            <v>14540811.939999999</v>
          </cell>
          <cell r="I2724" t="str">
            <v>765</v>
          </cell>
        </row>
        <row r="2725">
          <cell r="A2725" t="str">
            <v>ARS</v>
          </cell>
          <cell r="B2725" t="str">
            <v>765000590</v>
          </cell>
          <cell r="C2725" t="str">
            <v>Demaria, Leonardo Orlando</v>
          </cell>
          <cell r="G2725">
            <v>20933573.059999999</v>
          </cell>
          <cell r="H2725">
            <v>20933573.059999999</v>
          </cell>
          <cell r="I2725" t="str">
            <v>765</v>
          </cell>
        </row>
        <row r="2726">
          <cell r="A2726" t="str">
            <v>ARS</v>
          </cell>
          <cell r="B2726" t="str">
            <v>765000591</v>
          </cell>
          <cell r="C2726" t="str">
            <v>Prus, Maria Ines</v>
          </cell>
          <cell r="G2726">
            <v>22789115.800000001</v>
          </cell>
          <cell r="H2726">
            <v>22789115.800000001</v>
          </cell>
          <cell r="I2726" t="str">
            <v>765</v>
          </cell>
        </row>
        <row r="2727">
          <cell r="A2727" t="str">
            <v>ARS</v>
          </cell>
          <cell r="B2727" t="str">
            <v>765000593</v>
          </cell>
          <cell r="C2727" t="str">
            <v>Melano, Ivan Luis</v>
          </cell>
          <cell r="G2727">
            <v>1155646.44</v>
          </cell>
          <cell r="H2727">
            <v>1155646.44</v>
          </cell>
          <cell r="I2727" t="str">
            <v>765</v>
          </cell>
        </row>
        <row r="2728">
          <cell r="A2728" t="str">
            <v>ARS</v>
          </cell>
          <cell r="B2728" t="str">
            <v>765000594</v>
          </cell>
          <cell r="C2728" t="str">
            <v>Mayolini, Enzo Horacio</v>
          </cell>
          <cell r="G2728">
            <v>3512958.96</v>
          </cell>
          <cell r="H2728">
            <v>3512958.96</v>
          </cell>
          <cell r="I2728" t="str">
            <v>765</v>
          </cell>
        </row>
        <row r="2729">
          <cell r="A2729" t="str">
            <v>ARS</v>
          </cell>
          <cell r="B2729" t="str">
            <v>765000595</v>
          </cell>
          <cell r="C2729" t="str">
            <v>Galletta, Santo Gaudencio</v>
          </cell>
          <cell r="G2729">
            <v>10034280.1</v>
          </cell>
          <cell r="H2729">
            <v>10034280.1</v>
          </cell>
          <cell r="I2729" t="str">
            <v>765</v>
          </cell>
        </row>
        <row r="2730">
          <cell r="A2730" t="str">
            <v>ARS</v>
          </cell>
          <cell r="B2730" t="str">
            <v>765000596</v>
          </cell>
          <cell r="C2730" t="str">
            <v>Ramello, Veronica Gabriela</v>
          </cell>
          <cell r="G2730">
            <v>1799220</v>
          </cell>
          <cell r="H2730">
            <v>1799220</v>
          </cell>
          <cell r="I2730" t="str">
            <v>765</v>
          </cell>
        </row>
        <row r="2731">
          <cell r="A2731" t="str">
            <v>ARS</v>
          </cell>
          <cell r="B2731" t="str">
            <v>765000597</v>
          </cell>
          <cell r="C2731" t="str">
            <v>Loyola Olea, Felipe Ignacio</v>
          </cell>
          <cell r="G2731">
            <v>3543019.24</v>
          </cell>
          <cell r="H2731">
            <v>3543019.24</v>
          </cell>
          <cell r="I2731" t="str">
            <v>765</v>
          </cell>
        </row>
        <row r="2732">
          <cell r="A2732" t="str">
            <v>ARS</v>
          </cell>
          <cell r="B2732" t="str">
            <v>765000605</v>
          </cell>
          <cell r="C2732" t="str">
            <v>Pizarro, Julian</v>
          </cell>
          <cell r="G2732">
            <v>29303712.079999998</v>
          </cell>
          <cell r="H2732">
            <v>29303712.079999998</v>
          </cell>
          <cell r="I2732" t="str">
            <v>765</v>
          </cell>
        </row>
        <row r="2733">
          <cell r="A2733" t="str">
            <v>ARS</v>
          </cell>
          <cell r="B2733" t="str">
            <v>765000606</v>
          </cell>
          <cell r="C2733" t="str">
            <v>[C.E.R.A] Busso Fernando Javier</v>
          </cell>
          <cell r="G2733">
            <v>599653.6</v>
          </cell>
          <cell r="H2733">
            <v>599653.6</v>
          </cell>
          <cell r="I2733" t="str">
            <v>765</v>
          </cell>
        </row>
        <row r="2734">
          <cell r="A2734" t="str">
            <v>ARS</v>
          </cell>
          <cell r="B2734" t="str">
            <v>765000608</v>
          </cell>
          <cell r="C2734" t="str">
            <v>Guerrero, Mariela Paola</v>
          </cell>
          <cell r="G2734">
            <v>133076.67000000001</v>
          </cell>
          <cell r="H2734">
            <v>133076.67000000001</v>
          </cell>
          <cell r="I2734" t="str">
            <v>765</v>
          </cell>
        </row>
        <row r="2735">
          <cell r="A2735" t="str">
            <v>ARS</v>
          </cell>
          <cell r="B2735" t="str">
            <v>765000609</v>
          </cell>
          <cell r="C2735" t="str">
            <v>Quevedo, Fernando Hector</v>
          </cell>
          <cell r="G2735">
            <v>16204.6</v>
          </cell>
          <cell r="H2735">
            <v>16204.6</v>
          </cell>
          <cell r="I2735" t="str">
            <v>765</v>
          </cell>
        </row>
        <row r="2736">
          <cell r="A2736" t="str">
            <v>ARS</v>
          </cell>
          <cell r="B2736" t="str">
            <v>765000612</v>
          </cell>
          <cell r="C2736" t="str">
            <v>Culasso, Andrea Carla</v>
          </cell>
          <cell r="G2736">
            <v>680165.63</v>
          </cell>
          <cell r="H2736">
            <v>680165.63</v>
          </cell>
          <cell r="I2736" t="str">
            <v>765</v>
          </cell>
        </row>
        <row r="2737">
          <cell r="A2737" t="str">
            <v>ARS</v>
          </cell>
          <cell r="B2737" t="str">
            <v>765000613</v>
          </cell>
          <cell r="C2737" t="str">
            <v>Peysere, Nicolas Naiquen</v>
          </cell>
          <cell r="G2737">
            <v>3337938.46</v>
          </cell>
          <cell r="H2737">
            <v>3337938.46</v>
          </cell>
          <cell r="I2737" t="str">
            <v>765</v>
          </cell>
        </row>
        <row r="2738">
          <cell r="A2738" t="str">
            <v>ARS</v>
          </cell>
          <cell r="B2738" t="str">
            <v>765000614</v>
          </cell>
          <cell r="C2738" t="str">
            <v>Prus, Marcelo Carlos</v>
          </cell>
          <cell r="G2738">
            <v>29726263</v>
          </cell>
          <cell r="H2738">
            <v>29726263</v>
          </cell>
          <cell r="I2738" t="str">
            <v>765</v>
          </cell>
        </row>
        <row r="2739">
          <cell r="A2739" t="str">
            <v>ARS</v>
          </cell>
          <cell r="B2739" t="str">
            <v>765000616</v>
          </cell>
          <cell r="C2739" t="str">
            <v>Alcover, Daniel Adolfo</v>
          </cell>
          <cell r="G2739">
            <v>75538905.739999995</v>
          </cell>
          <cell r="H2739">
            <v>75538905.739999995</v>
          </cell>
          <cell r="I2739" t="str">
            <v>765</v>
          </cell>
        </row>
        <row r="2740">
          <cell r="A2740" t="str">
            <v>ARS</v>
          </cell>
          <cell r="B2740" t="str">
            <v>765000617</v>
          </cell>
          <cell r="C2740" t="str">
            <v>Marionsini, Alejo Humberto</v>
          </cell>
          <cell r="G2740">
            <v>34107195.640000001</v>
          </cell>
          <cell r="H2740">
            <v>34107195.640000001</v>
          </cell>
          <cell r="I2740" t="str">
            <v>765</v>
          </cell>
        </row>
        <row r="2741">
          <cell r="A2741" t="str">
            <v>ARS</v>
          </cell>
          <cell r="B2741" t="str">
            <v>765000620</v>
          </cell>
          <cell r="C2741" t="str">
            <v>Vilanova, Camilo Ramon</v>
          </cell>
          <cell r="G2741">
            <v>56258.93</v>
          </cell>
          <cell r="H2741">
            <v>56258.93</v>
          </cell>
          <cell r="I2741" t="str">
            <v>765</v>
          </cell>
        </row>
        <row r="2742">
          <cell r="A2742" t="str">
            <v>ARS</v>
          </cell>
          <cell r="B2742" t="str">
            <v>765000623</v>
          </cell>
          <cell r="C2742" t="str">
            <v>Rodriguez, Anabella Mariana</v>
          </cell>
          <cell r="G2742">
            <v>10089222.220000001</v>
          </cell>
          <cell r="H2742">
            <v>10089222.220000001</v>
          </cell>
          <cell r="I2742" t="str">
            <v>765</v>
          </cell>
        </row>
        <row r="2743">
          <cell r="A2743" t="str">
            <v>ARS</v>
          </cell>
          <cell r="B2743" t="str">
            <v>765000625</v>
          </cell>
          <cell r="C2743" t="str">
            <v>Antelo, Sergio Ruben</v>
          </cell>
          <cell r="G2743">
            <v>94530915.379999995</v>
          </cell>
          <cell r="H2743">
            <v>94530915.379999995</v>
          </cell>
          <cell r="I2743" t="str">
            <v>765</v>
          </cell>
        </row>
        <row r="2744">
          <cell r="A2744" t="str">
            <v>ARS</v>
          </cell>
          <cell r="B2744" t="str">
            <v>765000626</v>
          </cell>
          <cell r="C2744" t="str">
            <v>Marigliano, Analia Veronica</v>
          </cell>
          <cell r="G2744">
            <v>58128814.579999998</v>
          </cell>
          <cell r="H2744">
            <v>58128814.579999998</v>
          </cell>
          <cell r="I2744" t="str">
            <v>765</v>
          </cell>
        </row>
        <row r="2745">
          <cell r="A2745" t="str">
            <v>ARS</v>
          </cell>
          <cell r="B2745" t="str">
            <v>765000629</v>
          </cell>
          <cell r="C2745" t="str">
            <v>Sacovechi, Facundo Jose</v>
          </cell>
          <cell r="G2745">
            <v>58034842.130000003</v>
          </cell>
          <cell r="H2745">
            <v>58034842.130000003</v>
          </cell>
          <cell r="I2745" t="str">
            <v>765</v>
          </cell>
        </row>
        <row r="2746">
          <cell r="A2746" t="str">
            <v>ARS</v>
          </cell>
          <cell r="B2746" t="str">
            <v>765000630</v>
          </cell>
          <cell r="C2746" t="str">
            <v>Bearzotti, Sonia Bibiana</v>
          </cell>
          <cell r="G2746">
            <v>723421.96</v>
          </cell>
          <cell r="H2746">
            <v>723421.96</v>
          </cell>
          <cell r="I2746" t="str">
            <v>765</v>
          </cell>
        </row>
        <row r="2747">
          <cell r="A2747" t="str">
            <v>ARS</v>
          </cell>
          <cell r="B2747" t="str">
            <v>765000632</v>
          </cell>
          <cell r="C2747" t="str">
            <v>Ruppen, Adrian Dario</v>
          </cell>
          <cell r="G2747">
            <v>9746467.9700000007</v>
          </cell>
          <cell r="H2747">
            <v>9746467.9700000007</v>
          </cell>
          <cell r="I2747" t="str">
            <v>765</v>
          </cell>
        </row>
        <row r="2748">
          <cell r="A2748" t="str">
            <v>ARS</v>
          </cell>
          <cell r="B2748" t="str">
            <v>765000634</v>
          </cell>
          <cell r="C2748" t="str">
            <v>DE LORENZI, ESTEBAN IGNACIO</v>
          </cell>
          <cell r="G2748">
            <v>44587271.82</v>
          </cell>
          <cell r="H2748">
            <v>44587271.82</v>
          </cell>
          <cell r="I2748" t="str">
            <v>765</v>
          </cell>
        </row>
        <row r="2749">
          <cell r="A2749" t="str">
            <v>ARS</v>
          </cell>
          <cell r="B2749" t="str">
            <v>765000635</v>
          </cell>
          <cell r="C2749" t="str">
            <v>Chialvo, Alfonsina</v>
          </cell>
          <cell r="G2749">
            <v>2226815.38</v>
          </cell>
          <cell r="H2749">
            <v>2226815.38</v>
          </cell>
          <cell r="I2749" t="str">
            <v>765</v>
          </cell>
        </row>
        <row r="2750">
          <cell r="A2750" t="str">
            <v>ARS</v>
          </cell>
          <cell r="B2750" t="str">
            <v>765000637</v>
          </cell>
          <cell r="C2750" t="str">
            <v>Schuhmacher, Martin Enrique</v>
          </cell>
          <cell r="G2750">
            <v>10973980.48</v>
          </cell>
          <cell r="H2750">
            <v>10973980.48</v>
          </cell>
          <cell r="I2750" t="str">
            <v>765</v>
          </cell>
        </row>
        <row r="2751">
          <cell r="A2751" t="str">
            <v>ARS</v>
          </cell>
          <cell r="B2751" t="str">
            <v>765000638</v>
          </cell>
          <cell r="C2751" t="str">
            <v>Mendez, Joel Ernesto</v>
          </cell>
          <cell r="G2751">
            <v>2162341.0699999998</v>
          </cell>
          <cell r="H2751">
            <v>2162341.0699999998</v>
          </cell>
          <cell r="I2751" t="str">
            <v>765</v>
          </cell>
        </row>
        <row r="2752">
          <cell r="A2752" t="str">
            <v>ARS</v>
          </cell>
          <cell r="B2752" t="str">
            <v>765000639</v>
          </cell>
          <cell r="C2752" t="str">
            <v xml:space="preserve">Della Bruna, Marcos Antonio </v>
          </cell>
          <cell r="G2752">
            <v>1184787.5</v>
          </cell>
          <cell r="H2752">
            <v>1184787.5</v>
          </cell>
          <cell r="I2752" t="str">
            <v>765</v>
          </cell>
        </row>
        <row r="2753">
          <cell r="A2753" t="str">
            <v>ARS</v>
          </cell>
          <cell r="B2753" t="str">
            <v>765000640</v>
          </cell>
          <cell r="C2753" t="str">
            <v>Bergamasco, Javier Jesus</v>
          </cell>
          <cell r="G2753">
            <v>20354608.949999999</v>
          </cell>
          <cell r="H2753">
            <v>20354608.949999999</v>
          </cell>
          <cell r="I2753" t="str">
            <v>765</v>
          </cell>
        </row>
        <row r="2754">
          <cell r="A2754" t="str">
            <v>ARS</v>
          </cell>
          <cell r="B2754" t="str">
            <v>765000641</v>
          </cell>
          <cell r="C2754" t="str">
            <v>Perona, Fabian Marcelo</v>
          </cell>
          <cell r="G2754">
            <v>6001488.04</v>
          </cell>
          <cell r="H2754">
            <v>6001488.04</v>
          </cell>
          <cell r="I2754" t="str">
            <v>765</v>
          </cell>
        </row>
        <row r="2755">
          <cell r="A2755" t="str">
            <v>ARS</v>
          </cell>
          <cell r="B2755" t="str">
            <v>765000643</v>
          </cell>
          <cell r="C2755" t="str">
            <v>Tapia Dubournais, Gonzalo Andres</v>
          </cell>
          <cell r="G2755">
            <v>34347833.950000003</v>
          </cell>
          <cell r="H2755">
            <v>34347833.950000003</v>
          </cell>
          <cell r="I2755" t="str">
            <v>765</v>
          </cell>
        </row>
        <row r="2756">
          <cell r="A2756" t="str">
            <v>ARS</v>
          </cell>
          <cell r="B2756" t="str">
            <v>765000644</v>
          </cell>
          <cell r="C2756" t="str">
            <v>Sergent, Shopie Belen Joelle</v>
          </cell>
          <cell r="G2756">
            <v>2984292.57</v>
          </cell>
          <cell r="H2756">
            <v>2984292.57</v>
          </cell>
          <cell r="I2756" t="str">
            <v>765</v>
          </cell>
        </row>
        <row r="2757">
          <cell r="A2757" t="str">
            <v>ARS</v>
          </cell>
          <cell r="B2757" t="str">
            <v>765000645</v>
          </cell>
          <cell r="C2757" t="str">
            <v>Provinciali, Nelci Lujan</v>
          </cell>
          <cell r="G2757">
            <v>215393289.50999999</v>
          </cell>
          <cell r="H2757">
            <v>215393289.50999999</v>
          </cell>
          <cell r="I2757" t="str">
            <v>765</v>
          </cell>
        </row>
        <row r="2758">
          <cell r="A2758" t="str">
            <v>ARS</v>
          </cell>
          <cell r="B2758" t="str">
            <v>765000646</v>
          </cell>
          <cell r="C2758" t="str">
            <v>Di Feo, Sandra del Valle</v>
          </cell>
          <cell r="G2758">
            <v>5507574.3300000001</v>
          </cell>
          <cell r="H2758">
            <v>5507574.3300000001</v>
          </cell>
          <cell r="I2758" t="str">
            <v>765</v>
          </cell>
        </row>
        <row r="2759">
          <cell r="A2759" t="str">
            <v>ARS</v>
          </cell>
          <cell r="B2759" t="str">
            <v>765000647</v>
          </cell>
          <cell r="C2759" t="str">
            <v xml:space="preserve">Pedrana, Lucrecia </v>
          </cell>
          <cell r="G2759">
            <v>742845.77</v>
          </cell>
          <cell r="H2759">
            <v>742845.77</v>
          </cell>
          <cell r="I2759" t="str">
            <v>765</v>
          </cell>
        </row>
        <row r="2760">
          <cell r="A2760" t="str">
            <v>ARS</v>
          </cell>
          <cell r="B2760" t="str">
            <v>765000650</v>
          </cell>
          <cell r="C2760" t="str">
            <v>Priolo, Ludmila Soledad</v>
          </cell>
          <cell r="G2760">
            <v>26383466.829999998</v>
          </cell>
          <cell r="H2760">
            <v>26383466.829999998</v>
          </cell>
          <cell r="I2760" t="str">
            <v>765</v>
          </cell>
        </row>
        <row r="2761">
          <cell r="A2761" t="str">
            <v>ARS</v>
          </cell>
          <cell r="B2761" t="str">
            <v>765000652</v>
          </cell>
          <cell r="C2761" t="str">
            <v>Bovo,  Jorge Alberto</v>
          </cell>
          <cell r="G2761">
            <v>49539819.390000001</v>
          </cell>
          <cell r="H2761">
            <v>49539819.390000001</v>
          </cell>
          <cell r="I2761" t="str">
            <v>765</v>
          </cell>
        </row>
        <row r="2762">
          <cell r="A2762" t="str">
            <v>ARS</v>
          </cell>
          <cell r="B2762" t="str">
            <v>765000655</v>
          </cell>
          <cell r="C2762" t="str">
            <v>Baeza Baeza, Claudio Andrés</v>
          </cell>
          <cell r="G2762">
            <v>68418157.849999994</v>
          </cell>
          <cell r="H2762">
            <v>68418157.849999994</v>
          </cell>
          <cell r="I2762" t="str">
            <v>765</v>
          </cell>
        </row>
        <row r="2763">
          <cell r="A2763" t="str">
            <v>ARS</v>
          </cell>
          <cell r="B2763" t="str">
            <v>765000656</v>
          </cell>
          <cell r="C2763" t="str">
            <v>Gapesa S.A</v>
          </cell>
          <cell r="G2763">
            <v>141554181.19</v>
          </cell>
          <cell r="H2763">
            <v>141554181.19</v>
          </cell>
          <cell r="I2763" t="str">
            <v>765</v>
          </cell>
        </row>
        <row r="2764">
          <cell r="A2764" t="str">
            <v>ARS</v>
          </cell>
          <cell r="B2764" t="str">
            <v>765000660</v>
          </cell>
          <cell r="C2764" t="str">
            <v>Santos Rosadilla, Michael Nicolas</v>
          </cell>
          <cell r="G2764">
            <v>93164538.079999998</v>
          </cell>
          <cell r="H2764">
            <v>93164538.079999998</v>
          </cell>
          <cell r="I2764" t="str">
            <v>765</v>
          </cell>
        </row>
        <row r="2765">
          <cell r="A2765" t="str">
            <v>ARS</v>
          </cell>
          <cell r="B2765" t="str">
            <v>765000661</v>
          </cell>
          <cell r="C2765" t="str">
            <v>CREARQ SRL</v>
          </cell>
          <cell r="G2765">
            <v>28499490.23</v>
          </cell>
          <cell r="H2765">
            <v>28499490.23</v>
          </cell>
          <cell r="I2765" t="str">
            <v>765</v>
          </cell>
        </row>
        <row r="2766">
          <cell r="A2766" t="str">
            <v>ARS</v>
          </cell>
          <cell r="B2766" t="str">
            <v>765000662</v>
          </cell>
          <cell r="C2766" t="str">
            <v>Martin, Horacio Gabriel</v>
          </cell>
          <cell r="G2766">
            <v>4560</v>
          </cell>
          <cell r="H2766">
            <v>4560</v>
          </cell>
          <cell r="I2766" t="str">
            <v>765</v>
          </cell>
        </row>
        <row r="2767">
          <cell r="A2767" t="str">
            <v>ARS</v>
          </cell>
          <cell r="B2767" t="str">
            <v>765000665</v>
          </cell>
          <cell r="C2767" t="str">
            <v>Peñaloza, Tomas Francisco</v>
          </cell>
          <cell r="G2767">
            <v>219180</v>
          </cell>
          <cell r="H2767">
            <v>219180</v>
          </cell>
          <cell r="I2767" t="str">
            <v>765</v>
          </cell>
        </row>
        <row r="2768">
          <cell r="A2768" t="str">
            <v>ARS</v>
          </cell>
          <cell r="B2768" t="str">
            <v>765000666</v>
          </cell>
          <cell r="C2768" t="str">
            <v>Martinez, Debora Paola</v>
          </cell>
          <cell r="G2768">
            <v>833.1</v>
          </cell>
          <cell r="H2768">
            <v>833.1</v>
          </cell>
          <cell r="I2768" t="str">
            <v>765</v>
          </cell>
        </row>
        <row r="2769">
          <cell r="A2769" t="str">
            <v>ARS</v>
          </cell>
          <cell r="B2769" t="str">
            <v>765000667</v>
          </cell>
          <cell r="C2769" t="str">
            <v>Compagnucci, Luisina Maria Belen</v>
          </cell>
          <cell r="G2769">
            <v>1212180</v>
          </cell>
          <cell r="H2769">
            <v>1212180</v>
          </cell>
          <cell r="I2769" t="str">
            <v>765</v>
          </cell>
        </row>
        <row r="2770">
          <cell r="A2770" t="str">
            <v>ARS</v>
          </cell>
          <cell r="B2770" t="str">
            <v>765000668</v>
          </cell>
          <cell r="C2770" t="str">
            <v>Piumetti, Gabriel Alejandro</v>
          </cell>
          <cell r="G2770">
            <v>32108203</v>
          </cell>
          <cell r="H2770">
            <v>32108203</v>
          </cell>
          <cell r="I2770" t="str">
            <v>765</v>
          </cell>
        </row>
        <row r="2771">
          <cell r="A2771" t="str">
            <v>ARS</v>
          </cell>
          <cell r="B2771" t="str">
            <v>765000669</v>
          </cell>
          <cell r="C2771" t="str">
            <v>Nardin, Santiago Luis</v>
          </cell>
          <cell r="G2771">
            <v>690330.6</v>
          </cell>
          <cell r="H2771">
            <v>690330.6</v>
          </cell>
          <cell r="I2771" t="str">
            <v>765</v>
          </cell>
        </row>
        <row r="2772">
          <cell r="A2772" t="str">
            <v>ARS</v>
          </cell>
          <cell r="B2772" t="str">
            <v>765000670</v>
          </cell>
          <cell r="C2772" t="str">
            <v>Zancocchia, Nelson Jose Luis</v>
          </cell>
          <cell r="G2772">
            <v>4283735.01</v>
          </cell>
          <cell r="H2772">
            <v>4283735.01</v>
          </cell>
          <cell r="I2772" t="str">
            <v>765</v>
          </cell>
        </row>
        <row r="2773">
          <cell r="A2773" t="str">
            <v>ARS</v>
          </cell>
          <cell r="B2773" t="str">
            <v>765000672</v>
          </cell>
          <cell r="C2773" t="str">
            <v>Galletta, Mauricio Gabriel</v>
          </cell>
          <cell r="G2773">
            <v>117513</v>
          </cell>
          <cell r="H2773">
            <v>117513</v>
          </cell>
          <cell r="I2773" t="str">
            <v>765</v>
          </cell>
        </row>
        <row r="2774">
          <cell r="A2774" t="str">
            <v>ARS</v>
          </cell>
          <cell r="B2774" t="str">
            <v>765000673</v>
          </cell>
          <cell r="C2774" t="str">
            <v xml:space="preserve">Racca, Sonia Raquel </v>
          </cell>
          <cell r="G2774">
            <v>11672078.08</v>
          </cell>
          <cell r="H2774">
            <v>11672078.08</v>
          </cell>
          <cell r="I2774" t="str">
            <v>765</v>
          </cell>
        </row>
        <row r="2775">
          <cell r="A2775" t="str">
            <v>ARS</v>
          </cell>
          <cell r="B2775" t="str">
            <v>765000677</v>
          </cell>
          <cell r="C2775" t="str">
            <v>Ponzio, Pablo Jesús</v>
          </cell>
          <cell r="G2775">
            <v>9375842.2300000004</v>
          </cell>
          <cell r="H2775">
            <v>9375842.2300000004</v>
          </cell>
          <cell r="I2775" t="str">
            <v>765</v>
          </cell>
        </row>
        <row r="2776">
          <cell r="A2776" t="str">
            <v>ARS</v>
          </cell>
          <cell r="B2776" t="str">
            <v>765000679</v>
          </cell>
          <cell r="C2776" t="str">
            <v>Pietrani, Silverio Lorenzo</v>
          </cell>
          <cell r="G2776">
            <v>499548.25</v>
          </cell>
          <cell r="H2776">
            <v>499548.25</v>
          </cell>
          <cell r="I2776" t="str">
            <v>765</v>
          </cell>
        </row>
        <row r="2777">
          <cell r="A2777" t="str">
            <v>ARS</v>
          </cell>
          <cell r="B2777" t="str">
            <v>765000681</v>
          </cell>
          <cell r="C2777" t="str">
            <v>Bodini, Egidio Eduardo</v>
          </cell>
          <cell r="G2777">
            <v>6845072.9000000004</v>
          </cell>
          <cell r="H2777">
            <v>6845072.9000000004</v>
          </cell>
          <cell r="I2777" t="str">
            <v>765</v>
          </cell>
        </row>
        <row r="2778">
          <cell r="A2778" t="str">
            <v>ARS</v>
          </cell>
          <cell r="B2778" t="str">
            <v>765000682</v>
          </cell>
          <cell r="C2778" t="str">
            <v>Bodini, Silvia Alicia</v>
          </cell>
          <cell r="G2778">
            <v>12638198.109999999</v>
          </cell>
          <cell r="H2778">
            <v>12638198.109999999</v>
          </cell>
          <cell r="I2778" t="str">
            <v>765</v>
          </cell>
        </row>
        <row r="2779">
          <cell r="A2779" t="str">
            <v>ARS</v>
          </cell>
          <cell r="B2779" t="str">
            <v>765000686</v>
          </cell>
          <cell r="C2779" t="str">
            <v xml:space="preserve">Marcucci, Roberto Hernan </v>
          </cell>
          <cell r="G2779">
            <v>27465714.260000002</v>
          </cell>
          <cell r="H2779">
            <v>27465714.260000002</v>
          </cell>
          <cell r="I2779" t="str">
            <v>765</v>
          </cell>
        </row>
        <row r="2780">
          <cell r="A2780" t="str">
            <v>ARS</v>
          </cell>
          <cell r="B2780" t="str">
            <v>765000688</v>
          </cell>
          <cell r="C2780" t="str">
            <v>Alonso, Fabian Eduardo</v>
          </cell>
          <cell r="G2780">
            <v>62207885.909999996</v>
          </cell>
          <cell r="H2780">
            <v>62207885.909999996</v>
          </cell>
          <cell r="I2780" t="str">
            <v>765</v>
          </cell>
        </row>
        <row r="2781">
          <cell r="A2781" t="str">
            <v>ARS</v>
          </cell>
          <cell r="B2781" t="str">
            <v>765000689</v>
          </cell>
          <cell r="C2781" t="str">
            <v>Kovacevich, Mirko</v>
          </cell>
          <cell r="G2781">
            <v>2680959.3199999998</v>
          </cell>
          <cell r="H2781">
            <v>2680959.3199999998</v>
          </cell>
          <cell r="I2781" t="str">
            <v>765</v>
          </cell>
        </row>
        <row r="2782">
          <cell r="A2782" t="str">
            <v>ARS</v>
          </cell>
          <cell r="B2782" t="str">
            <v>765000690</v>
          </cell>
          <cell r="C2782" t="str">
            <v>Contrino, Lucas Martín</v>
          </cell>
          <cell r="G2782">
            <v>1016246.14</v>
          </cell>
          <cell r="H2782">
            <v>1016246.14</v>
          </cell>
          <cell r="I2782" t="str">
            <v>765</v>
          </cell>
        </row>
        <row r="2783">
          <cell r="A2783" t="str">
            <v>ARS</v>
          </cell>
          <cell r="B2783" t="str">
            <v>765000691</v>
          </cell>
          <cell r="C2783" t="str">
            <v>Peirone Iracelay, Oriana Lucila</v>
          </cell>
          <cell r="G2783">
            <v>610265.96</v>
          </cell>
          <cell r="H2783">
            <v>610265.96</v>
          </cell>
          <cell r="I2783" t="str">
            <v>765</v>
          </cell>
        </row>
        <row r="2784">
          <cell r="A2784" t="str">
            <v>ARS</v>
          </cell>
          <cell r="B2784" t="str">
            <v>765000694</v>
          </cell>
          <cell r="C2784" t="str">
            <v>Crobat, Walter</v>
          </cell>
          <cell r="G2784">
            <v>604656.25</v>
          </cell>
          <cell r="H2784">
            <v>604656.25</v>
          </cell>
          <cell r="I2784" t="str">
            <v>765</v>
          </cell>
        </row>
        <row r="2785">
          <cell r="A2785" t="str">
            <v>ARS</v>
          </cell>
          <cell r="B2785" t="str">
            <v>765000696</v>
          </cell>
          <cell r="C2785" t="str">
            <v>Degano Moretti, Milagros</v>
          </cell>
          <cell r="G2785">
            <v>1643079.17</v>
          </cell>
          <cell r="H2785">
            <v>1643079.17</v>
          </cell>
          <cell r="I2785" t="str">
            <v>765</v>
          </cell>
        </row>
        <row r="2786">
          <cell r="A2786" t="str">
            <v>ARS</v>
          </cell>
          <cell r="B2786" t="str">
            <v>765000697</v>
          </cell>
          <cell r="C2786" t="str">
            <v>Fadigatti, Diego Leonardo</v>
          </cell>
          <cell r="G2786">
            <v>2768206.38</v>
          </cell>
          <cell r="H2786">
            <v>2768206.38</v>
          </cell>
          <cell r="I2786" t="str">
            <v>765</v>
          </cell>
        </row>
        <row r="2787">
          <cell r="A2787" t="str">
            <v>ARS</v>
          </cell>
          <cell r="B2787" t="str">
            <v>765000698</v>
          </cell>
          <cell r="C2787" t="str">
            <v xml:space="preserve">Bosio, Bautista </v>
          </cell>
          <cell r="G2787">
            <v>2600555.15</v>
          </cell>
          <cell r="H2787">
            <v>2600555.15</v>
          </cell>
          <cell r="I2787" t="str">
            <v>765</v>
          </cell>
        </row>
        <row r="2788">
          <cell r="A2788" t="str">
            <v>ARS</v>
          </cell>
          <cell r="B2788" t="str">
            <v>765000699</v>
          </cell>
          <cell r="C2788" t="str">
            <v>Di Santi, Juana</v>
          </cell>
          <cell r="G2788">
            <v>668772.12</v>
          </cell>
          <cell r="H2788">
            <v>668772.12</v>
          </cell>
          <cell r="I2788" t="str">
            <v>765</v>
          </cell>
        </row>
        <row r="2789">
          <cell r="A2789" t="str">
            <v>ARS</v>
          </cell>
          <cell r="B2789" t="str">
            <v>765000701</v>
          </cell>
          <cell r="C2789" t="str">
            <v>Saloj Muia, Julia</v>
          </cell>
          <cell r="G2789">
            <v>1661300.08</v>
          </cell>
          <cell r="H2789">
            <v>1661300.08</v>
          </cell>
          <cell r="I2789" t="str">
            <v>765</v>
          </cell>
        </row>
        <row r="2790">
          <cell r="A2790" t="str">
            <v>ARS</v>
          </cell>
          <cell r="B2790" t="str">
            <v>765000702</v>
          </cell>
          <cell r="C2790" t="str">
            <v>Surra, Martha Noemi</v>
          </cell>
          <cell r="G2790">
            <v>2853970</v>
          </cell>
          <cell r="H2790">
            <v>2853970</v>
          </cell>
          <cell r="I2790" t="str">
            <v>765</v>
          </cell>
        </row>
        <row r="2791">
          <cell r="A2791" t="str">
            <v>ARS</v>
          </cell>
          <cell r="B2791" t="str">
            <v>765000703</v>
          </cell>
          <cell r="C2791" t="str">
            <v>Moretti, Mariela y Claudia</v>
          </cell>
          <cell r="G2791">
            <v>3162518.49</v>
          </cell>
          <cell r="H2791">
            <v>3162518.49</v>
          </cell>
          <cell r="I2791" t="str">
            <v>765</v>
          </cell>
        </row>
        <row r="2792">
          <cell r="A2792" t="str">
            <v>ARS</v>
          </cell>
          <cell r="B2792" t="str">
            <v>765000704</v>
          </cell>
          <cell r="C2792" t="str">
            <v>Monti, Jesús María Santiago</v>
          </cell>
          <cell r="G2792">
            <v>116009210.69</v>
          </cell>
          <cell r="H2792">
            <v>116009210.69</v>
          </cell>
          <cell r="I2792" t="str">
            <v>765</v>
          </cell>
        </row>
        <row r="2793">
          <cell r="A2793" t="str">
            <v>ARS</v>
          </cell>
          <cell r="B2793" t="str">
            <v>765000706</v>
          </cell>
          <cell r="C2793" t="str">
            <v>Marasciuolo, Julia</v>
          </cell>
          <cell r="G2793">
            <v>2064848.46</v>
          </cell>
          <cell r="H2793">
            <v>2064848.46</v>
          </cell>
          <cell r="I2793" t="str">
            <v>765</v>
          </cell>
        </row>
        <row r="2794">
          <cell r="A2794" t="str">
            <v>ARS</v>
          </cell>
          <cell r="B2794" t="str">
            <v>765000707</v>
          </cell>
          <cell r="C2794" t="str">
            <v>Feraboli, Cristian José</v>
          </cell>
          <cell r="G2794">
            <v>18644914.41</v>
          </cell>
          <cell r="H2794">
            <v>18644914.41</v>
          </cell>
          <cell r="I2794" t="str">
            <v>765</v>
          </cell>
        </row>
        <row r="2795">
          <cell r="A2795" t="str">
            <v>ARS</v>
          </cell>
          <cell r="B2795" t="str">
            <v>765000709</v>
          </cell>
          <cell r="C2795" t="str">
            <v>Monti Celina Paula 2</v>
          </cell>
          <cell r="G2795">
            <v>126745.2</v>
          </cell>
          <cell r="H2795">
            <v>126745.2</v>
          </cell>
          <cell r="I2795" t="str">
            <v>765</v>
          </cell>
        </row>
        <row r="2796">
          <cell r="A2796" t="str">
            <v>ARS</v>
          </cell>
          <cell r="B2796" t="str">
            <v>765000710</v>
          </cell>
          <cell r="C2796" t="str">
            <v>Valdes Contreras, Diego Alfonso</v>
          </cell>
          <cell r="G2796">
            <v>111982750.72</v>
          </cell>
          <cell r="H2796">
            <v>111982750.72</v>
          </cell>
          <cell r="I2796" t="str">
            <v>765</v>
          </cell>
        </row>
        <row r="2797">
          <cell r="A2797" t="str">
            <v>ARS</v>
          </cell>
          <cell r="B2797" t="str">
            <v>765000711</v>
          </cell>
          <cell r="C2797" t="str">
            <v>Ascorti, Rut María Catalina</v>
          </cell>
          <cell r="G2797">
            <v>5949460</v>
          </cell>
          <cell r="H2797">
            <v>5949460</v>
          </cell>
          <cell r="I2797" t="str">
            <v>765</v>
          </cell>
        </row>
        <row r="2798">
          <cell r="A2798" t="str">
            <v>ARS</v>
          </cell>
          <cell r="B2798" t="str">
            <v>765000712</v>
          </cell>
          <cell r="C2798" t="str">
            <v>Margiotta, Fernando Gabriel</v>
          </cell>
          <cell r="G2798">
            <v>2842.4</v>
          </cell>
          <cell r="H2798">
            <v>2842.4</v>
          </cell>
          <cell r="I2798" t="str">
            <v>765</v>
          </cell>
        </row>
        <row r="2799">
          <cell r="A2799" t="str">
            <v>ARS</v>
          </cell>
          <cell r="B2799" t="str">
            <v>765000713</v>
          </cell>
          <cell r="C2799" t="str">
            <v>Depetris, Mara Belén</v>
          </cell>
          <cell r="G2799">
            <v>109001.4</v>
          </cell>
          <cell r="H2799">
            <v>109001.4</v>
          </cell>
          <cell r="I2799" t="str">
            <v>765</v>
          </cell>
        </row>
        <row r="2800">
          <cell r="A2800" t="str">
            <v>ARS</v>
          </cell>
          <cell r="B2800" t="str">
            <v>765000716</v>
          </cell>
          <cell r="C2800" t="str">
            <v>Cooperativa de Trabajo El Pueblo Limitada</v>
          </cell>
          <cell r="G2800">
            <v>10237804.869999999</v>
          </cell>
          <cell r="H2800">
            <v>10237804.869999999</v>
          </cell>
          <cell r="I2800" t="str">
            <v>765</v>
          </cell>
        </row>
        <row r="2801">
          <cell r="A2801" t="str">
            <v>ARS</v>
          </cell>
          <cell r="B2801" t="str">
            <v>766000005</v>
          </cell>
          <cell r="C2801" t="str">
            <v>Awa Global S.A. (CARTERA PROPIA)</v>
          </cell>
          <cell r="G2801">
            <v>176988271.40000001</v>
          </cell>
          <cell r="H2801">
            <v>176988271.40000001</v>
          </cell>
          <cell r="I2801" t="str">
            <v>766</v>
          </cell>
        </row>
        <row r="2802">
          <cell r="A2802" t="str">
            <v>ARS</v>
          </cell>
          <cell r="B2802" t="str">
            <v>766000006</v>
          </cell>
          <cell r="C2802" t="str">
            <v>Ersetig Pablo Daniel</v>
          </cell>
          <cell r="G2802">
            <v>7309906545.2600002</v>
          </cell>
          <cell r="H2802">
            <v>7309906545.2600002</v>
          </cell>
          <cell r="I2802" t="str">
            <v>766</v>
          </cell>
        </row>
        <row r="2803">
          <cell r="A2803" t="str">
            <v>ARS</v>
          </cell>
          <cell r="B2803" t="str">
            <v>766000007</v>
          </cell>
          <cell r="C2803" t="str">
            <v>Office Amoblamientos SRL</v>
          </cell>
          <cell r="G2803">
            <v>749099.86</v>
          </cell>
          <cell r="H2803">
            <v>749099.86</v>
          </cell>
          <cell r="I2803" t="str">
            <v>766</v>
          </cell>
        </row>
        <row r="2804">
          <cell r="A2804" t="str">
            <v>ARS</v>
          </cell>
          <cell r="B2804" t="str">
            <v>766000010</v>
          </cell>
          <cell r="C2804" t="str">
            <v>Turnaturi, Yanina o Quagliato, José Ignacio</v>
          </cell>
          <cell r="G2804">
            <v>1957058.93</v>
          </cell>
          <cell r="H2804">
            <v>1957058.93</v>
          </cell>
          <cell r="I2804" t="str">
            <v>766</v>
          </cell>
        </row>
        <row r="2805">
          <cell r="A2805" t="str">
            <v>ARS</v>
          </cell>
          <cell r="B2805" t="str">
            <v>766000012</v>
          </cell>
          <cell r="C2805" t="str">
            <v>Freytes, María Belen</v>
          </cell>
          <cell r="G2805">
            <v>572615.05000000005</v>
          </cell>
          <cell r="H2805">
            <v>572615.05000000005</v>
          </cell>
          <cell r="I2805" t="str">
            <v>766</v>
          </cell>
        </row>
        <row r="2806">
          <cell r="A2806" t="str">
            <v>ARS</v>
          </cell>
          <cell r="B2806" t="str">
            <v>766000015</v>
          </cell>
          <cell r="C2806" t="str">
            <v>Benitez, Daniel Edmundo</v>
          </cell>
          <cell r="G2806">
            <v>96214761.25</v>
          </cell>
          <cell r="H2806">
            <v>96214761.25</v>
          </cell>
          <cell r="I2806" t="str">
            <v>766</v>
          </cell>
        </row>
        <row r="2807">
          <cell r="A2807" t="str">
            <v>ARS</v>
          </cell>
          <cell r="B2807" t="str">
            <v>766000022</v>
          </cell>
          <cell r="C2807" t="str">
            <v>GIER SRL</v>
          </cell>
          <cell r="G2807">
            <v>11227348574.15</v>
          </cell>
          <cell r="H2807">
            <v>11227348574.15</v>
          </cell>
          <cell r="I2807" t="str">
            <v>766</v>
          </cell>
        </row>
        <row r="2808">
          <cell r="A2808" t="str">
            <v>ARS</v>
          </cell>
          <cell r="B2808" t="str">
            <v>766000023</v>
          </cell>
          <cell r="C2808" t="str">
            <v>RISLER SA</v>
          </cell>
          <cell r="G2808">
            <v>9557887.5099999998</v>
          </cell>
          <cell r="H2808">
            <v>9557887.5099999998</v>
          </cell>
          <cell r="I2808" t="str">
            <v>766</v>
          </cell>
        </row>
        <row r="2809">
          <cell r="A2809" t="str">
            <v>ARS</v>
          </cell>
          <cell r="B2809" t="str">
            <v>766000024</v>
          </cell>
          <cell r="C2809" t="str">
            <v>Gianni, Gabriela Paola</v>
          </cell>
          <cell r="G2809">
            <v>16400857.300000001</v>
          </cell>
          <cell r="H2809">
            <v>16400857.300000001</v>
          </cell>
          <cell r="I2809" t="str">
            <v>766</v>
          </cell>
        </row>
        <row r="2810">
          <cell r="A2810" t="str">
            <v>ARS</v>
          </cell>
          <cell r="B2810" t="str">
            <v>766000026</v>
          </cell>
          <cell r="C2810" t="str">
            <v>Cuello Facundo</v>
          </cell>
          <cell r="G2810">
            <v>38364722.939999998</v>
          </cell>
          <cell r="H2810">
            <v>38364722.939999998</v>
          </cell>
          <cell r="I2810" t="str">
            <v>766</v>
          </cell>
        </row>
        <row r="2811">
          <cell r="A2811" t="str">
            <v>ARS</v>
          </cell>
          <cell r="B2811" t="str">
            <v>766000027</v>
          </cell>
          <cell r="C2811" t="str">
            <v>Risler Hernan</v>
          </cell>
          <cell r="G2811">
            <v>957210.18</v>
          </cell>
          <cell r="H2811">
            <v>957210.18</v>
          </cell>
          <cell r="I2811" t="str">
            <v>766</v>
          </cell>
        </row>
        <row r="2812">
          <cell r="A2812" t="str">
            <v>ARS</v>
          </cell>
          <cell r="B2812" t="str">
            <v>766000032</v>
          </cell>
          <cell r="C2812" t="str">
            <v>Gentili, Marco</v>
          </cell>
          <cell r="G2812">
            <v>20783852.539999999</v>
          </cell>
          <cell r="H2812">
            <v>20783852.539999999</v>
          </cell>
          <cell r="I2812" t="str">
            <v>766</v>
          </cell>
        </row>
        <row r="2813">
          <cell r="A2813" t="str">
            <v>ARS</v>
          </cell>
          <cell r="B2813" t="str">
            <v>766000033</v>
          </cell>
          <cell r="C2813" t="str">
            <v>Cuello, Emilio</v>
          </cell>
          <cell r="G2813">
            <v>2619480.2599999998</v>
          </cell>
          <cell r="H2813">
            <v>2619480.2599999998</v>
          </cell>
          <cell r="I2813" t="str">
            <v>766</v>
          </cell>
        </row>
        <row r="2814">
          <cell r="A2814" t="str">
            <v>ARS</v>
          </cell>
          <cell r="B2814" t="str">
            <v>766000035</v>
          </cell>
          <cell r="C2814" t="str">
            <v>Materiales Eléctricos Omar Rodríguez S.R.L.</v>
          </cell>
          <cell r="G2814">
            <v>16164501.67</v>
          </cell>
          <cell r="H2814">
            <v>16164501.67</v>
          </cell>
          <cell r="I2814" t="str">
            <v>766</v>
          </cell>
        </row>
        <row r="2815">
          <cell r="A2815" t="str">
            <v>ARS</v>
          </cell>
          <cell r="B2815" t="str">
            <v>766000036</v>
          </cell>
          <cell r="C2815" t="str">
            <v>Neltec S.A.</v>
          </cell>
          <cell r="G2815">
            <v>275921013.58999997</v>
          </cell>
          <cell r="H2815">
            <v>275921013.58999997</v>
          </cell>
          <cell r="I2815" t="str">
            <v>766</v>
          </cell>
        </row>
        <row r="2816">
          <cell r="A2816" t="str">
            <v>ARS</v>
          </cell>
          <cell r="B2816" t="str">
            <v>766000037</v>
          </cell>
          <cell r="C2816" t="str">
            <v>Barbieri, Facundo Carlos</v>
          </cell>
          <cell r="G2816">
            <v>23275890.329999998</v>
          </cell>
          <cell r="H2816">
            <v>23275890.329999998</v>
          </cell>
          <cell r="I2816" t="str">
            <v>766</v>
          </cell>
        </row>
        <row r="2817">
          <cell r="A2817" t="str">
            <v>ARS</v>
          </cell>
          <cell r="B2817" t="str">
            <v>766000039</v>
          </cell>
          <cell r="C2817" t="str">
            <v>Navarro, Romina Paula</v>
          </cell>
          <cell r="G2817">
            <v>431722541.06999999</v>
          </cell>
          <cell r="H2817">
            <v>431722541.06999999</v>
          </cell>
          <cell r="I2817" t="str">
            <v>766</v>
          </cell>
        </row>
        <row r="2818">
          <cell r="A2818" t="str">
            <v>ARS</v>
          </cell>
          <cell r="B2818" t="str">
            <v>766000040</v>
          </cell>
          <cell r="C2818" t="str">
            <v>Pires, Miryam Susana</v>
          </cell>
          <cell r="G2818">
            <v>58107087.770000003</v>
          </cell>
          <cell r="H2818">
            <v>58107087.770000003</v>
          </cell>
          <cell r="I2818" t="str">
            <v>766</v>
          </cell>
        </row>
        <row r="2819">
          <cell r="A2819" t="str">
            <v>ARS</v>
          </cell>
          <cell r="B2819" t="str">
            <v>766000041</v>
          </cell>
          <cell r="C2819" t="str">
            <v xml:space="preserve"> Chamorro, Oscar Victorino</v>
          </cell>
          <cell r="G2819">
            <v>14611793.85</v>
          </cell>
          <cell r="H2819">
            <v>14611793.85</v>
          </cell>
          <cell r="I2819" t="str">
            <v>766</v>
          </cell>
        </row>
        <row r="2820">
          <cell r="A2820" t="str">
            <v>ARS</v>
          </cell>
          <cell r="B2820" t="str">
            <v>766000044</v>
          </cell>
          <cell r="C2820" t="str">
            <v>Leonardo, Quagliato</v>
          </cell>
          <cell r="G2820">
            <v>1809453.47</v>
          </cell>
          <cell r="H2820">
            <v>1809453.47</v>
          </cell>
          <cell r="I2820" t="str">
            <v>766</v>
          </cell>
        </row>
        <row r="2821">
          <cell r="A2821" t="str">
            <v>ARS</v>
          </cell>
          <cell r="B2821" t="str">
            <v>766000049</v>
          </cell>
          <cell r="C2821" t="str">
            <v>Quagliato, María Celina</v>
          </cell>
          <cell r="G2821">
            <v>6778762.8399999999</v>
          </cell>
          <cell r="H2821">
            <v>6778762.8399999999</v>
          </cell>
          <cell r="I2821" t="str">
            <v>766</v>
          </cell>
        </row>
        <row r="2822">
          <cell r="A2822" t="str">
            <v>ARS</v>
          </cell>
          <cell r="B2822" t="str">
            <v>766000058</v>
          </cell>
          <cell r="C2822" t="str">
            <v>Boschi, Robertino Osvaldo</v>
          </cell>
          <cell r="G2822">
            <v>115874456.09</v>
          </cell>
          <cell r="H2822">
            <v>115874456.09</v>
          </cell>
          <cell r="I2822" t="str">
            <v>766</v>
          </cell>
        </row>
        <row r="2823">
          <cell r="A2823" t="str">
            <v>ARS</v>
          </cell>
          <cell r="B2823" t="str">
            <v>766000059</v>
          </cell>
          <cell r="C2823" t="str">
            <v xml:space="preserve">Primoletti, Jorge Cesar </v>
          </cell>
          <cell r="G2823">
            <v>173100817.58000001</v>
          </cell>
          <cell r="H2823">
            <v>173100817.58000001</v>
          </cell>
          <cell r="I2823" t="str">
            <v>766</v>
          </cell>
        </row>
        <row r="2824">
          <cell r="A2824" t="str">
            <v>ARS</v>
          </cell>
          <cell r="B2824" t="str">
            <v>766000060</v>
          </cell>
          <cell r="C2824" t="str">
            <v>FREYTES, JORGE HORACIO</v>
          </cell>
          <cell r="G2824">
            <v>1856957.91</v>
          </cell>
          <cell r="H2824">
            <v>1856957.91</v>
          </cell>
          <cell r="I2824" t="str">
            <v>766</v>
          </cell>
        </row>
        <row r="2825">
          <cell r="A2825" t="str">
            <v>ARS</v>
          </cell>
          <cell r="B2825" t="str">
            <v>766000062</v>
          </cell>
          <cell r="C2825" t="str">
            <v>Salerno, Graciela Rita</v>
          </cell>
          <cell r="G2825">
            <v>13245165.93</v>
          </cell>
          <cell r="H2825">
            <v>13245165.93</v>
          </cell>
          <cell r="I2825" t="str">
            <v>766</v>
          </cell>
        </row>
        <row r="2826">
          <cell r="A2826" t="str">
            <v>ARS</v>
          </cell>
          <cell r="B2826" t="str">
            <v>766000065</v>
          </cell>
          <cell r="C2826" t="str">
            <v>Cuello, Maria Del Rosario</v>
          </cell>
          <cell r="G2826">
            <v>388530</v>
          </cell>
          <cell r="H2826">
            <v>388530</v>
          </cell>
          <cell r="I2826" t="str">
            <v>766</v>
          </cell>
        </row>
        <row r="2827">
          <cell r="A2827" t="str">
            <v>ARS</v>
          </cell>
          <cell r="B2827" t="str">
            <v>766000068</v>
          </cell>
          <cell r="C2827" t="str">
            <v>Quagliato, Luciana</v>
          </cell>
          <cell r="G2827">
            <v>18367526.649999999</v>
          </cell>
          <cell r="H2827">
            <v>18367526.649999999</v>
          </cell>
          <cell r="I2827" t="str">
            <v>766</v>
          </cell>
        </row>
        <row r="2828">
          <cell r="A2828" t="str">
            <v>ARS</v>
          </cell>
          <cell r="B2828" t="str">
            <v>766000072</v>
          </cell>
          <cell r="C2828" t="str">
            <v>Pelaez, Juan Manuel</v>
          </cell>
          <cell r="G2828">
            <v>3962250.98</v>
          </cell>
          <cell r="H2828">
            <v>3962250.98</v>
          </cell>
          <cell r="I2828" t="str">
            <v>766</v>
          </cell>
        </row>
        <row r="2829">
          <cell r="A2829" t="str">
            <v>ARS</v>
          </cell>
          <cell r="B2829" t="str">
            <v>766000073</v>
          </cell>
          <cell r="C2829" t="str">
            <v xml:space="preserve">Quiles, Marta Beatriz </v>
          </cell>
          <cell r="G2829">
            <v>5221989.3499999996</v>
          </cell>
          <cell r="H2829">
            <v>5221989.3499999996</v>
          </cell>
          <cell r="I2829" t="str">
            <v>766</v>
          </cell>
        </row>
        <row r="2830">
          <cell r="A2830" t="str">
            <v>ARS</v>
          </cell>
          <cell r="B2830" t="str">
            <v>766000076</v>
          </cell>
          <cell r="C2830" t="str">
            <v>Gallo, Laura Nora</v>
          </cell>
          <cell r="G2830">
            <v>1113531.79</v>
          </cell>
          <cell r="H2830">
            <v>1113531.79</v>
          </cell>
          <cell r="I2830" t="str">
            <v>766</v>
          </cell>
        </row>
        <row r="2831">
          <cell r="A2831" t="str">
            <v>ARS</v>
          </cell>
          <cell r="B2831" t="str">
            <v>766000078</v>
          </cell>
          <cell r="C2831" t="str">
            <v>Asociación Civil Agrupación Deportiva Infantil Unión Rosario</v>
          </cell>
          <cell r="G2831">
            <v>16748620.59</v>
          </cell>
          <cell r="H2831">
            <v>16748620.59</v>
          </cell>
          <cell r="I2831" t="str">
            <v>766</v>
          </cell>
        </row>
        <row r="2832">
          <cell r="A2832" t="str">
            <v>ARS</v>
          </cell>
          <cell r="B2832" t="str">
            <v>766000079</v>
          </cell>
          <cell r="C2832" t="str">
            <v>Corbella, Fernando</v>
          </cell>
          <cell r="G2832">
            <v>750132.14</v>
          </cell>
          <cell r="H2832">
            <v>750132.14</v>
          </cell>
          <cell r="I2832" t="str">
            <v>766</v>
          </cell>
        </row>
        <row r="2833">
          <cell r="A2833" t="str">
            <v>ARS</v>
          </cell>
          <cell r="B2833" t="str">
            <v>766000080</v>
          </cell>
          <cell r="C2833" t="str">
            <v>Milano, Luis José</v>
          </cell>
          <cell r="G2833">
            <v>9684660.7799999993</v>
          </cell>
          <cell r="H2833">
            <v>9684660.7799999993</v>
          </cell>
          <cell r="I2833" t="str">
            <v>766</v>
          </cell>
        </row>
        <row r="2834">
          <cell r="A2834" t="str">
            <v>ARS</v>
          </cell>
          <cell r="B2834" t="str">
            <v>766000083</v>
          </cell>
          <cell r="C2834" t="str">
            <v>Azar, Ana Maria o Etcharren, Elena Malvina</v>
          </cell>
          <cell r="G2834">
            <v>664207.77</v>
          </cell>
          <cell r="H2834">
            <v>664207.77</v>
          </cell>
          <cell r="I2834" t="str">
            <v>766</v>
          </cell>
        </row>
        <row r="2835">
          <cell r="A2835" t="str">
            <v>ARS</v>
          </cell>
          <cell r="B2835" t="str">
            <v>766000084</v>
          </cell>
          <cell r="C2835" t="str">
            <v>Falco, Franco Jesus</v>
          </cell>
          <cell r="G2835">
            <v>557817.62</v>
          </cell>
          <cell r="H2835">
            <v>557817.62</v>
          </cell>
          <cell r="I2835" t="str">
            <v>766</v>
          </cell>
        </row>
        <row r="2836">
          <cell r="A2836" t="str">
            <v>ARS</v>
          </cell>
          <cell r="B2836" t="str">
            <v>766000101</v>
          </cell>
          <cell r="C2836" t="str">
            <v>Pegoraro, María Florencia</v>
          </cell>
          <cell r="G2836">
            <v>10622685</v>
          </cell>
          <cell r="H2836">
            <v>10622685</v>
          </cell>
          <cell r="I2836" t="str">
            <v>766</v>
          </cell>
        </row>
        <row r="2837">
          <cell r="A2837" t="str">
            <v>ARS</v>
          </cell>
          <cell r="B2837" t="str">
            <v>766000104</v>
          </cell>
          <cell r="C2837" t="str">
            <v>Alfieri, Jose Maria</v>
          </cell>
          <cell r="G2837">
            <v>2068702.86</v>
          </cell>
          <cell r="H2837">
            <v>2068702.86</v>
          </cell>
          <cell r="I2837" t="str">
            <v>766</v>
          </cell>
        </row>
        <row r="2838">
          <cell r="A2838" t="str">
            <v>ARS</v>
          </cell>
          <cell r="B2838" t="str">
            <v>766000105</v>
          </cell>
          <cell r="C2838" t="str">
            <v>Leonardo, Quagliato o Quagliato, María Celina</v>
          </cell>
          <cell r="G2838">
            <v>459099.27</v>
          </cell>
          <cell r="H2838">
            <v>459099.27</v>
          </cell>
          <cell r="I2838" t="str">
            <v>766</v>
          </cell>
        </row>
        <row r="2839">
          <cell r="A2839" t="str">
            <v>ARS</v>
          </cell>
          <cell r="B2839" t="str">
            <v>766000106</v>
          </cell>
          <cell r="C2839" t="str">
            <v xml:space="preserve">El Macho Ganadero </v>
          </cell>
          <cell r="G2839">
            <v>87033215.129999995</v>
          </cell>
          <cell r="H2839">
            <v>87033215.129999995</v>
          </cell>
          <cell r="I2839" t="str">
            <v>766</v>
          </cell>
        </row>
        <row r="2840">
          <cell r="A2840" t="str">
            <v>ARS</v>
          </cell>
          <cell r="B2840" t="str">
            <v>766000108</v>
          </cell>
          <cell r="C2840" t="str">
            <v>Alfold SA</v>
          </cell>
          <cell r="G2840">
            <v>11950884.970000001</v>
          </cell>
          <cell r="H2840">
            <v>11950884.970000001</v>
          </cell>
          <cell r="I2840" t="str">
            <v>766</v>
          </cell>
        </row>
        <row r="2841">
          <cell r="A2841" t="str">
            <v>ARS</v>
          </cell>
          <cell r="B2841" t="str">
            <v>766000112</v>
          </cell>
          <cell r="C2841" t="str">
            <v>Puerto Linda Vista S.A.</v>
          </cell>
          <cell r="G2841">
            <v>5231976.7300000004</v>
          </cell>
          <cell r="H2841">
            <v>5231976.7300000004</v>
          </cell>
          <cell r="I2841" t="str">
            <v>766</v>
          </cell>
        </row>
        <row r="2842">
          <cell r="A2842" t="str">
            <v>ARS</v>
          </cell>
          <cell r="B2842" t="str">
            <v>766000114</v>
          </cell>
          <cell r="C2842" t="str">
            <v>Speerli, Adrián Alfredo</v>
          </cell>
          <cell r="G2842">
            <v>262025.58</v>
          </cell>
          <cell r="H2842">
            <v>262025.58</v>
          </cell>
          <cell r="I2842" t="str">
            <v>766</v>
          </cell>
        </row>
        <row r="2843">
          <cell r="A2843" t="str">
            <v>ARS</v>
          </cell>
          <cell r="B2843" t="str">
            <v>766000119</v>
          </cell>
          <cell r="C2843" t="str">
            <v>Martinez, Liliana Norma o Tommasi, Javier Alejandro o Tommasi, Gustavo Darío</v>
          </cell>
          <cell r="G2843">
            <v>116547357.44</v>
          </cell>
          <cell r="H2843">
            <v>116547357.44</v>
          </cell>
          <cell r="I2843" t="str">
            <v>766</v>
          </cell>
        </row>
        <row r="2844">
          <cell r="A2844" t="str">
            <v>ARS</v>
          </cell>
          <cell r="B2844" t="str">
            <v>766000123</v>
          </cell>
          <cell r="C2844" t="str">
            <v>Carreras, Miguel</v>
          </cell>
          <cell r="G2844">
            <v>38087934.149999999</v>
          </cell>
          <cell r="H2844">
            <v>38087934.149999999</v>
          </cell>
          <cell r="I2844" t="str">
            <v>766</v>
          </cell>
        </row>
        <row r="2845">
          <cell r="A2845" t="str">
            <v>ARS</v>
          </cell>
          <cell r="B2845" t="str">
            <v>766000127</v>
          </cell>
          <cell r="C2845" t="str">
            <v>DICUNEO S.R.L.</v>
          </cell>
          <cell r="G2845">
            <v>83824533.439999998</v>
          </cell>
          <cell r="H2845">
            <v>83824533.439999998</v>
          </cell>
          <cell r="I2845" t="str">
            <v>766</v>
          </cell>
        </row>
        <row r="2846">
          <cell r="A2846" t="str">
            <v>ARS</v>
          </cell>
          <cell r="B2846" t="str">
            <v>766000130</v>
          </cell>
          <cell r="C2846" t="str">
            <v>Rodríguez, Anabel Elisa</v>
          </cell>
          <cell r="G2846">
            <v>1193600</v>
          </cell>
          <cell r="H2846">
            <v>1193600</v>
          </cell>
          <cell r="I2846" t="str">
            <v>766</v>
          </cell>
        </row>
        <row r="2847">
          <cell r="A2847" t="str">
            <v>ARS</v>
          </cell>
          <cell r="B2847" t="str">
            <v>766000137</v>
          </cell>
          <cell r="C2847" t="str">
            <v>Barrau , Guillermo</v>
          </cell>
          <cell r="G2847">
            <v>59843232.780000001</v>
          </cell>
          <cell r="H2847">
            <v>59843232.780000001</v>
          </cell>
          <cell r="I2847" t="str">
            <v>766</v>
          </cell>
        </row>
        <row r="2848">
          <cell r="A2848" t="str">
            <v>ARS</v>
          </cell>
          <cell r="B2848" t="str">
            <v>766000142</v>
          </cell>
          <cell r="C2848" t="str">
            <v>Mustafa, Gabriela Cecilia</v>
          </cell>
          <cell r="G2848">
            <v>421867462.39999998</v>
          </cell>
          <cell r="H2848">
            <v>421867462.39999998</v>
          </cell>
          <cell r="I2848" t="str">
            <v>766</v>
          </cell>
        </row>
        <row r="2849">
          <cell r="A2849" t="str">
            <v>ARS</v>
          </cell>
          <cell r="B2849" t="str">
            <v>766000143</v>
          </cell>
          <cell r="C2849" t="str">
            <v>Milano, Juan Pablo</v>
          </cell>
          <cell r="G2849">
            <v>52373868.189999998</v>
          </cell>
          <cell r="H2849">
            <v>52373868.189999998</v>
          </cell>
          <cell r="I2849" t="str">
            <v>766</v>
          </cell>
        </row>
        <row r="2850">
          <cell r="A2850" t="str">
            <v>ARS</v>
          </cell>
          <cell r="B2850" t="str">
            <v>766000144</v>
          </cell>
          <cell r="C2850" t="str">
            <v>Alfieri, Valentina</v>
          </cell>
          <cell r="G2850">
            <v>323442.94</v>
          </cell>
          <cell r="H2850">
            <v>323442.94</v>
          </cell>
          <cell r="I2850" t="str">
            <v>766</v>
          </cell>
        </row>
        <row r="2851">
          <cell r="A2851" t="str">
            <v>ARS</v>
          </cell>
          <cell r="B2851" t="str">
            <v>766000146</v>
          </cell>
          <cell r="C2851" t="str">
            <v>Muñoz, Julián Mateo</v>
          </cell>
          <cell r="G2851">
            <v>18641318.579999998</v>
          </cell>
          <cell r="H2851">
            <v>18641318.579999998</v>
          </cell>
          <cell r="I2851" t="str">
            <v>766</v>
          </cell>
        </row>
        <row r="2852">
          <cell r="A2852" t="str">
            <v>ARS</v>
          </cell>
          <cell r="B2852" t="str">
            <v>766000166</v>
          </cell>
          <cell r="C2852" t="str">
            <v>Mattos, Soledad</v>
          </cell>
          <cell r="G2852">
            <v>10688495.640000001</v>
          </cell>
          <cell r="H2852">
            <v>10688495.640000001</v>
          </cell>
          <cell r="I2852" t="str">
            <v>766</v>
          </cell>
        </row>
        <row r="2853">
          <cell r="A2853" t="str">
            <v>ARS</v>
          </cell>
          <cell r="B2853" t="str">
            <v>766000168</v>
          </cell>
          <cell r="C2853" t="str">
            <v>Sabella Garaffa, Jonatan Daniel</v>
          </cell>
          <cell r="G2853">
            <v>2767328.19</v>
          </cell>
          <cell r="H2853">
            <v>2767328.19</v>
          </cell>
          <cell r="I2853" t="str">
            <v>766</v>
          </cell>
        </row>
        <row r="2854">
          <cell r="A2854" t="str">
            <v>ARS</v>
          </cell>
          <cell r="B2854" t="str">
            <v>766000169</v>
          </cell>
          <cell r="C2854" t="str">
            <v>Maida, Víctor Sebastián</v>
          </cell>
          <cell r="G2854">
            <v>3696065.23</v>
          </cell>
          <cell r="H2854">
            <v>3696065.23</v>
          </cell>
          <cell r="I2854" t="str">
            <v>766</v>
          </cell>
        </row>
        <row r="2855">
          <cell r="A2855" t="str">
            <v>ARS</v>
          </cell>
          <cell r="B2855" t="str">
            <v>766000171</v>
          </cell>
          <cell r="C2855" t="str">
            <v>Gentile, Sebastián Gustavo</v>
          </cell>
          <cell r="G2855">
            <v>7328256.0300000003</v>
          </cell>
          <cell r="H2855">
            <v>7328256.0300000003</v>
          </cell>
          <cell r="I2855" t="str">
            <v>766</v>
          </cell>
        </row>
        <row r="2856">
          <cell r="A2856" t="str">
            <v>ARS</v>
          </cell>
          <cell r="B2856" t="str">
            <v>766000179</v>
          </cell>
          <cell r="C2856" t="str">
            <v>Roig, Pablo César</v>
          </cell>
          <cell r="G2856">
            <v>485787.65</v>
          </cell>
          <cell r="H2856">
            <v>485787.65</v>
          </cell>
          <cell r="I2856" t="str">
            <v>766</v>
          </cell>
        </row>
        <row r="2857">
          <cell r="A2857" t="str">
            <v>ARS</v>
          </cell>
          <cell r="B2857" t="str">
            <v>766000182</v>
          </cell>
          <cell r="C2857" t="str">
            <v>Fissore, Tomas Rogelio</v>
          </cell>
          <cell r="G2857">
            <v>28467917.379999999</v>
          </cell>
          <cell r="H2857">
            <v>28467917.379999999</v>
          </cell>
          <cell r="I2857" t="str">
            <v>766</v>
          </cell>
        </row>
        <row r="2858">
          <cell r="A2858" t="str">
            <v>ARS</v>
          </cell>
          <cell r="B2858" t="str">
            <v>766000183</v>
          </cell>
          <cell r="C2858" t="str">
            <v>Garcilazo, Leandro</v>
          </cell>
          <cell r="G2858">
            <v>6108512.6799999997</v>
          </cell>
          <cell r="H2858">
            <v>6108512.6799999997</v>
          </cell>
          <cell r="I2858" t="str">
            <v>766</v>
          </cell>
        </row>
        <row r="2859">
          <cell r="A2859" t="str">
            <v>ARS</v>
          </cell>
          <cell r="B2859" t="str">
            <v>766000186</v>
          </cell>
          <cell r="C2859" t="str">
            <v>Proveedora Química S.A.</v>
          </cell>
          <cell r="G2859">
            <v>298484018.36000001</v>
          </cell>
          <cell r="H2859">
            <v>298484018.36000001</v>
          </cell>
          <cell r="I2859" t="str">
            <v>766</v>
          </cell>
        </row>
        <row r="2860">
          <cell r="A2860" t="str">
            <v>ARS</v>
          </cell>
          <cell r="B2860" t="str">
            <v>766000189</v>
          </cell>
          <cell r="C2860" t="str">
            <v>SENSIFY S.A.S.</v>
          </cell>
          <cell r="G2860">
            <v>2481437685.9899998</v>
          </cell>
          <cell r="H2860">
            <v>2481437685.9899998</v>
          </cell>
          <cell r="I2860" t="str">
            <v>766</v>
          </cell>
        </row>
        <row r="2861">
          <cell r="A2861" t="str">
            <v>ARS</v>
          </cell>
          <cell r="B2861" t="str">
            <v>766000190</v>
          </cell>
          <cell r="C2861" t="str">
            <v>SOLPLAST S.A.</v>
          </cell>
          <cell r="G2861">
            <v>102453655.47</v>
          </cell>
          <cell r="H2861">
            <v>102453655.47</v>
          </cell>
          <cell r="I2861" t="str">
            <v>766</v>
          </cell>
        </row>
        <row r="2862">
          <cell r="A2862" t="str">
            <v>ARS</v>
          </cell>
          <cell r="B2862" t="str">
            <v>766000193</v>
          </cell>
          <cell r="C2862" t="str">
            <v xml:space="preserve">Grivarello, Alexander Denis </v>
          </cell>
          <cell r="G2862">
            <v>21751669.359999999</v>
          </cell>
          <cell r="H2862">
            <v>21751669.359999999</v>
          </cell>
          <cell r="I2862" t="str">
            <v>766</v>
          </cell>
        </row>
        <row r="2863">
          <cell r="A2863" t="str">
            <v>ARS</v>
          </cell>
          <cell r="B2863" t="str">
            <v>766000195</v>
          </cell>
          <cell r="C2863" t="str">
            <v>Froschauer, Daniel Horacio</v>
          </cell>
          <cell r="G2863">
            <v>561518.11</v>
          </cell>
          <cell r="H2863">
            <v>561518.11</v>
          </cell>
          <cell r="I2863" t="str">
            <v>766</v>
          </cell>
        </row>
        <row r="2864">
          <cell r="A2864" t="str">
            <v>ARS</v>
          </cell>
          <cell r="B2864" t="str">
            <v>766000196</v>
          </cell>
          <cell r="C2864" t="str">
            <v>Tobar , Néstor Gabriel</v>
          </cell>
          <cell r="G2864">
            <v>98368704.170000002</v>
          </cell>
          <cell r="H2864">
            <v>98368704.170000002</v>
          </cell>
          <cell r="I2864" t="str">
            <v>766</v>
          </cell>
        </row>
        <row r="2865">
          <cell r="A2865" t="str">
            <v>ARS</v>
          </cell>
          <cell r="B2865" t="str">
            <v>766000202</v>
          </cell>
          <cell r="C2865" t="str">
            <v>Bussi, Sebastián</v>
          </cell>
          <cell r="G2865">
            <v>13859763.939999999</v>
          </cell>
          <cell r="H2865">
            <v>13859763.939999999</v>
          </cell>
          <cell r="I2865" t="str">
            <v>766</v>
          </cell>
        </row>
        <row r="2866">
          <cell r="A2866" t="str">
            <v>ARS</v>
          </cell>
          <cell r="B2866" t="str">
            <v>766000205</v>
          </cell>
          <cell r="C2866" t="str">
            <v xml:space="preserve">Blanch, Martin o Blanco, Lucrecia </v>
          </cell>
          <cell r="G2866">
            <v>1323298.6000000001</v>
          </cell>
          <cell r="H2866">
            <v>1323298.6000000001</v>
          </cell>
          <cell r="I2866" t="str">
            <v>766</v>
          </cell>
        </row>
        <row r="2867">
          <cell r="A2867" t="str">
            <v>ARS</v>
          </cell>
          <cell r="B2867" t="str">
            <v>766000217</v>
          </cell>
          <cell r="C2867" t="str">
            <v xml:space="preserve">Criolani, Nicolás Adrián </v>
          </cell>
          <cell r="G2867">
            <v>675800399.99000001</v>
          </cell>
          <cell r="H2867">
            <v>675800399.99000001</v>
          </cell>
          <cell r="I2867" t="str">
            <v>766</v>
          </cell>
        </row>
        <row r="2868">
          <cell r="A2868" t="str">
            <v>ARS</v>
          </cell>
          <cell r="B2868" t="str">
            <v>766000218</v>
          </cell>
          <cell r="C2868" t="str">
            <v>Rossi, Marcelo José</v>
          </cell>
          <cell r="G2868">
            <v>1273870.1200000001</v>
          </cell>
          <cell r="H2868">
            <v>1273870.1200000001</v>
          </cell>
          <cell r="I2868" t="str">
            <v>766</v>
          </cell>
        </row>
        <row r="2869">
          <cell r="A2869" t="str">
            <v>ARS</v>
          </cell>
          <cell r="B2869" t="str">
            <v>766000221</v>
          </cell>
          <cell r="C2869" t="str">
            <v>Rivas, Alejandro Luis</v>
          </cell>
          <cell r="G2869">
            <v>14989175.65</v>
          </cell>
          <cell r="H2869">
            <v>14989175.65</v>
          </cell>
          <cell r="I2869" t="str">
            <v>766</v>
          </cell>
        </row>
        <row r="2870">
          <cell r="A2870" t="str">
            <v>ARS</v>
          </cell>
          <cell r="B2870" t="str">
            <v>766000224</v>
          </cell>
          <cell r="C2870" t="str">
            <v>Tortora, Juan Manuel</v>
          </cell>
          <cell r="G2870">
            <v>41744402.689999998</v>
          </cell>
          <cell r="H2870">
            <v>41744402.689999998</v>
          </cell>
          <cell r="I2870" t="str">
            <v>766</v>
          </cell>
        </row>
        <row r="2871">
          <cell r="A2871" t="str">
            <v>ARS</v>
          </cell>
          <cell r="B2871" t="str">
            <v>766000226</v>
          </cell>
          <cell r="C2871" t="str">
            <v>Romero, Fernando Nahuel</v>
          </cell>
          <cell r="G2871">
            <v>46186198.049999997</v>
          </cell>
          <cell r="H2871">
            <v>46186198.049999997</v>
          </cell>
          <cell r="I2871" t="str">
            <v>766</v>
          </cell>
        </row>
        <row r="2872">
          <cell r="A2872" t="str">
            <v>ARS</v>
          </cell>
          <cell r="B2872" t="str">
            <v>766000228</v>
          </cell>
          <cell r="C2872" t="str">
            <v>AMOBLAMIENTOS RENO</v>
          </cell>
          <cell r="G2872">
            <v>45568575.409999996</v>
          </cell>
          <cell r="H2872">
            <v>45568575.409999996</v>
          </cell>
          <cell r="I2872" t="str">
            <v>766</v>
          </cell>
        </row>
        <row r="2873">
          <cell r="A2873" t="str">
            <v>ARS</v>
          </cell>
          <cell r="B2873" t="str">
            <v>766000229</v>
          </cell>
          <cell r="C2873" t="str">
            <v>DOMINGO BISIO S.R.L.</v>
          </cell>
          <cell r="G2873">
            <v>5679182.2400000002</v>
          </cell>
          <cell r="H2873">
            <v>5679182.2400000002</v>
          </cell>
          <cell r="I2873" t="str">
            <v>766</v>
          </cell>
        </row>
        <row r="2874">
          <cell r="A2874" t="str">
            <v>ARS</v>
          </cell>
          <cell r="B2874" t="str">
            <v>766000235</v>
          </cell>
          <cell r="C2874" t="str">
            <v>Chiavazza, Federico</v>
          </cell>
          <cell r="G2874">
            <v>2704466.22</v>
          </cell>
          <cell r="H2874">
            <v>2704466.22</v>
          </cell>
          <cell r="I2874" t="str">
            <v>766</v>
          </cell>
        </row>
        <row r="2875">
          <cell r="A2875" t="str">
            <v>ARS</v>
          </cell>
          <cell r="B2875" t="str">
            <v>766000237</v>
          </cell>
          <cell r="C2875" t="str">
            <v>Carrizo, Ramiro Daniel</v>
          </cell>
          <cell r="G2875">
            <v>168530</v>
          </cell>
          <cell r="H2875">
            <v>168530</v>
          </cell>
          <cell r="I2875" t="str">
            <v>766</v>
          </cell>
        </row>
        <row r="2876">
          <cell r="A2876" t="str">
            <v>ARS</v>
          </cell>
          <cell r="B2876" t="str">
            <v>766000239</v>
          </cell>
          <cell r="C2876" t="str">
            <v>Mayoraz, Jorge Alfredo</v>
          </cell>
          <cell r="G2876">
            <v>852133.15</v>
          </cell>
          <cell r="H2876">
            <v>852133.15</v>
          </cell>
          <cell r="I2876" t="str">
            <v>766</v>
          </cell>
        </row>
        <row r="2877">
          <cell r="A2877" t="str">
            <v>ARS</v>
          </cell>
          <cell r="B2877" t="str">
            <v>766000242</v>
          </cell>
          <cell r="C2877" t="str">
            <v>Diaz, Lautaro</v>
          </cell>
          <cell r="G2877">
            <v>8981966.6300000008</v>
          </cell>
          <cell r="H2877">
            <v>8981966.6300000008</v>
          </cell>
          <cell r="I2877" t="str">
            <v>766</v>
          </cell>
        </row>
        <row r="2878">
          <cell r="A2878" t="str">
            <v>ARS</v>
          </cell>
          <cell r="B2878" t="str">
            <v>766000247</v>
          </cell>
          <cell r="C2878" t="str">
            <v xml:space="preserve">Refosco, Juan Ignacio </v>
          </cell>
          <cell r="G2878">
            <v>1408413.18</v>
          </cell>
          <cell r="H2878">
            <v>1408413.18</v>
          </cell>
          <cell r="I2878" t="str">
            <v>766</v>
          </cell>
        </row>
        <row r="2879">
          <cell r="A2879" t="str">
            <v>ARS</v>
          </cell>
          <cell r="B2879" t="str">
            <v>766000249</v>
          </cell>
          <cell r="C2879" t="str">
            <v>TEK S.R.L.</v>
          </cell>
          <cell r="G2879">
            <v>412840515.01999998</v>
          </cell>
          <cell r="H2879">
            <v>412840515.01999998</v>
          </cell>
          <cell r="I2879" t="str">
            <v>766</v>
          </cell>
        </row>
        <row r="2880">
          <cell r="A2880" t="str">
            <v>ARS</v>
          </cell>
          <cell r="B2880" t="str">
            <v>766000250</v>
          </cell>
          <cell r="C2880" t="str">
            <v>CRABSA S.A.</v>
          </cell>
          <cell r="G2880">
            <v>53683316.270000003</v>
          </cell>
          <cell r="H2880">
            <v>53683316.270000003</v>
          </cell>
          <cell r="I2880" t="str">
            <v>766</v>
          </cell>
        </row>
        <row r="2881">
          <cell r="A2881" t="str">
            <v>ARS</v>
          </cell>
          <cell r="B2881" t="str">
            <v>766000253</v>
          </cell>
          <cell r="C2881" t="str">
            <v>Blanch, Pablo Esteban</v>
          </cell>
          <cell r="G2881">
            <v>32878830.780000001</v>
          </cell>
          <cell r="H2881">
            <v>32878830.780000001</v>
          </cell>
          <cell r="I2881" t="str">
            <v>766</v>
          </cell>
        </row>
        <row r="2882">
          <cell r="A2882" t="str">
            <v>ARS</v>
          </cell>
          <cell r="B2882" t="str">
            <v>766000255</v>
          </cell>
          <cell r="C2882" t="str">
            <v>DESARROLLOS GLOBAL S.A.</v>
          </cell>
          <cell r="G2882">
            <v>728869.38</v>
          </cell>
          <cell r="H2882">
            <v>728869.38</v>
          </cell>
          <cell r="I2882" t="str">
            <v>766</v>
          </cell>
        </row>
        <row r="2883">
          <cell r="A2883" t="str">
            <v>ARS</v>
          </cell>
          <cell r="B2883" t="str">
            <v>766000256</v>
          </cell>
          <cell r="C2883" t="str">
            <v>Tortora, Víctor Andrés</v>
          </cell>
          <cell r="G2883">
            <v>41450114.219999999</v>
          </cell>
          <cell r="H2883">
            <v>41450114.219999999</v>
          </cell>
          <cell r="I2883" t="str">
            <v>766</v>
          </cell>
        </row>
        <row r="2884">
          <cell r="A2884" t="str">
            <v>ARS</v>
          </cell>
          <cell r="B2884" t="str">
            <v>766000260</v>
          </cell>
          <cell r="C2884" t="str">
            <v xml:space="preserve">Rodriguez Vidal, Patricio Martín </v>
          </cell>
          <cell r="G2884">
            <v>14833886.109999999</v>
          </cell>
          <cell r="H2884">
            <v>14833886.109999999</v>
          </cell>
          <cell r="I2884" t="str">
            <v>766</v>
          </cell>
        </row>
        <row r="2885">
          <cell r="A2885" t="str">
            <v>ARS</v>
          </cell>
          <cell r="B2885" t="str">
            <v>766000261</v>
          </cell>
          <cell r="C2885" t="str">
            <v>Liljesthrom, Facundo</v>
          </cell>
          <cell r="G2885">
            <v>38256.94</v>
          </cell>
          <cell r="H2885">
            <v>38256.94</v>
          </cell>
          <cell r="I2885" t="str">
            <v>766</v>
          </cell>
        </row>
        <row r="2886">
          <cell r="A2886" t="str">
            <v>ARS</v>
          </cell>
          <cell r="B2886" t="str">
            <v>766000264</v>
          </cell>
          <cell r="C2886" t="str">
            <v>DIOBRAS S.R.L.</v>
          </cell>
          <cell r="G2886">
            <v>11743828.24</v>
          </cell>
          <cell r="H2886">
            <v>11743828.24</v>
          </cell>
          <cell r="I2886" t="str">
            <v>766</v>
          </cell>
        </row>
        <row r="2887">
          <cell r="A2887" t="str">
            <v>ARS</v>
          </cell>
          <cell r="B2887" t="str">
            <v>766000268</v>
          </cell>
          <cell r="C2887" t="str">
            <v xml:space="preserve">Folini, Alesio Nicolás </v>
          </cell>
          <cell r="G2887">
            <v>4974658.13</v>
          </cell>
          <cell r="H2887">
            <v>4974658.13</v>
          </cell>
          <cell r="I2887" t="str">
            <v>766</v>
          </cell>
        </row>
        <row r="2888">
          <cell r="A2888" t="str">
            <v>ARS</v>
          </cell>
          <cell r="B2888" t="str">
            <v>766000274</v>
          </cell>
          <cell r="C2888" t="str">
            <v>Gay Bellmann, Alejandro Sebastian ó Bellmann, Elisa Inés</v>
          </cell>
          <cell r="G2888">
            <v>2178560</v>
          </cell>
          <cell r="H2888">
            <v>2178560</v>
          </cell>
          <cell r="I2888" t="str">
            <v>766</v>
          </cell>
        </row>
        <row r="2889">
          <cell r="A2889" t="str">
            <v>ARS</v>
          </cell>
          <cell r="B2889" t="str">
            <v>766000277</v>
          </cell>
          <cell r="C2889" t="str">
            <v>Gay Bellmann, Alejandro Sebastian</v>
          </cell>
          <cell r="G2889">
            <v>3325992.55</v>
          </cell>
          <cell r="H2889">
            <v>3325992.55</v>
          </cell>
          <cell r="I2889" t="str">
            <v>766</v>
          </cell>
        </row>
        <row r="2890">
          <cell r="A2890" t="str">
            <v>ARS</v>
          </cell>
          <cell r="B2890" t="str">
            <v>766000279</v>
          </cell>
          <cell r="C2890" t="str">
            <v>Melchor, Rodrigo</v>
          </cell>
          <cell r="G2890">
            <v>3502857.37</v>
          </cell>
          <cell r="H2890">
            <v>3502857.37</v>
          </cell>
          <cell r="I2890" t="str">
            <v>766</v>
          </cell>
        </row>
        <row r="2891">
          <cell r="A2891" t="str">
            <v>ARS</v>
          </cell>
          <cell r="B2891" t="str">
            <v>766000281</v>
          </cell>
          <cell r="C2891" t="str">
            <v>Cuello, Gregorio</v>
          </cell>
          <cell r="G2891">
            <v>2575201.59</v>
          </cell>
          <cell r="H2891">
            <v>2575201.59</v>
          </cell>
          <cell r="I2891" t="str">
            <v>766</v>
          </cell>
        </row>
        <row r="2892">
          <cell r="A2892" t="str">
            <v>ARS</v>
          </cell>
          <cell r="B2892" t="str">
            <v>766000285</v>
          </cell>
          <cell r="C2892" t="str">
            <v>Muñoz, Juan Manuel</v>
          </cell>
          <cell r="G2892">
            <v>195994496.84</v>
          </cell>
          <cell r="H2892">
            <v>195994496.84</v>
          </cell>
          <cell r="I2892" t="str">
            <v>766</v>
          </cell>
        </row>
        <row r="2893">
          <cell r="A2893" t="str">
            <v>ARS</v>
          </cell>
          <cell r="B2893" t="str">
            <v>766000287</v>
          </cell>
          <cell r="C2893" t="str">
            <v>Gamulin, Mateo Julián</v>
          </cell>
          <cell r="G2893">
            <v>164183380.16</v>
          </cell>
          <cell r="H2893">
            <v>164183380.16</v>
          </cell>
          <cell r="I2893" t="str">
            <v>766</v>
          </cell>
        </row>
        <row r="2894">
          <cell r="A2894" t="str">
            <v>ARS</v>
          </cell>
          <cell r="B2894" t="str">
            <v>766000291</v>
          </cell>
          <cell r="C2894" t="str">
            <v xml:space="preserve">Yalour, Nicolás </v>
          </cell>
          <cell r="G2894">
            <v>47034713.07</v>
          </cell>
          <cell r="H2894">
            <v>47034713.07</v>
          </cell>
          <cell r="I2894" t="str">
            <v>766</v>
          </cell>
        </row>
        <row r="2895">
          <cell r="A2895" t="str">
            <v>ARS</v>
          </cell>
          <cell r="B2895" t="str">
            <v>766000292</v>
          </cell>
          <cell r="C2895" t="str">
            <v>Carlés, Francisco Jose</v>
          </cell>
          <cell r="G2895">
            <v>6865</v>
          </cell>
          <cell r="H2895">
            <v>6865</v>
          </cell>
          <cell r="I2895" t="str">
            <v>766</v>
          </cell>
        </row>
        <row r="2896">
          <cell r="A2896" t="str">
            <v>ARS</v>
          </cell>
          <cell r="B2896" t="str">
            <v>766000293</v>
          </cell>
          <cell r="C2896" t="str">
            <v>Seleme, Claudio Cesar ó Seleme, Úrsula Jazmín</v>
          </cell>
          <cell r="G2896">
            <v>548321.22</v>
          </cell>
          <cell r="H2896">
            <v>548321.22</v>
          </cell>
          <cell r="I2896" t="str">
            <v>766</v>
          </cell>
        </row>
        <row r="2897">
          <cell r="A2897" t="str">
            <v>ARS</v>
          </cell>
          <cell r="B2897" t="str">
            <v>766000301</v>
          </cell>
          <cell r="C2897" t="str">
            <v>MBS AGROINDUSTRIAS SRL</v>
          </cell>
          <cell r="G2897">
            <v>140496.95000000001</v>
          </cell>
          <cell r="H2897">
            <v>140496.95000000001</v>
          </cell>
          <cell r="I2897" t="str">
            <v>766</v>
          </cell>
        </row>
        <row r="2898">
          <cell r="A2898" t="str">
            <v>ARS</v>
          </cell>
          <cell r="B2898" t="str">
            <v>766000303</v>
          </cell>
          <cell r="C2898" t="str">
            <v xml:space="preserve">Cimolai, Pablo Enzo </v>
          </cell>
          <cell r="G2898">
            <v>46967945.969999999</v>
          </cell>
          <cell r="H2898">
            <v>46967945.969999999</v>
          </cell>
          <cell r="I2898" t="str">
            <v>766</v>
          </cell>
        </row>
        <row r="2899">
          <cell r="A2899" t="str">
            <v>ARS</v>
          </cell>
          <cell r="B2899" t="str">
            <v>766000305</v>
          </cell>
          <cell r="C2899" t="str">
            <v>ALMACENES ALVEAR S.R.L.</v>
          </cell>
          <cell r="G2899">
            <v>4818074.8499999996</v>
          </cell>
          <cell r="H2899">
            <v>4818074.8499999996</v>
          </cell>
          <cell r="I2899" t="str">
            <v>766</v>
          </cell>
        </row>
        <row r="2900">
          <cell r="A2900" t="str">
            <v>ARS</v>
          </cell>
          <cell r="B2900" t="str">
            <v>766000306</v>
          </cell>
          <cell r="C2900" t="str">
            <v>Casadevall, Hernán Ricardo y Marchesini, Isabel Rita</v>
          </cell>
          <cell r="G2900">
            <v>13046615.970000001</v>
          </cell>
          <cell r="H2900">
            <v>13046615.970000001</v>
          </cell>
          <cell r="I2900" t="str">
            <v>766</v>
          </cell>
        </row>
        <row r="2901">
          <cell r="A2901" t="str">
            <v>ARS</v>
          </cell>
          <cell r="B2901" t="str">
            <v>766000310</v>
          </cell>
          <cell r="C2901" t="str">
            <v>Comacchio, Bruno</v>
          </cell>
          <cell r="G2901">
            <v>920069.48</v>
          </cell>
          <cell r="H2901">
            <v>920069.48</v>
          </cell>
          <cell r="I2901" t="str">
            <v>766</v>
          </cell>
        </row>
        <row r="2902">
          <cell r="A2902" t="str">
            <v>ARS</v>
          </cell>
          <cell r="B2902" t="str">
            <v>766000311</v>
          </cell>
          <cell r="C2902" t="str">
            <v>SERGIO CONFALONIERI S.R.L.</v>
          </cell>
          <cell r="G2902">
            <v>11856464.35</v>
          </cell>
          <cell r="H2902">
            <v>11856464.35</v>
          </cell>
          <cell r="I2902" t="str">
            <v>766</v>
          </cell>
        </row>
        <row r="2903">
          <cell r="A2903" t="str">
            <v>ARS</v>
          </cell>
          <cell r="B2903" t="str">
            <v>766000313</v>
          </cell>
          <cell r="C2903" t="str">
            <v>Orlandi, Gisela Laura</v>
          </cell>
          <cell r="G2903">
            <v>5385096.3899999997</v>
          </cell>
          <cell r="H2903">
            <v>5385096.3899999997</v>
          </cell>
          <cell r="I2903" t="str">
            <v>766</v>
          </cell>
        </row>
        <row r="2904">
          <cell r="A2904" t="str">
            <v>ARS</v>
          </cell>
          <cell r="B2904" t="str">
            <v>766000315</v>
          </cell>
          <cell r="C2904" t="str">
            <v>Bruschini, Mauro</v>
          </cell>
          <cell r="G2904">
            <v>2915596.09</v>
          </cell>
          <cell r="H2904">
            <v>2915596.09</v>
          </cell>
          <cell r="I2904" t="str">
            <v>766</v>
          </cell>
        </row>
        <row r="2905">
          <cell r="A2905" t="str">
            <v>ARS</v>
          </cell>
          <cell r="B2905" t="str">
            <v>766000319</v>
          </cell>
          <cell r="C2905" t="str">
            <v>Tommasi, Javier Alejandro</v>
          </cell>
          <cell r="G2905">
            <v>4006780.25</v>
          </cell>
          <cell r="H2905">
            <v>4006780.25</v>
          </cell>
          <cell r="I2905" t="str">
            <v>766</v>
          </cell>
        </row>
        <row r="2906">
          <cell r="A2906" t="str">
            <v>ARS</v>
          </cell>
          <cell r="B2906" t="str">
            <v>766000323</v>
          </cell>
          <cell r="C2906" t="str">
            <v>Villalon, Iván Nicolas</v>
          </cell>
          <cell r="G2906">
            <v>561898.1</v>
          </cell>
          <cell r="H2906">
            <v>561898.1</v>
          </cell>
          <cell r="I2906" t="str">
            <v>766</v>
          </cell>
        </row>
        <row r="2907">
          <cell r="A2907" t="str">
            <v>ARS</v>
          </cell>
          <cell r="B2907" t="str">
            <v>766000326</v>
          </cell>
          <cell r="C2907" t="str">
            <v>Ronco, Fernando Carlos</v>
          </cell>
          <cell r="G2907">
            <v>29950321.32</v>
          </cell>
          <cell r="H2907">
            <v>29950321.32</v>
          </cell>
          <cell r="I2907" t="str">
            <v>766</v>
          </cell>
        </row>
        <row r="2908">
          <cell r="A2908" t="str">
            <v>ARS</v>
          </cell>
          <cell r="B2908" t="str">
            <v>766000327</v>
          </cell>
          <cell r="C2908" t="str">
            <v>ALMAR ROSARIO S.R.L.</v>
          </cell>
          <cell r="G2908">
            <v>1022769112.63</v>
          </cell>
          <cell r="H2908">
            <v>1022769112.63</v>
          </cell>
          <cell r="I2908" t="str">
            <v>766</v>
          </cell>
        </row>
        <row r="2909">
          <cell r="A2909" t="str">
            <v>ARS</v>
          </cell>
          <cell r="B2909" t="str">
            <v>766000329</v>
          </cell>
          <cell r="C2909" t="str">
            <v>Egidi, Luciano</v>
          </cell>
          <cell r="G2909">
            <v>7314776.2599999998</v>
          </cell>
          <cell r="H2909">
            <v>7314776.2599999998</v>
          </cell>
          <cell r="I2909" t="str">
            <v>766</v>
          </cell>
        </row>
        <row r="2910">
          <cell r="A2910" t="str">
            <v>ARS</v>
          </cell>
          <cell r="B2910" t="str">
            <v>766000330</v>
          </cell>
          <cell r="C2910" t="str">
            <v xml:space="preserve">Falco Bravo, Cristian Eduardo </v>
          </cell>
          <cell r="G2910">
            <v>702143.4</v>
          </cell>
          <cell r="H2910">
            <v>702143.4</v>
          </cell>
          <cell r="I2910" t="str">
            <v>766</v>
          </cell>
        </row>
        <row r="2911">
          <cell r="A2911" t="str">
            <v>ARS</v>
          </cell>
          <cell r="B2911" t="str">
            <v>766000337</v>
          </cell>
          <cell r="C2911" t="str">
            <v xml:space="preserve">Taricco, Daniel Rubén / Mogues, Silvia Fabiana </v>
          </cell>
          <cell r="G2911">
            <v>14181147.710000001</v>
          </cell>
          <cell r="H2911">
            <v>14181147.710000001</v>
          </cell>
          <cell r="I2911" t="str">
            <v>766</v>
          </cell>
        </row>
        <row r="2912">
          <cell r="A2912" t="str">
            <v>ARS</v>
          </cell>
          <cell r="B2912" t="str">
            <v>766000342</v>
          </cell>
          <cell r="C2912" t="str">
            <v>Buffetti, Georgina María</v>
          </cell>
          <cell r="G2912">
            <v>1083894.46</v>
          </cell>
          <cell r="H2912">
            <v>1083894.46</v>
          </cell>
          <cell r="I2912" t="str">
            <v>766</v>
          </cell>
        </row>
        <row r="2913">
          <cell r="A2913" t="str">
            <v>ARS</v>
          </cell>
          <cell r="B2913" t="str">
            <v>766000352</v>
          </cell>
          <cell r="C2913" t="str">
            <v>KAMCHATKA S.R.L.</v>
          </cell>
          <cell r="G2913">
            <v>69972870.670000002</v>
          </cell>
          <cell r="H2913">
            <v>69972870.670000002</v>
          </cell>
          <cell r="I2913" t="str">
            <v>766</v>
          </cell>
        </row>
        <row r="2914">
          <cell r="A2914" t="str">
            <v>ARS</v>
          </cell>
          <cell r="B2914" t="str">
            <v>766000361</v>
          </cell>
          <cell r="C2914" t="str">
            <v>Silvestrini, Eugenia Mariana / Klijnjan , Javier</v>
          </cell>
          <cell r="G2914">
            <v>2620619.15</v>
          </cell>
          <cell r="H2914">
            <v>2620619.15</v>
          </cell>
          <cell r="I2914" t="str">
            <v>766</v>
          </cell>
        </row>
        <row r="2915">
          <cell r="A2915" t="str">
            <v>ARS</v>
          </cell>
          <cell r="B2915" t="str">
            <v>766000362</v>
          </cell>
          <cell r="C2915" t="str">
            <v>AMCAI ASOCIACION MUTUAL</v>
          </cell>
          <cell r="G2915">
            <v>50261000</v>
          </cell>
          <cell r="H2915">
            <v>50261000</v>
          </cell>
          <cell r="I2915" t="str">
            <v>766</v>
          </cell>
        </row>
        <row r="2916">
          <cell r="A2916" t="str">
            <v>ARS</v>
          </cell>
          <cell r="B2916" t="str">
            <v>766000364</v>
          </cell>
          <cell r="C2916" t="str">
            <v>Paez , Nelson Wilde</v>
          </cell>
          <cell r="G2916">
            <v>38518691.670000002</v>
          </cell>
          <cell r="H2916">
            <v>38518691.670000002</v>
          </cell>
          <cell r="I2916" t="str">
            <v>766</v>
          </cell>
        </row>
        <row r="2917">
          <cell r="A2917" t="str">
            <v>ARS</v>
          </cell>
          <cell r="B2917" t="str">
            <v>766000367</v>
          </cell>
          <cell r="C2917" t="str">
            <v>Pico, Ramiro José</v>
          </cell>
          <cell r="G2917">
            <v>3592726.57</v>
          </cell>
          <cell r="H2917">
            <v>3592726.57</v>
          </cell>
          <cell r="I2917" t="str">
            <v>766</v>
          </cell>
        </row>
        <row r="2918">
          <cell r="A2918" t="str">
            <v>ARS</v>
          </cell>
          <cell r="B2918" t="str">
            <v>766000368</v>
          </cell>
          <cell r="C2918" t="str">
            <v>Cukar, Gastón Arnaldo</v>
          </cell>
          <cell r="G2918">
            <v>42398</v>
          </cell>
          <cell r="H2918">
            <v>42398</v>
          </cell>
          <cell r="I2918" t="str">
            <v>766</v>
          </cell>
        </row>
        <row r="2919">
          <cell r="A2919" t="str">
            <v>ARS</v>
          </cell>
          <cell r="B2919" t="str">
            <v>766000377</v>
          </cell>
          <cell r="C2919" t="str">
            <v>Robertti, Daniel Oscar y Robertti, Mauro Daniel</v>
          </cell>
          <cell r="G2919">
            <v>83534453.609999999</v>
          </cell>
          <cell r="H2919">
            <v>83534453.609999999</v>
          </cell>
          <cell r="I2919" t="str">
            <v>766</v>
          </cell>
        </row>
        <row r="2920">
          <cell r="A2920" t="str">
            <v>ARS</v>
          </cell>
          <cell r="B2920" t="str">
            <v>766000378</v>
          </cell>
          <cell r="C2920" t="str">
            <v xml:space="preserve">Martínez , Víctor Ezequiel </v>
          </cell>
          <cell r="G2920">
            <v>99764161.540000007</v>
          </cell>
          <cell r="H2920">
            <v>99764161.540000007</v>
          </cell>
          <cell r="I2920" t="str">
            <v>766</v>
          </cell>
        </row>
        <row r="2921">
          <cell r="A2921" t="str">
            <v>ARS</v>
          </cell>
          <cell r="B2921" t="str">
            <v>766000380</v>
          </cell>
          <cell r="C2921" t="str">
            <v>Del Re, Franco</v>
          </cell>
          <cell r="G2921">
            <v>54600204.170000002</v>
          </cell>
          <cell r="H2921">
            <v>54600204.170000002</v>
          </cell>
          <cell r="I2921" t="str">
            <v>766</v>
          </cell>
        </row>
        <row r="2922">
          <cell r="A2922" t="str">
            <v>ARS</v>
          </cell>
          <cell r="B2922" t="str">
            <v>766000383</v>
          </cell>
          <cell r="C2922" t="str">
            <v xml:space="preserve">Farruggia, Nicolas </v>
          </cell>
          <cell r="G2922">
            <v>16134302.43</v>
          </cell>
          <cell r="H2922">
            <v>16134302.43</v>
          </cell>
          <cell r="I2922" t="str">
            <v>766</v>
          </cell>
        </row>
        <row r="2923">
          <cell r="A2923" t="str">
            <v>ARS</v>
          </cell>
          <cell r="B2923" t="str">
            <v>766000386</v>
          </cell>
          <cell r="C2923" t="str">
            <v xml:space="preserve">Vicco, Verónica Antonia </v>
          </cell>
          <cell r="G2923">
            <v>384685384.44999999</v>
          </cell>
          <cell r="H2923">
            <v>384685384.44999999</v>
          </cell>
          <cell r="I2923" t="str">
            <v>766</v>
          </cell>
        </row>
        <row r="2924">
          <cell r="A2924" t="str">
            <v>ARS</v>
          </cell>
          <cell r="B2924" t="str">
            <v>766000388</v>
          </cell>
          <cell r="C2924" t="str">
            <v>Campora, Federico</v>
          </cell>
          <cell r="G2924">
            <v>3567138.27</v>
          </cell>
          <cell r="H2924">
            <v>3567138.27</v>
          </cell>
          <cell r="I2924" t="str">
            <v>766</v>
          </cell>
        </row>
        <row r="2925">
          <cell r="A2925" t="str">
            <v>ARS</v>
          </cell>
          <cell r="B2925" t="str">
            <v>766000389</v>
          </cell>
          <cell r="C2925" t="str">
            <v>Schwarzstein, Damián</v>
          </cell>
          <cell r="G2925">
            <v>109799.28</v>
          </cell>
          <cell r="H2925">
            <v>109799.28</v>
          </cell>
          <cell r="I2925" t="str">
            <v>766</v>
          </cell>
        </row>
        <row r="2926">
          <cell r="A2926" t="str">
            <v>ARS</v>
          </cell>
          <cell r="B2926" t="str">
            <v>766000391</v>
          </cell>
          <cell r="C2926" t="str">
            <v>CLIMATIC S.R.L.</v>
          </cell>
          <cell r="G2926">
            <v>1442524745.8699999</v>
          </cell>
          <cell r="H2926">
            <v>1442524745.8699999</v>
          </cell>
          <cell r="I2926" t="str">
            <v>766</v>
          </cell>
        </row>
        <row r="2927">
          <cell r="A2927" t="str">
            <v>ARS</v>
          </cell>
          <cell r="B2927" t="str">
            <v>766000392</v>
          </cell>
          <cell r="C2927" t="str">
            <v xml:space="preserve">Martínez Fernandez, María Eugenia </v>
          </cell>
          <cell r="G2927">
            <v>12297301.68</v>
          </cell>
          <cell r="H2927">
            <v>12297301.68</v>
          </cell>
          <cell r="I2927" t="str">
            <v>766</v>
          </cell>
        </row>
        <row r="2928">
          <cell r="A2928" t="str">
            <v>ARS</v>
          </cell>
          <cell r="B2928" t="str">
            <v>766000395</v>
          </cell>
          <cell r="C2928" t="str">
            <v>Perini, Luciano Pablo</v>
          </cell>
          <cell r="G2928">
            <v>8652790.6600000001</v>
          </cell>
          <cell r="H2928">
            <v>8652790.6600000001</v>
          </cell>
          <cell r="I2928" t="str">
            <v>766</v>
          </cell>
        </row>
        <row r="2929">
          <cell r="A2929" t="str">
            <v>ARS</v>
          </cell>
          <cell r="B2929" t="str">
            <v>766000396</v>
          </cell>
          <cell r="C2929" t="str">
            <v>Lucci, Federico Roberto</v>
          </cell>
          <cell r="G2929">
            <v>9458537.75</v>
          </cell>
          <cell r="H2929">
            <v>9458537.75</v>
          </cell>
          <cell r="I2929" t="str">
            <v>766</v>
          </cell>
        </row>
        <row r="2930">
          <cell r="A2930" t="str">
            <v>ARS</v>
          </cell>
          <cell r="B2930" t="str">
            <v>766000401</v>
          </cell>
          <cell r="C2930" t="str">
            <v>Gras, Emmanuel</v>
          </cell>
          <cell r="G2930">
            <v>595391.59</v>
          </cell>
          <cell r="H2930">
            <v>595391.59</v>
          </cell>
          <cell r="I2930" t="str">
            <v>766</v>
          </cell>
        </row>
        <row r="2931">
          <cell r="A2931" t="str">
            <v>ARS</v>
          </cell>
          <cell r="B2931" t="str">
            <v>766000402</v>
          </cell>
          <cell r="C2931" t="str">
            <v>Primoletti, Bruno Eduardo y Aguado, Florencia</v>
          </cell>
          <cell r="G2931">
            <v>6506414.6799999997</v>
          </cell>
          <cell r="H2931">
            <v>6506414.6799999997</v>
          </cell>
          <cell r="I2931" t="str">
            <v>766</v>
          </cell>
        </row>
        <row r="2932">
          <cell r="A2932" t="str">
            <v>ARS</v>
          </cell>
          <cell r="B2932" t="str">
            <v>766000404</v>
          </cell>
          <cell r="C2932" t="str">
            <v>Marcón, Maria Victoria y Bürki, Germán Guido</v>
          </cell>
          <cell r="G2932">
            <v>537278</v>
          </cell>
          <cell r="H2932">
            <v>537278</v>
          </cell>
          <cell r="I2932" t="str">
            <v>766</v>
          </cell>
        </row>
        <row r="2933">
          <cell r="A2933" t="str">
            <v>ARS</v>
          </cell>
          <cell r="B2933" t="str">
            <v>766000406</v>
          </cell>
          <cell r="C2933" t="str">
            <v>Ciccarelli, Maximiliano</v>
          </cell>
          <cell r="G2933">
            <v>10195733.369999999</v>
          </cell>
          <cell r="H2933">
            <v>10195733.369999999</v>
          </cell>
          <cell r="I2933" t="str">
            <v>766</v>
          </cell>
        </row>
        <row r="2934">
          <cell r="A2934" t="str">
            <v>ARS</v>
          </cell>
          <cell r="B2934" t="str">
            <v>766000408</v>
          </cell>
          <cell r="C2934" t="str">
            <v>Kahale Couzo, Jorge Eduardo y Sueldo, Natalia Verónica</v>
          </cell>
          <cell r="G2934">
            <v>66588523.82</v>
          </cell>
          <cell r="H2934">
            <v>66588523.82</v>
          </cell>
          <cell r="I2934" t="str">
            <v>766</v>
          </cell>
        </row>
        <row r="2935">
          <cell r="A2935" t="str">
            <v>ARS</v>
          </cell>
          <cell r="B2935" t="str">
            <v>766000409</v>
          </cell>
          <cell r="C2935" t="str">
            <v>Martínez Fernandez , Jorge</v>
          </cell>
          <cell r="G2935">
            <v>89181380.450000003</v>
          </cell>
          <cell r="H2935">
            <v>89181380.450000003</v>
          </cell>
          <cell r="I2935" t="str">
            <v>766</v>
          </cell>
        </row>
        <row r="2936">
          <cell r="A2936" t="str">
            <v>ARS</v>
          </cell>
          <cell r="B2936" t="str">
            <v>766000410</v>
          </cell>
          <cell r="C2936" t="str">
            <v>Bernabeu Hernández, Juan Martín y Nemirovsky, Tamara</v>
          </cell>
          <cell r="G2936">
            <v>517006.26</v>
          </cell>
          <cell r="H2936">
            <v>517006.26</v>
          </cell>
          <cell r="I2936" t="str">
            <v>766</v>
          </cell>
        </row>
        <row r="2937">
          <cell r="A2937" t="str">
            <v>ARS</v>
          </cell>
          <cell r="B2937" t="str">
            <v>766000414</v>
          </cell>
          <cell r="C2937" t="str">
            <v>Zabalza, Margarita Elsa o Rivas, Alejandro Luis</v>
          </cell>
          <cell r="G2937">
            <v>10510149.460000001</v>
          </cell>
          <cell r="H2937">
            <v>10510149.460000001</v>
          </cell>
          <cell r="I2937" t="str">
            <v>766</v>
          </cell>
        </row>
        <row r="2938">
          <cell r="A2938" t="str">
            <v>ARS</v>
          </cell>
          <cell r="B2938" t="str">
            <v>766000416</v>
          </cell>
          <cell r="C2938" t="str">
            <v>D.ME.D. S.R.L.</v>
          </cell>
          <cell r="G2938">
            <v>469815067.23000002</v>
          </cell>
          <cell r="H2938">
            <v>469815067.23000002</v>
          </cell>
          <cell r="I2938" t="str">
            <v>766</v>
          </cell>
        </row>
        <row r="2939">
          <cell r="A2939" t="str">
            <v>ARS</v>
          </cell>
          <cell r="B2939" t="str">
            <v>766000417</v>
          </cell>
          <cell r="C2939" t="str">
            <v xml:space="preserve">Peralta, Juan Carlos o Pollo, Eleonora María </v>
          </cell>
          <cell r="G2939">
            <v>135260625.58000001</v>
          </cell>
          <cell r="H2939">
            <v>135260625.58000001</v>
          </cell>
          <cell r="I2939" t="str">
            <v>766</v>
          </cell>
        </row>
        <row r="2940">
          <cell r="A2940" t="str">
            <v>ARS</v>
          </cell>
          <cell r="B2940" t="str">
            <v>766000419</v>
          </cell>
          <cell r="C2940" t="str">
            <v>Pary, Ezequiel</v>
          </cell>
          <cell r="G2940">
            <v>14989293.560000001</v>
          </cell>
          <cell r="H2940">
            <v>14989293.560000001</v>
          </cell>
          <cell r="I2940" t="str">
            <v>766</v>
          </cell>
        </row>
        <row r="2941">
          <cell r="A2941" t="str">
            <v>ARS</v>
          </cell>
          <cell r="B2941" t="str">
            <v>766000422</v>
          </cell>
          <cell r="C2941" t="str">
            <v>Muñoz Atahualpa, Edgar Aníbal o Bonamigo, Verónica Andrea</v>
          </cell>
          <cell r="G2941">
            <v>530665.72</v>
          </cell>
          <cell r="H2941">
            <v>530665.72</v>
          </cell>
          <cell r="I2941" t="str">
            <v>766</v>
          </cell>
        </row>
        <row r="2942">
          <cell r="A2942" t="str">
            <v>ARS</v>
          </cell>
          <cell r="B2942" t="str">
            <v>766000425</v>
          </cell>
          <cell r="C2942" t="str">
            <v>Guspi, Luis Alejandro</v>
          </cell>
          <cell r="G2942">
            <v>60560.94</v>
          </cell>
          <cell r="H2942">
            <v>60560.94</v>
          </cell>
          <cell r="I2942" t="str">
            <v>766</v>
          </cell>
        </row>
        <row r="2943">
          <cell r="A2943" t="str">
            <v>ARS</v>
          </cell>
          <cell r="B2943" t="str">
            <v>766000426</v>
          </cell>
          <cell r="C2943" t="str">
            <v>Pollux S.A.S</v>
          </cell>
          <cell r="G2943">
            <v>29570212.850000001</v>
          </cell>
          <cell r="H2943">
            <v>29570212.850000001</v>
          </cell>
          <cell r="I2943" t="str">
            <v>766</v>
          </cell>
        </row>
        <row r="2944">
          <cell r="A2944" t="str">
            <v>ARS</v>
          </cell>
          <cell r="B2944" t="str">
            <v>766000427</v>
          </cell>
          <cell r="C2944" t="str">
            <v xml:space="preserve">Delbono, Pablo Martin </v>
          </cell>
          <cell r="G2944">
            <v>491709783.42000002</v>
          </cell>
          <cell r="H2944">
            <v>491709783.42000002</v>
          </cell>
          <cell r="I2944" t="str">
            <v>766</v>
          </cell>
        </row>
        <row r="2945">
          <cell r="A2945" t="str">
            <v>ARS</v>
          </cell>
          <cell r="B2945" t="str">
            <v>766000431</v>
          </cell>
          <cell r="C2945" t="str">
            <v>Quagliato, José Ignacio</v>
          </cell>
          <cell r="G2945">
            <v>641524.01</v>
          </cell>
          <cell r="H2945">
            <v>641524.01</v>
          </cell>
          <cell r="I2945" t="str">
            <v>766</v>
          </cell>
        </row>
        <row r="2946">
          <cell r="A2946" t="str">
            <v>ARS</v>
          </cell>
          <cell r="B2946" t="str">
            <v>766000432</v>
          </cell>
          <cell r="C2946" t="str">
            <v>Mariño, Raúl Eduardo</v>
          </cell>
          <cell r="G2946">
            <v>3599220.1</v>
          </cell>
          <cell r="H2946">
            <v>3599220.1</v>
          </cell>
          <cell r="I2946" t="str">
            <v>766</v>
          </cell>
        </row>
        <row r="2947">
          <cell r="A2947" t="str">
            <v>ARS</v>
          </cell>
          <cell r="B2947" t="str">
            <v>766000433</v>
          </cell>
          <cell r="C2947" t="str">
            <v>Tartarelli, Martin</v>
          </cell>
          <cell r="G2947">
            <v>28171301.329999998</v>
          </cell>
          <cell r="H2947">
            <v>28171301.329999998</v>
          </cell>
          <cell r="I2947" t="str">
            <v>766</v>
          </cell>
        </row>
        <row r="2948">
          <cell r="A2948" t="str">
            <v>ARS</v>
          </cell>
          <cell r="B2948" t="str">
            <v>766000434</v>
          </cell>
          <cell r="C2948" t="str">
            <v>DASOLAB INVESTIGACION Y DESARROLLO EN NEUROCIENCIAS S.R.L.</v>
          </cell>
          <cell r="G2948">
            <v>1198335.4099999999</v>
          </cell>
          <cell r="H2948">
            <v>1198335.4099999999</v>
          </cell>
          <cell r="I2948" t="str">
            <v>766</v>
          </cell>
        </row>
        <row r="2949">
          <cell r="A2949" t="str">
            <v>ARS</v>
          </cell>
          <cell r="B2949" t="str">
            <v>766000435</v>
          </cell>
          <cell r="C2949" t="str">
            <v>Mendoza, Cristian Fernando</v>
          </cell>
          <cell r="G2949">
            <v>6879619.2599999998</v>
          </cell>
          <cell r="H2949">
            <v>6879619.2599999998</v>
          </cell>
          <cell r="I2949" t="str">
            <v>766</v>
          </cell>
        </row>
        <row r="2950">
          <cell r="A2950" t="str">
            <v>ARS</v>
          </cell>
          <cell r="B2950" t="str">
            <v>766000441</v>
          </cell>
          <cell r="C2950" t="str">
            <v>Mayoraz, Gonzalo Javier</v>
          </cell>
          <cell r="G2950">
            <v>73059595.959999993</v>
          </cell>
          <cell r="H2950">
            <v>73059595.959999993</v>
          </cell>
          <cell r="I2950" t="str">
            <v>766</v>
          </cell>
        </row>
        <row r="2951">
          <cell r="A2951" t="str">
            <v>ARS</v>
          </cell>
          <cell r="B2951" t="str">
            <v>766000442</v>
          </cell>
          <cell r="C2951" t="str">
            <v>Nikel, Juan Ignacio</v>
          </cell>
          <cell r="G2951">
            <v>37998898.890000001</v>
          </cell>
          <cell r="H2951">
            <v>37998898.890000001</v>
          </cell>
          <cell r="I2951" t="str">
            <v>766</v>
          </cell>
        </row>
        <row r="2952">
          <cell r="A2952" t="str">
            <v>ARS</v>
          </cell>
          <cell r="B2952" t="str">
            <v>766000443</v>
          </cell>
          <cell r="C2952" t="str">
            <v>Solanes, Jorge Pablo</v>
          </cell>
          <cell r="G2952">
            <v>21185251.43</v>
          </cell>
          <cell r="H2952">
            <v>21185251.43</v>
          </cell>
          <cell r="I2952" t="str">
            <v>766</v>
          </cell>
        </row>
        <row r="2953">
          <cell r="A2953" t="str">
            <v>ARS</v>
          </cell>
          <cell r="B2953" t="str">
            <v>766000444</v>
          </cell>
          <cell r="C2953" t="str">
            <v>Guirin , Martin Ignacio</v>
          </cell>
          <cell r="G2953">
            <v>4056072.75</v>
          </cell>
          <cell r="H2953">
            <v>4056072.75</v>
          </cell>
          <cell r="I2953" t="str">
            <v>766</v>
          </cell>
        </row>
        <row r="2954">
          <cell r="A2954" t="str">
            <v>ARS</v>
          </cell>
          <cell r="B2954" t="str">
            <v>766000445</v>
          </cell>
          <cell r="C2954" t="str">
            <v>2 M CONSTRUCCIONES SRL</v>
          </cell>
          <cell r="G2954">
            <v>60103008.240000002</v>
          </cell>
          <cell r="H2954">
            <v>60103008.240000002</v>
          </cell>
          <cell r="I2954" t="str">
            <v>766</v>
          </cell>
        </row>
        <row r="2955">
          <cell r="A2955" t="str">
            <v>ARS</v>
          </cell>
          <cell r="B2955" t="str">
            <v>766000448</v>
          </cell>
          <cell r="C2955" t="str">
            <v>Livieri, Carlos Ruben o Ruiz, Maria Eugenia o Livieri, Maria Florencia</v>
          </cell>
          <cell r="G2955">
            <v>28359182.949999999</v>
          </cell>
          <cell r="H2955">
            <v>28359182.949999999</v>
          </cell>
          <cell r="I2955" t="str">
            <v>766</v>
          </cell>
        </row>
        <row r="2956">
          <cell r="A2956" t="str">
            <v>ARS</v>
          </cell>
          <cell r="B2956" t="str">
            <v>766000449</v>
          </cell>
          <cell r="C2956" t="str">
            <v>PESCIA S.A.</v>
          </cell>
          <cell r="G2956">
            <v>592459.76</v>
          </cell>
          <cell r="H2956">
            <v>592459.76</v>
          </cell>
          <cell r="I2956" t="str">
            <v>766</v>
          </cell>
        </row>
        <row r="2957">
          <cell r="A2957" t="str">
            <v>ARS</v>
          </cell>
          <cell r="B2957" t="str">
            <v>766000450</v>
          </cell>
          <cell r="C2957" t="str">
            <v>Tommasi, Gustavo Darío o Aguilar, Sonia Georgina</v>
          </cell>
          <cell r="G2957">
            <v>284098847.05000001</v>
          </cell>
          <cell r="H2957">
            <v>284098847.05000001</v>
          </cell>
          <cell r="I2957" t="str">
            <v>766</v>
          </cell>
        </row>
        <row r="2958">
          <cell r="A2958" t="str">
            <v>ARS</v>
          </cell>
          <cell r="B2958" t="str">
            <v>766000451</v>
          </cell>
          <cell r="C2958" t="str">
            <v>Gallo, María Laura o Estelles, Juan Pablo</v>
          </cell>
          <cell r="G2958">
            <v>26180</v>
          </cell>
          <cell r="H2958">
            <v>26180</v>
          </cell>
          <cell r="I2958" t="str">
            <v>766</v>
          </cell>
        </row>
        <row r="2959">
          <cell r="A2959" t="str">
            <v>ARS</v>
          </cell>
          <cell r="B2959" t="str">
            <v>766000453</v>
          </cell>
          <cell r="C2959" t="str">
            <v>Astori, Sebastian Eduardo</v>
          </cell>
          <cell r="G2959">
            <v>19238110.260000002</v>
          </cell>
          <cell r="H2959">
            <v>19238110.260000002</v>
          </cell>
          <cell r="I2959" t="str">
            <v>766</v>
          </cell>
        </row>
        <row r="2960">
          <cell r="A2960" t="str">
            <v>ARS</v>
          </cell>
          <cell r="B2960" t="str">
            <v>766000457</v>
          </cell>
          <cell r="C2960" t="str">
            <v>EL HIPER SRL</v>
          </cell>
          <cell r="G2960">
            <v>6322309.2400000002</v>
          </cell>
          <cell r="H2960">
            <v>6322309.2400000002</v>
          </cell>
          <cell r="I2960" t="str">
            <v>766</v>
          </cell>
        </row>
        <row r="2961">
          <cell r="A2961" t="str">
            <v>ARS</v>
          </cell>
          <cell r="B2961" t="str">
            <v>766000458</v>
          </cell>
          <cell r="C2961" t="str">
            <v>Fernandez Hernando De Larramendi, Inaki</v>
          </cell>
          <cell r="G2961">
            <v>4625445.9800000004</v>
          </cell>
          <cell r="H2961">
            <v>4625445.9800000004</v>
          </cell>
          <cell r="I2961" t="str">
            <v>766</v>
          </cell>
        </row>
        <row r="2962">
          <cell r="A2962" t="str">
            <v>ARS</v>
          </cell>
          <cell r="B2962" t="str">
            <v>766000459</v>
          </cell>
          <cell r="C2962" t="str">
            <v>REDTECH INGENIERIA SRL</v>
          </cell>
          <cell r="G2962">
            <v>35042833.359999999</v>
          </cell>
          <cell r="H2962">
            <v>35042833.359999999</v>
          </cell>
          <cell r="I2962" t="str">
            <v>766</v>
          </cell>
        </row>
        <row r="2963">
          <cell r="A2963" t="str">
            <v>ARS</v>
          </cell>
          <cell r="B2963" t="str">
            <v>766000463</v>
          </cell>
          <cell r="C2963" t="str">
            <v>Ambrogi, Vilma Amanda</v>
          </cell>
          <cell r="G2963">
            <v>193903345.09</v>
          </cell>
          <cell r="H2963">
            <v>193903345.09</v>
          </cell>
          <cell r="I2963" t="str">
            <v>766</v>
          </cell>
        </row>
        <row r="2964">
          <cell r="A2964" t="str">
            <v>ARS</v>
          </cell>
          <cell r="B2964" t="str">
            <v>766000464</v>
          </cell>
          <cell r="C2964" t="str">
            <v>Martins, Cintia Beatriz</v>
          </cell>
          <cell r="G2964">
            <v>244100870.91999999</v>
          </cell>
          <cell r="H2964">
            <v>244100870.91999999</v>
          </cell>
          <cell r="I2964" t="str">
            <v>766</v>
          </cell>
        </row>
        <row r="2965">
          <cell r="A2965" t="str">
            <v>ARS</v>
          </cell>
          <cell r="B2965" t="str">
            <v>766000465</v>
          </cell>
          <cell r="C2965" t="str">
            <v xml:space="preserve">Osta, Julieta Maria o Rodriguez Vidal, Patricio Martín </v>
          </cell>
          <cell r="G2965">
            <v>24814049.16</v>
          </cell>
          <cell r="H2965">
            <v>24814049.16</v>
          </cell>
          <cell r="I2965" t="str">
            <v>766</v>
          </cell>
        </row>
        <row r="2966">
          <cell r="A2966" t="str">
            <v>ARS</v>
          </cell>
          <cell r="B2966" t="str">
            <v>766000466</v>
          </cell>
          <cell r="C2966" t="str">
            <v>Fernandez , Lyonnel</v>
          </cell>
          <cell r="G2966">
            <v>12851119.539999999</v>
          </cell>
          <cell r="H2966">
            <v>12851119.539999999</v>
          </cell>
          <cell r="I2966" t="str">
            <v>766</v>
          </cell>
        </row>
        <row r="2967">
          <cell r="A2967" t="str">
            <v>ARS</v>
          </cell>
          <cell r="B2967" t="str">
            <v>766000467</v>
          </cell>
          <cell r="C2967" t="str">
            <v>Robledo, Melani Florencia o Nota, Joaquín Ignacio</v>
          </cell>
          <cell r="G2967">
            <v>634502.13</v>
          </cell>
          <cell r="H2967">
            <v>634502.13</v>
          </cell>
          <cell r="I2967" t="str">
            <v>766</v>
          </cell>
        </row>
        <row r="2968">
          <cell r="A2968" t="str">
            <v>ARS</v>
          </cell>
          <cell r="B2968" t="str">
            <v>766000468</v>
          </cell>
          <cell r="C2968" t="str">
            <v>Comacchio, Miguel Angel o Comacchio, Bruno</v>
          </cell>
          <cell r="G2968">
            <v>10283064.560000001</v>
          </cell>
          <cell r="H2968">
            <v>10283064.560000001</v>
          </cell>
          <cell r="I2968" t="str">
            <v>766</v>
          </cell>
        </row>
        <row r="2969">
          <cell r="A2969" t="str">
            <v>ARS</v>
          </cell>
          <cell r="B2969" t="str">
            <v>766000469</v>
          </cell>
          <cell r="C2969" t="str">
            <v>Mendez Amadei, Lisandro o Mendez Amadei, Guillermo</v>
          </cell>
          <cell r="G2969">
            <v>37086445.939999998</v>
          </cell>
          <cell r="H2969">
            <v>37086445.939999998</v>
          </cell>
          <cell r="I2969" t="str">
            <v>766</v>
          </cell>
        </row>
        <row r="2970">
          <cell r="A2970" t="str">
            <v>ARS</v>
          </cell>
          <cell r="B2970" t="str">
            <v>766000471</v>
          </cell>
          <cell r="C2970" t="str">
            <v>Valente, Ezequiel Franco</v>
          </cell>
          <cell r="G2970">
            <v>10028996.5</v>
          </cell>
          <cell r="H2970">
            <v>10028996.5</v>
          </cell>
          <cell r="I2970" t="str">
            <v>766</v>
          </cell>
        </row>
        <row r="2971">
          <cell r="A2971" t="str">
            <v>ARS</v>
          </cell>
          <cell r="B2971" t="str">
            <v>766000472</v>
          </cell>
          <cell r="C2971" t="str">
            <v>Aguilar, Sonia Georgina o Tommasi, Gustavo Darío</v>
          </cell>
          <cell r="G2971">
            <v>6623079.9800000004</v>
          </cell>
          <cell r="H2971">
            <v>6623079.9800000004</v>
          </cell>
          <cell r="I2971" t="str">
            <v>766</v>
          </cell>
        </row>
        <row r="2972">
          <cell r="A2972" t="str">
            <v>ARS</v>
          </cell>
          <cell r="B2972" t="str">
            <v>766000473</v>
          </cell>
          <cell r="C2972" t="str">
            <v>Bianchini, Ana Maria</v>
          </cell>
          <cell r="G2972">
            <v>6874017.0800000001</v>
          </cell>
          <cell r="H2972">
            <v>6874017.0800000001</v>
          </cell>
          <cell r="I2972" t="str">
            <v>766</v>
          </cell>
        </row>
        <row r="2973">
          <cell r="A2973" t="str">
            <v>ARS</v>
          </cell>
          <cell r="B2973" t="str">
            <v>766000474</v>
          </cell>
          <cell r="C2973" t="str">
            <v>Bravo, Lisandro Daniel</v>
          </cell>
          <cell r="G2973">
            <v>10601097.529999999</v>
          </cell>
          <cell r="H2973">
            <v>10601097.529999999</v>
          </cell>
          <cell r="I2973" t="str">
            <v>766</v>
          </cell>
        </row>
        <row r="2974">
          <cell r="A2974" t="str">
            <v>ARS</v>
          </cell>
          <cell r="B2974" t="str">
            <v>766000477</v>
          </cell>
          <cell r="C2974" t="str">
            <v>Forcen, Javier Jesús</v>
          </cell>
          <cell r="G2974">
            <v>3837713.72</v>
          </cell>
          <cell r="H2974">
            <v>3837713.72</v>
          </cell>
          <cell r="I2974" t="str">
            <v>766</v>
          </cell>
        </row>
        <row r="2975">
          <cell r="A2975" t="str">
            <v>ARS</v>
          </cell>
          <cell r="B2975" t="str">
            <v>766000479</v>
          </cell>
          <cell r="C2975" t="str">
            <v>Serra, Esteban Carlos</v>
          </cell>
          <cell r="G2975">
            <v>2305860.0299999998</v>
          </cell>
          <cell r="H2975">
            <v>2305860.0299999998</v>
          </cell>
          <cell r="I2975" t="str">
            <v>766</v>
          </cell>
        </row>
        <row r="2976">
          <cell r="A2976" t="str">
            <v>ARS</v>
          </cell>
          <cell r="B2976" t="str">
            <v>766000488</v>
          </cell>
          <cell r="C2976" t="str">
            <v>Cervellini, Gabriel Fabian o Mauri, Adriana Noemi</v>
          </cell>
          <cell r="G2976">
            <v>128119165.97</v>
          </cell>
          <cell r="H2976">
            <v>128119165.97</v>
          </cell>
          <cell r="I2976" t="str">
            <v>766</v>
          </cell>
        </row>
        <row r="2977">
          <cell r="A2977" t="str">
            <v>ARS</v>
          </cell>
          <cell r="B2977" t="str">
            <v>766000489</v>
          </cell>
          <cell r="C2977" t="str">
            <v>Trevizan, Silvia Matilde</v>
          </cell>
          <cell r="G2977">
            <v>27584587.870000001</v>
          </cell>
          <cell r="H2977">
            <v>27584587.870000001</v>
          </cell>
          <cell r="I2977" t="str">
            <v>766</v>
          </cell>
        </row>
        <row r="2978">
          <cell r="A2978" t="str">
            <v>ARS</v>
          </cell>
          <cell r="B2978" t="str">
            <v>766000490</v>
          </cell>
          <cell r="C2978" t="str">
            <v>Tortora, Juan Manuel</v>
          </cell>
          <cell r="G2978">
            <v>245299107.78</v>
          </cell>
          <cell r="H2978">
            <v>245299107.78</v>
          </cell>
          <cell r="I2978" t="str">
            <v>766</v>
          </cell>
        </row>
        <row r="2979">
          <cell r="A2979" t="str">
            <v>ARS</v>
          </cell>
          <cell r="B2979" t="str">
            <v>766000491</v>
          </cell>
          <cell r="C2979" t="str">
            <v>Trumper, Martin</v>
          </cell>
          <cell r="G2979">
            <v>9714700.6099999994</v>
          </cell>
          <cell r="H2979">
            <v>9714700.6099999994</v>
          </cell>
          <cell r="I2979" t="str">
            <v>766</v>
          </cell>
        </row>
        <row r="2980">
          <cell r="A2980" t="str">
            <v>ARS</v>
          </cell>
          <cell r="B2980" t="str">
            <v>766000494</v>
          </cell>
          <cell r="C2980" t="str">
            <v>HACER SA</v>
          </cell>
          <cell r="G2980">
            <v>10043747.25</v>
          </cell>
          <cell r="H2980">
            <v>10043747.25</v>
          </cell>
          <cell r="I2980" t="str">
            <v>766</v>
          </cell>
        </row>
        <row r="2981">
          <cell r="A2981" t="str">
            <v>ARS</v>
          </cell>
          <cell r="B2981" t="str">
            <v>766000495</v>
          </cell>
          <cell r="C2981" t="str">
            <v>SUMATRA VIAJES Y TURISMO SAS</v>
          </cell>
          <cell r="G2981">
            <v>3251812.29</v>
          </cell>
          <cell r="H2981">
            <v>3251812.29</v>
          </cell>
          <cell r="I2981" t="str">
            <v>766</v>
          </cell>
        </row>
        <row r="2982">
          <cell r="A2982" t="str">
            <v>ARS</v>
          </cell>
          <cell r="B2982" t="str">
            <v>766000496</v>
          </cell>
          <cell r="C2982" t="str">
            <v>Coniglio, Pablo Luis o Antoine, Violeta</v>
          </cell>
          <cell r="G2982">
            <v>8676045.2599999998</v>
          </cell>
          <cell r="H2982">
            <v>8676045.2599999998</v>
          </cell>
          <cell r="I2982" t="str">
            <v>766</v>
          </cell>
        </row>
        <row r="2983">
          <cell r="A2983" t="str">
            <v>ARS</v>
          </cell>
          <cell r="B2983" t="str">
            <v>766000499</v>
          </cell>
          <cell r="C2983" t="str">
            <v>Vittori, Sebastian Horacio</v>
          </cell>
          <cell r="G2983">
            <v>16263855.109999999</v>
          </cell>
          <cell r="H2983">
            <v>16263855.109999999</v>
          </cell>
          <cell r="I2983" t="str">
            <v>766</v>
          </cell>
        </row>
        <row r="2984">
          <cell r="A2984" t="str">
            <v>ARS</v>
          </cell>
          <cell r="B2984" t="str">
            <v>766000501</v>
          </cell>
          <cell r="C2984" t="str">
            <v>Costanza, Ruben Marcelo o Pessoni, Marcela Viviana</v>
          </cell>
          <cell r="G2984">
            <v>13193013.09</v>
          </cell>
          <cell r="H2984">
            <v>13193013.09</v>
          </cell>
          <cell r="I2984" t="str">
            <v>766</v>
          </cell>
        </row>
        <row r="2985">
          <cell r="A2985" t="str">
            <v>ARS</v>
          </cell>
          <cell r="B2985" t="str">
            <v>766000502</v>
          </cell>
          <cell r="C2985" t="str">
            <v>Battaglia, Emilse Teresa o Emmi, Noelia Belen</v>
          </cell>
          <cell r="G2985">
            <v>26119463.82</v>
          </cell>
          <cell r="H2985">
            <v>26119463.82</v>
          </cell>
          <cell r="I2985" t="str">
            <v>766</v>
          </cell>
        </row>
        <row r="2986">
          <cell r="A2986" t="str">
            <v>ARS</v>
          </cell>
          <cell r="B2986" t="str">
            <v>766000503</v>
          </cell>
          <cell r="C2986" t="str">
            <v>Strano, Fiorella Anabel</v>
          </cell>
          <cell r="G2986">
            <v>2490827.92</v>
          </cell>
          <cell r="H2986">
            <v>2490827.92</v>
          </cell>
          <cell r="I2986" t="str">
            <v>766</v>
          </cell>
        </row>
        <row r="2987">
          <cell r="A2987" t="str">
            <v>ARS</v>
          </cell>
          <cell r="B2987" t="str">
            <v>766000504</v>
          </cell>
          <cell r="C2987" t="str">
            <v>Vicino, Paula</v>
          </cell>
          <cell r="G2987">
            <v>10327800.869999999</v>
          </cell>
          <cell r="H2987">
            <v>10327800.869999999</v>
          </cell>
          <cell r="I2987" t="str">
            <v>766</v>
          </cell>
        </row>
        <row r="2988">
          <cell r="A2988" t="str">
            <v>ARS</v>
          </cell>
          <cell r="B2988" t="str">
            <v>766000507</v>
          </cell>
          <cell r="C2988" t="str">
            <v>Milano, María Lia</v>
          </cell>
          <cell r="G2988">
            <v>7620709.3099999996</v>
          </cell>
          <cell r="H2988">
            <v>7620709.3099999996</v>
          </cell>
          <cell r="I2988" t="str">
            <v>766</v>
          </cell>
        </row>
        <row r="2989">
          <cell r="A2989" t="str">
            <v>ARS</v>
          </cell>
          <cell r="B2989" t="str">
            <v>766000509</v>
          </cell>
          <cell r="C2989" t="str">
            <v>Escalante, Pablo Julio</v>
          </cell>
          <cell r="G2989">
            <v>11970604.189999999</v>
          </cell>
          <cell r="H2989">
            <v>11970604.189999999</v>
          </cell>
          <cell r="I2989" t="str">
            <v>766</v>
          </cell>
        </row>
        <row r="2990">
          <cell r="A2990" t="str">
            <v>ARS</v>
          </cell>
          <cell r="B2990" t="str">
            <v>766000510</v>
          </cell>
          <cell r="C2990" t="str">
            <v>TEK S.R.L.</v>
          </cell>
          <cell r="G2990">
            <v>158525182.16999999</v>
          </cell>
          <cell r="H2990">
            <v>158525182.16999999</v>
          </cell>
          <cell r="I2990" t="str">
            <v>766</v>
          </cell>
        </row>
        <row r="2991">
          <cell r="A2991" t="str">
            <v>ARS</v>
          </cell>
          <cell r="B2991" t="str">
            <v>766000511</v>
          </cell>
          <cell r="C2991" t="str">
            <v>Vicentin, Marco Esteban</v>
          </cell>
          <cell r="G2991">
            <v>151751477.22</v>
          </cell>
          <cell r="H2991">
            <v>151751477.22</v>
          </cell>
          <cell r="I2991" t="str">
            <v>766</v>
          </cell>
        </row>
        <row r="2992">
          <cell r="A2992" t="str">
            <v>ARS</v>
          </cell>
          <cell r="B2992" t="str">
            <v>766000512</v>
          </cell>
          <cell r="C2992" t="str">
            <v>Gamulin, Mateo Julián o Gamulin, Leonardo Matias</v>
          </cell>
          <cell r="G2992">
            <v>299555161.89999998</v>
          </cell>
          <cell r="H2992">
            <v>299555161.89999998</v>
          </cell>
          <cell r="I2992" t="str">
            <v>766</v>
          </cell>
        </row>
        <row r="2993">
          <cell r="A2993" t="str">
            <v>ARS</v>
          </cell>
          <cell r="B2993" t="str">
            <v>766000513</v>
          </cell>
          <cell r="C2993" t="str">
            <v>Gil, Maria Lorena</v>
          </cell>
          <cell r="G2993">
            <v>14848507.060000001</v>
          </cell>
          <cell r="H2993">
            <v>14848507.060000001</v>
          </cell>
          <cell r="I2993" t="str">
            <v>766</v>
          </cell>
        </row>
        <row r="2994">
          <cell r="A2994" t="str">
            <v>ARS</v>
          </cell>
          <cell r="B2994" t="str">
            <v>766000514</v>
          </cell>
          <cell r="C2994" t="str">
            <v>Barletta, Federica</v>
          </cell>
          <cell r="G2994">
            <v>7493389.2999999998</v>
          </cell>
          <cell r="H2994">
            <v>7493389.2999999998</v>
          </cell>
          <cell r="I2994" t="str">
            <v>766</v>
          </cell>
        </row>
        <row r="2995">
          <cell r="A2995" t="str">
            <v>ARS</v>
          </cell>
          <cell r="B2995" t="str">
            <v>766000516</v>
          </cell>
          <cell r="C2995" t="str">
            <v>Radice, Marta Ana o Milano, María Lia</v>
          </cell>
          <cell r="G2995">
            <v>1241081.79</v>
          </cell>
          <cell r="H2995">
            <v>1241081.79</v>
          </cell>
          <cell r="I2995" t="str">
            <v>766</v>
          </cell>
        </row>
        <row r="2996">
          <cell r="A2996" t="str">
            <v>ARS</v>
          </cell>
          <cell r="B2996" t="str">
            <v>766000517</v>
          </cell>
          <cell r="C2996" t="str">
            <v>Lattuca, Mateo</v>
          </cell>
          <cell r="G2996">
            <v>9704982.6099999994</v>
          </cell>
          <cell r="H2996">
            <v>9704982.6099999994</v>
          </cell>
          <cell r="I2996" t="str">
            <v>766</v>
          </cell>
        </row>
        <row r="2997">
          <cell r="A2997" t="str">
            <v>ARS</v>
          </cell>
          <cell r="B2997" t="str">
            <v>766000519</v>
          </cell>
          <cell r="C2997" t="str">
            <v xml:space="preserve">Di Pollina, José Eduardo </v>
          </cell>
          <cell r="G2997">
            <v>24046945.100000001</v>
          </cell>
          <cell r="H2997">
            <v>24046945.100000001</v>
          </cell>
          <cell r="I2997" t="str">
            <v>766</v>
          </cell>
        </row>
        <row r="2998">
          <cell r="A2998" t="str">
            <v>ARS</v>
          </cell>
          <cell r="B2998" t="str">
            <v>766000521</v>
          </cell>
          <cell r="C2998" t="str">
            <v>Fernandez Sousa, Carlos Alberto</v>
          </cell>
          <cell r="G2998">
            <v>3113213.99</v>
          </cell>
          <cell r="H2998">
            <v>3113213.99</v>
          </cell>
          <cell r="I2998" t="str">
            <v>766</v>
          </cell>
        </row>
        <row r="2999">
          <cell r="A2999" t="str">
            <v>ARS</v>
          </cell>
          <cell r="B2999" t="str">
            <v>766000522</v>
          </cell>
          <cell r="C2999" t="str">
            <v>Rocci, Leticia o Bravo, Juana</v>
          </cell>
          <cell r="G2999">
            <v>222004918.09</v>
          </cell>
          <cell r="H2999">
            <v>222004918.09</v>
          </cell>
          <cell r="I2999" t="str">
            <v>766</v>
          </cell>
        </row>
        <row r="3000">
          <cell r="A3000" t="str">
            <v>ARS</v>
          </cell>
          <cell r="B3000" t="str">
            <v>766000523</v>
          </cell>
          <cell r="C3000" t="str">
            <v>Mazzaferro, Leonel</v>
          </cell>
          <cell r="G3000">
            <v>29248563.27</v>
          </cell>
          <cell r="H3000">
            <v>29248563.27</v>
          </cell>
          <cell r="I3000" t="str">
            <v>766</v>
          </cell>
        </row>
        <row r="3001">
          <cell r="A3001" t="str">
            <v>ARS</v>
          </cell>
          <cell r="B3001" t="str">
            <v>766000524</v>
          </cell>
          <cell r="C3001" t="str">
            <v>Gallo, Norma Beatriz</v>
          </cell>
          <cell r="G3001">
            <v>122209997.17</v>
          </cell>
          <cell r="H3001">
            <v>122209997.17</v>
          </cell>
          <cell r="I3001" t="str">
            <v>766</v>
          </cell>
        </row>
        <row r="3002">
          <cell r="A3002" t="str">
            <v>ARS</v>
          </cell>
          <cell r="B3002" t="str">
            <v>788001384</v>
          </cell>
          <cell r="C3002" t="str">
            <v>CICCONI JORGE ROBERTO</v>
          </cell>
          <cell r="G3002">
            <v>136012.5</v>
          </cell>
          <cell r="H3002">
            <v>136012.5</v>
          </cell>
          <cell r="I3002" t="str">
            <v>788</v>
          </cell>
        </row>
        <row r="3003">
          <cell r="A3003" t="str">
            <v>ARS</v>
          </cell>
          <cell r="B3003" t="str">
            <v>788002147</v>
          </cell>
          <cell r="C3003" t="str">
            <v>Tarallo, Agustín</v>
          </cell>
          <cell r="G3003">
            <v>23003981.800000001</v>
          </cell>
          <cell r="H3003">
            <v>23003981.800000001</v>
          </cell>
          <cell r="I3003" t="str">
            <v>788</v>
          </cell>
        </row>
        <row r="3004">
          <cell r="A3004" t="str">
            <v>ARS</v>
          </cell>
          <cell r="B3004" t="str">
            <v>788002958</v>
          </cell>
          <cell r="C3004" t="str">
            <v>DEL ALAMO, RAMIRO</v>
          </cell>
          <cell r="G3004">
            <v>1549202.4</v>
          </cell>
          <cell r="H3004">
            <v>1549202.4</v>
          </cell>
          <cell r="I3004" t="str">
            <v>788</v>
          </cell>
        </row>
        <row r="3005">
          <cell r="A3005" t="str">
            <v>ARS</v>
          </cell>
          <cell r="B3005" t="str">
            <v>788003291</v>
          </cell>
          <cell r="C3005" t="str">
            <v>STRAUSS, DENISE</v>
          </cell>
          <cell r="G3005">
            <v>164040</v>
          </cell>
          <cell r="H3005">
            <v>164040</v>
          </cell>
          <cell r="I3005" t="str">
            <v>788</v>
          </cell>
        </row>
        <row r="3006">
          <cell r="A3006" t="str">
            <v>ARS</v>
          </cell>
          <cell r="B3006" t="str">
            <v>788003991</v>
          </cell>
          <cell r="C3006" t="str">
            <v>INDUSTRIAS TAESCA SRL</v>
          </cell>
          <cell r="G3006">
            <v>175608</v>
          </cell>
          <cell r="H3006">
            <v>175608</v>
          </cell>
          <cell r="I3006" t="str">
            <v>788</v>
          </cell>
        </row>
        <row r="3007">
          <cell r="A3007" t="str">
            <v>ARS</v>
          </cell>
          <cell r="B3007" t="str">
            <v>789000530</v>
          </cell>
          <cell r="C3007" t="str">
            <v>A &amp; J NARI S.A. (Cartera Propia)</v>
          </cell>
          <cell r="G3007">
            <v>3572720500</v>
          </cell>
          <cell r="H3007">
            <v>3572720500</v>
          </cell>
          <cell r="I3007" t="str">
            <v>789</v>
          </cell>
        </row>
        <row r="3008">
          <cell r="A3008" t="str">
            <v>ARS</v>
          </cell>
          <cell r="B3008" t="str">
            <v>789000733</v>
          </cell>
          <cell r="C3008" t="str">
            <v>CASSULLO GABRIEL LUIS</v>
          </cell>
          <cell r="G3008">
            <v>25000000</v>
          </cell>
          <cell r="H3008">
            <v>25000000</v>
          </cell>
          <cell r="I3008" t="str">
            <v>789</v>
          </cell>
        </row>
        <row r="3009">
          <cell r="A3009" t="str">
            <v>ARS</v>
          </cell>
          <cell r="B3009" t="str">
            <v>794000100</v>
          </cell>
          <cell r="C3009" t="str">
            <v>ELYCA SERVICIOS GLOBALES S.A.</v>
          </cell>
          <cell r="G3009">
            <v>37600000</v>
          </cell>
          <cell r="H3009">
            <v>37600000</v>
          </cell>
          <cell r="I3009" t="str">
            <v>794</v>
          </cell>
        </row>
        <row r="3010">
          <cell r="A3010" t="str">
            <v>ARS</v>
          </cell>
          <cell r="B3010" t="str">
            <v>794000101</v>
          </cell>
          <cell r="C3010" t="str">
            <v>Lucero, Pablo Alberto</v>
          </cell>
          <cell r="G3010">
            <v>210024931</v>
          </cell>
          <cell r="H3010">
            <v>210024931</v>
          </cell>
          <cell r="I3010" t="str">
            <v>794</v>
          </cell>
        </row>
        <row r="3011">
          <cell r="A3011" t="str">
            <v>ARS</v>
          </cell>
          <cell r="B3011" t="str">
            <v>794000105</v>
          </cell>
          <cell r="C3011" t="str">
            <v>Carla Merlini</v>
          </cell>
          <cell r="G3011">
            <v>66387944.100000001</v>
          </cell>
          <cell r="H3011">
            <v>66387944.100000001</v>
          </cell>
          <cell r="I3011" t="str">
            <v>794</v>
          </cell>
        </row>
        <row r="3012">
          <cell r="A3012" t="str">
            <v>ARS</v>
          </cell>
          <cell r="B3012" t="str">
            <v>794000106</v>
          </cell>
          <cell r="C3012" t="str">
            <v>OLGA ISABEL GOMEZ</v>
          </cell>
          <cell r="G3012">
            <v>4915500</v>
          </cell>
          <cell r="H3012">
            <v>4915500</v>
          </cell>
          <cell r="I3012" t="str">
            <v>794</v>
          </cell>
        </row>
        <row r="3013">
          <cell r="A3013" t="str">
            <v>ARS</v>
          </cell>
          <cell r="B3013" t="str">
            <v>794000116</v>
          </cell>
          <cell r="C3013" t="str">
            <v>Coria Maria Emilia</v>
          </cell>
          <cell r="G3013">
            <v>713595.6</v>
          </cell>
          <cell r="H3013">
            <v>713595.6</v>
          </cell>
          <cell r="I3013" t="str">
            <v>794</v>
          </cell>
        </row>
        <row r="3014">
          <cell r="A3014" t="str">
            <v>ARS</v>
          </cell>
          <cell r="B3014" t="str">
            <v>802000950</v>
          </cell>
          <cell r="C3014" t="str">
            <v>META INVERSIONES SA</v>
          </cell>
          <cell r="G3014">
            <v>59333440887.410004</v>
          </cell>
          <cell r="H3014">
            <v>59333440887.410004</v>
          </cell>
          <cell r="I3014" t="str">
            <v>802</v>
          </cell>
        </row>
        <row r="3015">
          <cell r="A3015" t="str">
            <v>ARS</v>
          </cell>
          <cell r="B3015" t="str">
            <v>802000998</v>
          </cell>
          <cell r="C3015" t="str">
            <v>Meta Inversiones S.A.</v>
          </cell>
          <cell r="G3015">
            <v>887923555.65999997</v>
          </cell>
          <cell r="H3015">
            <v>887923555.65999997</v>
          </cell>
          <cell r="I3015" t="str">
            <v>802</v>
          </cell>
        </row>
        <row r="3016">
          <cell r="A3016" t="str">
            <v>ARS</v>
          </cell>
          <cell r="B3016" t="str">
            <v>802000999</v>
          </cell>
          <cell r="C3016" t="str">
            <v>META INVERSIONES SA</v>
          </cell>
          <cell r="G3016">
            <v>15270300422.290001</v>
          </cell>
          <cell r="H3016">
            <v>15270300422.290001</v>
          </cell>
          <cell r="I3016" t="str">
            <v>802</v>
          </cell>
        </row>
        <row r="3017">
          <cell r="A3017" t="str">
            <v>ARS</v>
          </cell>
          <cell r="B3017" t="str">
            <v>802001007</v>
          </cell>
          <cell r="C3017" t="str">
            <v>WILMAR COOPERATIVA DE VIVIENDA CREDITO Y CONSUMO LTDA</v>
          </cell>
          <cell r="G3017">
            <v>613969390</v>
          </cell>
          <cell r="H3017">
            <v>613969390</v>
          </cell>
          <cell r="I3017" t="str">
            <v>802</v>
          </cell>
        </row>
        <row r="3018">
          <cell r="A3018" t="str">
            <v>ARS</v>
          </cell>
          <cell r="B3018" t="str">
            <v>802001048</v>
          </cell>
          <cell r="C3018" t="str">
            <v xml:space="preserve">FICHERA, MIGUEL </v>
          </cell>
          <cell r="G3018">
            <v>3482978489.0700002</v>
          </cell>
          <cell r="H3018">
            <v>3482978489.0700002</v>
          </cell>
          <cell r="I3018" t="str">
            <v>802</v>
          </cell>
        </row>
        <row r="3019">
          <cell r="A3019" t="str">
            <v>ARS</v>
          </cell>
          <cell r="B3019" t="str">
            <v>802001049</v>
          </cell>
          <cell r="C3019" t="str">
            <v>ELETTRA SRL</v>
          </cell>
          <cell r="G3019">
            <v>961031929.94000006</v>
          </cell>
          <cell r="H3019">
            <v>961031929.94000006</v>
          </cell>
          <cell r="I3019" t="str">
            <v>802</v>
          </cell>
        </row>
        <row r="3020">
          <cell r="A3020" t="str">
            <v>ARS</v>
          </cell>
          <cell r="B3020" t="str">
            <v>802001052</v>
          </cell>
          <cell r="C3020" t="str">
            <v xml:space="preserve">MILICE, ANGEL VICTORIO </v>
          </cell>
          <cell r="G3020">
            <v>14529841.24</v>
          </cell>
          <cell r="H3020">
            <v>14529841.24</v>
          </cell>
          <cell r="I3020" t="str">
            <v>802</v>
          </cell>
        </row>
        <row r="3021">
          <cell r="A3021" t="str">
            <v>ARS</v>
          </cell>
          <cell r="B3021" t="str">
            <v>802001054</v>
          </cell>
          <cell r="C3021" t="str">
            <v>KARABIN, IVANA MARIELA</v>
          </cell>
          <cell r="G3021">
            <v>1954845.58</v>
          </cell>
          <cell r="H3021">
            <v>1954845.58</v>
          </cell>
          <cell r="I3021" t="str">
            <v>802</v>
          </cell>
        </row>
        <row r="3022">
          <cell r="A3022" t="str">
            <v>ARS</v>
          </cell>
          <cell r="B3022" t="str">
            <v>802001094</v>
          </cell>
          <cell r="C3022" t="str">
            <v>DE DONATO, ANTONIO JESUS</v>
          </cell>
          <cell r="G3022">
            <v>185900</v>
          </cell>
          <cell r="H3022">
            <v>185900</v>
          </cell>
          <cell r="I3022" t="str">
            <v>802</v>
          </cell>
        </row>
        <row r="3023">
          <cell r="A3023" t="str">
            <v>ARS</v>
          </cell>
          <cell r="B3023" t="str">
            <v>802001123</v>
          </cell>
          <cell r="C3023" t="str">
            <v>SALOMONI, HUMBERTO</v>
          </cell>
          <cell r="G3023">
            <v>564579.65</v>
          </cell>
          <cell r="H3023">
            <v>564579.65</v>
          </cell>
          <cell r="I3023" t="str">
            <v>802</v>
          </cell>
        </row>
        <row r="3024">
          <cell r="A3024" t="str">
            <v>ARS</v>
          </cell>
          <cell r="B3024" t="str">
            <v>802001130</v>
          </cell>
          <cell r="C3024" t="str">
            <v>FONDO FIDUCIARIO DE CAPITAL SOCIAL</v>
          </cell>
          <cell r="G3024">
            <v>51571303.789999999</v>
          </cell>
          <cell r="H3024">
            <v>51571303.789999999</v>
          </cell>
          <cell r="I3024" t="str">
            <v>802</v>
          </cell>
        </row>
        <row r="3025">
          <cell r="A3025" t="str">
            <v>ARS</v>
          </cell>
          <cell r="B3025" t="str">
            <v>802001163</v>
          </cell>
          <cell r="C3025" t="str">
            <v>DE TEZANOS PINTO, ANA MARIA</v>
          </cell>
          <cell r="G3025">
            <v>292189557.08999997</v>
          </cell>
          <cell r="H3025">
            <v>292189557.08999997</v>
          </cell>
          <cell r="I3025" t="str">
            <v>802</v>
          </cell>
        </row>
        <row r="3026">
          <cell r="A3026" t="str">
            <v>ARS</v>
          </cell>
          <cell r="B3026" t="str">
            <v>802001183</v>
          </cell>
          <cell r="C3026" t="str">
            <v>CABRERA, ENZO RAMIRO</v>
          </cell>
          <cell r="G3026">
            <v>510232925.91000003</v>
          </cell>
          <cell r="H3026">
            <v>510232925.91000003</v>
          </cell>
          <cell r="I3026" t="str">
            <v>802</v>
          </cell>
        </row>
        <row r="3027">
          <cell r="A3027" t="str">
            <v>ARS</v>
          </cell>
          <cell r="B3027" t="str">
            <v>802001218</v>
          </cell>
          <cell r="C3027" t="str">
            <v>ACOPLADOS RUBIOLO SRL</v>
          </cell>
          <cell r="G3027">
            <v>32838265.719999999</v>
          </cell>
          <cell r="H3027">
            <v>32838265.719999999</v>
          </cell>
          <cell r="I3027" t="str">
            <v>802</v>
          </cell>
        </row>
        <row r="3028">
          <cell r="A3028" t="str">
            <v>ARS</v>
          </cell>
          <cell r="B3028" t="str">
            <v>802001243</v>
          </cell>
          <cell r="C3028" t="str">
            <v>DUARTE GARCIA, LILIANA Y RAUL SOLIMO</v>
          </cell>
          <cell r="G3028">
            <v>769709.85</v>
          </cell>
          <cell r="H3028">
            <v>769709.85</v>
          </cell>
          <cell r="I3028" t="str">
            <v>802</v>
          </cell>
        </row>
        <row r="3029">
          <cell r="A3029" t="str">
            <v>ARS</v>
          </cell>
          <cell r="B3029" t="str">
            <v>802001245</v>
          </cell>
          <cell r="C3029" t="str">
            <v>CASTELLANOS, NICOLAS ROMAN</v>
          </cell>
          <cell r="G3029">
            <v>1790250018.3299999</v>
          </cell>
          <cell r="H3029">
            <v>1790250018.3299999</v>
          </cell>
          <cell r="I3029" t="str">
            <v>802</v>
          </cell>
        </row>
        <row r="3030">
          <cell r="A3030" t="str">
            <v>ARS</v>
          </cell>
          <cell r="B3030" t="str">
            <v>802001247</v>
          </cell>
          <cell r="C3030" t="str">
            <v>CONSTRUCCIONES DIEGUEZ HNOS S.A.</v>
          </cell>
          <cell r="G3030">
            <v>701479741.41999996</v>
          </cell>
          <cell r="H3030">
            <v>701479741.41999996</v>
          </cell>
          <cell r="I3030" t="str">
            <v>802</v>
          </cell>
        </row>
        <row r="3031">
          <cell r="A3031" t="str">
            <v>ARS</v>
          </cell>
          <cell r="B3031" t="str">
            <v>802001248</v>
          </cell>
          <cell r="C3031" t="str">
            <v>BASSI, SONIA LORENA</v>
          </cell>
          <cell r="G3031">
            <v>15009281.26</v>
          </cell>
          <cell r="H3031">
            <v>15009281.26</v>
          </cell>
          <cell r="I3031" t="str">
            <v>802</v>
          </cell>
        </row>
        <row r="3032">
          <cell r="A3032" t="str">
            <v>ARS</v>
          </cell>
          <cell r="B3032" t="str">
            <v>802001250</v>
          </cell>
          <cell r="C3032" t="str">
            <v>LEKETOY S.A.</v>
          </cell>
          <cell r="G3032">
            <v>1663760.05</v>
          </cell>
          <cell r="H3032">
            <v>1663760.05</v>
          </cell>
          <cell r="I3032" t="str">
            <v>802</v>
          </cell>
        </row>
        <row r="3033">
          <cell r="A3033" t="str">
            <v>ARS</v>
          </cell>
          <cell r="B3033" t="str">
            <v>802001288</v>
          </cell>
          <cell r="C3033" t="str">
            <v>SAEZ, VIVIANA ANDREA</v>
          </cell>
          <cell r="G3033">
            <v>223591835.86000001</v>
          </cell>
          <cell r="H3033">
            <v>223591835.86000001</v>
          </cell>
          <cell r="I3033" t="str">
            <v>802</v>
          </cell>
        </row>
        <row r="3034">
          <cell r="A3034" t="str">
            <v>ARS</v>
          </cell>
          <cell r="B3034" t="str">
            <v>802001299</v>
          </cell>
          <cell r="C3034" t="str">
            <v>Liniado, Alejandor Elias</v>
          </cell>
          <cell r="G3034">
            <v>2289809.08</v>
          </cell>
          <cell r="H3034">
            <v>2289809.08</v>
          </cell>
          <cell r="I3034" t="str">
            <v>802</v>
          </cell>
        </row>
        <row r="3035">
          <cell r="A3035" t="str">
            <v>ARS</v>
          </cell>
          <cell r="B3035" t="str">
            <v>802001300</v>
          </cell>
          <cell r="C3035" t="str">
            <v>Saal, Jaime Alexis</v>
          </cell>
          <cell r="G3035">
            <v>23271761.489999998</v>
          </cell>
          <cell r="H3035">
            <v>23271761.489999998</v>
          </cell>
          <cell r="I3035" t="str">
            <v>802</v>
          </cell>
        </row>
        <row r="3036">
          <cell r="A3036" t="str">
            <v>ARS</v>
          </cell>
          <cell r="B3036" t="str">
            <v>802001301</v>
          </cell>
          <cell r="C3036" t="str">
            <v>Saal, Damian Salomon</v>
          </cell>
          <cell r="G3036">
            <v>12458154.960000001</v>
          </cell>
          <cell r="H3036">
            <v>12458154.960000001</v>
          </cell>
          <cell r="I3036" t="str">
            <v>802</v>
          </cell>
        </row>
        <row r="3037">
          <cell r="A3037" t="str">
            <v>ARS</v>
          </cell>
          <cell r="B3037" t="str">
            <v>802001313</v>
          </cell>
          <cell r="C3037" t="str">
            <v>ESPE VIGILANCIA SA</v>
          </cell>
          <cell r="G3037">
            <v>244557738.22999999</v>
          </cell>
          <cell r="H3037">
            <v>244557738.22999999</v>
          </cell>
          <cell r="I3037" t="str">
            <v>802</v>
          </cell>
        </row>
        <row r="3038">
          <cell r="A3038" t="str">
            <v>ARS</v>
          </cell>
          <cell r="B3038" t="str">
            <v>802001318</v>
          </cell>
          <cell r="C3038" t="str">
            <v>RODRIGUEZ, GREGORIA JULIA</v>
          </cell>
          <cell r="G3038">
            <v>10948908.07</v>
          </cell>
          <cell r="H3038">
            <v>10948908.07</v>
          </cell>
          <cell r="I3038" t="str">
            <v>802</v>
          </cell>
        </row>
        <row r="3039">
          <cell r="A3039" t="str">
            <v>ARS</v>
          </cell>
          <cell r="B3039" t="str">
            <v>802001322</v>
          </cell>
          <cell r="C3039" t="str">
            <v>PARMA, MARIANO DANIEL</v>
          </cell>
          <cell r="G3039">
            <v>210730824.34</v>
          </cell>
          <cell r="H3039">
            <v>210730824.34</v>
          </cell>
          <cell r="I3039" t="str">
            <v>802</v>
          </cell>
        </row>
        <row r="3040">
          <cell r="A3040" t="str">
            <v>ARS</v>
          </cell>
          <cell r="B3040" t="str">
            <v>802001439</v>
          </cell>
          <cell r="C3040" t="str">
            <v>BONETTO ANGEL TOMAS Y BONETTO GERARDO ARIEL S.H.</v>
          </cell>
          <cell r="G3040">
            <v>33290025.329999998</v>
          </cell>
          <cell r="H3040">
            <v>33290025.329999998</v>
          </cell>
          <cell r="I3040" t="str">
            <v>802</v>
          </cell>
        </row>
        <row r="3041">
          <cell r="A3041" t="str">
            <v>ARS</v>
          </cell>
          <cell r="B3041" t="str">
            <v>802001445</v>
          </cell>
          <cell r="C3041" t="str">
            <v>MARQUINEZ, EZEQUIEL ANDRES</v>
          </cell>
          <cell r="G3041">
            <v>1893402.1</v>
          </cell>
          <cell r="H3041">
            <v>1893402.1</v>
          </cell>
          <cell r="I3041" t="str">
            <v>802</v>
          </cell>
        </row>
        <row r="3042">
          <cell r="A3042" t="str">
            <v>ARS</v>
          </cell>
          <cell r="B3042" t="str">
            <v>802001452</v>
          </cell>
          <cell r="C3042" t="str">
            <v>KOSINER, HERNAN PATRICIO y KOSINER, JIMENA</v>
          </cell>
          <cell r="G3042">
            <v>22501340.600000001</v>
          </cell>
          <cell r="H3042">
            <v>22501340.600000001</v>
          </cell>
          <cell r="I3042" t="str">
            <v>802</v>
          </cell>
        </row>
        <row r="3043">
          <cell r="A3043" t="str">
            <v>ARS</v>
          </cell>
          <cell r="B3043" t="str">
            <v>802001481</v>
          </cell>
          <cell r="C3043" t="str">
            <v>PANASONIC DO BRASIL LIMITADA - SUCURSAL ARGENTINA</v>
          </cell>
          <cell r="G3043">
            <v>15265004</v>
          </cell>
          <cell r="H3043">
            <v>15265004</v>
          </cell>
          <cell r="I3043" t="str">
            <v>802</v>
          </cell>
        </row>
        <row r="3044">
          <cell r="A3044" t="str">
            <v>ARS</v>
          </cell>
          <cell r="B3044" t="str">
            <v>802001492</v>
          </cell>
          <cell r="C3044" t="str">
            <v>SANLUFILM S.A.</v>
          </cell>
          <cell r="G3044">
            <v>845233543.73000002</v>
          </cell>
          <cell r="H3044">
            <v>845233543.73000002</v>
          </cell>
          <cell r="I3044" t="str">
            <v>802</v>
          </cell>
        </row>
        <row r="3045">
          <cell r="A3045" t="str">
            <v>ARS</v>
          </cell>
          <cell r="B3045" t="str">
            <v>802001505</v>
          </cell>
          <cell r="C3045" t="str">
            <v>COPPEL S.A.</v>
          </cell>
          <cell r="G3045">
            <v>415138453974.09998</v>
          </cell>
          <cell r="H3045">
            <v>415138453974.09998</v>
          </cell>
          <cell r="I3045" t="str">
            <v>802</v>
          </cell>
        </row>
        <row r="3046">
          <cell r="A3046" t="str">
            <v>ARS</v>
          </cell>
          <cell r="B3046" t="str">
            <v>802001521</v>
          </cell>
          <cell r="C3046" t="str">
            <v>EL DORADILLO SAIC</v>
          </cell>
          <cell r="G3046">
            <v>12607926.699999999</v>
          </cell>
          <cell r="H3046">
            <v>12607926.699999999</v>
          </cell>
          <cell r="I3046" t="str">
            <v>802</v>
          </cell>
        </row>
        <row r="3047">
          <cell r="A3047" t="str">
            <v>ARS</v>
          </cell>
          <cell r="B3047" t="str">
            <v>802001524</v>
          </cell>
          <cell r="C3047" t="str">
            <v>ROMERO, MICAELA SOL</v>
          </cell>
          <cell r="G3047">
            <v>32554818.16</v>
          </cell>
          <cell r="H3047">
            <v>32554818.16</v>
          </cell>
          <cell r="I3047" t="str">
            <v>802</v>
          </cell>
        </row>
        <row r="3048">
          <cell r="A3048" t="str">
            <v>ARS</v>
          </cell>
          <cell r="B3048" t="str">
            <v>802001543</v>
          </cell>
          <cell r="C3048" t="str">
            <v>GADOR S.A.</v>
          </cell>
          <cell r="G3048">
            <v>835557700</v>
          </cell>
          <cell r="H3048">
            <v>835557700</v>
          </cell>
          <cell r="I3048" t="str">
            <v>802</v>
          </cell>
        </row>
        <row r="3049">
          <cell r="A3049" t="str">
            <v>ARS</v>
          </cell>
          <cell r="B3049" t="str">
            <v>802001575</v>
          </cell>
          <cell r="C3049" t="str">
            <v>BETTER CATERING S.A.</v>
          </cell>
          <cell r="G3049">
            <v>262129575</v>
          </cell>
          <cell r="H3049">
            <v>262129575</v>
          </cell>
          <cell r="I3049" t="str">
            <v>802</v>
          </cell>
        </row>
        <row r="3050">
          <cell r="A3050" t="str">
            <v>ARS</v>
          </cell>
          <cell r="B3050" t="str">
            <v>802001578</v>
          </cell>
          <cell r="C3050" t="str">
            <v>VERDINELLI, ADRIAN</v>
          </cell>
          <cell r="G3050">
            <v>1798910.79</v>
          </cell>
          <cell r="H3050">
            <v>1798910.79</v>
          </cell>
          <cell r="I3050" t="str">
            <v>802</v>
          </cell>
        </row>
        <row r="3051">
          <cell r="A3051" t="str">
            <v>ARS</v>
          </cell>
          <cell r="B3051" t="str">
            <v>802001580</v>
          </cell>
          <cell r="C3051" t="str">
            <v>CONIA, HERNAN EZEQUIEL</v>
          </cell>
          <cell r="G3051">
            <v>30167572.280000001</v>
          </cell>
          <cell r="H3051">
            <v>30167572.280000001</v>
          </cell>
          <cell r="I3051" t="str">
            <v>802</v>
          </cell>
        </row>
        <row r="3052">
          <cell r="A3052" t="str">
            <v>ARS</v>
          </cell>
          <cell r="B3052" t="str">
            <v>802001626</v>
          </cell>
          <cell r="C3052" t="str">
            <v>MENCARINI, MARTIN ALBERTO</v>
          </cell>
          <cell r="G3052">
            <v>1121592699.0699999</v>
          </cell>
          <cell r="H3052">
            <v>1121592699.0699999</v>
          </cell>
          <cell r="I3052" t="str">
            <v>802</v>
          </cell>
        </row>
        <row r="3053">
          <cell r="A3053" t="str">
            <v>ARS</v>
          </cell>
          <cell r="B3053" t="str">
            <v>802001633</v>
          </cell>
          <cell r="C3053" t="str">
            <v>RAVAZZANI, MARTIN VICTORIO</v>
          </cell>
          <cell r="G3053">
            <v>30370621</v>
          </cell>
          <cell r="H3053">
            <v>30370621</v>
          </cell>
          <cell r="I3053" t="str">
            <v>802</v>
          </cell>
        </row>
        <row r="3054">
          <cell r="A3054" t="str">
            <v>ARS</v>
          </cell>
          <cell r="B3054" t="str">
            <v>802001640</v>
          </cell>
          <cell r="C3054" t="str">
            <v>FIORENZA, ANNERIS FLAVIA EVELYN</v>
          </cell>
          <cell r="G3054">
            <v>20842382.309999999</v>
          </cell>
          <cell r="H3054">
            <v>20842382.309999999</v>
          </cell>
          <cell r="I3054" t="str">
            <v>802</v>
          </cell>
        </row>
        <row r="3055">
          <cell r="A3055" t="str">
            <v>ARS</v>
          </cell>
          <cell r="B3055" t="str">
            <v>802001660</v>
          </cell>
          <cell r="C3055" t="str">
            <v>REY, NURIA ELADIA</v>
          </cell>
          <cell r="G3055">
            <v>60025089.020000003</v>
          </cell>
          <cell r="H3055">
            <v>60025089.020000003</v>
          </cell>
          <cell r="I3055" t="str">
            <v>802</v>
          </cell>
        </row>
        <row r="3056">
          <cell r="A3056" t="str">
            <v>ARS</v>
          </cell>
          <cell r="B3056" t="str">
            <v>802001664</v>
          </cell>
          <cell r="C3056" t="str">
            <v>GARRONE, JUAN ROBERTO</v>
          </cell>
          <cell r="G3056">
            <v>37981578.979999997</v>
          </cell>
          <cell r="H3056">
            <v>37981578.979999997</v>
          </cell>
          <cell r="I3056" t="str">
            <v>802</v>
          </cell>
        </row>
        <row r="3057">
          <cell r="A3057" t="str">
            <v>ARS</v>
          </cell>
          <cell r="B3057" t="str">
            <v>802001674</v>
          </cell>
          <cell r="C3057" t="str">
            <v>DOMINGUEZ, ELIDA SOLEDAD</v>
          </cell>
          <cell r="G3057">
            <v>45424079.159999996</v>
          </cell>
          <cell r="H3057">
            <v>45424079.159999996</v>
          </cell>
          <cell r="I3057" t="str">
            <v>802</v>
          </cell>
        </row>
        <row r="3058">
          <cell r="A3058" t="str">
            <v>ARS</v>
          </cell>
          <cell r="B3058" t="str">
            <v>802001682</v>
          </cell>
          <cell r="C3058" t="str">
            <v>INDINACO S.R.L.</v>
          </cell>
          <cell r="G3058">
            <v>108787445.90000001</v>
          </cell>
          <cell r="H3058">
            <v>108787445.90000001</v>
          </cell>
          <cell r="I3058" t="str">
            <v>802</v>
          </cell>
        </row>
        <row r="3059">
          <cell r="A3059" t="str">
            <v>ARS</v>
          </cell>
          <cell r="B3059" t="str">
            <v>802001702</v>
          </cell>
          <cell r="C3059" t="str">
            <v>JUST INTERNATIONAL LATAM S.A.</v>
          </cell>
          <cell r="G3059">
            <v>1706400000</v>
          </cell>
          <cell r="H3059">
            <v>1706400000</v>
          </cell>
          <cell r="I3059" t="str">
            <v>802</v>
          </cell>
        </row>
        <row r="3060">
          <cell r="A3060" t="str">
            <v>ARS</v>
          </cell>
          <cell r="B3060" t="str">
            <v>802001704</v>
          </cell>
          <cell r="C3060" t="str">
            <v>FICHERA, MARÍA DE LA PAZ</v>
          </cell>
          <cell r="G3060">
            <v>26539919.690000001</v>
          </cell>
          <cell r="H3060">
            <v>26539919.690000001</v>
          </cell>
          <cell r="I3060" t="str">
            <v>802</v>
          </cell>
        </row>
        <row r="3061">
          <cell r="A3061" t="str">
            <v>ARS</v>
          </cell>
          <cell r="B3061" t="str">
            <v>802001718</v>
          </cell>
          <cell r="C3061" t="str">
            <v>CDG TECNOLOGIA SRL</v>
          </cell>
          <cell r="G3061">
            <v>220724401.97</v>
          </cell>
          <cell r="H3061">
            <v>220724401.97</v>
          </cell>
          <cell r="I3061" t="str">
            <v>802</v>
          </cell>
        </row>
        <row r="3062">
          <cell r="A3062" t="str">
            <v>ARS</v>
          </cell>
          <cell r="B3062" t="str">
            <v>802001725</v>
          </cell>
          <cell r="C3062" t="str">
            <v>ATENTO ARGENTINA S.A.</v>
          </cell>
          <cell r="G3062">
            <v>2403963820.02</v>
          </cell>
          <cell r="H3062">
            <v>2403963820.02</v>
          </cell>
          <cell r="I3062" t="str">
            <v>802</v>
          </cell>
        </row>
        <row r="3063">
          <cell r="A3063" t="str">
            <v>ARS</v>
          </cell>
          <cell r="B3063" t="str">
            <v>802001732</v>
          </cell>
          <cell r="C3063" t="str">
            <v>NEUMATICOS ROSMI SRL</v>
          </cell>
          <cell r="G3063">
            <v>6228751114.1499996</v>
          </cell>
          <cell r="H3063">
            <v>6228751114.1499996</v>
          </cell>
          <cell r="I3063" t="str">
            <v>802</v>
          </cell>
        </row>
        <row r="3064">
          <cell r="A3064" t="str">
            <v>ARS</v>
          </cell>
          <cell r="B3064" t="str">
            <v>802001735</v>
          </cell>
          <cell r="C3064" t="str">
            <v>SRD PRODUCCIONES SRL</v>
          </cell>
          <cell r="G3064">
            <v>49537890.390000001</v>
          </cell>
          <cell r="H3064">
            <v>49537890.390000001</v>
          </cell>
          <cell r="I3064" t="str">
            <v>802</v>
          </cell>
        </row>
        <row r="3065">
          <cell r="A3065" t="str">
            <v>ARS</v>
          </cell>
          <cell r="B3065" t="str">
            <v>802001745</v>
          </cell>
          <cell r="C3065" t="str">
            <v>MU-COR SRL</v>
          </cell>
          <cell r="G3065">
            <v>1712467.4</v>
          </cell>
          <cell r="H3065">
            <v>1712467.4</v>
          </cell>
          <cell r="I3065" t="str">
            <v>802</v>
          </cell>
        </row>
        <row r="3066">
          <cell r="A3066" t="str">
            <v>ARS</v>
          </cell>
          <cell r="B3066" t="str">
            <v>802001766</v>
          </cell>
          <cell r="C3066" t="str">
            <v>OSVALDO JOSE ALLASIA Y GISELLA SOFIA ELVIRA SERAFINI</v>
          </cell>
          <cell r="G3066">
            <v>3355974</v>
          </cell>
          <cell r="H3066">
            <v>3355974</v>
          </cell>
          <cell r="I3066" t="str">
            <v>802</v>
          </cell>
        </row>
        <row r="3067">
          <cell r="A3067" t="str">
            <v>ARS</v>
          </cell>
          <cell r="B3067" t="str">
            <v>802001770</v>
          </cell>
          <cell r="C3067" t="str">
            <v>CERAMICA SAN LORENZO I.C.S.A.</v>
          </cell>
          <cell r="G3067">
            <v>235798676.93000001</v>
          </cell>
          <cell r="H3067">
            <v>235798676.93000001</v>
          </cell>
          <cell r="I3067" t="str">
            <v>802</v>
          </cell>
        </row>
        <row r="3068">
          <cell r="A3068" t="str">
            <v>ARS</v>
          </cell>
          <cell r="B3068" t="str">
            <v>802001771</v>
          </cell>
          <cell r="C3068" t="str">
            <v>MONZON, DAVID ISRAEL</v>
          </cell>
          <cell r="G3068">
            <v>17443948.129999999</v>
          </cell>
          <cell r="H3068">
            <v>17443948.129999999</v>
          </cell>
          <cell r="I3068" t="str">
            <v>802</v>
          </cell>
        </row>
        <row r="3069">
          <cell r="A3069" t="str">
            <v>ARS</v>
          </cell>
          <cell r="B3069" t="str">
            <v>802001772</v>
          </cell>
          <cell r="C3069" t="str">
            <v>COCA COLA FEMSA DE BUENOS AIRES S.A.</v>
          </cell>
          <cell r="G3069">
            <v>19405148022</v>
          </cell>
          <cell r="H3069">
            <v>19405148022</v>
          </cell>
          <cell r="I3069" t="str">
            <v>802</v>
          </cell>
        </row>
        <row r="3070">
          <cell r="A3070" t="str">
            <v>ARS</v>
          </cell>
          <cell r="B3070" t="str">
            <v>802001793</v>
          </cell>
          <cell r="C3070" t="str">
            <v>DISTRIBUIDORA AMERICANA DEL RELOJ SUIZO S.A.</v>
          </cell>
          <cell r="G3070">
            <v>300054806.80000001</v>
          </cell>
          <cell r="H3070">
            <v>300054806.80000001</v>
          </cell>
          <cell r="I3070" t="str">
            <v>802</v>
          </cell>
        </row>
        <row r="3071">
          <cell r="A3071" t="str">
            <v>ARS</v>
          </cell>
          <cell r="B3071" t="str">
            <v>802001798</v>
          </cell>
          <cell r="C3071" t="str">
            <v xml:space="preserve"> KARABIN, CARLA NAIR</v>
          </cell>
          <cell r="G3071">
            <v>3333558.45</v>
          </cell>
          <cell r="H3071">
            <v>3333558.45</v>
          </cell>
          <cell r="I3071" t="str">
            <v>802</v>
          </cell>
        </row>
        <row r="3072">
          <cell r="A3072" t="str">
            <v>ARS</v>
          </cell>
          <cell r="B3072" t="str">
            <v>802001804</v>
          </cell>
          <cell r="C3072" t="str">
            <v>INC SOCIEDAD ANONIMA</v>
          </cell>
          <cell r="G3072">
            <v>25581867732</v>
          </cell>
          <cell r="H3072">
            <v>25581867732</v>
          </cell>
          <cell r="I3072" t="str">
            <v>802</v>
          </cell>
        </row>
        <row r="3073">
          <cell r="A3073" t="str">
            <v>ARS</v>
          </cell>
          <cell r="B3073" t="str">
            <v>802001819</v>
          </cell>
          <cell r="C3073" t="str">
            <v>BORELLI, GUSTAVO ARIEL</v>
          </cell>
          <cell r="G3073">
            <v>18060767.399999999</v>
          </cell>
          <cell r="H3073">
            <v>18060767.399999999</v>
          </cell>
          <cell r="I3073" t="str">
            <v>802</v>
          </cell>
        </row>
        <row r="3074">
          <cell r="A3074" t="str">
            <v>ARS</v>
          </cell>
          <cell r="B3074" t="str">
            <v>802001820</v>
          </cell>
          <cell r="C3074" t="str">
            <v>VOESTALPINE HIGH PERFORMANCE METALS ARGENTINA SA</v>
          </cell>
          <cell r="G3074">
            <v>592878123.03999996</v>
          </cell>
          <cell r="H3074">
            <v>592878123.03999996</v>
          </cell>
          <cell r="I3074" t="str">
            <v>802</v>
          </cell>
        </row>
        <row r="3075">
          <cell r="A3075" t="str">
            <v>ARS</v>
          </cell>
          <cell r="B3075" t="str">
            <v>802001823</v>
          </cell>
          <cell r="C3075" t="str">
            <v>RIE S.A.S</v>
          </cell>
          <cell r="G3075">
            <v>8101931.2800000003</v>
          </cell>
          <cell r="H3075">
            <v>8101931.2800000003</v>
          </cell>
          <cell r="I3075" t="str">
            <v>802</v>
          </cell>
        </row>
        <row r="3076">
          <cell r="A3076" t="str">
            <v>ARS</v>
          </cell>
          <cell r="B3076" t="str">
            <v>802001835</v>
          </cell>
          <cell r="C3076" t="str">
            <v>CURA, SEBASTIAN</v>
          </cell>
          <cell r="G3076">
            <v>47493356.590000004</v>
          </cell>
          <cell r="H3076">
            <v>47493356.590000004</v>
          </cell>
          <cell r="I3076" t="str">
            <v>802</v>
          </cell>
        </row>
        <row r="3077">
          <cell r="A3077" t="str">
            <v>ARS</v>
          </cell>
          <cell r="B3077" t="str">
            <v>802001841</v>
          </cell>
          <cell r="C3077" t="str">
            <v>BONIFACIO, ANDRES</v>
          </cell>
          <cell r="G3077">
            <v>43522021.630000003</v>
          </cell>
          <cell r="H3077">
            <v>43522021.630000003</v>
          </cell>
          <cell r="I3077" t="str">
            <v>802</v>
          </cell>
        </row>
        <row r="3078">
          <cell r="A3078" t="str">
            <v>ARS</v>
          </cell>
          <cell r="B3078" t="str">
            <v>802001850</v>
          </cell>
          <cell r="C3078" t="str">
            <v>OPERADORA ARGENTINA DE CINE S.A.</v>
          </cell>
          <cell r="G3078">
            <v>26551.32</v>
          </cell>
          <cell r="H3078">
            <v>26551.32</v>
          </cell>
          <cell r="I3078" t="str">
            <v>802</v>
          </cell>
        </row>
        <row r="3079">
          <cell r="A3079" t="str">
            <v>ARS</v>
          </cell>
          <cell r="B3079" t="str">
            <v>802001860</v>
          </cell>
          <cell r="C3079" t="str">
            <v>ROMANO HORACIO JORGE Y DEALBERA SONIA RITA</v>
          </cell>
          <cell r="G3079">
            <v>89632946.180000007</v>
          </cell>
          <cell r="H3079">
            <v>89632946.180000007</v>
          </cell>
          <cell r="I3079" t="str">
            <v>802</v>
          </cell>
        </row>
        <row r="3080">
          <cell r="A3080" t="str">
            <v>ARS</v>
          </cell>
          <cell r="B3080" t="str">
            <v>802001863</v>
          </cell>
          <cell r="C3080" t="str">
            <v>ALVAREZ, PAULA NATALIA</v>
          </cell>
          <cell r="G3080">
            <v>21356128.600000001</v>
          </cell>
          <cell r="H3080">
            <v>21356128.600000001</v>
          </cell>
          <cell r="I3080" t="str">
            <v>802</v>
          </cell>
        </row>
        <row r="3081">
          <cell r="A3081" t="str">
            <v>ARS</v>
          </cell>
          <cell r="B3081" t="str">
            <v>802001864</v>
          </cell>
          <cell r="C3081" t="str">
            <v>VASQUENZ, PABLO FERNANDO</v>
          </cell>
          <cell r="G3081">
            <v>10331953.85</v>
          </cell>
          <cell r="H3081">
            <v>10331953.85</v>
          </cell>
          <cell r="I3081" t="str">
            <v>802</v>
          </cell>
        </row>
        <row r="3082">
          <cell r="A3082" t="str">
            <v>ARS</v>
          </cell>
          <cell r="B3082" t="str">
            <v>802001871</v>
          </cell>
          <cell r="C3082" t="str">
            <v>LINDAL ARGENTINA SAU</v>
          </cell>
          <cell r="G3082">
            <v>697899031.12</v>
          </cell>
          <cell r="H3082">
            <v>697899031.12</v>
          </cell>
          <cell r="I3082" t="str">
            <v>802</v>
          </cell>
        </row>
        <row r="3083">
          <cell r="A3083" t="str">
            <v>ARS</v>
          </cell>
          <cell r="B3083" t="str">
            <v>802001879</v>
          </cell>
          <cell r="C3083" t="str">
            <v>MINA PIRQUITAS SA</v>
          </cell>
          <cell r="G3083">
            <v>4260770890.8200002</v>
          </cell>
          <cell r="H3083">
            <v>4260770890.8200002</v>
          </cell>
          <cell r="I3083" t="str">
            <v>802</v>
          </cell>
        </row>
        <row r="3084">
          <cell r="A3084" t="str">
            <v>ARS</v>
          </cell>
          <cell r="B3084" t="str">
            <v>802001885</v>
          </cell>
          <cell r="C3084" t="str">
            <v>LOS AUTENTICOS DECADENTES SRL</v>
          </cell>
          <cell r="G3084">
            <v>95627646.930000007</v>
          </cell>
          <cell r="H3084">
            <v>95627646.930000007</v>
          </cell>
          <cell r="I3084" t="str">
            <v>802</v>
          </cell>
        </row>
        <row r="3085">
          <cell r="A3085" t="str">
            <v>ARS</v>
          </cell>
          <cell r="B3085" t="str">
            <v>802001887</v>
          </cell>
          <cell r="C3085" t="str">
            <v>NERAK SA</v>
          </cell>
          <cell r="G3085">
            <v>87781801.420000002</v>
          </cell>
          <cell r="H3085">
            <v>87781801.420000002</v>
          </cell>
          <cell r="I3085" t="str">
            <v>802</v>
          </cell>
        </row>
        <row r="3086">
          <cell r="A3086" t="str">
            <v>ARS</v>
          </cell>
          <cell r="B3086" t="str">
            <v>802001889</v>
          </cell>
          <cell r="C3086" t="str">
            <v>BEIERSDORF S.A</v>
          </cell>
          <cell r="G3086">
            <v>102919828658.7</v>
          </cell>
          <cell r="H3086">
            <v>102919828658.7</v>
          </cell>
          <cell r="I3086" t="str">
            <v>802</v>
          </cell>
        </row>
        <row r="3087">
          <cell r="A3087" t="str">
            <v>ARS</v>
          </cell>
          <cell r="B3087" t="str">
            <v>802001891</v>
          </cell>
          <cell r="C3087" t="str">
            <v>TROX ARGENTINA S.A</v>
          </cell>
          <cell r="G3087">
            <v>1344677337.8299999</v>
          </cell>
          <cell r="H3087">
            <v>1344677337.8299999</v>
          </cell>
          <cell r="I3087" t="str">
            <v>802</v>
          </cell>
        </row>
        <row r="3088">
          <cell r="A3088" t="str">
            <v>ARS</v>
          </cell>
          <cell r="B3088" t="str">
            <v>802001898</v>
          </cell>
          <cell r="C3088" t="str">
            <v>Medix Medical Devices SRL</v>
          </cell>
          <cell r="G3088">
            <v>71347615.140000001</v>
          </cell>
          <cell r="H3088">
            <v>71347615.140000001</v>
          </cell>
          <cell r="I3088" t="str">
            <v>802</v>
          </cell>
        </row>
        <row r="3089">
          <cell r="A3089" t="str">
            <v>ARS</v>
          </cell>
          <cell r="B3089" t="str">
            <v>802001900</v>
          </cell>
          <cell r="C3089" t="str">
            <v>BALLUFF ARGENTINA SRL</v>
          </cell>
          <cell r="G3089">
            <v>264440269.72999999</v>
          </cell>
          <cell r="H3089">
            <v>264440269.72999999</v>
          </cell>
          <cell r="I3089" t="str">
            <v>802</v>
          </cell>
        </row>
        <row r="3090">
          <cell r="A3090" t="str">
            <v>ARS</v>
          </cell>
          <cell r="B3090" t="str">
            <v>802001904</v>
          </cell>
          <cell r="C3090" t="str">
            <v xml:space="preserve">VALLE DEL CURA SA </v>
          </cell>
          <cell r="G3090">
            <v>21604722.07</v>
          </cell>
          <cell r="H3090">
            <v>21604722.07</v>
          </cell>
          <cell r="I3090" t="str">
            <v>802</v>
          </cell>
        </row>
        <row r="3091">
          <cell r="A3091" t="str">
            <v>ARS</v>
          </cell>
          <cell r="B3091" t="str">
            <v>802001907</v>
          </cell>
          <cell r="C3091" t="str">
            <v>TOMADATO AUDITORES DE MERCADO S.A.</v>
          </cell>
          <cell r="G3091">
            <v>31889418.149999999</v>
          </cell>
          <cell r="H3091">
            <v>31889418.149999999</v>
          </cell>
          <cell r="I3091" t="str">
            <v>802</v>
          </cell>
        </row>
        <row r="3092">
          <cell r="A3092" t="str">
            <v>ARS</v>
          </cell>
          <cell r="B3092" t="str">
            <v>802001916</v>
          </cell>
          <cell r="C3092" t="str">
            <v>ALPER QUIMICA SRL</v>
          </cell>
          <cell r="G3092">
            <v>2864713.09</v>
          </cell>
          <cell r="H3092">
            <v>2864713.09</v>
          </cell>
          <cell r="I3092" t="str">
            <v>802</v>
          </cell>
        </row>
        <row r="3093">
          <cell r="A3093" t="str">
            <v>ARS</v>
          </cell>
          <cell r="B3093" t="str">
            <v>802001921</v>
          </cell>
          <cell r="C3093" t="str">
            <v>RECURSOS HUMANOS &amp; SOLUCIONES TECNOLOGICAS SA</v>
          </cell>
          <cell r="G3093">
            <v>17386547702.209999</v>
          </cell>
          <cell r="H3093">
            <v>17386547702.209999</v>
          </cell>
          <cell r="I3093" t="str">
            <v>802</v>
          </cell>
        </row>
        <row r="3094">
          <cell r="A3094" t="str">
            <v>ARS</v>
          </cell>
          <cell r="B3094" t="str">
            <v>802001923</v>
          </cell>
          <cell r="C3094" t="str">
            <v>GIGAN, SUSANA GRACIELA</v>
          </cell>
          <cell r="G3094">
            <v>112293300.70999999</v>
          </cell>
          <cell r="H3094">
            <v>112293300.70999999</v>
          </cell>
          <cell r="I3094" t="str">
            <v>802</v>
          </cell>
        </row>
        <row r="3095">
          <cell r="A3095" t="str">
            <v>ARS</v>
          </cell>
          <cell r="B3095" t="str">
            <v>802001928</v>
          </cell>
          <cell r="C3095" t="str">
            <v>STORANI, ADRIANA BEATRIZ</v>
          </cell>
          <cell r="G3095">
            <v>207059847.78999999</v>
          </cell>
          <cell r="H3095">
            <v>207059847.78999999</v>
          </cell>
          <cell r="I3095" t="str">
            <v>802</v>
          </cell>
        </row>
        <row r="3096">
          <cell r="A3096" t="str">
            <v>ARS</v>
          </cell>
          <cell r="B3096" t="str">
            <v>802001929</v>
          </cell>
          <cell r="C3096" t="str">
            <v>PRODUCTS FOR CABINETS S.A</v>
          </cell>
          <cell r="G3096">
            <v>1647341.46</v>
          </cell>
          <cell r="H3096">
            <v>1647341.46</v>
          </cell>
          <cell r="I3096" t="str">
            <v>802</v>
          </cell>
        </row>
        <row r="3097">
          <cell r="A3097" t="str">
            <v>ARS</v>
          </cell>
          <cell r="B3097" t="str">
            <v>802001931</v>
          </cell>
          <cell r="C3097" t="str">
            <v>GRECO, SERGIO ADRIAN</v>
          </cell>
          <cell r="G3097">
            <v>35572276.700000003</v>
          </cell>
          <cell r="H3097">
            <v>35572276.700000003</v>
          </cell>
          <cell r="I3097" t="str">
            <v>802</v>
          </cell>
        </row>
        <row r="3098">
          <cell r="A3098" t="str">
            <v>ARS</v>
          </cell>
          <cell r="B3098" t="str">
            <v>802001935</v>
          </cell>
          <cell r="C3098" t="str">
            <v>SIKA AG</v>
          </cell>
          <cell r="G3098">
            <v>23312726278.02</v>
          </cell>
          <cell r="H3098">
            <v>23312726278.02</v>
          </cell>
          <cell r="I3098" t="str">
            <v>802</v>
          </cell>
        </row>
        <row r="3099">
          <cell r="A3099" t="str">
            <v>ARS</v>
          </cell>
          <cell r="B3099" t="str">
            <v>802001936</v>
          </cell>
          <cell r="C3099" t="str">
            <v>SIKA SERVICES AG</v>
          </cell>
          <cell r="G3099">
            <v>634160.37</v>
          </cell>
          <cell r="H3099">
            <v>634160.37</v>
          </cell>
          <cell r="I3099" t="str">
            <v>802</v>
          </cell>
        </row>
        <row r="3100">
          <cell r="A3100" t="str">
            <v>ARS</v>
          </cell>
          <cell r="B3100" t="str">
            <v>802001941</v>
          </cell>
          <cell r="C3100" t="str">
            <v>DE LORENZO ARCE, GIULIANO LEONARDO</v>
          </cell>
          <cell r="G3100">
            <v>70101106.019999996</v>
          </cell>
          <cell r="H3100">
            <v>70101106.019999996</v>
          </cell>
          <cell r="I3100" t="str">
            <v>802</v>
          </cell>
        </row>
        <row r="3101">
          <cell r="A3101" t="str">
            <v>ARS</v>
          </cell>
          <cell r="B3101" t="str">
            <v>802001942</v>
          </cell>
          <cell r="C3101" t="str">
            <v>YAÑEZ, SANTIAGO MANUEL</v>
          </cell>
          <cell r="G3101">
            <v>29694863.75</v>
          </cell>
          <cell r="H3101">
            <v>29694863.75</v>
          </cell>
          <cell r="I3101" t="str">
            <v>802</v>
          </cell>
        </row>
        <row r="3102">
          <cell r="A3102" t="str">
            <v>ARS</v>
          </cell>
          <cell r="B3102" t="str">
            <v>802001944</v>
          </cell>
          <cell r="C3102" t="str">
            <v>MAHLE METAL LEVE S.A.</v>
          </cell>
          <cell r="G3102">
            <v>2111532174.45</v>
          </cell>
          <cell r="H3102">
            <v>2111532174.45</v>
          </cell>
          <cell r="I3102" t="str">
            <v>802</v>
          </cell>
        </row>
        <row r="3103">
          <cell r="A3103" t="str">
            <v>ARS</v>
          </cell>
          <cell r="B3103" t="str">
            <v>802001946</v>
          </cell>
          <cell r="C3103" t="str">
            <v>SALVATIERRA, JUAN IGNACIO</v>
          </cell>
          <cell r="G3103">
            <v>863586.33</v>
          </cell>
          <cell r="H3103">
            <v>863586.33</v>
          </cell>
          <cell r="I3103" t="str">
            <v>802</v>
          </cell>
        </row>
        <row r="3104">
          <cell r="A3104" t="str">
            <v>ARS</v>
          </cell>
          <cell r="B3104" t="str">
            <v>802001949</v>
          </cell>
          <cell r="C3104" t="str">
            <v>BANCHIK, ELIANA y SZELUBSKY ALEJANDRO JAVIER</v>
          </cell>
          <cell r="G3104">
            <v>243169042.44999999</v>
          </cell>
          <cell r="H3104">
            <v>243169042.44999999</v>
          </cell>
          <cell r="I3104" t="str">
            <v>802</v>
          </cell>
        </row>
        <row r="3105">
          <cell r="A3105" t="str">
            <v>ARS</v>
          </cell>
          <cell r="B3105" t="str">
            <v>802001950</v>
          </cell>
          <cell r="C3105" t="str">
            <v>HILTI ARGENTINA SRL</v>
          </cell>
          <cell r="G3105">
            <v>1202662109.96</v>
          </cell>
          <cell r="H3105">
            <v>1202662109.96</v>
          </cell>
          <cell r="I3105" t="str">
            <v>802</v>
          </cell>
        </row>
        <row r="3106">
          <cell r="A3106" t="str">
            <v>ARS</v>
          </cell>
          <cell r="B3106" t="str">
            <v>802001953</v>
          </cell>
          <cell r="C3106" t="str">
            <v>ROQUISQUI, FABIAN ESTEBAN y DIMITROFF, ANABELLA ROBERTA</v>
          </cell>
          <cell r="G3106">
            <v>31356577.289999999</v>
          </cell>
          <cell r="H3106">
            <v>31356577.289999999</v>
          </cell>
          <cell r="I3106" t="str">
            <v>802</v>
          </cell>
        </row>
        <row r="3107">
          <cell r="A3107" t="str">
            <v>ARS</v>
          </cell>
          <cell r="B3107" t="str">
            <v>802001956</v>
          </cell>
          <cell r="C3107" t="str">
            <v>TOMAS, MARINA TERESA</v>
          </cell>
          <cell r="G3107">
            <v>455156620.68000001</v>
          </cell>
          <cell r="H3107">
            <v>455156620.68000001</v>
          </cell>
          <cell r="I3107" t="str">
            <v>802</v>
          </cell>
        </row>
        <row r="3108">
          <cell r="A3108" t="str">
            <v>ARS</v>
          </cell>
          <cell r="B3108" t="str">
            <v>802001957</v>
          </cell>
          <cell r="C3108" t="str">
            <v>LATEGANA, DIEGO HERNAN</v>
          </cell>
          <cell r="G3108">
            <v>498553473.75</v>
          </cell>
          <cell r="H3108">
            <v>498553473.75</v>
          </cell>
          <cell r="I3108" t="str">
            <v>802</v>
          </cell>
        </row>
        <row r="3109">
          <cell r="A3109" t="str">
            <v>ARS</v>
          </cell>
          <cell r="B3109" t="str">
            <v>802001958</v>
          </cell>
          <cell r="C3109" t="str">
            <v>CRUMA SERVICIOS INDUSTRIALES SRL</v>
          </cell>
          <cell r="G3109">
            <v>73141591.810000002</v>
          </cell>
          <cell r="H3109">
            <v>73141591.810000002</v>
          </cell>
          <cell r="I3109" t="str">
            <v>802</v>
          </cell>
        </row>
        <row r="3110">
          <cell r="A3110" t="str">
            <v>ARS</v>
          </cell>
          <cell r="B3110" t="str">
            <v>802001961</v>
          </cell>
          <cell r="C3110" t="str">
            <v>FORASTIERI, CLAUDIO FERNANDO</v>
          </cell>
          <cell r="G3110">
            <v>266605955.69999999</v>
          </cell>
          <cell r="H3110">
            <v>266605955.69999999</v>
          </cell>
          <cell r="I3110" t="str">
            <v>802</v>
          </cell>
        </row>
        <row r="3111">
          <cell r="A3111" t="str">
            <v>ARS</v>
          </cell>
          <cell r="B3111" t="str">
            <v>802001963</v>
          </cell>
          <cell r="C3111" t="str">
            <v>CHAVERO, PATRICIO AGUSTIN</v>
          </cell>
          <cell r="G3111">
            <v>10075678.23</v>
          </cell>
          <cell r="H3111">
            <v>10075678.23</v>
          </cell>
          <cell r="I3111" t="str">
            <v>802</v>
          </cell>
        </row>
        <row r="3112">
          <cell r="A3112" t="str">
            <v>ARS</v>
          </cell>
          <cell r="B3112" t="str">
            <v>802001968</v>
          </cell>
          <cell r="C3112" t="str">
            <v>RODRIGUEZ LARUMBE, ROSA SOFÍA</v>
          </cell>
          <cell r="G3112">
            <v>451534105.29000002</v>
          </cell>
          <cell r="H3112">
            <v>451534105.29000002</v>
          </cell>
          <cell r="I3112" t="str">
            <v>802</v>
          </cell>
        </row>
        <row r="3113">
          <cell r="A3113" t="str">
            <v>ARS</v>
          </cell>
          <cell r="B3113" t="str">
            <v>802001974</v>
          </cell>
          <cell r="C3113" t="str">
            <v>CHERVONKO, ROMINA VANESA</v>
          </cell>
          <cell r="G3113">
            <v>1606835460.49</v>
          </cell>
          <cell r="H3113">
            <v>1606835460.49</v>
          </cell>
          <cell r="I3113" t="str">
            <v>802</v>
          </cell>
        </row>
        <row r="3114">
          <cell r="A3114" t="str">
            <v>ARS</v>
          </cell>
          <cell r="B3114" t="str">
            <v>802001976</v>
          </cell>
          <cell r="C3114" t="str">
            <v>WALTER, LUCRECIA VICTORIA</v>
          </cell>
          <cell r="G3114">
            <v>52239299.979999997</v>
          </cell>
          <cell r="H3114">
            <v>52239299.979999997</v>
          </cell>
          <cell r="I3114" t="str">
            <v>802</v>
          </cell>
        </row>
        <row r="3115">
          <cell r="A3115" t="str">
            <v>ARS</v>
          </cell>
          <cell r="B3115" t="str">
            <v>802001978</v>
          </cell>
          <cell r="C3115" t="str">
            <v>ASCUA MARCELO JAVIER y ASCUA BEATRIZ ELENA</v>
          </cell>
          <cell r="G3115">
            <v>1423946960.98</v>
          </cell>
          <cell r="H3115">
            <v>1423946960.98</v>
          </cell>
          <cell r="I3115" t="str">
            <v>802</v>
          </cell>
        </row>
        <row r="3116">
          <cell r="A3116" t="str">
            <v>ARS</v>
          </cell>
          <cell r="B3116" t="str">
            <v>802001982</v>
          </cell>
          <cell r="C3116" t="str">
            <v>GRIMOLDI S.A.</v>
          </cell>
          <cell r="G3116">
            <v>621734347.87</v>
          </cell>
          <cell r="H3116">
            <v>621734347.87</v>
          </cell>
          <cell r="I3116" t="str">
            <v>802</v>
          </cell>
        </row>
        <row r="3117">
          <cell r="A3117" t="str">
            <v>ARS</v>
          </cell>
          <cell r="B3117" t="str">
            <v>802001986</v>
          </cell>
          <cell r="C3117" t="str">
            <v>CASTAGNA, MARIANO</v>
          </cell>
          <cell r="G3117">
            <v>500000</v>
          </cell>
          <cell r="H3117">
            <v>500000</v>
          </cell>
          <cell r="I3117" t="str">
            <v>802</v>
          </cell>
        </row>
        <row r="3118">
          <cell r="A3118" t="str">
            <v>ARS</v>
          </cell>
          <cell r="B3118" t="str">
            <v>802001989</v>
          </cell>
          <cell r="C3118" t="str">
            <v>[C.E.R.A.] ANDREATINI SERGIO ADRIAN</v>
          </cell>
          <cell r="G3118">
            <v>22847.4</v>
          </cell>
          <cell r="H3118">
            <v>22847.4</v>
          </cell>
          <cell r="I3118" t="str">
            <v>802</v>
          </cell>
        </row>
        <row r="3119">
          <cell r="A3119" t="str">
            <v>ARS</v>
          </cell>
          <cell r="B3119" t="str">
            <v>802001990</v>
          </cell>
          <cell r="C3119" t="str">
            <v>[C.E.R.A.] TA PLASTIC S.A.</v>
          </cell>
          <cell r="G3119">
            <v>22809.599999999999</v>
          </cell>
          <cell r="H3119">
            <v>22809.599999999999</v>
          </cell>
          <cell r="I3119" t="str">
            <v>802</v>
          </cell>
        </row>
        <row r="3120">
          <cell r="A3120" t="str">
            <v>ARS</v>
          </cell>
          <cell r="B3120" t="str">
            <v>802001992</v>
          </cell>
          <cell r="C3120" t="str">
            <v>ESMOK, MARIANO</v>
          </cell>
          <cell r="G3120">
            <v>92794047.090000004</v>
          </cell>
          <cell r="H3120">
            <v>92794047.090000004</v>
          </cell>
          <cell r="I3120" t="str">
            <v>802</v>
          </cell>
        </row>
        <row r="3121">
          <cell r="A3121" t="str">
            <v>ARS</v>
          </cell>
          <cell r="B3121" t="str">
            <v>802002000</v>
          </cell>
          <cell r="C3121" t="str">
            <v>BCSA SD AXIS ESTRATEGIA 10</v>
          </cell>
          <cell r="G3121">
            <v>11855406635.440001</v>
          </cell>
          <cell r="H3121">
            <v>11855406635.440001</v>
          </cell>
          <cell r="I3121" t="str">
            <v>802</v>
          </cell>
        </row>
        <row r="3122">
          <cell r="A3122" t="str">
            <v>ARS</v>
          </cell>
          <cell r="B3122" t="str">
            <v>802002010</v>
          </cell>
          <cell r="C3122" t="str">
            <v>GARCIA, LUIS ALBERTO</v>
          </cell>
          <cell r="G3122">
            <v>13505937.539999999</v>
          </cell>
          <cell r="H3122">
            <v>13505937.539999999</v>
          </cell>
          <cell r="I3122" t="str">
            <v>802</v>
          </cell>
        </row>
        <row r="3123">
          <cell r="A3123" t="str">
            <v>ARS</v>
          </cell>
          <cell r="B3123" t="str">
            <v>802002011</v>
          </cell>
          <cell r="C3123" t="str">
            <v>SORICHETTI LUIS y CHION MARTA ELSA</v>
          </cell>
          <cell r="G3123">
            <v>13285363.35</v>
          </cell>
          <cell r="H3123">
            <v>13285363.35</v>
          </cell>
          <cell r="I3123" t="str">
            <v>802</v>
          </cell>
        </row>
        <row r="3124">
          <cell r="A3124" t="str">
            <v>ARS</v>
          </cell>
          <cell r="B3124" t="str">
            <v>802002016</v>
          </cell>
          <cell r="C3124" t="str">
            <v xml:space="preserve">KONSOL, NICOLAS </v>
          </cell>
          <cell r="G3124">
            <v>23583879.300000001</v>
          </cell>
          <cell r="H3124">
            <v>23583879.300000001</v>
          </cell>
          <cell r="I3124" t="str">
            <v>802</v>
          </cell>
        </row>
        <row r="3125">
          <cell r="A3125" t="str">
            <v>ARS</v>
          </cell>
          <cell r="B3125" t="str">
            <v>802002017</v>
          </cell>
          <cell r="C3125" t="str">
            <v>ABDALA MONTOTO, OSCAR LUIS</v>
          </cell>
          <cell r="G3125">
            <v>339770006.91000003</v>
          </cell>
          <cell r="H3125">
            <v>339770006.91000003</v>
          </cell>
          <cell r="I3125" t="str">
            <v>802</v>
          </cell>
        </row>
        <row r="3126">
          <cell r="A3126" t="str">
            <v>ARS</v>
          </cell>
          <cell r="B3126" t="str">
            <v>802002021</v>
          </cell>
          <cell r="C3126" t="str">
            <v>BORISONIK, MAURICIO</v>
          </cell>
          <cell r="G3126">
            <v>112301771.90000001</v>
          </cell>
          <cell r="H3126">
            <v>112301771.90000001</v>
          </cell>
          <cell r="I3126" t="str">
            <v>802</v>
          </cell>
        </row>
        <row r="3127">
          <cell r="A3127" t="str">
            <v>ARS</v>
          </cell>
          <cell r="B3127" t="str">
            <v>802002023</v>
          </cell>
          <cell r="C3127" t="str">
            <v>ANGELOZZI, VIVIANA MABEL</v>
          </cell>
          <cell r="G3127">
            <v>7409580.0599999996</v>
          </cell>
          <cell r="H3127">
            <v>7409580.0599999996</v>
          </cell>
          <cell r="I3127" t="str">
            <v>802</v>
          </cell>
        </row>
        <row r="3128">
          <cell r="A3128" t="str">
            <v>ARS</v>
          </cell>
          <cell r="B3128" t="str">
            <v>802002024</v>
          </cell>
          <cell r="C3128" t="str">
            <v>SCHVARTZMAN, CAROLINA</v>
          </cell>
          <cell r="G3128">
            <v>567587935.16999996</v>
          </cell>
          <cell r="H3128">
            <v>567587935.16999996</v>
          </cell>
          <cell r="I3128" t="str">
            <v>802</v>
          </cell>
        </row>
        <row r="3129">
          <cell r="A3129" t="str">
            <v>ARS</v>
          </cell>
          <cell r="B3129" t="str">
            <v>802002025</v>
          </cell>
          <cell r="C3129" t="str">
            <v>GASS, ANDRES</v>
          </cell>
          <cell r="G3129">
            <v>553351331.97000003</v>
          </cell>
          <cell r="H3129">
            <v>553351331.97000003</v>
          </cell>
          <cell r="I3129" t="str">
            <v>802</v>
          </cell>
        </row>
        <row r="3130">
          <cell r="A3130" t="str">
            <v>ARS</v>
          </cell>
          <cell r="B3130" t="str">
            <v>802002027</v>
          </cell>
          <cell r="C3130" t="str">
            <v>BORISONIK, JORGE</v>
          </cell>
          <cell r="G3130">
            <v>407426368.94</v>
          </cell>
          <cell r="H3130">
            <v>407426368.94</v>
          </cell>
          <cell r="I3130" t="str">
            <v>802</v>
          </cell>
        </row>
        <row r="3131">
          <cell r="A3131" t="str">
            <v>ARS</v>
          </cell>
          <cell r="B3131" t="str">
            <v>802002029</v>
          </cell>
          <cell r="C3131" t="str">
            <v>EMINTEX SA</v>
          </cell>
          <cell r="G3131">
            <v>776585963.84000003</v>
          </cell>
          <cell r="H3131">
            <v>776585963.84000003</v>
          </cell>
          <cell r="I3131" t="str">
            <v>802</v>
          </cell>
        </row>
        <row r="3132">
          <cell r="A3132" t="str">
            <v>ARS</v>
          </cell>
          <cell r="B3132" t="str">
            <v>802002030</v>
          </cell>
          <cell r="C3132" t="str">
            <v>POLTI ALBANESE, GUIDO</v>
          </cell>
          <cell r="G3132">
            <v>6635442.5999999996</v>
          </cell>
          <cell r="H3132">
            <v>6635442.5999999996</v>
          </cell>
          <cell r="I3132" t="str">
            <v>802</v>
          </cell>
        </row>
        <row r="3133">
          <cell r="A3133" t="str">
            <v>ARS</v>
          </cell>
          <cell r="B3133" t="str">
            <v>802002033</v>
          </cell>
          <cell r="C3133" t="str">
            <v>PELLEGRINI, JUAN PABLO</v>
          </cell>
          <cell r="G3133">
            <v>17346394.600000001</v>
          </cell>
          <cell r="H3133">
            <v>17346394.600000001</v>
          </cell>
          <cell r="I3133" t="str">
            <v>802</v>
          </cell>
        </row>
        <row r="3134">
          <cell r="A3134" t="str">
            <v>ARS</v>
          </cell>
          <cell r="B3134" t="str">
            <v>802002034</v>
          </cell>
          <cell r="C3134" t="str">
            <v>GIECO S.A.</v>
          </cell>
          <cell r="G3134">
            <v>483091254.80000001</v>
          </cell>
          <cell r="H3134">
            <v>483091254.80000001</v>
          </cell>
          <cell r="I3134" t="str">
            <v>802</v>
          </cell>
        </row>
        <row r="3135">
          <cell r="A3135" t="str">
            <v>ARS</v>
          </cell>
          <cell r="B3135" t="str">
            <v>802002038</v>
          </cell>
          <cell r="C3135" t="str">
            <v>REBMAN S.A.</v>
          </cell>
          <cell r="G3135">
            <v>168363313.80000001</v>
          </cell>
          <cell r="H3135">
            <v>168363313.80000001</v>
          </cell>
          <cell r="I3135" t="str">
            <v>802</v>
          </cell>
        </row>
        <row r="3136">
          <cell r="A3136" t="str">
            <v>ARS</v>
          </cell>
          <cell r="B3136" t="str">
            <v>802002041</v>
          </cell>
          <cell r="C3136" t="str">
            <v>GENOMMA LABORATORIES ARGENTINA SA</v>
          </cell>
          <cell r="G3136">
            <v>1977613000</v>
          </cell>
          <cell r="H3136">
            <v>1977613000</v>
          </cell>
          <cell r="I3136" t="str">
            <v>802</v>
          </cell>
        </row>
        <row r="3137">
          <cell r="A3137" t="str">
            <v>ARS</v>
          </cell>
          <cell r="B3137" t="str">
            <v>802002042</v>
          </cell>
          <cell r="C3137" t="str">
            <v>SECOBRAS SRL</v>
          </cell>
          <cell r="G3137">
            <v>12981673.060000001</v>
          </cell>
          <cell r="H3137">
            <v>12981673.060000001</v>
          </cell>
          <cell r="I3137" t="str">
            <v>802</v>
          </cell>
        </row>
        <row r="3138">
          <cell r="A3138" t="str">
            <v>ARS</v>
          </cell>
          <cell r="B3138" t="str">
            <v>802002045</v>
          </cell>
          <cell r="C3138" t="str">
            <v>CDIMEX SA</v>
          </cell>
          <cell r="G3138">
            <v>1255652832.9300001</v>
          </cell>
          <cell r="H3138">
            <v>1255652832.9300001</v>
          </cell>
          <cell r="I3138" t="str">
            <v>802</v>
          </cell>
        </row>
        <row r="3139">
          <cell r="A3139" t="str">
            <v>ARS</v>
          </cell>
          <cell r="B3139" t="str">
            <v>802002048</v>
          </cell>
          <cell r="C3139" t="str">
            <v>DONATO, FERNANDO</v>
          </cell>
          <cell r="G3139">
            <v>141193221.75999999</v>
          </cell>
          <cell r="H3139">
            <v>141193221.75999999</v>
          </cell>
          <cell r="I3139" t="str">
            <v>802</v>
          </cell>
        </row>
        <row r="3140">
          <cell r="A3140" t="str">
            <v>ARS</v>
          </cell>
          <cell r="B3140" t="str">
            <v>802002050</v>
          </cell>
          <cell r="C3140" t="str">
            <v>CORTASSA SA</v>
          </cell>
          <cell r="G3140">
            <v>1228152832.9300001</v>
          </cell>
          <cell r="H3140">
            <v>1228152832.9300001</v>
          </cell>
          <cell r="I3140" t="str">
            <v>802</v>
          </cell>
        </row>
        <row r="3141">
          <cell r="A3141" t="str">
            <v>ARS</v>
          </cell>
          <cell r="B3141" t="str">
            <v>802002056</v>
          </cell>
          <cell r="C3141" t="str">
            <v>DIN SRL</v>
          </cell>
          <cell r="G3141">
            <v>73896676.709999993</v>
          </cell>
          <cell r="H3141">
            <v>73896676.709999993</v>
          </cell>
          <cell r="I3141" t="str">
            <v>802</v>
          </cell>
        </row>
        <row r="3142">
          <cell r="A3142" t="str">
            <v>ARS</v>
          </cell>
          <cell r="B3142" t="str">
            <v>802002057</v>
          </cell>
          <cell r="C3142" t="str">
            <v>SZELUBSKY, TOMAS</v>
          </cell>
          <cell r="G3142">
            <v>1565653.75</v>
          </cell>
          <cell r="H3142">
            <v>1565653.75</v>
          </cell>
          <cell r="I3142" t="str">
            <v>802</v>
          </cell>
        </row>
        <row r="3143">
          <cell r="A3143" t="str">
            <v>ARS</v>
          </cell>
          <cell r="B3143" t="str">
            <v>802002058</v>
          </cell>
          <cell r="C3143" t="str">
            <v>SZELUBSKY, MATIAS</v>
          </cell>
          <cell r="G3143">
            <v>2097004.95</v>
          </cell>
          <cell r="H3143">
            <v>2097004.95</v>
          </cell>
          <cell r="I3143" t="str">
            <v>802</v>
          </cell>
        </row>
        <row r="3144">
          <cell r="A3144" t="str">
            <v>ARS</v>
          </cell>
          <cell r="B3144" t="str">
            <v>802002064</v>
          </cell>
          <cell r="C3144" t="str">
            <v>COLANTUONO, ANDRES</v>
          </cell>
          <cell r="G3144">
            <v>247387088.02000001</v>
          </cell>
          <cell r="H3144">
            <v>247387088.02000001</v>
          </cell>
          <cell r="I3144" t="str">
            <v>802</v>
          </cell>
        </row>
        <row r="3145">
          <cell r="A3145" t="str">
            <v>ARS</v>
          </cell>
          <cell r="B3145" t="str">
            <v>802002069</v>
          </cell>
          <cell r="C3145" t="str">
            <v>MAC GAW, LUCAS</v>
          </cell>
          <cell r="G3145">
            <v>10382575.68</v>
          </cell>
          <cell r="H3145">
            <v>10382575.68</v>
          </cell>
          <cell r="I3145" t="str">
            <v>802</v>
          </cell>
        </row>
        <row r="3146">
          <cell r="A3146" t="str">
            <v>ARS</v>
          </cell>
          <cell r="B3146" t="str">
            <v>802002070</v>
          </cell>
          <cell r="C3146" t="str">
            <v>MAC GAW, LUCAS</v>
          </cell>
          <cell r="G3146">
            <v>14347570.1</v>
          </cell>
          <cell r="H3146">
            <v>14347570.1</v>
          </cell>
          <cell r="I3146" t="str">
            <v>802</v>
          </cell>
        </row>
        <row r="3147">
          <cell r="A3147" t="str">
            <v>ARS</v>
          </cell>
          <cell r="B3147" t="str">
            <v>802002071</v>
          </cell>
          <cell r="C3147" t="str">
            <v>ROMERO, IGNACIO NICOLAS</v>
          </cell>
          <cell r="G3147">
            <v>1514266.34</v>
          </cell>
          <cell r="H3147">
            <v>1514266.34</v>
          </cell>
          <cell r="I3147" t="str">
            <v>802</v>
          </cell>
        </row>
        <row r="3148">
          <cell r="A3148" t="str">
            <v>ARS</v>
          </cell>
          <cell r="B3148" t="str">
            <v>802002072</v>
          </cell>
          <cell r="C3148" t="str">
            <v>RAMIREZ, ARIEL EDUARDO</v>
          </cell>
          <cell r="G3148">
            <v>110355131.98</v>
          </cell>
          <cell r="H3148">
            <v>110355131.98</v>
          </cell>
          <cell r="I3148" t="str">
            <v>802</v>
          </cell>
        </row>
        <row r="3149">
          <cell r="A3149" t="str">
            <v>ARS</v>
          </cell>
          <cell r="B3149" t="str">
            <v>802002073</v>
          </cell>
          <cell r="C3149" t="str">
            <v>SALA, RAUL ALEJANDRO</v>
          </cell>
          <cell r="G3149">
            <v>1149544178.03</v>
          </cell>
          <cell r="H3149">
            <v>1149544178.03</v>
          </cell>
          <cell r="I3149" t="str">
            <v>802</v>
          </cell>
        </row>
        <row r="3150">
          <cell r="A3150" t="str">
            <v>ARS</v>
          </cell>
          <cell r="B3150" t="str">
            <v>802002076</v>
          </cell>
          <cell r="C3150" t="str">
            <v>[C.E.R.A.] ANDREATINI EMILIO</v>
          </cell>
          <cell r="G3150">
            <v>22842</v>
          </cell>
          <cell r="H3150">
            <v>22842</v>
          </cell>
          <cell r="I3150" t="str">
            <v>802</v>
          </cell>
        </row>
        <row r="3151">
          <cell r="A3151" t="str">
            <v>ARS</v>
          </cell>
          <cell r="B3151" t="str">
            <v>802002082</v>
          </cell>
          <cell r="C3151" t="str">
            <v>APSAVET SAS</v>
          </cell>
          <cell r="G3151">
            <v>16605866.27</v>
          </cell>
          <cell r="H3151">
            <v>16605866.27</v>
          </cell>
          <cell r="I3151" t="str">
            <v>802</v>
          </cell>
        </row>
        <row r="3152">
          <cell r="A3152" t="str">
            <v>ARS</v>
          </cell>
          <cell r="B3152" t="str">
            <v>802002086</v>
          </cell>
          <cell r="C3152" t="str">
            <v>ASOCIACION CIVIL DE INVESTIGACION CLINICA EN ARGENTINA</v>
          </cell>
          <cell r="G3152">
            <v>160152166.44999999</v>
          </cell>
          <cell r="H3152">
            <v>160152166.44999999</v>
          </cell>
          <cell r="I3152" t="str">
            <v>802</v>
          </cell>
        </row>
        <row r="3153">
          <cell r="A3153" t="str">
            <v>ARS</v>
          </cell>
          <cell r="B3153" t="str">
            <v>802002087</v>
          </cell>
          <cell r="C3153" t="str">
            <v>OTILIA SACK SA</v>
          </cell>
          <cell r="G3153">
            <v>38334035.07</v>
          </cell>
          <cell r="H3153">
            <v>38334035.07</v>
          </cell>
          <cell r="I3153" t="str">
            <v>802</v>
          </cell>
        </row>
        <row r="3154">
          <cell r="A3154" t="str">
            <v>ARS</v>
          </cell>
          <cell r="B3154" t="str">
            <v>802002090</v>
          </cell>
          <cell r="C3154" t="str">
            <v>PRINCIPI, CESAR ADRIAN</v>
          </cell>
          <cell r="G3154">
            <v>81126341.310000002</v>
          </cell>
          <cell r="H3154">
            <v>81126341.310000002</v>
          </cell>
          <cell r="I3154" t="str">
            <v>802</v>
          </cell>
        </row>
        <row r="3155">
          <cell r="A3155" t="str">
            <v>ARS</v>
          </cell>
          <cell r="B3155" t="str">
            <v>802002094</v>
          </cell>
          <cell r="C3155" t="str">
            <v>IMPORTADORA CENTRAL JT SRL</v>
          </cell>
          <cell r="G3155">
            <v>106028639.58</v>
          </cell>
          <cell r="H3155">
            <v>106028639.58</v>
          </cell>
          <cell r="I3155" t="str">
            <v>802</v>
          </cell>
        </row>
        <row r="3156">
          <cell r="A3156" t="str">
            <v>ARS</v>
          </cell>
          <cell r="B3156" t="str">
            <v>802002095</v>
          </cell>
          <cell r="C3156" t="str">
            <v>ZADERECKI, SUSANA ALICIA</v>
          </cell>
          <cell r="G3156">
            <v>1000000</v>
          </cell>
          <cell r="H3156">
            <v>1000000</v>
          </cell>
          <cell r="I3156" t="str">
            <v>802</v>
          </cell>
        </row>
        <row r="3157">
          <cell r="A3157" t="str">
            <v>ARS</v>
          </cell>
          <cell r="B3157" t="str">
            <v>802002098</v>
          </cell>
          <cell r="C3157" t="str">
            <v>SGS ARGENTINA SA</v>
          </cell>
          <cell r="G3157">
            <v>5014004337.5</v>
          </cell>
          <cell r="H3157">
            <v>5014004337.5</v>
          </cell>
          <cell r="I3157" t="str">
            <v>802</v>
          </cell>
        </row>
        <row r="3158">
          <cell r="A3158" t="str">
            <v>ARS</v>
          </cell>
          <cell r="B3158" t="str">
            <v>806000004</v>
          </cell>
          <cell r="C3158" t="str">
            <v>ASOC.MUT.PROF.UNIV.MATRICULADOS</v>
          </cell>
          <cell r="G3158">
            <v>8075295</v>
          </cell>
          <cell r="H3158">
            <v>8075295</v>
          </cell>
          <cell r="I3158" t="str">
            <v>806</v>
          </cell>
        </row>
        <row r="3159">
          <cell r="A3159" t="str">
            <v>ARS</v>
          </cell>
          <cell r="B3159" t="str">
            <v>806000010</v>
          </cell>
          <cell r="C3159" t="str">
            <v>INVERSIONES CUYANAS S.A.</v>
          </cell>
          <cell r="G3159">
            <v>8792072581.6200008</v>
          </cell>
          <cell r="H3159">
            <v>8792072581.6200008</v>
          </cell>
          <cell r="I3159" t="str">
            <v>806</v>
          </cell>
        </row>
        <row r="3160">
          <cell r="A3160" t="str">
            <v>ARS</v>
          </cell>
          <cell r="B3160" t="str">
            <v>806000152</v>
          </cell>
          <cell r="C3160" t="str">
            <v>RUBINSTEIN, Bernardo</v>
          </cell>
          <cell r="G3160">
            <v>31472360</v>
          </cell>
          <cell r="H3160">
            <v>31472360</v>
          </cell>
          <cell r="I3160" t="str">
            <v>806</v>
          </cell>
        </row>
        <row r="3161">
          <cell r="A3161" t="str">
            <v>ARS</v>
          </cell>
          <cell r="B3161" t="str">
            <v>806000153</v>
          </cell>
          <cell r="C3161" t="str">
            <v>ALONSO, Laura Ines</v>
          </cell>
          <cell r="G3161">
            <v>20023410</v>
          </cell>
          <cell r="H3161">
            <v>20023410</v>
          </cell>
          <cell r="I3161" t="str">
            <v>806</v>
          </cell>
        </row>
        <row r="3162">
          <cell r="A3162" t="str">
            <v>ARS</v>
          </cell>
          <cell r="B3162" t="str">
            <v>806000155</v>
          </cell>
          <cell r="C3162" t="str">
            <v>GUIDOLIN, Ariel Hector</v>
          </cell>
          <cell r="G3162">
            <v>1641294692.3199999</v>
          </cell>
          <cell r="H3162">
            <v>1641294692.3199999</v>
          </cell>
          <cell r="I3162" t="str">
            <v>806</v>
          </cell>
        </row>
        <row r="3163">
          <cell r="A3163" t="str">
            <v>ARS</v>
          </cell>
          <cell r="B3163" t="str">
            <v>806000158</v>
          </cell>
          <cell r="C3163" t="str">
            <v>BOERO, Gustavo y/o LAVIANO, Analia</v>
          </cell>
          <cell r="G3163">
            <v>161923900</v>
          </cell>
          <cell r="H3163">
            <v>161923900</v>
          </cell>
          <cell r="I3163" t="str">
            <v>806</v>
          </cell>
        </row>
        <row r="3164">
          <cell r="A3164" t="str">
            <v>ARS</v>
          </cell>
          <cell r="B3164" t="str">
            <v>806000165</v>
          </cell>
          <cell r="C3164" t="str">
            <v>Franco Guidolin</v>
          </cell>
          <cell r="G3164">
            <v>1450015600</v>
          </cell>
          <cell r="H3164">
            <v>1450015600</v>
          </cell>
          <cell r="I3164" t="str">
            <v>806</v>
          </cell>
        </row>
        <row r="3165">
          <cell r="A3165" t="str">
            <v>ARS</v>
          </cell>
          <cell r="B3165" t="str">
            <v>806000166</v>
          </cell>
          <cell r="C3165" t="str">
            <v>OLMEDO, Alberto Rafael</v>
          </cell>
          <cell r="G3165">
            <v>1081530656.5999999</v>
          </cell>
          <cell r="H3165">
            <v>1081530656.5999999</v>
          </cell>
          <cell r="I3165" t="str">
            <v>806</v>
          </cell>
        </row>
        <row r="3166">
          <cell r="A3166" t="str">
            <v>ARS</v>
          </cell>
          <cell r="B3166" t="str">
            <v>806000192</v>
          </cell>
          <cell r="C3166" t="str">
            <v>DE LEON GASTON LEONARDO</v>
          </cell>
          <cell r="G3166">
            <v>983532</v>
          </cell>
          <cell r="H3166">
            <v>983532</v>
          </cell>
          <cell r="I3166" t="str">
            <v>806</v>
          </cell>
        </row>
        <row r="3167">
          <cell r="A3167" t="str">
            <v>ARS</v>
          </cell>
          <cell r="B3167" t="str">
            <v>806000218</v>
          </cell>
          <cell r="C3167" t="str">
            <v>CACCIATO, DIEGO ANGEL</v>
          </cell>
          <cell r="G3167">
            <v>601100</v>
          </cell>
          <cell r="H3167">
            <v>601100</v>
          </cell>
          <cell r="I3167" t="str">
            <v>806</v>
          </cell>
        </row>
        <row r="3168">
          <cell r="A3168" t="str">
            <v>ARS</v>
          </cell>
          <cell r="B3168" t="str">
            <v>806000231</v>
          </cell>
          <cell r="C3168" t="str">
            <v>CARLOS HORACIO WALL</v>
          </cell>
          <cell r="G3168">
            <v>48268900</v>
          </cell>
          <cell r="H3168">
            <v>48268900</v>
          </cell>
          <cell r="I3168" t="str">
            <v>806</v>
          </cell>
        </row>
        <row r="3169">
          <cell r="A3169" t="str">
            <v>ARS</v>
          </cell>
          <cell r="B3169" t="str">
            <v>806000232</v>
          </cell>
          <cell r="C3169" t="str">
            <v>SUDESTE VALORES S.A.</v>
          </cell>
          <cell r="G3169">
            <v>314107249.31</v>
          </cell>
          <cell r="H3169">
            <v>314107249.31</v>
          </cell>
          <cell r="I3169" t="str">
            <v>806</v>
          </cell>
        </row>
        <row r="3170">
          <cell r="A3170" t="str">
            <v>ARS</v>
          </cell>
          <cell r="B3170" t="str">
            <v>806000243</v>
          </cell>
          <cell r="C3170" t="str">
            <v>GROUP PIPE S.A.</v>
          </cell>
          <cell r="G3170">
            <v>4175969000</v>
          </cell>
          <cell r="H3170">
            <v>4175969000</v>
          </cell>
          <cell r="I3170" t="str">
            <v>806</v>
          </cell>
        </row>
        <row r="3171">
          <cell r="A3171" t="str">
            <v>ARS</v>
          </cell>
          <cell r="B3171" t="str">
            <v>806000245</v>
          </cell>
          <cell r="C3171" t="str">
            <v>RIJKEBOER GWENDELINE</v>
          </cell>
          <cell r="G3171">
            <v>74040425.200000003</v>
          </cell>
          <cell r="H3171">
            <v>74040425.200000003</v>
          </cell>
          <cell r="I3171" t="str">
            <v>806</v>
          </cell>
        </row>
        <row r="3172">
          <cell r="A3172" t="str">
            <v>ARS</v>
          </cell>
          <cell r="B3172" t="str">
            <v>806000295</v>
          </cell>
          <cell r="C3172" t="str">
            <v>LIBONATTI, GUIDO EMILIANO</v>
          </cell>
          <cell r="G3172">
            <v>2116400</v>
          </cell>
          <cell r="H3172">
            <v>2116400</v>
          </cell>
          <cell r="I3172" t="str">
            <v>806</v>
          </cell>
        </row>
        <row r="3173">
          <cell r="A3173" t="str">
            <v>ARS</v>
          </cell>
          <cell r="B3173" t="str">
            <v>806000301</v>
          </cell>
          <cell r="C3173" t="str">
            <v>DURIGAN ANA MARIA Y GARCIA VIRTUDES</v>
          </cell>
          <cell r="G3173">
            <v>18108898</v>
          </cell>
          <cell r="H3173">
            <v>18108898</v>
          </cell>
          <cell r="I3173" t="str">
            <v>806</v>
          </cell>
        </row>
        <row r="3174">
          <cell r="A3174" t="str">
            <v>ARS</v>
          </cell>
          <cell r="B3174" t="str">
            <v>806000308</v>
          </cell>
          <cell r="C3174" t="str">
            <v>SEBASTIAN ANESE</v>
          </cell>
          <cell r="G3174">
            <v>159040</v>
          </cell>
          <cell r="H3174">
            <v>159040</v>
          </cell>
          <cell r="I3174" t="str">
            <v>806</v>
          </cell>
        </row>
        <row r="3175">
          <cell r="A3175" t="str">
            <v>ARS</v>
          </cell>
          <cell r="B3175" t="str">
            <v>806000310</v>
          </cell>
          <cell r="C3175" t="str">
            <v>IGNACIO CABALLER</v>
          </cell>
          <cell r="G3175">
            <v>355598500</v>
          </cell>
          <cell r="H3175">
            <v>355598500</v>
          </cell>
          <cell r="I3175" t="str">
            <v>806</v>
          </cell>
        </row>
        <row r="3176">
          <cell r="A3176" t="str">
            <v>ARS</v>
          </cell>
          <cell r="B3176" t="str">
            <v>806000317</v>
          </cell>
          <cell r="C3176" t="str">
            <v>NAHUEL PENA CONGREGADO</v>
          </cell>
          <cell r="G3176">
            <v>1000400</v>
          </cell>
          <cell r="H3176">
            <v>1000400</v>
          </cell>
          <cell r="I3176" t="str">
            <v>806</v>
          </cell>
        </row>
        <row r="3177">
          <cell r="A3177" t="str">
            <v>ARS</v>
          </cell>
          <cell r="B3177" t="str">
            <v>806000321</v>
          </cell>
          <cell r="C3177" t="str">
            <v>ANDREA DINA RAIZMAN</v>
          </cell>
          <cell r="G3177">
            <v>28810960</v>
          </cell>
          <cell r="H3177">
            <v>28810960</v>
          </cell>
          <cell r="I3177" t="str">
            <v>806</v>
          </cell>
        </row>
        <row r="3178">
          <cell r="A3178" t="str">
            <v>ARS</v>
          </cell>
          <cell r="B3178" t="str">
            <v>806000322</v>
          </cell>
          <cell r="C3178" t="str">
            <v>FACUNDO AGRELO</v>
          </cell>
          <cell r="G3178">
            <v>2040120</v>
          </cell>
          <cell r="H3178">
            <v>2040120</v>
          </cell>
          <cell r="I3178" t="str">
            <v>806</v>
          </cell>
        </row>
        <row r="3179">
          <cell r="A3179" t="str">
            <v>ARS</v>
          </cell>
          <cell r="B3179" t="str">
            <v>806000323</v>
          </cell>
          <cell r="C3179" t="str">
            <v>Ramiro Olmedo</v>
          </cell>
          <cell r="G3179">
            <v>477645255.80000001</v>
          </cell>
          <cell r="H3179">
            <v>477645255.80000001</v>
          </cell>
          <cell r="I3179" t="str">
            <v>806</v>
          </cell>
        </row>
        <row r="3180">
          <cell r="A3180" t="str">
            <v>ARS</v>
          </cell>
          <cell r="B3180" t="str">
            <v>806000325</v>
          </cell>
          <cell r="C3180" t="str">
            <v>CARLOS DENIS RAMOS</v>
          </cell>
          <cell r="G3180">
            <v>56831324.329999998</v>
          </cell>
          <cell r="H3180">
            <v>56831324.329999998</v>
          </cell>
          <cell r="I3180" t="str">
            <v>806</v>
          </cell>
        </row>
        <row r="3181">
          <cell r="A3181" t="str">
            <v>ARS</v>
          </cell>
          <cell r="B3181" t="str">
            <v>806000326</v>
          </cell>
          <cell r="C3181" t="str">
            <v>GABRIEL FERNANDEZ KOLLER</v>
          </cell>
          <cell r="G3181">
            <v>4680700</v>
          </cell>
          <cell r="H3181">
            <v>4680700</v>
          </cell>
          <cell r="I3181" t="str">
            <v>806</v>
          </cell>
        </row>
        <row r="3182">
          <cell r="A3182" t="str">
            <v>ARS</v>
          </cell>
          <cell r="B3182" t="str">
            <v>806000330</v>
          </cell>
          <cell r="C3182" t="str">
            <v>NAZARENA MESIAS</v>
          </cell>
          <cell r="G3182">
            <v>89460</v>
          </cell>
          <cell r="H3182">
            <v>89460</v>
          </cell>
          <cell r="I3182" t="str">
            <v>806</v>
          </cell>
        </row>
        <row r="3183">
          <cell r="A3183" t="str">
            <v>ARS</v>
          </cell>
          <cell r="B3183" t="str">
            <v>806000332</v>
          </cell>
          <cell r="C3183" t="str">
            <v xml:space="preserve"> CRISCI JUAN FRANCISCO</v>
          </cell>
          <cell r="G3183">
            <v>2077026.1</v>
          </cell>
          <cell r="H3183">
            <v>2077026.1</v>
          </cell>
          <cell r="I3183" t="str">
            <v>806</v>
          </cell>
        </row>
        <row r="3184">
          <cell r="A3184" t="str">
            <v>ARS</v>
          </cell>
          <cell r="B3184" t="str">
            <v>806000336</v>
          </cell>
          <cell r="C3184" t="str">
            <v>MARICHAL PABLO Y DELUCCHI MICAELA</v>
          </cell>
          <cell r="G3184">
            <v>15706973.52</v>
          </cell>
          <cell r="H3184">
            <v>15706973.52</v>
          </cell>
          <cell r="I3184" t="str">
            <v>806</v>
          </cell>
        </row>
        <row r="3185">
          <cell r="A3185" t="str">
            <v>ARS</v>
          </cell>
          <cell r="B3185" t="str">
            <v>806000337</v>
          </cell>
          <cell r="C3185" t="str">
            <v>RIVADAVIA 5387 SRL</v>
          </cell>
          <cell r="G3185">
            <v>3795520</v>
          </cell>
          <cell r="H3185">
            <v>3795520</v>
          </cell>
          <cell r="I3185" t="str">
            <v>806</v>
          </cell>
        </row>
        <row r="3186">
          <cell r="A3186" t="str">
            <v>ARS</v>
          </cell>
          <cell r="B3186" t="str">
            <v>806000346</v>
          </cell>
          <cell r="C3186" t="str">
            <v>GHERINGHELLI LORENA</v>
          </cell>
          <cell r="G3186">
            <v>84958099.989999995</v>
          </cell>
          <cell r="H3186">
            <v>84958099.989999995</v>
          </cell>
          <cell r="I3186" t="str">
            <v>806</v>
          </cell>
        </row>
        <row r="3187">
          <cell r="A3187" t="str">
            <v>ARS</v>
          </cell>
          <cell r="B3187" t="str">
            <v>806000347</v>
          </cell>
          <cell r="C3187" t="str">
            <v>Alejandro De Luque</v>
          </cell>
          <cell r="G3187">
            <v>170888226.80000001</v>
          </cell>
          <cell r="H3187">
            <v>170888226.80000001</v>
          </cell>
          <cell r="I3187" t="str">
            <v>806</v>
          </cell>
        </row>
        <row r="3188">
          <cell r="A3188" t="str">
            <v>ARS</v>
          </cell>
          <cell r="B3188" t="str">
            <v>806000350</v>
          </cell>
          <cell r="C3188" t="str">
            <v>ALEJO BORRA y/o CAROLINA FANJUL</v>
          </cell>
          <cell r="G3188">
            <v>14055746.48</v>
          </cell>
          <cell r="H3188">
            <v>14055746.48</v>
          </cell>
          <cell r="I3188" t="str">
            <v>806</v>
          </cell>
        </row>
        <row r="3189">
          <cell r="A3189" t="str">
            <v>ARS</v>
          </cell>
          <cell r="B3189" t="str">
            <v>806000355</v>
          </cell>
          <cell r="C3189" t="str">
            <v>DAMIAN ALFREDO GONZALEZ</v>
          </cell>
          <cell r="G3189">
            <v>1000875698.41</v>
          </cell>
          <cell r="H3189">
            <v>1000875698.41</v>
          </cell>
          <cell r="I3189" t="str">
            <v>806</v>
          </cell>
        </row>
        <row r="3190">
          <cell r="A3190" t="str">
            <v>ARS</v>
          </cell>
          <cell r="B3190" t="str">
            <v>806000357</v>
          </cell>
          <cell r="C3190" t="str">
            <v>ASOCIACION ATLETICA ARGENTINOS JUNIORS</v>
          </cell>
          <cell r="G3190">
            <v>1750676857.97</v>
          </cell>
          <cell r="H3190">
            <v>1750676857.97</v>
          </cell>
          <cell r="I3190" t="str">
            <v>806</v>
          </cell>
        </row>
        <row r="3191">
          <cell r="A3191" t="str">
            <v>ARS</v>
          </cell>
          <cell r="B3191" t="str">
            <v>806000358</v>
          </cell>
          <cell r="C3191" t="str">
            <v>BUSINESS POINT SRL</v>
          </cell>
          <cell r="G3191">
            <v>1370498553</v>
          </cell>
          <cell r="H3191">
            <v>1370498553</v>
          </cell>
          <cell r="I3191" t="str">
            <v>806</v>
          </cell>
        </row>
        <row r="3192">
          <cell r="A3192" t="str">
            <v>ARS</v>
          </cell>
          <cell r="B3192" t="str">
            <v>806000359</v>
          </cell>
          <cell r="C3192" t="str">
            <v>ANGEL SANTO STEFANO Y/O CLAUDIA COUSILLAS</v>
          </cell>
          <cell r="G3192">
            <v>8265371.7999999998</v>
          </cell>
          <cell r="H3192">
            <v>8265371.7999999998</v>
          </cell>
          <cell r="I3192" t="str">
            <v>806</v>
          </cell>
        </row>
        <row r="3193">
          <cell r="A3193" t="str">
            <v>ARS</v>
          </cell>
          <cell r="B3193" t="str">
            <v>806000361</v>
          </cell>
          <cell r="C3193" t="str">
            <v>FMT S.A</v>
          </cell>
          <cell r="G3193">
            <v>903060520.84000003</v>
          </cell>
          <cell r="H3193">
            <v>903060520.84000003</v>
          </cell>
          <cell r="I3193" t="str">
            <v>806</v>
          </cell>
        </row>
        <row r="3194">
          <cell r="A3194" t="str">
            <v>ARS</v>
          </cell>
          <cell r="B3194" t="str">
            <v>806000366</v>
          </cell>
          <cell r="C3194" t="str">
            <v>ROMA CONSULTING S.A</v>
          </cell>
          <cell r="G3194">
            <v>42188800</v>
          </cell>
          <cell r="H3194">
            <v>42188800</v>
          </cell>
          <cell r="I3194" t="str">
            <v>806</v>
          </cell>
        </row>
        <row r="3195">
          <cell r="A3195" t="str">
            <v>ARS</v>
          </cell>
          <cell r="B3195" t="str">
            <v>806000367</v>
          </cell>
          <cell r="C3195" t="str">
            <v>ECS LATAM SAS</v>
          </cell>
          <cell r="G3195">
            <v>30859700</v>
          </cell>
          <cell r="H3195">
            <v>30859700</v>
          </cell>
          <cell r="I3195" t="str">
            <v>806</v>
          </cell>
        </row>
        <row r="3196">
          <cell r="A3196" t="str">
            <v>ARS</v>
          </cell>
          <cell r="B3196" t="str">
            <v>806000370</v>
          </cell>
          <cell r="C3196" t="str">
            <v>JOSE LUIS BENTIVEGNA</v>
          </cell>
          <cell r="G3196">
            <v>606323511.71000004</v>
          </cell>
          <cell r="H3196">
            <v>606323511.71000004</v>
          </cell>
          <cell r="I3196" t="str">
            <v>806</v>
          </cell>
        </row>
        <row r="3197">
          <cell r="A3197" t="str">
            <v>ARS</v>
          </cell>
          <cell r="B3197" t="str">
            <v>806000372</v>
          </cell>
          <cell r="C3197" t="str">
            <v>MARCELO FABIAN GOMEZ</v>
          </cell>
          <cell r="G3197">
            <v>183023978.87</v>
          </cell>
          <cell r="H3197">
            <v>183023978.87</v>
          </cell>
          <cell r="I3197" t="str">
            <v>806</v>
          </cell>
        </row>
        <row r="3198">
          <cell r="A3198" t="str">
            <v>ARS</v>
          </cell>
          <cell r="B3198" t="str">
            <v>806000374</v>
          </cell>
          <cell r="C3198" t="str">
            <v>PAUL VAQUIE</v>
          </cell>
          <cell r="G3198">
            <v>25327359.32</v>
          </cell>
          <cell r="H3198">
            <v>25327359.32</v>
          </cell>
          <cell r="I3198" t="str">
            <v>806</v>
          </cell>
        </row>
        <row r="3199">
          <cell r="A3199" t="str">
            <v>ARS</v>
          </cell>
          <cell r="B3199" t="str">
            <v>806000376</v>
          </cell>
          <cell r="C3199" t="str">
            <v>DARDO AGUILAR</v>
          </cell>
          <cell r="G3199">
            <v>4918103.5999999996</v>
          </cell>
          <cell r="H3199">
            <v>4918103.5999999996</v>
          </cell>
          <cell r="I3199" t="str">
            <v>806</v>
          </cell>
        </row>
        <row r="3200">
          <cell r="A3200" t="str">
            <v>ARS</v>
          </cell>
          <cell r="B3200" t="str">
            <v>806000380</v>
          </cell>
          <cell r="C3200" t="str">
            <v>ANGEL  BENTIVEGNA</v>
          </cell>
          <cell r="G3200">
            <v>244965523.86000001</v>
          </cell>
          <cell r="H3200">
            <v>244965523.86000001</v>
          </cell>
          <cell r="I3200" t="str">
            <v>806</v>
          </cell>
        </row>
        <row r="3201">
          <cell r="A3201" t="str">
            <v>ARS</v>
          </cell>
          <cell r="B3201" t="str">
            <v>806000388</v>
          </cell>
          <cell r="C3201" t="str">
            <v>Julian Santero</v>
          </cell>
          <cell r="G3201">
            <v>471083852.5</v>
          </cell>
          <cell r="H3201">
            <v>471083852.5</v>
          </cell>
          <cell r="I3201" t="str">
            <v>806</v>
          </cell>
        </row>
        <row r="3202">
          <cell r="A3202" t="str">
            <v>ARS</v>
          </cell>
          <cell r="B3202" t="str">
            <v>806000389</v>
          </cell>
          <cell r="C3202" t="str">
            <v>MIGUEL ANGEL SAPIA</v>
          </cell>
          <cell r="G3202">
            <v>10251823</v>
          </cell>
          <cell r="H3202">
            <v>10251823</v>
          </cell>
          <cell r="I3202" t="str">
            <v>806</v>
          </cell>
        </row>
        <row r="3203">
          <cell r="A3203" t="str">
            <v>ARS</v>
          </cell>
          <cell r="B3203" t="str">
            <v>806000399</v>
          </cell>
          <cell r="C3203" t="str">
            <v>ROBERTO VICTOR LEMIEZA</v>
          </cell>
          <cell r="G3203">
            <v>24452800</v>
          </cell>
          <cell r="H3203">
            <v>24452800</v>
          </cell>
          <cell r="I3203" t="str">
            <v>806</v>
          </cell>
        </row>
        <row r="3204">
          <cell r="A3204" t="str">
            <v>ARS</v>
          </cell>
          <cell r="B3204" t="str">
            <v>806000400</v>
          </cell>
          <cell r="C3204" t="str">
            <v>HARJUICE S.R.L.</v>
          </cell>
          <cell r="G3204">
            <v>38557611.899999999</v>
          </cell>
          <cell r="H3204">
            <v>38557611.899999999</v>
          </cell>
          <cell r="I3204" t="str">
            <v>806</v>
          </cell>
        </row>
        <row r="3205">
          <cell r="A3205" t="str">
            <v>ARS</v>
          </cell>
          <cell r="B3205" t="str">
            <v>806000401</v>
          </cell>
          <cell r="C3205" t="str">
            <v>NICOLAS JAVIER NIGRO</v>
          </cell>
          <cell r="G3205">
            <v>5697891</v>
          </cell>
          <cell r="H3205">
            <v>5697891</v>
          </cell>
          <cell r="I3205" t="str">
            <v>806</v>
          </cell>
        </row>
        <row r="3206">
          <cell r="A3206" t="str">
            <v>ARS</v>
          </cell>
          <cell r="B3206" t="str">
            <v>806000402</v>
          </cell>
          <cell r="C3206" t="str">
            <v>RECE S.A.</v>
          </cell>
          <cell r="G3206">
            <v>2311639218.4899998</v>
          </cell>
          <cell r="H3206">
            <v>2311639218.4899998</v>
          </cell>
          <cell r="I3206" t="str">
            <v>806</v>
          </cell>
        </row>
        <row r="3207">
          <cell r="A3207" t="str">
            <v>ARS</v>
          </cell>
          <cell r="B3207" t="str">
            <v>806000403</v>
          </cell>
          <cell r="C3207" t="str">
            <v>MARIA EUGENIA, COLELLA</v>
          </cell>
          <cell r="G3207">
            <v>1318111</v>
          </cell>
          <cell r="H3207">
            <v>1318111</v>
          </cell>
          <cell r="I3207" t="str">
            <v>806</v>
          </cell>
        </row>
        <row r="3208">
          <cell r="A3208" t="str">
            <v>ARS</v>
          </cell>
          <cell r="B3208" t="str">
            <v>806000405</v>
          </cell>
          <cell r="C3208" t="str">
            <v>ALEJANDRO MARTIN SAT</v>
          </cell>
          <cell r="G3208">
            <v>8032000</v>
          </cell>
          <cell r="H3208">
            <v>8032000</v>
          </cell>
          <cell r="I3208" t="str">
            <v>806</v>
          </cell>
        </row>
        <row r="3209">
          <cell r="A3209" t="str">
            <v>ARS</v>
          </cell>
          <cell r="B3209" t="str">
            <v>806000412</v>
          </cell>
          <cell r="C3209" t="str">
            <v>LEMIEZA GISELA ELIZABET</v>
          </cell>
          <cell r="G3209">
            <v>20076689.789999999</v>
          </cell>
          <cell r="H3209">
            <v>20076689.789999999</v>
          </cell>
          <cell r="I3209" t="str">
            <v>806</v>
          </cell>
        </row>
        <row r="3210">
          <cell r="A3210" t="str">
            <v>ARS</v>
          </cell>
          <cell r="B3210" t="str">
            <v>806000416</v>
          </cell>
          <cell r="C3210" t="str">
            <v>CARPES ALL S.A.</v>
          </cell>
          <cell r="G3210">
            <v>2079142708.4100001</v>
          </cell>
          <cell r="H3210">
            <v>2079142708.4100001</v>
          </cell>
          <cell r="I3210" t="str">
            <v>806</v>
          </cell>
        </row>
        <row r="3211">
          <cell r="A3211" t="str">
            <v>ARS</v>
          </cell>
          <cell r="B3211" t="str">
            <v>806000912</v>
          </cell>
          <cell r="C3211" t="str">
            <v>MAURO PASCALI</v>
          </cell>
          <cell r="G3211">
            <v>88431300</v>
          </cell>
          <cell r="H3211">
            <v>88431300</v>
          </cell>
          <cell r="I3211" t="str">
            <v>806</v>
          </cell>
        </row>
        <row r="3212">
          <cell r="A3212" t="str">
            <v>ARS</v>
          </cell>
          <cell r="B3212" t="str">
            <v>811000005</v>
          </cell>
          <cell r="C3212" t="str">
            <v>[C.E.R.A .] Gustavo Adolfo Kohnen</v>
          </cell>
          <cell r="G3212">
            <v>277171596.02999997</v>
          </cell>
          <cell r="H3212">
            <v>277171596.02999997</v>
          </cell>
          <cell r="I3212" t="str">
            <v>811</v>
          </cell>
        </row>
        <row r="3213">
          <cell r="A3213" t="str">
            <v>ARS</v>
          </cell>
          <cell r="B3213" t="str">
            <v>811000010</v>
          </cell>
          <cell r="C3213" t="str">
            <v>Martin Portas</v>
          </cell>
          <cell r="G3213">
            <v>17951600</v>
          </cell>
          <cell r="H3213">
            <v>17951600</v>
          </cell>
          <cell r="I3213" t="str">
            <v>811</v>
          </cell>
        </row>
        <row r="3214">
          <cell r="A3214" t="str">
            <v>ARS</v>
          </cell>
          <cell r="B3214" t="str">
            <v>811000016</v>
          </cell>
          <cell r="C3214" t="str">
            <v>Verlin Capital S.A</v>
          </cell>
          <cell r="G3214">
            <v>34676952.990000002</v>
          </cell>
          <cell r="H3214">
            <v>34676952.990000002</v>
          </cell>
          <cell r="I3214" t="str">
            <v>811</v>
          </cell>
        </row>
        <row r="3215">
          <cell r="A3215" t="str">
            <v>ARS</v>
          </cell>
          <cell r="B3215" t="str">
            <v>811000017</v>
          </cell>
          <cell r="C3215" t="str">
            <v>Sol Armando</v>
          </cell>
          <cell r="G3215">
            <v>15110738.5</v>
          </cell>
          <cell r="H3215">
            <v>15110738.5</v>
          </cell>
          <cell r="I3215" t="str">
            <v>811</v>
          </cell>
        </row>
        <row r="3216">
          <cell r="A3216" t="str">
            <v>ARS</v>
          </cell>
          <cell r="B3216" t="str">
            <v>811000021</v>
          </cell>
          <cell r="C3216" t="str">
            <v>PMP CARGO SRL</v>
          </cell>
          <cell r="G3216">
            <v>17739500</v>
          </cell>
          <cell r="H3216">
            <v>17739500</v>
          </cell>
          <cell r="I3216" t="str">
            <v>811</v>
          </cell>
        </row>
        <row r="3217">
          <cell r="A3217" t="str">
            <v>ARS</v>
          </cell>
          <cell r="B3217" t="str">
            <v>811000023</v>
          </cell>
          <cell r="C3217" t="str">
            <v>Gustavo Adolfo Kohnen</v>
          </cell>
          <cell r="G3217">
            <v>4255000</v>
          </cell>
          <cell r="H3217">
            <v>4255000</v>
          </cell>
          <cell r="I3217" t="str">
            <v>811</v>
          </cell>
        </row>
        <row r="3218">
          <cell r="A3218" t="str">
            <v>ARS</v>
          </cell>
          <cell r="B3218" t="str">
            <v>811000024</v>
          </cell>
          <cell r="C3218" t="str">
            <v>Code Logistics S.A</v>
          </cell>
          <cell r="G3218">
            <v>245043978.03</v>
          </cell>
          <cell r="H3218">
            <v>245043978.03</v>
          </cell>
          <cell r="I3218" t="str">
            <v>811</v>
          </cell>
        </row>
        <row r="3219">
          <cell r="A3219" t="str">
            <v>ARS</v>
          </cell>
          <cell r="B3219" t="str">
            <v>811000027</v>
          </cell>
          <cell r="C3219" t="str">
            <v>Christian Basile</v>
          </cell>
          <cell r="G3219">
            <v>41930000</v>
          </cell>
          <cell r="H3219">
            <v>41930000</v>
          </cell>
          <cell r="I3219" t="str">
            <v>811</v>
          </cell>
        </row>
        <row r="3220">
          <cell r="A3220" t="str">
            <v>ARS</v>
          </cell>
          <cell r="B3220" t="str">
            <v>812000004</v>
          </cell>
          <cell r="C3220" t="str">
            <v>San Cristobal Servicios Financieros S.A</v>
          </cell>
          <cell r="G3220">
            <v>241970533695.60001</v>
          </cell>
          <cell r="H3220">
            <v>241970533695.60001</v>
          </cell>
          <cell r="I3220" t="str">
            <v>812</v>
          </cell>
        </row>
        <row r="3221">
          <cell r="A3221" t="str">
            <v>ARS</v>
          </cell>
          <cell r="B3221" t="str">
            <v>812000005</v>
          </cell>
          <cell r="C3221" t="str">
            <v>San Cristobal Caja Mutual entre asociados de san cristobal SMSG</v>
          </cell>
          <cell r="G3221">
            <v>50705260817.379997</v>
          </cell>
          <cell r="H3221">
            <v>50705260817.379997</v>
          </cell>
          <cell r="I3221" t="str">
            <v>812</v>
          </cell>
        </row>
        <row r="3222">
          <cell r="A3222" t="str">
            <v>ARS</v>
          </cell>
          <cell r="B3222" t="str">
            <v>812000006</v>
          </cell>
          <cell r="C3222" t="str">
            <v>Epsztein Mario</v>
          </cell>
          <cell r="G3222">
            <v>1228927.58</v>
          </cell>
          <cell r="H3222">
            <v>1228927.58</v>
          </cell>
          <cell r="I3222" t="str">
            <v>812</v>
          </cell>
        </row>
        <row r="3223">
          <cell r="A3223" t="str">
            <v>ARS</v>
          </cell>
          <cell r="B3223" t="str">
            <v>812000015</v>
          </cell>
          <cell r="C3223" t="str">
            <v>Pelozo, Pablo Sebastian</v>
          </cell>
          <cell r="G3223">
            <v>19463603.170000002</v>
          </cell>
          <cell r="H3223">
            <v>19463603.170000002</v>
          </cell>
          <cell r="I3223" t="str">
            <v>812</v>
          </cell>
        </row>
        <row r="3224">
          <cell r="A3224" t="str">
            <v>ARS</v>
          </cell>
          <cell r="B3224" t="str">
            <v>812000019</v>
          </cell>
          <cell r="C3224" t="str">
            <v>Acuña, Enzo Nicolas</v>
          </cell>
          <cell r="G3224">
            <v>4809196.29</v>
          </cell>
          <cell r="H3224">
            <v>4809196.29</v>
          </cell>
          <cell r="I3224" t="str">
            <v>812</v>
          </cell>
        </row>
        <row r="3225">
          <cell r="A3225" t="str">
            <v>ARS</v>
          </cell>
          <cell r="B3225" t="str">
            <v>812000021</v>
          </cell>
          <cell r="C3225" t="str">
            <v>FIRST RENTA MIXTA IV FCI</v>
          </cell>
          <cell r="G3225">
            <v>1733499469.3299999</v>
          </cell>
          <cell r="H3225">
            <v>1733499469.3299999</v>
          </cell>
          <cell r="I3225" t="str">
            <v>812</v>
          </cell>
        </row>
        <row r="3226">
          <cell r="A3226" t="str">
            <v>ARS</v>
          </cell>
          <cell r="B3226" t="str">
            <v>812000022</v>
          </cell>
          <cell r="C3226" t="str">
            <v>FIRST RENTA PYMES II FCI</v>
          </cell>
          <cell r="G3226">
            <v>1853727709.04</v>
          </cell>
          <cell r="H3226">
            <v>1853727709.04</v>
          </cell>
          <cell r="I3226" t="str">
            <v>812</v>
          </cell>
        </row>
        <row r="3227">
          <cell r="A3227" t="str">
            <v>ARS</v>
          </cell>
          <cell r="B3227" t="str">
            <v>812000023</v>
          </cell>
          <cell r="C3227" t="str">
            <v>Markman, Hugo Bernardo</v>
          </cell>
          <cell r="G3227">
            <v>10415923.52</v>
          </cell>
          <cell r="H3227">
            <v>10415923.52</v>
          </cell>
          <cell r="I3227" t="str">
            <v>812</v>
          </cell>
        </row>
        <row r="3228">
          <cell r="A3228" t="str">
            <v>ARS</v>
          </cell>
          <cell r="B3228" t="str">
            <v>812000027</v>
          </cell>
          <cell r="C3228" t="str">
            <v>LABAC SA</v>
          </cell>
          <cell r="G3228">
            <v>18346068.02</v>
          </cell>
          <cell r="H3228">
            <v>18346068.02</v>
          </cell>
          <cell r="I3228" t="str">
            <v>812</v>
          </cell>
        </row>
        <row r="3229">
          <cell r="A3229" t="str">
            <v>ARS</v>
          </cell>
          <cell r="B3229" t="str">
            <v>812000028</v>
          </cell>
          <cell r="C3229" t="str">
            <v>Ferrand, Fabian Marcelo</v>
          </cell>
          <cell r="G3229">
            <v>82847366.349999994</v>
          </cell>
          <cell r="H3229">
            <v>82847366.349999994</v>
          </cell>
          <cell r="I3229" t="str">
            <v>812</v>
          </cell>
        </row>
        <row r="3230">
          <cell r="A3230" t="str">
            <v>ARS</v>
          </cell>
          <cell r="B3230" t="str">
            <v>812000031</v>
          </cell>
          <cell r="C3230" t="str">
            <v>Macerola, Cristian</v>
          </cell>
          <cell r="G3230">
            <v>37083931.520000003</v>
          </cell>
          <cell r="H3230">
            <v>37083931.520000003</v>
          </cell>
          <cell r="I3230" t="str">
            <v>812</v>
          </cell>
        </row>
        <row r="3231">
          <cell r="A3231" t="str">
            <v>ARS</v>
          </cell>
          <cell r="B3231" t="str">
            <v>812000038</v>
          </cell>
          <cell r="C3231" t="str">
            <v>RONALD G SCHEITLIN SRL</v>
          </cell>
          <cell r="G3231">
            <v>112753725</v>
          </cell>
          <cell r="H3231">
            <v>112753725</v>
          </cell>
          <cell r="I3231" t="str">
            <v>812</v>
          </cell>
        </row>
        <row r="3232">
          <cell r="A3232" t="str">
            <v>ARS</v>
          </cell>
          <cell r="B3232" t="str">
            <v>812000042</v>
          </cell>
          <cell r="C3232" t="str">
            <v>Rossi, Lisandro</v>
          </cell>
          <cell r="G3232">
            <v>4007663.32</v>
          </cell>
          <cell r="H3232">
            <v>4007663.32</v>
          </cell>
          <cell r="I3232" t="str">
            <v>812</v>
          </cell>
        </row>
        <row r="3233">
          <cell r="A3233" t="str">
            <v>ARS</v>
          </cell>
          <cell r="B3233" t="str">
            <v>812000044</v>
          </cell>
          <cell r="C3233" t="str">
            <v>COOPERATIVA DE COMERCIALIZACION Y TRANSFORMACION ARROCEROS VILLA ELISA LIMITADA</v>
          </cell>
          <cell r="G3233">
            <v>45701062.990000002</v>
          </cell>
          <cell r="H3233">
            <v>45701062.990000002</v>
          </cell>
          <cell r="I3233" t="str">
            <v>812</v>
          </cell>
        </row>
        <row r="3234">
          <cell r="A3234" t="str">
            <v>ARS</v>
          </cell>
          <cell r="B3234" t="str">
            <v>812000049</v>
          </cell>
          <cell r="C3234" t="str">
            <v>AGRO GANADERA VIDORET SA</v>
          </cell>
          <cell r="G3234">
            <v>185878798.58000001</v>
          </cell>
          <cell r="H3234">
            <v>185878798.58000001</v>
          </cell>
          <cell r="I3234" t="str">
            <v>812</v>
          </cell>
        </row>
        <row r="3235">
          <cell r="A3235" t="str">
            <v>ARS</v>
          </cell>
          <cell r="B3235" t="str">
            <v>812000054</v>
          </cell>
          <cell r="C3235" t="str">
            <v>7B INGENIERIA SRL</v>
          </cell>
          <cell r="G3235">
            <v>10782923.65</v>
          </cell>
          <cell r="H3235">
            <v>10782923.65</v>
          </cell>
          <cell r="I3235" t="str">
            <v>812</v>
          </cell>
        </row>
        <row r="3236">
          <cell r="A3236" t="str">
            <v>ARS</v>
          </cell>
          <cell r="B3236" t="str">
            <v>812000060</v>
          </cell>
          <cell r="C3236" t="str">
            <v>Allende, Gonzalo Lucas</v>
          </cell>
          <cell r="G3236">
            <v>8786711.5999999996</v>
          </cell>
          <cell r="H3236">
            <v>8786711.5999999996</v>
          </cell>
          <cell r="I3236" t="str">
            <v>812</v>
          </cell>
        </row>
        <row r="3237">
          <cell r="A3237" t="str">
            <v>ARS</v>
          </cell>
          <cell r="B3237" t="str">
            <v>812000066</v>
          </cell>
          <cell r="C3237" t="str">
            <v>CHIMAGRO SA</v>
          </cell>
          <cell r="G3237">
            <v>263933426.78</v>
          </cell>
          <cell r="H3237">
            <v>263933426.78</v>
          </cell>
          <cell r="I3237" t="str">
            <v>812</v>
          </cell>
        </row>
        <row r="3238">
          <cell r="A3238" t="str">
            <v>ARS</v>
          </cell>
          <cell r="B3238" t="str">
            <v>812000068</v>
          </cell>
          <cell r="C3238" t="str">
            <v>Schuap, Luis Alfredo</v>
          </cell>
          <cell r="G3238">
            <v>629324639.38</v>
          </cell>
          <cell r="H3238">
            <v>629324639.38</v>
          </cell>
          <cell r="I3238" t="str">
            <v>812</v>
          </cell>
        </row>
        <row r="3239">
          <cell r="A3239" t="str">
            <v>ARS</v>
          </cell>
          <cell r="B3239" t="str">
            <v>812000081</v>
          </cell>
          <cell r="C3239" t="str">
            <v>MADELOG SRL</v>
          </cell>
          <cell r="G3239">
            <v>49758455.520000003</v>
          </cell>
          <cell r="H3239">
            <v>49758455.520000003</v>
          </cell>
          <cell r="I3239" t="str">
            <v>812</v>
          </cell>
        </row>
        <row r="3240">
          <cell r="A3240" t="str">
            <v>ARS</v>
          </cell>
          <cell r="B3240" t="str">
            <v>812000082</v>
          </cell>
          <cell r="C3240" t="str">
            <v>De La Iglesia, Nelson Fabian</v>
          </cell>
          <cell r="G3240">
            <v>77163017.25</v>
          </cell>
          <cell r="H3240">
            <v>77163017.25</v>
          </cell>
          <cell r="I3240" t="str">
            <v>812</v>
          </cell>
        </row>
        <row r="3241">
          <cell r="A3241" t="str">
            <v>ARS</v>
          </cell>
          <cell r="B3241" t="str">
            <v>812000085</v>
          </cell>
          <cell r="C3241" t="str">
            <v>FIORITO FACTORING SA</v>
          </cell>
          <cell r="G3241">
            <v>328227456.81</v>
          </cell>
          <cell r="H3241">
            <v>328227456.81</v>
          </cell>
          <cell r="I3241" t="str">
            <v>812</v>
          </cell>
        </row>
        <row r="3242">
          <cell r="A3242" t="str">
            <v>ARS</v>
          </cell>
          <cell r="B3242" t="str">
            <v>812000086</v>
          </cell>
          <cell r="C3242" t="str">
            <v>Danessa, Gerardo Alfredo</v>
          </cell>
          <cell r="G3242">
            <v>100482857.51000001</v>
          </cell>
          <cell r="H3242">
            <v>100482857.51000001</v>
          </cell>
          <cell r="I3242" t="str">
            <v>812</v>
          </cell>
        </row>
        <row r="3243">
          <cell r="A3243" t="str">
            <v>ARS</v>
          </cell>
          <cell r="B3243" t="str">
            <v>812000088</v>
          </cell>
          <cell r="C3243" t="str">
            <v>Sumich, Gabriela Mariana</v>
          </cell>
          <cell r="G3243">
            <v>5532795.6500000004</v>
          </cell>
          <cell r="H3243">
            <v>5532795.6500000004</v>
          </cell>
          <cell r="I3243" t="str">
            <v>812</v>
          </cell>
        </row>
        <row r="3244">
          <cell r="A3244" t="str">
            <v>ARS</v>
          </cell>
          <cell r="B3244" t="str">
            <v>812000089</v>
          </cell>
          <cell r="C3244" t="str">
            <v>Carciochi, Pablo Enrique</v>
          </cell>
          <cell r="G3244">
            <v>122906458.63</v>
          </cell>
          <cell r="H3244">
            <v>122906458.63</v>
          </cell>
          <cell r="I3244" t="str">
            <v>812</v>
          </cell>
        </row>
        <row r="3245">
          <cell r="A3245" t="str">
            <v>ARS</v>
          </cell>
          <cell r="B3245" t="str">
            <v>812000092</v>
          </cell>
          <cell r="C3245" t="str">
            <v>ING PELLEGRINET SA</v>
          </cell>
          <cell r="G3245">
            <v>129956556.95</v>
          </cell>
          <cell r="H3245">
            <v>129956556.95</v>
          </cell>
          <cell r="I3245" t="str">
            <v>812</v>
          </cell>
        </row>
        <row r="3246">
          <cell r="A3246" t="str">
            <v>ARS</v>
          </cell>
          <cell r="B3246" t="str">
            <v>812000093</v>
          </cell>
          <cell r="C3246" t="str">
            <v>Cisneros, Mauro Gaston</v>
          </cell>
          <cell r="G3246">
            <v>50187506.420000002</v>
          </cell>
          <cell r="H3246">
            <v>50187506.420000002</v>
          </cell>
          <cell r="I3246" t="str">
            <v>812</v>
          </cell>
        </row>
        <row r="3247">
          <cell r="A3247" t="str">
            <v>ARS</v>
          </cell>
          <cell r="B3247" t="str">
            <v>812000095</v>
          </cell>
          <cell r="C3247" t="str">
            <v>DEVOL SA</v>
          </cell>
          <cell r="G3247">
            <v>123355183.84</v>
          </cell>
          <cell r="H3247">
            <v>123355183.84</v>
          </cell>
          <cell r="I3247" t="str">
            <v>812</v>
          </cell>
        </row>
        <row r="3248">
          <cell r="A3248" t="str">
            <v>ARS</v>
          </cell>
          <cell r="B3248" t="str">
            <v>816000105</v>
          </cell>
          <cell r="C3248" t="str">
            <v>Ustariz, Cristian Alberto y Cardona, Maria Dolores y Ustariz, Segundo</v>
          </cell>
          <cell r="G3248">
            <v>1360695339.6700001</v>
          </cell>
          <cell r="H3248">
            <v>1360695339.6700001</v>
          </cell>
          <cell r="I3248" t="str">
            <v>816</v>
          </cell>
        </row>
        <row r="3249">
          <cell r="A3249" t="str">
            <v>ARS</v>
          </cell>
          <cell r="B3249" t="str">
            <v>816000132</v>
          </cell>
          <cell r="C3249" t="str">
            <v>Giardini, Jorge Raul</v>
          </cell>
          <cell r="G3249">
            <v>108514577.40000001</v>
          </cell>
          <cell r="H3249">
            <v>108514577.40000001</v>
          </cell>
          <cell r="I3249" t="str">
            <v>816</v>
          </cell>
        </row>
        <row r="3250">
          <cell r="A3250" t="str">
            <v>ARS</v>
          </cell>
          <cell r="B3250" t="str">
            <v>816000139</v>
          </cell>
          <cell r="C3250" t="str">
            <v>Boixart, Hugo Ramon y Montaña Corina V.</v>
          </cell>
          <cell r="G3250">
            <v>56465.5</v>
          </cell>
          <cell r="H3250">
            <v>56465.5</v>
          </cell>
          <cell r="I3250" t="str">
            <v>816</v>
          </cell>
        </row>
        <row r="3251">
          <cell r="A3251" t="str">
            <v>ARS</v>
          </cell>
          <cell r="B3251" t="str">
            <v>816000156</v>
          </cell>
          <cell r="C3251" t="str">
            <v>Moroni, Gustavo y Semino, Adriana</v>
          </cell>
          <cell r="G3251">
            <v>40017474</v>
          </cell>
          <cell r="H3251">
            <v>40017474</v>
          </cell>
          <cell r="I3251" t="str">
            <v>816</v>
          </cell>
        </row>
        <row r="3252">
          <cell r="A3252" t="str">
            <v>ARS</v>
          </cell>
          <cell r="B3252" t="str">
            <v>816000184</v>
          </cell>
          <cell r="C3252" t="str">
            <v>Del Carril, Francisco Felipe;  Bustillo, Monica Maria; Del Carril Pablo Bonifacio</v>
          </cell>
          <cell r="G3252">
            <v>3528549.75</v>
          </cell>
          <cell r="H3252">
            <v>3528549.75</v>
          </cell>
          <cell r="I3252" t="str">
            <v>816</v>
          </cell>
        </row>
        <row r="3253">
          <cell r="A3253" t="str">
            <v>ARS</v>
          </cell>
          <cell r="B3253" t="str">
            <v>816000215</v>
          </cell>
          <cell r="C3253" t="str">
            <v>Borrelli, Martin y Mariela Bianco</v>
          </cell>
          <cell r="G3253">
            <v>148481194.81999999</v>
          </cell>
          <cell r="H3253">
            <v>148481194.81999999</v>
          </cell>
          <cell r="I3253" t="str">
            <v>816</v>
          </cell>
        </row>
        <row r="3254">
          <cell r="A3254" t="str">
            <v>ARS</v>
          </cell>
          <cell r="B3254" t="str">
            <v>816000239</v>
          </cell>
          <cell r="C3254" t="str">
            <v>Kakoom SA</v>
          </cell>
          <cell r="G3254">
            <v>3845979.88</v>
          </cell>
          <cell r="H3254">
            <v>3845979.88</v>
          </cell>
          <cell r="I3254" t="str">
            <v>816</v>
          </cell>
        </row>
        <row r="3255">
          <cell r="A3255" t="str">
            <v>ARS</v>
          </cell>
          <cell r="B3255" t="str">
            <v>816000253</v>
          </cell>
          <cell r="C3255" t="str">
            <v>Sicro SA</v>
          </cell>
          <cell r="G3255">
            <v>50169194.200000003</v>
          </cell>
          <cell r="H3255">
            <v>50169194.200000003</v>
          </cell>
          <cell r="I3255" t="str">
            <v>816</v>
          </cell>
        </row>
        <row r="3256">
          <cell r="A3256" t="str">
            <v>ARS</v>
          </cell>
          <cell r="B3256" t="str">
            <v>816000274</v>
          </cell>
          <cell r="C3256" t="str">
            <v>Urday; Nicolas Santiago</v>
          </cell>
          <cell r="G3256">
            <v>48188300</v>
          </cell>
          <cell r="H3256">
            <v>48188300</v>
          </cell>
          <cell r="I3256" t="str">
            <v>816</v>
          </cell>
        </row>
        <row r="3257">
          <cell r="A3257" t="str">
            <v>ARS</v>
          </cell>
          <cell r="B3257" t="str">
            <v>816000283</v>
          </cell>
          <cell r="C3257" t="str">
            <v>Mazzei, Carolina y Mazzei, Federico</v>
          </cell>
          <cell r="G3257">
            <v>39685088.200000003</v>
          </cell>
          <cell r="H3257">
            <v>39685088.200000003</v>
          </cell>
          <cell r="I3257" t="str">
            <v>816</v>
          </cell>
        </row>
        <row r="3258">
          <cell r="A3258" t="str">
            <v>ARS</v>
          </cell>
          <cell r="B3258" t="str">
            <v>816000294</v>
          </cell>
          <cell r="C3258" t="str">
            <v>Marchese, Lorenzo Luis</v>
          </cell>
          <cell r="G3258">
            <v>35435</v>
          </cell>
          <cell r="H3258">
            <v>35435</v>
          </cell>
          <cell r="I3258" t="str">
            <v>816</v>
          </cell>
        </row>
        <row r="3259">
          <cell r="A3259" t="str">
            <v>ARS</v>
          </cell>
          <cell r="B3259" t="str">
            <v>816000295</v>
          </cell>
          <cell r="C3259" t="str">
            <v>Cavanagh, Carlos Ignacio y Halle, Moira</v>
          </cell>
          <cell r="G3259">
            <v>128782140</v>
          </cell>
          <cell r="H3259">
            <v>128782140</v>
          </cell>
          <cell r="I3259" t="str">
            <v>816</v>
          </cell>
        </row>
        <row r="3260">
          <cell r="A3260" t="str">
            <v>ARS</v>
          </cell>
          <cell r="B3260" t="str">
            <v>816000297</v>
          </cell>
          <cell r="C3260" t="str">
            <v>Paz, Rafael Jose y Zucchelli, Carolina Pia</v>
          </cell>
          <cell r="G3260">
            <v>759121512.70000005</v>
          </cell>
          <cell r="H3260">
            <v>759121512.70000005</v>
          </cell>
          <cell r="I3260" t="str">
            <v>816</v>
          </cell>
        </row>
        <row r="3261">
          <cell r="A3261" t="str">
            <v>ARS</v>
          </cell>
          <cell r="B3261" t="str">
            <v>816000307</v>
          </cell>
          <cell r="C3261" t="str">
            <v>Molinero, Carlos Danilo; Alvarez Nilda; Molinero Lautaro</v>
          </cell>
          <cell r="G3261">
            <v>3541.2</v>
          </cell>
          <cell r="H3261">
            <v>3541.2</v>
          </cell>
          <cell r="I3261" t="str">
            <v>816</v>
          </cell>
        </row>
        <row r="3262">
          <cell r="A3262" t="str">
            <v>ARS</v>
          </cell>
          <cell r="B3262" t="str">
            <v>816000308</v>
          </cell>
          <cell r="C3262" t="str">
            <v>Bercovich, Cecilia Adriana</v>
          </cell>
          <cell r="G3262">
            <v>3142878</v>
          </cell>
          <cell r="H3262">
            <v>3142878</v>
          </cell>
          <cell r="I3262" t="str">
            <v>816</v>
          </cell>
        </row>
        <row r="3263">
          <cell r="A3263" t="str">
            <v>ARS</v>
          </cell>
          <cell r="B3263" t="str">
            <v>816000342</v>
          </cell>
          <cell r="C3263" t="str">
            <v>Garcia, Eduardo Mario y Patanian, Lucia del Carmen</v>
          </cell>
          <cell r="G3263">
            <v>8769496.4000000004</v>
          </cell>
          <cell r="H3263">
            <v>8769496.4000000004</v>
          </cell>
          <cell r="I3263" t="str">
            <v>816</v>
          </cell>
        </row>
        <row r="3264">
          <cell r="A3264" t="str">
            <v>ARS</v>
          </cell>
          <cell r="B3264" t="str">
            <v>816000355</v>
          </cell>
          <cell r="C3264" t="str">
            <v>EDSI Trend Argentina S.A.</v>
          </cell>
          <cell r="G3264">
            <v>281044458946</v>
          </cell>
          <cell r="H3264">
            <v>281044458946</v>
          </cell>
          <cell r="I3264" t="str">
            <v>816</v>
          </cell>
        </row>
        <row r="3265">
          <cell r="A3265" t="str">
            <v>ARS</v>
          </cell>
          <cell r="B3265" t="str">
            <v>816000361</v>
          </cell>
          <cell r="C3265" t="str">
            <v>Moroni, Malena - Moroni, Gustavo</v>
          </cell>
          <cell r="G3265">
            <v>43474837.609999999</v>
          </cell>
          <cell r="H3265">
            <v>43474837.609999999</v>
          </cell>
          <cell r="I3265" t="str">
            <v>816</v>
          </cell>
        </row>
        <row r="3266">
          <cell r="A3266" t="str">
            <v>ARS</v>
          </cell>
          <cell r="B3266" t="str">
            <v>816000382</v>
          </cell>
          <cell r="C3266" t="str">
            <v>Reynal Fernandez Ocampo, Javier Maria</v>
          </cell>
          <cell r="G3266">
            <v>468651.4</v>
          </cell>
          <cell r="H3266">
            <v>468651.4</v>
          </cell>
          <cell r="I3266" t="str">
            <v>816</v>
          </cell>
        </row>
        <row r="3267">
          <cell r="A3267" t="str">
            <v>ARS</v>
          </cell>
          <cell r="B3267" t="str">
            <v>816000385</v>
          </cell>
          <cell r="C3267" t="str">
            <v>Casamayor Caro Jose Alejandro y Gonzalez Anabel</v>
          </cell>
          <cell r="G3267">
            <v>389776492.19999999</v>
          </cell>
          <cell r="H3267">
            <v>389776492.19999999</v>
          </cell>
          <cell r="I3267" t="str">
            <v>816</v>
          </cell>
        </row>
        <row r="3268">
          <cell r="A3268" t="str">
            <v>ARS</v>
          </cell>
          <cell r="B3268" t="str">
            <v>816000390</v>
          </cell>
          <cell r="C3268" t="str">
            <v>Gravier, Alejandro Jorge o Mazza, Valeria Raquel</v>
          </cell>
          <cell r="G3268">
            <v>838491502</v>
          </cell>
          <cell r="H3268">
            <v>838491502</v>
          </cell>
          <cell r="I3268" t="str">
            <v>816</v>
          </cell>
        </row>
        <row r="3269">
          <cell r="A3269" t="str">
            <v>ARS</v>
          </cell>
          <cell r="B3269" t="str">
            <v>816000395</v>
          </cell>
          <cell r="C3269" t="str">
            <v>Panelo, Rodolfo Mario y Nelson, Alejandra</v>
          </cell>
          <cell r="G3269">
            <v>17723141</v>
          </cell>
          <cell r="H3269">
            <v>17723141</v>
          </cell>
          <cell r="I3269" t="str">
            <v>816</v>
          </cell>
        </row>
        <row r="3270">
          <cell r="A3270" t="str">
            <v>ARS</v>
          </cell>
          <cell r="B3270" t="str">
            <v>816000412</v>
          </cell>
          <cell r="C3270" t="str">
            <v>Dosisto, Fabian Eduardo y Medina, Graciela Beatriz</v>
          </cell>
          <cell r="G3270">
            <v>79101</v>
          </cell>
          <cell r="H3270">
            <v>79101</v>
          </cell>
          <cell r="I3270" t="str">
            <v>816</v>
          </cell>
        </row>
        <row r="3271">
          <cell r="A3271" t="str">
            <v>ARS</v>
          </cell>
          <cell r="B3271" t="str">
            <v>816000420</v>
          </cell>
          <cell r="C3271" t="str">
            <v>Sterin Carmona, Ricardo R. y Pensel, Silvia E. y Sterin Pensel, Lucas</v>
          </cell>
          <cell r="G3271">
            <v>159259979.25</v>
          </cell>
          <cell r="H3271">
            <v>159259979.25</v>
          </cell>
          <cell r="I3271" t="str">
            <v>816</v>
          </cell>
        </row>
        <row r="3272">
          <cell r="A3272" t="str">
            <v>ARS</v>
          </cell>
          <cell r="B3272" t="str">
            <v>816000422</v>
          </cell>
          <cell r="C3272" t="str">
            <v>Logistica Rojas S.A.</v>
          </cell>
          <cell r="G3272">
            <v>142500</v>
          </cell>
          <cell r="H3272">
            <v>142500</v>
          </cell>
          <cell r="I3272" t="str">
            <v>816</v>
          </cell>
        </row>
        <row r="3273">
          <cell r="A3273" t="str">
            <v>ARS</v>
          </cell>
          <cell r="B3273" t="str">
            <v>816000435</v>
          </cell>
          <cell r="C3273" t="str">
            <v>Quesada Dionisio, Grandi Mariana</v>
          </cell>
          <cell r="G3273">
            <v>2966955.6</v>
          </cell>
          <cell r="H3273">
            <v>2966955.6</v>
          </cell>
          <cell r="I3273" t="str">
            <v>816</v>
          </cell>
        </row>
        <row r="3274">
          <cell r="A3274" t="str">
            <v>ARS</v>
          </cell>
          <cell r="B3274" t="str">
            <v>816000521</v>
          </cell>
          <cell r="C3274" t="str">
            <v>Salgueiro, Juan Manuel y Salgueiro, Jose Luis</v>
          </cell>
          <cell r="G3274">
            <v>1459958492.24</v>
          </cell>
          <cell r="H3274">
            <v>1459958492.24</v>
          </cell>
          <cell r="I3274" t="str">
            <v>816</v>
          </cell>
        </row>
        <row r="3275">
          <cell r="A3275" t="str">
            <v>ARS</v>
          </cell>
          <cell r="B3275" t="str">
            <v>816000522</v>
          </cell>
          <cell r="C3275" t="str">
            <v>Coll, Esteban y Coll Fernando</v>
          </cell>
          <cell r="G3275">
            <v>98320</v>
          </cell>
          <cell r="H3275">
            <v>98320</v>
          </cell>
          <cell r="I3275" t="str">
            <v>816</v>
          </cell>
        </row>
        <row r="3276">
          <cell r="A3276" t="str">
            <v>ARS</v>
          </cell>
          <cell r="B3276" t="str">
            <v>816000612</v>
          </cell>
          <cell r="C3276" t="str">
            <v>Lalor S.A.C.M. y F.</v>
          </cell>
          <cell r="G3276">
            <v>63376440</v>
          </cell>
          <cell r="H3276">
            <v>63376440</v>
          </cell>
          <cell r="I3276" t="str">
            <v>816</v>
          </cell>
        </row>
        <row r="3277">
          <cell r="A3277" t="str">
            <v>ARS</v>
          </cell>
          <cell r="B3277" t="str">
            <v>816000687</v>
          </cell>
          <cell r="C3277" t="str">
            <v>Cardenas Maria Pia - Riesenkamp Guillermo Constantino</v>
          </cell>
          <cell r="G3277">
            <v>4028082.6</v>
          </cell>
          <cell r="H3277">
            <v>4028082.6</v>
          </cell>
          <cell r="I3277" t="str">
            <v>816</v>
          </cell>
        </row>
        <row r="3278">
          <cell r="A3278" t="str">
            <v>ARS</v>
          </cell>
          <cell r="B3278" t="str">
            <v>816000829</v>
          </cell>
          <cell r="C3278" t="str">
            <v>Martinez Schuster, Elias Juan</v>
          </cell>
          <cell r="G3278">
            <v>66810</v>
          </cell>
          <cell r="H3278">
            <v>66810</v>
          </cell>
          <cell r="I3278" t="str">
            <v>816</v>
          </cell>
        </row>
        <row r="3279">
          <cell r="A3279" t="str">
            <v>ARS</v>
          </cell>
          <cell r="B3279" t="str">
            <v>816000841</v>
          </cell>
          <cell r="C3279" t="str">
            <v>Gutierrez Ballesteros, Denise Rosa y Gutierrez, Raul Luis</v>
          </cell>
          <cell r="G3279">
            <v>17229800</v>
          </cell>
          <cell r="H3279">
            <v>17229800</v>
          </cell>
          <cell r="I3279" t="str">
            <v>816</v>
          </cell>
        </row>
        <row r="3280">
          <cell r="A3280" t="str">
            <v>ARS</v>
          </cell>
          <cell r="B3280" t="str">
            <v>816000858</v>
          </cell>
          <cell r="C3280" t="str">
            <v>Gonzalez Garcia Fernandez, Eduardo Efrain</v>
          </cell>
          <cell r="G3280">
            <v>2983748.5</v>
          </cell>
          <cell r="H3280">
            <v>2983748.5</v>
          </cell>
          <cell r="I3280" t="str">
            <v>816</v>
          </cell>
        </row>
        <row r="3281">
          <cell r="A3281" t="str">
            <v>ARS</v>
          </cell>
          <cell r="B3281" t="str">
            <v>816000866</v>
          </cell>
          <cell r="C3281" t="str">
            <v>Bab Weinstein, Daniel Julio o Litman Schatz, Lucia Adriana</v>
          </cell>
          <cell r="G3281">
            <v>76512946.200000003</v>
          </cell>
          <cell r="H3281">
            <v>76512946.200000003</v>
          </cell>
          <cell r="I3281" t="str">
            <v>816</v>
          </cell>
        </row>
        <row r="3282">
          <cell r="A3282" t="str">
            <v>ARS</v>
          </cell>
          <cell r="B3282" t="str">
            <v>816000907</v>
          </cell>
          <cell r="C3282" t="str">
            <v>Iacono, Eduardo Luis y Cioffi, Mirta</v>
          </cell>
          <cell r="G3282">
            <v>3009971.9</v>
          </cell>
          <cell r="H3282">
            <v>3009971.9</v>
          </cell>
          <cell r="I3282" t="str">
            <v>816</v>
          </cell>
        </row>
        <row r="3283">
          <cell r="A3283" t="str">
            <v>ARS</v>
          </cell>
          <cell r="B3283" t="str">
            <v>816000961</v>
          </cell>
          <cell r="C3283" t="str">
            <v>Torres Ricardo Juan y Torres Maria Isabel</v>
          </cell>
          <cell r="G3283">
            <v>27475220</v>
          </cell>
          <cell r="H3283">
            <v>27475220</v>
          </cell>
          <cell r="I3283" t="str">
            <v>816</v>
          </cell>
        </row>
        <row r="3284">
          <cell r="A3284" t="str">
            <v>ARS</v>
          </cell>
          <cell r="B3284" t="str">
            <v>816000979</v>
          </cell>
          <cell r="C3284" t="str">
            <v>Daverio Ana Maria y Sarrabayrouse Bargallo Jose Maria</v>
          </cell>
          <cell r="G3284">
            <v>58290</v>
          </cell>
          <cell r="H3284">
            <v>58290</v>
          </cell>
          <cell r="I3284" t="str">
            <v>816</v>
          </cell>
        </row>
        <row r="3285">
          <cell r="A3285" t="str">
            <v>ARS</v>
          </cell>
          <cell r="B3285" t="str">
            <v>816001038</v>
          </cell>
          <cell r="C3285" t="str">
            <v>CAPY QUICE S.A.</v>
          </cell>
          <cell r="G3285">
            <v>610864261.24000001</v>
          </cell>
          <cell r="H3285">
            <v>610864261.24000001</v>
          </cell>
          <cell r="I3285" t="str">
            <v>816</v>
          </cell>
        </row>
        <row r="3286">
          <cell r="A3286" t="str">
            <v>ARS</v>
          </cell>
          <cell r="B3286" t="str">
            <v>816001066</v>
          </cell>
          <cell r="C3286" t="str">
            <v>Blauzwirn, Guillermo</v>
          </cell>
          <cell r="G3286">
            <v>181025317.5</v>
          </cell>
          <cell r="H3286">
            <v>181025317.5</v>
          </cell>
          <cell r="I3286" t="str">
            <v>816</v>
          </cell>
        </row>
        <row r="3287">
          <cell r="A3287" t="str">
            <v>ARS</v>
          </cell>
          <cell r="B3287" t="str">
            <v>816001216</v>
          </cell>
          <cell r="C3287" t="str">
            <v>Arias, Carolina</v>
          </cell>
          <cell r="G3287">
            <v>2140637220</v>
          </cell>
          <cell r="H3287">
            <v>2140637220</v>
          </cell>
          <cell r="I3287" t="str">
            <v>816</v>
          </cell>
        </row>
        <row r="3288">
          <cell r="A3288" t="str">
            <v>ARS</v>
          </cell>
          <cell r="B3288" t="str">
            <v>816001287</v>
          </cell>
          <cell r="C3288" t="str">
            <v>Markovic  Esteban</v>
          </cell>
          <cell r="G3288">
            <v>811146</v>
          </cell>
          <cell r="H3288">
            <v>811146</v>
          </cell>
          <cell r="I3288" t="str">
            <v>816</v>
          </cell>
        </row>
        <row r="3289">
          <cell r="A3289" t="str">
            <v>ARS</v>
          </cell>
          <cell r="B3289" t="str">
            <v>816001364</v>
          </cell>
          <cell r="C3289" t="str">
            <v>Gonzalez Rios, Eliana Antonella</v>
          </cell>
          <cell r="G3289">
            <v>20436800</v>
          </cell>
          <cell r="H3289">
            <v>20436800</v>
          </cell>
          <cell r="I3289" t="str">
            <v>816</v>
          </cell>
        </row>
        <row r="3290">
          <cell r="A3290" t="str">
            <v>ARS</v>
          </cell>
          <cell r="B3290" t="str">
            <v>816001407</v>
          </cell>
          <cell r="C3290" t="str">
            <v>Fernandez Maldonado Enrique Jorge, Cigorraga Selva Beatriz</v>
          </cell>
          <cell r="G3290">
            <v>5913431.8700000001</v>
          </cell>
          <cell r="H3290">
            <v>5913431.8700000001</v>
          </cell>
          <cell r="I3290" t="str">
            <v>816</v>
          </cell>
        </row>
        <row r="3291">
          <cell r="A3291" t="str">
            <v>ARS</v>
          </cell>
          <cell r="B3291" t="str">
            <v>816001489</v>
          </cell>
          <cell r="C3291" t="str">
            <v>Borla, Juan Augusto</v>
          </cell>
          <cell r="G3291">
            <v>198656668.80000001</v>
          </cell>
          <cell r="H3291">
            <v>198656668.80000001</v>
          </cell>
          <cell r="I3291" t="str">
            <v>816</v>
          </cell>
        </row>
        <row r="3292">
          <cell r="A3292" t="str">
            <v>ARS</v>
          </cell>
          <cell r="B3292" t="str">
            <v>816001496</v>
          </cell>
          <cell r="C3292" t="str">
            <v>Paracone, Pablo Augusto y Reggiani, Josefina Laura</v>
          </cell>
          <cell r="G3292">
            <v>50910552.909999996</v>
          </cell>
          <cell r="H3292">
            <v>50910552.909999996</v>
          </cell>
          <cell r="I3292" t="str">
            <v>816</v>
          </cell>
        </row>
        <row r="3293">
          <cell r="A3293" t="str">
            <v>ARS</v>
          </cell>
          <cell r="B3293" t="str">
            <v>816001500</v>
          </cell>
          <cell r="C3293" t="str">
            <v>Nougues, Ambrosio y Virasoro, Mercedes</v>
          </cell>
          <cell r="G3293">
            <v>37293717.880000003</v>
          </cell>
          <cell r="H3293">
            <v>37293717.880000003</v>
          </cell>
          <cell r="I3293" t="str">
            <v>816</v>
          </cell>
        </row>
        <row r="3294">
          <cell r="A3294" t="str">
            <v>ARS</v>
          </cell>
          <cell r="B3294" t="str">
            <v>816001510</v>
          </cell>
          <cell r="C3294" t="str">
            <v xml:space="preserve">Longinotti, Jose Luis - Furlotti, Isabela - Longinotti, Luca - Longinotti, Franco </v>
          </cell>
          <cell r="G3294">
            <v>18577927.5</v>
          </cell>
          <cell r="H3294">
            <v>18577927.5</v>
          </cell>
          <cell r="I3294" t="str">
            <v>816</v>
          </cell>
        </row>
        <row r="3295">
          <cell r="A3295" t="str">
            <v>ARS</v>
          </cell>
          <cell r="B3295" t="str">
            <v>816001525</v>
          </cell>
          <cell r="C3295" t="str">
            <v xml:space="preserve">Bulgheroni, Alejandro Pedro </v>
          </cell>
          <cell r="G3295">
            <v>84896189.200000003</v>
          </cell>
          <cell r="H3295">
            <v>84896189.200000003</v>
          </cell>
          <cell r="I3295" t="str">
            <v>816</v>
          </cell>
        </row>
        <row r="3296">
          <cell r="A3296" t="str">
            <v>ARS</v>
          </cell>
          <cell r="B3296" t="str">
            <v>816001589</v>
          </cell>
          <cell r="C3296" t="str">
            <v>Ferragamo Argentina SA</v>
          </cell>
          <cell r="G3296">
            <v>107077741.90000001</v>
          </cell>
          <cell r="H3296">
            <v>107077741.90000001</v>
          </cell>
          <cell r="I3296" t="str">
            <v>816</v>
          </cell>
        </row>
        <row r="3297">
          <cell r="A3297" t="str">
            <v>ARS</v>
          </cell>
          <cell r="B3297" t="str">
            <v>816001643</v>
          </cell>
          <cell r="C3297" t="str">
            <v>Segundo Ustariz</v>
          </cell>
          <cell r="G3297">
            <v>44853443.299999997</v>
          </cell>
          <cell r="H3297">
            <v>44853443.299999997</v>
          </cell>
          <cell r="I3297" t="str">
            <v>816</v>
          </cell>
        </row>
        <row r="3298">
          <cell r="A3298" t="str">
            <v>ARS</v>
          </cell>
          <cell r="B3298" t="str">
            <v>816001701</v>
          </cell>
          <cell r="C3298" t="str">
            <v>DEPLAMED S.R.L.</v>
          </cell>
          <cell r="G3298">
            <v>249246534.90000001</v>
          </cell>
          <cell r="H3298">
            <v>249246534.90000001</v>
          </cell>
          <cell r="I3298" t="str">
            <v>816</v>
          </cell>
        </row>
        <row r="3299">
          <cell r="A3299" t="str">
            <v>ARS</v>
          </cell>
          <cell r="B3299" t="str">
            <v>816001747</v>
          </cell>
          <cell r="C3299" t="str">
            <v>Kancyper, Marcelo Andres</v>
          </cell>
          <cell r="G3299">
            <v>49100</v>
          </cell>
          <cell r="H3299">
            <v>49100</v>
          </cell>
          <cell r="I3299" t="str">
            <v>816</v>
          </cell>
        </row>
        <row r="3300">
          <cell r="A3300" t="str">
            <v>ARS</v>
          </cell>
          <cell r="B3300" t="str">
            <v>816001755</v>
          </cell>
          <cell r="C3300" t="str">
            <v>[C.E.R.A.] - Bof, Ricardo Dario</v>
          </cell>
          <cell r="G3300">
            <v>8850</v>
          </cell>
          <cell r="H3300">
            <v>8850</v>
          </cell>
          <cell r="I3300" t="str">
            <v>816</v>
          </cell>
        </row>
        <row r="3301">
          <cell r="A3301" t="str">
            <v>ARS</v>
          </cell>
          <cell r="B3301" t="str">
            <v>816001791</v>
          </cell>
          <cell r="C3301" t="str">
            <v>Braun Menendez, Marcelo</v>
          </cell>
          <cell r="G3301">
            <v>1175590</v>
          </cell>
          <cell r="H3301">
            <v>1175590</v>
          </cell>
          <cell r="I3301" t="str">
            <v>816</v>
          </cell>
        </row>
        <row r="3302">
          <cell r="A3302" t="str">
            <v>ARS</v>
          </cell>
          <cell r="B3302" t="str">
            <v>816001792</v>
          </cell>
          <cell r="C3302" t="str">
            <v>Robles, Mateo</v>
          </cell>
          <cell r="G3302">
            <v>184690523.97999999</v>
          </cell>
          <cell r="H3302">
            <v>184690523.97999999</v>
          </cell>
          <cell r="I3302" t="str">
            <v>816</v>
          </cell>
        </row>
        <row r="3303">
          <cell r="A3303" t="str">
            <v>ARS</v>
          </cell>
          <cell r="B3303" t="str">
            <v>816001794</v>
          </cell>
          <cell r="C3303" t="str">
            <v>Cardona, Evangelina</v>
          </cell>
          <cell r="G3303">
            <v>2654.7</v>
          </cell>
          <cell r="H3303">
            <v>2654.7</v>
          </cell>
          <cell r="I3303" t="str">
            <v>816</v>
          </cell>
        </row>
        <row r="3304">
          <cell r="A3304" t="str">
            <v>ARS</v>
          </cell>
          <cell r="B3304" t="str">
            <v>816001796</v>
          </cell>
          <cell r="C3304" t="str">
            <v>Smith Estrada, Rafael</v>
          </cell>
          <cell r="G3304">
            <v>12421951.5</v>
          </cell>
          <cell r="H3304">
            <v>12421951.5</v>
          </cell>
          <cell r="I3304" t="str">
            <v>816</v>
          </cell>
        </row>
        <row r="3305">
          <cell r="A3305" t="str">
            <v>ARS</v>
          </cell>
          <cell r="B3305" t="str">
            <v>816001798</v>
          </cell>
          <cell r="C3305" t="str">
            <v>Muñoz, Maria Beatriz; Castagnani, Guillermo Julian</v>
          </cell>
          <cell r="G3305">
            <v>12096000</v>
          </cell>
          <cell r="H3305">
            <v>12096000</v>
          </cell>
          <cell r="I3305" t="str">
            <v>816</v>
          </cell>
        </row>
        <row r="3306">
          <cell r="A3306" t="str">
            <v>ARS</v>
          </cell>
          <cell r="B3306" t="str">
            <v>816001801</v>
          </cell>
          <cell r="C3306" t="str">
            <v>ROBFIN SA</v>
          </cell>
          <cell r="G3306">
            <v>29509317.359999999</v>
          </cell>
          <cell r="H3306">
            <v>29509317.359999999</v>
          </cell>
          <cell r="I3306" t="str">
            <v>816</v>
          </cell>
        </row>
        <row r="3307">
          <cell r="A3307" t="str">
            <v>ARS</v>
          </cell>
          <cell r="B3307" t="str">
            <v>816001804</v>
          </cell>
          <cell r="C3307" t="str">
            <v>Robles, Marcos</v>
          </cell>
          <cell r="G3307">
            <v>37626695.75</v>
          </cell>
          <cell r="H3307">
            <v>37626695.75</v>
          </cell>
          <cell r="I3307" t="str">
            <v>816</v>
          </cell>
        </row>
        <row r="3308">
          <cell r="A3308" t="str">
            <v>ARS</v>
          </cell>
          <cell r="B3308" t="str">
            <v>816001806</v>
          </cell>
          <cell r="C3308" t="str">
            <v>Iglesias, Joaquin; Puiggari, Milagros María</v>
          </cell>
          <cell r="G3308">
            <v>27959807.109999999</v>
          </cell>
          <cell r="H3308">
            <v>27959807.109999999</v>
          </cell>
          <cell r="I3308" t="str">
            <v>816</v>
          </cell>
        </row>
        <row r="3309">
          <cell r="A3309" t="str">
            <v>ARS</v>
          </cell>
          <cell r="B3309" t="str">
            <v>816001807</v>
          </cell>
          <cell r="C3309" t="str">
            <v>Blaquier, Isabel</v>
          </cell>
          <cell r="G3309">
            <v>116018</v>
          </cell>
          <cell r="H3309">
            <v>116018</v>
          </cell>
          <cell r="I3309" t="str">
            <v>816</v>
          </cell>
        </row>
        <row r="3310">
          <cell r="A3310" t="str">
            <v>ARS</v>
          </cell>
          <cell r="B3310" t="str">
            <v>816001809</v>
          </cell>
          <cell r="C3310" t="str">
            <v>Blaquier, Magdalena</v>
          </cell>
          <cell r="G3310">
            <v>116060</v>
          </cell>
          <cell r="H3310">
            <v>116060</v>
          </cell>
          <cell r="I3310" t="str">
            <v>816</v>
          </cell>
        </row>
        <row r="3311">
          <cell r="A3311" t="str">
            <v>ARS</v>
          </cell>
          <cell r="B3311" t="str">
            <v>816001810</v>
          </cell>
          <cell r="C3311" t="str">
            <v>[C.E.R.A.] - Robles, Mariano</v>
          </cell>
          <cell r="G3311">
            <v>362649205.63999999</v>
          </cell>
          <cell r="H3311">
            <v>362649205.63999999</v>
          </cell>
          <cell r="I3311" t="str">
            <v>816</v>
          </cell>
        </row>
        <row r="3312">
          <cell r="A3312" t="str">
            <v>ARS</v>
          </cell>
          <cell r="B3312" t="str">
            <v>816001811</v>
          </cell>
          <cell r="C3312" t="str">
            <v>Mateo, Rodrigo</v>
          </cell>
          <cell r="G3312">
            <v>29507697.5</v>
          </cell>
          <cell r="H3312">
            <v>29507697.5</v>
          </cell>
          <cell r="I3312" t="str">
            <v>816</v>
          </cell>
        </row>
        <row r="3313">
          <cell r="A3313" t="str">
            <v>ARS</v>
          </cell>
          <cell r="B3313" t="str">
            <v>816001821</v>
          </cell>
          <cell r="C3313" t="str">
            <v>Moroni, Lucia</v>
          </cell>
          <cell r="G3313">
            <v>3150812</v>
          </cell>
          <cell r="H3313">
            <v>3150812</v>
          </cell>
          <cell r="I3313" t="str">
            <v>816</v>
          </cell>
        </row>
        <row r="3314">
          <cell r="A3314" t="str">
            <v>ARS</v>
          </cell>
          <cell r="B3314" t="str">
            <v>816003014</v>
          </cell>
          <cell r="C3314" t="str">
            <v>Llorente Gonzalo Maria</v>
          </cell>
          <cell r="G3314">
            <v>51465592.399999999</v>
          </cell>
          <cell r="H3314">
            <v>51465592.399999999</v>
          </cell>
          <cell r="I3314" t="str">
            <v>816</v>
          </cell>
        </row>
        <row r="3315">
          <cell r="A3315" t="str">
            <v>ARS</v>
          </cell>
          <cell r="B3315" t="str">
            <v>816003022</v>
          </cell>
          <cell r="C3315" t="str">
            <v xml:space="preserve">Secco Vivian, Secco Gabriela </v>
          </cell>
          <cell r="G3315">
            <v>10047050.4</v>
          </cell>
          <cell r="H3315">
            <v>10047050.4</v>
          </cell>
          <cell r="I3315" t="str">
            <v>816</v>
          </cell>
        </row>
        <row r="3316">
          <cell r="A3316" t="str">
            <v>ARS</v>
          </cell>
          <cell r="B3316" t="str">
            <v>816003029</v>
          </cell>
          <cell r="C3316" t="str">
            <v>Gonzalez, Pelayo</v>
          </cell>
          <cell r="G3316">
            <v>2045057</v>
          </cell>
          <cell r="H3316">
            <v>2045057</v>
          </cell>
          <cell r="I3316" t="str">
            <v>816</v>
          </cell>
        </row>
        <row r="3317">
          <cell r="A3317" t="str">
            <v>ARS</v>
          </cell>
          <cell r="B3317" t="str">
            <v>816003043</v>
          </cell>
          <cell r="C3317" t="str">
            <v>Tibiletti Maria Beatriz</v>
          </cell>
          <cell r="G3317">
            <v>1450792.9</v>
          </cell>
          <cell r="H3317">
            <v>1450792.9</v>
          </cell>
          <cell r="I3317" t="str">
            <v>816</v>
          </cell>
        </row>
        <row r="3318">
          <cell r="A3318" t="str">
            <v>ARS</v>
          </cell>
          <cell r="B3318" t="str">
            <v>816003078</v>
          </cell>
          <cell r="C3318" t="str">
            <v>Cuneo, Gaston Carlos</v>
          </cell>
          <cell r="G3318">
            <v>15084228</v>
          </cell>
          <cell r="H3318">
            <v>15084228</v>
          </cell>
          <cell r="I3318" t="str">
            <v>816</v>
          </cell>
        </row>
        <row r="3319">
          <cell r="A3319" t="str">
            <v>ARS</v>
          </cell>
          <cell r="B3319" t="str">
            <v>816003096</v>
          </cell>
          <cell r="C3319" t="str">
            <v>Silva, Horacio Marcelo</v>
          </cell>
          <cell r="G3319">
            <v>37310</v>
          </cell>
          <cell r="H3319">
            <v>37310</v>
          </cell>
          <cell r="I3319" t="str">
            <v>816</v>
          </cell>
        </row>
        <row r="3320">
          <cell r="A3320" t="str">
            <v>ARS</v>
          </cell>
          <cell r="B3320" t="str">
            <v>816003134</v>
          </cell>
          <cell r="C3320" t="str">
            <v>Michetti, Fernando Daniel Jose</v>
          </cell>
          <cell r="G3320">
            <v>146344851</v>
          </cell>
          <cell r="H3320">
            <v>146344851</v>
          </cell>
          <cell r="I3320" t="str">
            <v>816</v>
          </cell>
        </row>
        <row r="3321">
          <cell r="A3321" t="str">
            <v>ARS</v>
          </cell>
          <cell r="B3321" t="str">
            <v>816102185</v>
          </cell>
          <cell r="C3321" t="str">
            <v>CZ WEALTH MANAGEMENT SA</v>
          </cell>
          <cell r="G3321">
            <v>34073138798.599998</v>
          </cell>
          <cell r="H3321">
            <v>34073138798.599998</v>
          </cell>
          <cell r="I3321" t="str">
            <v>816</v>
          </cell>
        </row>
        <row r="3322">
          <cell r="A3322" t="str">
            <v>ARS</v>
          </cell>
          <cell r="B3322" t="str">
            <v>817000240</v>
          </cell>
          <cell r="C3322" t="str">
            <v>Juan Pablo Bledel - Patricia Alejandra Cabot</v>
          </cell>
          <cell r="G3322">
            <v>315814565.5</v>
          </cell>
          <cell r="H3322">
            <v>315814565.5</v>
          </cell>
          <cell r="I3322" t="str">
            <v>817</v>
          </cell>
        </row>
        <row r="3323">
          <cell r="A3323" t="str">
            <v>ARS</v>
          </cell>
          <cell r="B3323" t="str">
            <v>817000854</v>
          </cell>
          <cell r="C3323" t="str">
            <v>Inmueble Las Heras S.A.</v>
          </cell>
          <cell r="G3323">
            <v>1157127180.2</v>
          </cell>
          <cell r="H3323">
            <v>1157127180.2</v>
          </cell>
          <cell r="I3323" t="str">
            <v>817</v>
          </cell>
        </row>
        <row r="3324">
          <cell r="A3324" t="str">
            <v>ARS</v>
          </cell>
          <cell r="B3324" t="str">
            <v>817000878</v>
          </cell>
          <cell r="C3324" t="str">
            <v>Castresana, Patricio y Dopazo, Maria Soledad</v>
          </cell>
          <cell r="G3324">
            <v>4618367.7</v>
          </cell>
          <cell r="H3324">
            <v>4618367.7</v>
          </cell>
          <cell r="I3324" t="str">
            <v>817</v>
          </cell>
        </row>
        <row r="3325">
          <cell r="A3325" t="str">
            <v>ARS</v>
          </cell>
          <cell r="B3325" t="str">
            <v>817000882</v>
          </cell>
          <cell r="C3325" t="str">
            <v>White Cloud S.R.L.</v>
          </cell>
          <cell r="G3325">
            <v>165292380</v>
          </cell>
          <cell r="H3325">
            <v>165292380</v>
          </cell>
          <cell r="I3325" t="str">
            <v>817</v>
          </cell>
        </row>
        <row r="3326">
          <cell r="A3326" t="str">
            <v>ARS</v>
          </cell>
          <cell r="B3326" t="str">
            <v>817000909</v>
          </cell>
          <cell r="C3326" t="str">
            <v>Chacra la Isabel S.R.L.</v>
          </cell>
          <cell r="G3326">
            <v>4565450</v>
          </cell>
          <cell r="H3326">
            <v>4565450</v>
          </cell>
          <cell r="I3326" t="str">
            <v>817</v>
          </cell>
        </row>
        <row r="3327">
          <cell r="A3327" t="str">
            <v>ARS</v>
          </cell>
          <cell r="B3327" t="str">
            <v>817001101</v>
          </cell>
          <cell r="C3327" t="str">
            <v>BACS SD Toronto Trust (CNV 062)</v>
          </cell>
          <cell r="G3327">
            <v>795000000</v>
          </cell>
          <cell r="H3327">
            <v>795000000</v>
          </cell>
          <cell r="I3327" t="str">
            <v>817</v>
          </cell>
        </row>
        <row r="3328">
          <cell r="A3328" t="str">
            <v>ARS</v>
          </cell>
          <cell r="B3328" t="str">
            <v>817001110</v>
          </cell>
          <cell r="C3328" t="str">
            <v>BACS SD Toronto Trust  Retorno Total (CNV 965)</v>
          </cell>
          <cell r="G3328">
            <v>795000000</v>
          </cell>
          <cell r="H3328">
            <v>795000000</v>
          </cell>
          <cell r="I3328" t="str">
            <v>817</v>
          </cell>
        </row>
        <row r="3329">
          <cell r="A3329" t="str">
            <v>ARS</v>
          </cell>
          <cell r="B3329" t="str">
            <v>817001151</v>
          </cell>
          <cell r="C3329" t="str">
            <v>BCSA SD ADCAP Pesos Plus (CNV 688)</v>
          </cell>
          <cell r="G3329">
            <v>3836500000</v>
          </cell>
          <cell r="H3329">
            <v>3836500000</v>
          </cell>
          <cell r="I3329" t="str">
            <v>817</v>
          </cell>
        </row>
        <row r="3330">
          <cell r="A3330" t="str">
            <v>ARS</v>
          </cell>
          <cell r="B3330" t="str">
            <v>817001152</v>
          </cell>
          <cell r="C3330" t="str">
            <v>BCSA SD ADCAP MONEDA (CNV 670)</v>
          </cell>
          <cell r="G3330">
            <v>1077250000</v>
          </cell>
          <cell r="H3330">
            <v>1077250000</v>
          </cell>
          <cell r="I3330" t="str">
            <v>817</v>
          </cell>
        </row>
        <row r="3331">
          <cell r="A3331" t="str">
            <v>ARS</v>
          </cell>
          <cell r="B3331" t="str">
            <v>817001288</v>
          </cell>
          <cell r="C3331" t="str">
            <v>BCSA SD ADCAP Cobertura (CNV 1135)</v>
          </cell>
          <cell r="G3331">
            <v>4544606350.3999996</v>
          </cell>
          <cell r="H3331">
            <v>4544606350.3999996</v>
          </cell>
          <cell r="I3331" t="str">
            <v>817</v>
          </cell>
        </row>
        <row r="3332">
          <cell r="A3332" t="str">
            <v>ARS</v>
          </cell>
          <cell r="B3332" t="str">
            <v>817001372</v>
          </cell>
          <cell r="C3332" t="str">
            <v>Distribuidora de Gas Cuyana S.A</v>
          </cell>
          <cell r="G3332">
            <v>15054505358.16</v>
          </cell>
          <cell r="H3332">
            <v>15054505358.16</v>
          </cell>
          <cell r="I3332" t="str">
            <v>817</v>
          </cell>
        </row>
        <row r="3333">
          <cell r="A3333" t="str">
            <v>ARS</v>
          </cell>
          <cell r="B3333" t="str">
            <v>817001373</v>
          </cell>
          <cell r="C3333" t="str">
            <v>DISTRIBUIDORA DE GAS DEL CENTRO S.A.</v>
          </cell>
          <cell r="G3333">
            <v>16540363299.93</v>
          </cell>
          <cell r="H3333">
            <v>16540363299.93</v>
          </cell>
          <cell r="I3333" t="str">
            <v>817</v>
          </cell>
        </row>
        <row r="3334">
          <cell r="A3334" t="str">
            <v>ARS</v>
          </cell>
          <cell r="B3334" t="str">
            <v>817001499</v>
          </cell>
          <cell r="C3334" t="str">
            <v xml:space="preserve">Benites, Agustín María </v>
          </cell>
          <cell r="G3334">
            <v>234283309638.37</v>
          </cell>
          <cell r="H3334">
            <v>234283309638.37</v>
          </cell>
          <cell r="I3334" t="str">
            <v>817</v>
          </cell>
        </row>
        <row r="3335">
          <cell r="A3335" t="str">
            <v>ARS</v>
          </cell>
          <cell r="B3335" t="str">
            <v>817001529</v>
          </cell>
          <cell r="C3335" t="str">
            <v>B. Patagonia S.A. SD Lombard Pesos Plus (CNV 739)</v>
          </cell>
          <cell r="G3335">
            <v>1047649253.96</v>
          </cell>
          <cell r="H3335">
            <v>1047649253.96</v>
          </cell>
          <cell r="I3335" t="str">
            <v>817</v>
          </cell>
        </row>
        <row r="3336">
          <cell r="A3336" t="str">
            <v>ARS</v>
          </cell>
          <cell r="B3336" t="str">
            <v>817001598</v>
          </cell>
          <cell r="C3336" t="str">
            <v>First Data Cono Sur S.R.L</v>
          </cell>
          <cell r="G3336">
            <v>12228999997.76</v>
          </cell>
          <cell r="H3336">
            <v>12228999997.76</v>
          </cell>
          <cell r="I3336" t="str">
            <v>817</v>
          </cell>
        </row>
        <row r="3337">
          <cell r="A3337" t="str">
            <v>ARS</v>
          </cell>
          <cell r="B3337" t="str">
            <v>817001635</v>
          </cell>
          <cell r="C3337" t="str">
            <v>Mainver Soccer Corp SA</v>
          </cell>
          <cell r="G3337">
            <v>1183445449.3800001</v>
          </cell>
          <cell r="H3337">
            <v>1183445449.3800001</v>
          </cell>
          <cell r="I3337" t="str">
            <v>817</v>
          </cell>
        </row>
        <row r="3338">
          <cell r="A3338" t="str">
            <v>ARS</v>
          </cell>
          <cell r="B3338" t="str">
            <v>817003110</v>
          </cell>
          <cell r="C3338" t="str">
            <v>Swiss Medical SA</v>
          </cell>
          <cell r="G3338">
            <v>855000000</v>
          </cell>
          <cell r="H3338">
            <v>855000000</v>
          </cell>
          <cell r="I3338" t="str">
            <v>817</v>
          </cell>
        </row>
        <row r="3339">
          <cell r="A3339" t="str">
            <v>ARS</v>
          </cell>
          <cell r="B3339" t="str">
            <v>817003113</v>
          </cell>
          <cell r="C3339" t="str">
            <v>SMG Inmobiliaria SA</v>
          </cell>
          <cell r="G3339">
            <v>3933950000</v>
          </cell>
          <cell r="H3339">
            <v>3933950000</v>
          </cell>
          <cell r="I3339" t="str">
            <v>817</v>
          </cell>
        </row>
        <row r="3340">
          <cell r="A3340" t="str">
            <v>ARS</v>
          </cell>
          <cell r="B3340" t="str">
            <v>817003285</v>
          </cell>
          <cell r="C3340" t="str">
            <v>Ecogas Inversiones S.A.</v>
          </cell>
          <cell r="G3340">
            <v>1048704999.5</v>
          </cell>
          <cell r="H3340">
            <v>1048704999.5</v>
          </cell>
          <cell r="I3340" t="str">
            <v>817</v>
          </cell>
        </row>
        <row r="3341">
          <cell r="A3341" t="str">
            <v>ARS</v>
          </cell>
          <cell r="B3341" t="str">
            <v>817100015</v>
          </cell>
          <cell r="C3341" t="str">
            <v>VALO Securities SAU con intermediacion de ICG</v>
          </cell>
          <cell r="G3341">
            <v>1945264021936.6299</v>
          </cell>
          <cell r="H3341">
            <v>1945264021936.6299</v>
          </cell>
          <cell r="I3341" t="str">
            <v>817</v>
          </cell>
        </row>
        <row r="3342">
          <cell r="A3342" t="str">
            <v>ARS</v>
          </cell>
          <cell r="B3342" t="str">
            <v>821000004</v>
          </cell>
          <cell r="C3342" t="str">
            <v>Porthé, Rosario</v>
          </cell>
          <cell r="G3342">
            <v>2972327.4</v>
          </cell>
          <cell r="H3342">
            <v>2972327.4</v>
          </cell>
          <cell r="I3342" t="str">
            <v>821</v>
          </cell>
        </row>
        <row r="3343">
          <cell r="A3343" t="str">
            <v>ARS</v>
          </cell>
          <cell r="B3343" t="str">
            <v>821000005</v>
          </cell>
          <cell r="C3343" t="str">
            <v>Isabel Turri</v>
          </cell>
          <cell r="G3343">
            <v>4390</v>
          </cell>
          <cell r="H3343">
            <v>4390</v>
          </cell>
          <cell r="I3343" t="str">
            <v>821</v>
          </cell>
        </row>
        <row r="3344">
          <cell r="A3344" t="str">
            <v>ARS</v>
          </cell>
          <cell r="B3344" t="str">
            <v>821000007</v>
          </cell>
          <cell r="C3344" t="str">
            <v>Lanin Capital S.A</v>
          </cell>
          <cell r="G3344">
            <v>3619563</v>
          </cell>
          <cell r="H3344">
            <v>3619563</v>
          </cell>
          <cell r="I3344" t="str">
            <v>821</v>
          </cell>
        </row>
        <row r="3345">
          <cell r="A3345" t="str">
            <v>ARS</v>
          </cell>
          <cell r="B3345" t="str">
            <v>821000008</v>
          </cell>
          <cell r="C3345" t="str">
            <v>Porthe, Juan Cruz</v>
          </cell>
          <cell r="G3345">
            <v>612764.5</v>
          </cell>
          <cell r="H3345">
            <v>612764.5</v>
          </cell>
          <cell r="I3345" t="str">
            <v>821</v>
          </cell>
        </row>
        <row r="3346">
          <cell r="A3346" t="str">
            <v>ARS</v>
          </cell>
          <cell r="B3346" t="str">
            <v>821000010</v>
          </cell>
          <cell r="C3346" t="str">
            <v>Abal, Martina</v>
          </cell>
          <cell r="G3346">
            <v>8496.6</v>
          </cell>
          <cell r="H3346">
            <v>8496.6</v>
          </cell>
          <cell r="I3346" t="str">
            <v>821</v>
          </cell>
        </row>
        <row r="3347">
          <cell r="A3347" t="str">
            <v>ARS</v>
          </cell>
          <cell r="B3347" t="str">
            <v>821000011</v>
          </cell>
          <cell r="C3347" t="str">
            <v>De La Rua, Delfina</v>
          </cell>
          <cell r="G3347">
            <v>2295.9</v>
          </cell>
          <cell r="H3347">
            <v>2295.9</v>
          </cell>
          <cell r="I3347" t="str">
            <v>821</v>
          </cell>
        </row>
        <row r="3348">
          <cell r="A3348" t="str">
            <v>ARS</v>
          </cell>
          <cell r="B3348" t="str">
            <v>821000012</v>
          </cell>
          <cell r="C3348" t="str">
            <v>Iglesias, Sofia Maria</v>
          </cell>
          <cell r="G3348">
            <v>29069835</v>
          </cell>
          <cell r="H3348">
            <v>29069835</v>
          </cell>
          <cell r="I3348" t="str">
            <v>821</v>
          </cell>
        </row>
        <row r="3349">
          <cell r="A3349" t="str">
            <v>ARS</v>
          </cell>
          <cell r="B3349" t="str">
            <v>821000013</v>
          </cell>
          <cell r="C3349" t="str">
            <v>Calvo, Salvador</v>
          </cell>
          <cell r="G3349">
            <v>2120460</v>
          </cell>
          <cell r="H3349">
            <v>2120460</v>
          </cell>
          <cell r="I3349" t="str">
            <v>821</v>
          </cell>
        </row>
        <row r="3350">
          <cell r="A3350" t="str">
            <v>ARS</v>
          </cell>
          <cell r="B3350" t="str">
            <v>821000014</v>
          </cell>
          <cell r="C3350" t="str">
            <v>Ragnoli, Pia Silvana</v>
          </cell>
          <cell r="G3350">
            <v>3125843.6</v>
          </cell>
          <cell r="H3350">
            <v>3125843.6</v>
          </cell>
          <cell r="I3350" t="str">
            <v>821</v>
          </cell>
        </row>
        <row r="3351">
          <cell r="A3351" t="str">
            <v>ARS</v>
          </cell>
          <cell r="B3351" t="str">
            <v>821000015</v>
          </cell>
          <cell r="C3351" t="str">
            <v>Perez, Alicia Susana</v>
          </cell>
          <cell r="G3351">
            <v>1559865.5</v>
          </cell>
          <cell r="H3351">
            <v>1559865.5</v>
          </cell>
          <cell r="I3351" t="str">
            <v>821</v>
          </cell>
        </row>
        <row r="3352">
          <cell r="A3352" t="str">
            <v>ARS</v>
          </cell>
          <cell r="B3352" t="str">
            <v>821000016</v>
          </cell>
          <cell r="C3352" t="str">
            <v>Roura, Pamela Lucia</v>
          </cell>
          <cell r="G3352">
            <v>2315505.4</v>
          </cell>
          <cell r="H3352">
            <v>2315505.4</v>
          </cell>
          <cell r="I3352" t="str">
            <v>821</v>
          </cell>
        </row>
        <row r="3353">
          <cell r="A3353" t="str">
            <v>ARS</v>
          </cell>
          <cell r="B3353" t="str">
            <v>821000017</v>
          </cell>
          <cell r="C3353" t="str">
            <v>Turri, Horacio Jorge Tomas</v>
          </cell>
          <cell r="G3353">
            <v>213158023</v>
          </cell>
          <cell r="H3353">
            <v>213158023</v>
          </cell>
          <cell r="I3353" t="str">
            <v>821</v>
          </cell>
        </row>
        <row r="3354">
          <cell r="A3354" t="str">
            <v>ARS</v>
          </cell>
          <cell r="B3354" t="str">
            <v>821000018</v>
          </cell>
          <cell r="C3354" t="str">
            <v>Ramos, Marcela Edith o Porthe, Gaston Enrique</v>
          </cell>
          <cell r="G3354">
            <v>1528863.8</v>
          </cell>
          <cell r="H3354">
            <v>1528863.8</v>
          </cell>
          <cell r="I3354" t="str">
            <v>821</v>
          </cell>
        </row>
        <row r="3355">
          <cell r="A3355" t="str">
            <v>ARS</v>
          </cell>
          <cell r="B3355" t="str">
            <v>821000019</v>
          </cell>
          <cell r="C3355" t="str">
            <v>Salgueiro, Lucia</v>
          </cell>
          <cell r="G3355">
            <v>2624441.4</v>
          </cell>
          <cell r="H3355">
            <v>2624441.4</v>
          </cell>
          <cell r="I3355" t="str">
            <v>821</v>
          </cell>
        </row>
        <row r="3356">
          <cell r="A3356" t="str">
            <v>ARS</v>
          </cell>
          <cell r="B3356" t="str">
            <v>821000020</v>
          </cell>
          <cell r="C3356" t="str">
            <v>Frias Rocca, Maria Soledad</v>
          </cell>
          <cell r="G3356">
            <v>81008517.900000006</v>
          </cell>
          <cell r="H3356">
            <v>81008517.900000006</v>
          </cell>
          <cell r="I3356" t="str">
            <v>821</v>
          </cell>
        </row>
        <row r="3357">
          <cell r="A3357" t="str">
            <v>ARS</v>
          </cell>
          <cell r="B3357" t="str">
            <v>821000022</v>
          </cell>
          <cell r="C3357" t="str">
            <v>Incardona, Claudio Alejandro</v>
          </cell>
          <cell r="G3357">
            <v>305305.5</v>
          </cell>
          <cell r="H3357">
            <v>305305.5</v>
          </cell>
          <cell r="I3357" t="str">
            <v>821</v>
          </cell>
        </row>
        <row r="3358">
          <cell r="A3358" t="str">
            <v>ARS</v>
          </cell>
          <cell r="B3358" t="str">
            <v>821000023</v>
          </cell>
          <cell r="C3358" t="str">
            <v>Bruscantini, Federico Ariel</v>
          </cell>
          <cell r="G3358">
            <v>1233935.8</v>
          </cell>
          <cell r="H3358">
            <v>1233935.8</v>
          </cell>
          <cell r="I3358" t="str">
            <v>821</v>
          </cell>
        </row>
        <row r="3359">
          <cell r="A3359" t="str">
            <v>ARS</v>
          </cell>
          <cell r="B3359" t="str">
            <v>821000024</v>
          </cell>
          <cell r="C3359" t="str">
            <v>Gonzalez, Paloma</v>
          </cell>
          <cell r="G3359">
            <v>883828.5</v>
          </cell>
          <cell r="H3359">
            <v>883828.5</v>
          </cell>
          <cell r="I3359" t="str">
            <v>821</v>
          </cell>
        </row>
        <row r="3360">
          <cell r="A3360" t="str">
            <v>ARS</v>
          </cell>
          <cell r="B3360" t="str">
            <v>821000025</v>
          </cell>
          <cell r="C3360" t="str">
            <v>Martin, Tomas</v>
          </cell>
          <cell r="G3360">
            <v>5343.8</v>
          </cell>
          <cell r="H3360">
            <v>5343.8</v>
          </cell>
          <cell r="I3360" t="str">
            <v>821</v>
          </cell>
        </row>
        <row r="3361">
          <cell r="A3361" t="str">
            <v>ARS</v>
          </cell>
          <cell r="B3361" t="str">
            <v>821000026</v>
          </cell>
          <cell r="C3361" t="str">
            <v>Barillari, Gabriela Ana</v>
          </cell>
          <cell r="G3361">
            <v>2721499.2</v>
          </cell>
          <cell r="H3361">
            <v>2721499.2</v>
          </cell>
          <cell r="I3361" t="str">
            <v>821</v>
          </cell>
        </row>
        <row r="3362">
          <cell r="A3362" t="str">
            <v>ARS</v>
          </cell>
          <cell r="B3362" t="str">
            <v>821000027</v>
          </cell>
          <cell r="C3362" t="str">
            <v xml:space="preserve">Carr, Sophie </v>
          </cell>
          <cell r="G3362">
            <v>3376925</v>
          </cell>
          <cell r="H3362">
            <v>3376925</v>
          </cell>
          <cell r="I3362" t="str">
            <v>821</v>
          </cell>
        </row>
        <row r="3363">
          <cell r="A3363" t="str">
            <v>ARS</v>
          </cell>
          <cell r="B3363" t="str">
            <v>821000028</v>
          </cell>
          <cell r="C3363" t="str">
            <v>Martinez Etayo, Marcelo Augusto o Ruffa, Maria Gabriela</v>
          </cell>
          <cell r="G3363">
            <v>1866.2</v>
          </cell>
          <cell r="H3363">
            <v>1866.2</v>
          </cell>
          <cell r="I3363" t="str">
            <v>821</v>
          </cell>
        </row>
        <row r="3364">
          <cell r="A3364" t="str">
            <v>ARS</v>
          </cell>
          <cell r="B3364" t="str">
            <v>821000029</v>
          </cell>
          <cell r="C3364" t="str">
            <v>Iacono, Paula Maria o Abal, Lucio</v>
          </cell>
          <cell r="G3364">
            <v>9575092.5</v>
          </cell>
          <cell r="H3364">
            <v>9575092.5</v>
          </cell>
          <cell r="I3364" t="str">
            <v>821</v>
          </cell>
        </row>
        <row r="3365">
          <cell r="A3365" t="str">
            <v>ARS</v>
          </cell>
          <cell r="B3365" t="str">
            <v>821000034</v>
          </cell>
          <cell r="C3365" t="str">
            <v xml:space="preserve">Elias, Ignacio Martin </v>
          </cell>
          <cell r="G3365">
            <v>3035090</v>
          </cell>
          <cell r="H3365">
            <v>3035090</v>
          </cell>
          <cell r="I3365" t="str">
            <v>821</v>
          </cell>
        </row>
        <row r="3366">
          <cell r="A3366" t="str">
            <v>ARS</v>
          </cell>
          <cell r="B3366" t="str">
            <v>821000035</v>
          </cell>
          <cell r="C3366" t="str">
            <v>Aulet Yaregui, Valentina</v>
          </cell>
          <cell r="G3366">
            <v>693435</v>
          </cell>
          <cell r="H3366">
            <v>693435</v>
          </cell>
          <cell r="I3366" t="str">
            <v>821</v>
          </cell>
        </row>
        <row r="3367">
          <cell r="A3367" t="str">
            <v>ARS</v>
          </cell>
          <cell r="B3367" t="str">
            <v>821000036</v>
          </cell>
          <cell r="C3367" t="str">
            <v>LAGER PLAST SRL</v>
          </cell>
          <cell r="G3367">
            <v>20006900</v>
          </cell>
          <cell r="H3367">
            <v>20006900</v>
          </cell>
          <cell r="I3367" t="str">
            <v>821</v>
          </cell>
        </row>
        <row r="3368">
          <cell r="A3368" t="str">
            <v>ARS</v>
          </cell>
          <cell r="B3368" t="str">
            <v>834000007</v>
          </cell>
          <cell r="C3368" t="str">
            <v>INVERFIN S.A.</v>
          </cell>
          <cell r="G3368">
            <v>13009561.560000001</v>
          </cell>
          <cell r="H3368">
            <v>13009561.560000001</v>
          </cell>
          <cell r="I3368" t="str">
            <v>834</v>
          </cell>
        </row>
        <row r="3369">
          <cell r="A3369" t="str">
            <v>ARS</v>
          </cell>
          <cell r="B3369" t="str">
            <v>834000223</v>
          </cell>
          <cell r="C3369" t="str">
            <v>MARTIN, FELIPE RICARDO o BENITEZ, SILVIA NORMA</v>
          </cell>
          <cell r="G3369">
            <v>3528</v>
          </cell>
          <cell r="H3369">
            <v>3528</v>
          </cell>
          <cell r="I3369" t="str">
            <v>834</v>
          </cell>
        </row>
        <row r="3370">
          <cell r="A3370" t="str">
            <v>ARS</v>
          </cell>
          <cell r="B3370" t="str">
            <v>834000590</v>
          </cell>
          <cell r="C3370" t="str">
            <v>TOSETTO, ESTELA SOFIA o DELPIERRE, VERONICA ESTELA</v>
          </cell>
          <cell r="G3370">
            <v>131865</v>
          </cell>
          <cell r="H3370">
            <v>131865</v>
          </cell>
          <cell r="I3370" t="str">
            <v>834</v>
          </cell>
        </row>
        <row r="3371">
          <cell r="A3371" t="str">
            <v>ARS</v>
          </cell>
          <cell r="B3371" t="str">
            <v>834000607</v>
          </cell>
          <cell r="C3371" t="str">
            <v>APARICIO, EDUARDO OSCAR o PONCE, MARCELA LILIANA o APARICIO, YAMILA ANABEL</v>
          </cell>
          <cell r="G3371">
            <v>152254380</v>
          </cell>
          <cell r="H3371">
            <v>152254380</v>
          </cell>
          <cell r="I3371" t="str">
            <v>834</v>
          </cell>
        </row>
        <row r="3372">
          <cell r="A3372" t="str">
            <v>ARS</v>
          </cell>
          <cell r="B3372" t="str">
            <v>834001442</v>
          </cell>
          <cell r="C3372" t="str">
            <v>CASE FERNANDO AGUSTIN</v>
          </cell>
          <cell r="G3372">
            <v>31481105.899999999</v>
          </cell>
          <cell r="H3372">
            <v>31481105.899999999</v>
          </cell>
          <cell r="I3372" t="str">
            <v>834</v>
          </cell>
        </row>
        <row r="3373">
          <cell r="A3373" t="str">
            <v>ARS</v>
          </cell>
          <cell r="B3373" t="str">
            <v>834005304</v>
          </cell>
          <cell r="C3373" t="str">
            <v>CORTEZ, ALEJANDRO JOSE o BALDASSO, ELSA OFELIA</v>
          </cell>
          <cell r="G3373">
            <v>1153578</v>
          </cell>
          <cell r="H3373">
            <v>1153578</v>
          </cell>
          <cell r="I3373" t="str">
            <v>834</v>
          </cell>
        </row>
        <row r="3374">
          <cell r="A3374" t="str">
            <v>ARS</v>
          </cell>
          <cell r="B3374" t="str">
            <v>834005585</v>
          </cell>
          <cell r="C3374" t="str">
            <v>CUELLO, ALBERTO GERMAN o CUELLO, MARIA LAURA o CUELLO, CARLOS GABRIEL</v>
          </cell>
          <cell r="G3374">
            <v>1683268.9</v>
          </cell>
          <cell r="H3374">
            <v>1683268.9</v>
          </cell>
          <cell r="I3374" t="str">
            <v>834</v>
          </cell>
        </row>
        <row r="3375">
          <cell r="A3375" t="str">
            <v>ARS</v>
          </cell>
          <cell r="B3375" t="str">
            <v>834005622</v>
          </cell>
          <cell r="C3375" t="str">
            <v>SALGADO, LILIAN BEATRIZ o SUAREZ SALGADO, SCHULLCA NATALIA o SUAREZ, HECTOR GUILLERMO JORGE</v>
          </cell>
          <cell r="G3375">
            <v>5001900</v>
          </cell>
          <cell r="H3375">
            <v>5001900</v>
          </cell>
          <cell r="I3375" t="str">
            <v>834</v>
          </cell>
        </row>
        <row r="3376">
          <cell r="A3376" t="str">
            <v>ARS</v>
          </cell>
          <cell r="B3376" t="str">
            <v>834005852</v>
          </cell>
          <cell r="C3376" t="str">
            <v>COHEN, PAULA ANDREA</v>
          </cell>
          <cell r="G3376">
            <v>646581.39</v>
          </cell>
          <cell r="H3376">
            <v>646581.39</v>
          </cell>
          <cell r="I3376" t="str">
            <v>834</v>
          </cell>
        </row>
        <row r="3377">
          <cell r="A3377" t="str">
            <v>ARS</v>
          </cell>
          <cell r="B3377" t="str">
            <v>834005908</v>
          </cell>
          <cell r="C3377" t="str">
            <v>JAHAN, JAVIER EDGARDO o PEREZ BONGIOVANNI, ANDREA CRISTINA</v>
          </cell>
          <cell r="G3377">
            <v>20976.39</v>
          </cell>
          <cell r="H3377">
            <v>20976.39</v>
          </cell>
          <cell r="I3377" t="str">
            <v>834</v>
          </cell>
        </row>
        <row r="3378">
          <cell r="A3378" t="str">
            <v>ARS</v>
          </cell>
          <cell r="B3378" t="str">
            <v>834005922</v>
          </cell>
          <cell r="C3378" t="str">
            <v>MENDOZA, HECTOR ORLANDO o MENDOZA, SEBASTIAN GABRIEL</v>
          </cell>
          <cell r="G3378">
            <v>3518.4</v>
          </cell>
          <cell r="H3378">
            <v>3518.4</v>
          </cell>
          <cell r="I3378" t="str">
            <v>834</v>
          </cell>
        </row>
        <row r="3379">
          <cell r="A3379" t="str">
            <v>ARS</v>
          </cell>
          <cell r="B3379" t="str">
            <v>834005993</v>
          </cell>
          <cell r="C3379" t="str">
            <v>GIANNONE, RAUL VICENTE</v>
          </cell>
          <cell r="G3379">
            <v>34532</v>
          </cell>
          <cell r="H3379">
            <v>34532</v>
          </cell>
          <cell r="I3379" t="str">
            <v>834</v>
          </cell>
        </row>
        <row r="3380">
          <cell r="A3380" t="str">
            <v>ARS</v>
          </cell>
          <cell r="B3380" t="str">
            <v>834008585</v>
          </cell>
          <cell r="C3380" t="str">
            <v>CONCIA, JOSE OLEGARIO o PARATORE, MARIA CARINA</v>
          </cell>
          <cell r="G3380">
            <v>192314.74</v>
          </cell>
          <cell r="H3380">
            <v>192314.74</v>
          </cell>
          <cell r="I3380" t="str">
            <v>834</v>
          </cell>
        </row>
        <row r="3381">
          <cell r="A3381" t="str">
            <v>ARS</v>
          </cell>
          <cell r="B3381" t="str">
            <v>834008590</v>
          </cell>
          <cell r="C3381" t="str">
            <v xml:space="preserve">GARCIA MATEO, PEDRO </v>
          </cell>
          <cell r="G3381">
            <v>3014538</v>
          </cell>
          <cell r="H3381">
            <v>3014538</v>
          </cell>
          <cell r="I3381" t="str">
            <v>834</v>
          </cell>
        </row>
        <row r="3382">
          <cell r="A3382" t="str">
            <v>ARS</v>
          </cell>
          <cell r="B3382" t="str">
            <v>834008787</v>
          </cell>
          <cell r="C3382" t="str">
            <v>PUEBLA PEÑA, JAVIER ALEJANDRO o DISTEFANO, ROMINA SOLEDAD</v>
          </cell>
          <cell r="G3382">
            <v>4939.2</v>
          </cell>
          <cell r="H3382">
            <v>4939.2</v>
          </cell>
          <cell r="I3382" t="str">
            <v>834</v>
          </cell>
        </row>
        <row r="3383">
          <cell r="A3383" t="str">
            <v>ARS</v>
          </cell>
          <cell r="B3383" t="str">
            <v>834008848</v>
          </cell>
          <cell r="C3383" t="str">
            <v>BARI LAURA INES</v>
          </cell>
          <cell r="G3383">
            <v>2639432</v>
          </cell>
          <cell r="H3383">
            <v>2639432</v>
          </cell>
          <cell r="I3383" t="str">
            <v>834</v>
          </cell>
        </row>
        <row r="3384">
          <cell r="A3384" t="str">
            <v>ARS</v>
          </cell>
          <cell r="B3384" t="str">
            <v>834008855</v>
          </cell>
          <cell r="C3384" t="str">
            <v>BARGAZZI, EDUARDO JORGE o LAZZARI, SILVIA NORA o BARGAZZI, MAURO</v>
          </cell>
          <cell r="G3384">
            <v>23992529</v>
          </cell>
          <cell r="H3384">
            <v>23992529</v>
          </cell>
          <cell r="I3384" t="str">
            <v>834</v>
          </cell>
        </row>
        <row r="3385">
          <cell r="A3385" t="str">
            <v>ARS</v>
          </cell>
          <cell r="B3385" t="str">
            <v>834008887</v>
          </cell>
          <cell r="C3385" t="str">
            <v>CASE GRACIELA MARIA RAQUEL</v>
          </cell>
          <cell r="G3385">
            <v>7282269.5</v>
          </cell>
          <cell r="H3385">
            <v>7282269.5</v>
          </cell>
          <cell r="I3385" t="str">
            <v>834</v>
          </cell>
        </row>
        <row r="3386">
          <cell r="A3386" t="str">
            <v>ARS</v>
          </cell>
          <cell r="B3386" t="str">
            <v>834009759</v>
          </cell>
          <cell r="C3386" t="str">
            <v>SOLORZA, ALICIA o AMBROSI, LETICIA LORENA o AMBROSI, LUIS ALFREDO</v>
          </cell>
          <cell r="G3386">
            <v>5291.4</v>
          </cell>
          <cell r="H3386">
            <v>5291.4</v>
          </cell>
          <cell r="I3386" t="str">
            <v>834</v>
          </cell>
        </row>
        <row r="3387">
          <cell r="A3387" t="str">
            <v>ARS</v>
          </cell>
          <cell r="B3387" t="str">
            <v>834009762</v>
          </cell>
          <cell r="C3387" t="str">
            <v>S.A.ARGENTINO ARABE C.I. Y F.</v>
          </cell>
          <cell r="G3387">
            <v>53560</v>
          </cell>
          <cell r="H3387">
            <v>53560</v>
          </cell>
          <cell r="I3387" t="str">
            <v>834</v>
          </cell>
        </row>
        <row r="3388">
          <cell r="A3388" t="str">
            <v>ARS</v>
          </cell>
          <cell r="B3388" t="str">
            <v>834009823</v>
          </cell>
          <cell r="C3388" t="str">
            <v>RABIDA, RAMON RODOLFO o ESCOBAR, MARIA ESTER</v>
          </cell>
          <cell r="G3388">
            <v>67842570</v>
          </cell>
          <cell r="H3388">
            <v>67842570</v>
          </cell>
          <cell r="I3388" t="str">
            <v>834</v>
          </cell>
        </row>
        <row r="3389">
          <cell r="A3389" t="str">
            <v>ARS</v>
          </cell>
          <cell r="B3389" t="str">
            <v>834009854</v>
          </cell>
          <cell r="C3389" t="str">
            <v>SABATINO ANTONIO MIGUEL ANGEL</v>
          </cell>
          <cell r="G3389">
            <v>16467150</v>
          </cell>
          <cell r="H3389">
            <v>16467150</v>
          </cell>
          <cell r="I3389" t="str">
            <v>834</v>
          </cell>
        </row>
        <row r="3390">
          <cell r="A3390" t="str">
            <v>ARS</v>
          </cell>
          <cell r="B3390" t="str">
            <v>834009878</v>
          </cell>
          <cell r="C3390" t="str">
            <v>RIZZO, PABLO o VENTIN PONTE, ELBIA MARIANA o VALLE, VIRGINIA ESTELA</v>
          </cell>
          <cell r="G3390">
            <v>48086108.5</v>
          </cell>
          <cell r="H3390">
            <v>48086108.5</v>
          </cell>
          <cell r="I3390" t="str">
            <v>834</v>
          </cell>
        </row>
        <row r="3391">
          <cell r="A3391" t="str">
            <v>ARS</v>
          </cell>
          <cell r="B3391" t="str">
            <v>834009927</v>
          </cell>
          <cell r="C3391" t="str">
            <v>GONZALEZ LUQUE LEONARDO DAVID</v>
          </cell>
          <cell r="G3391">
            <v>4186</v>
          </cell>
          <cell r="H3391">
            <v>4186</v>
          </cell>
          <cell r="I3391" t="str">
            <v>834</v>
          </cell>
        </row>
        <row r="3392">
          <cell r="A3392" t="str">
            <v>ARS</v>
          </cell>
          <cell r="B3392" t="str">
            <v>834009938</v>
          </cell>
          <cell r="C3392" t="str">
            <v>MARIN, SANTIAGO ARMANDO o CASTILLO, MARIA DE LOS ANGELES</v>
          </cell>
          <cell r="G3392">
            <v>131125233.04000001</v>
          </cell>
          <cell r="H3392">
            <v>131125233.04000001</v>
          </cell>
          <cell r="I3392" t="str">
            <v>834</v>
          </cell>
        </row>
        <row r="3393">
          <cell r="A3393" t="str">
            <v>ARS</v>
          </cell>
          <cell r="B3393" t="str">
            <v>834009951</v>
          </cell>
          <cell r="C3393" t="str">
            <v>HASSEKIEFF, JUAN SEBASTIAN</v>
          </cell>
          <cell r="G3393">
            <v>420005</v>
          </cell>
          <cell r="H3393">
            <v>420005</v>
          </cell>
          <cell r="I3393" t="str">
            <v>834</v>
          </cell>
        </row>
        <row r="3394">
          <cell r="A3394" t="str">
            <v>ARS</v>
          </cell>
          <cell r="B3394" t="str">
            <v>834009994</v>
          </cell>
          <cell r="C3394" t="str">
            <v>CASTRO, JORGE CARMELO o BELMONTE, LEONARDA CELMINIA</v>
          </cell>
          <cell r="G3394">
            <v>5255516</v>
          </cell>
          <cell r="H3394">
            <v>5255516</v>
          </cell>
          <cell r="I3394" t="str">
            <v>834</v>
          </cell>
        </row>
        <row r="3395">
          <cell r="A3395" t="str">
            <v>ARS</v>
          </cell>
          <cell r="B3395" t="str">
            <v>834010028</v>
          </cell>
          <cell r="C3395" t="str">
            <v>GIORDANENGO, MARIA ALEJANDRA o PERALTA, LUIS ALBERTO</v>
          </cell>
          <cell r="G3395">
            <v>3391.2</v>
          </cell>
          <cell r="H3395">
            <v>3391.2</v>
          </cell>
          <cell r="I3395" t="str">
            <v>834</v>
          </cell>
        </row>
        <row r="3396">
          <cell r="A3396" t="str">
            <v>ARS</v>
          </cell>
          <cell r="B3396" t="str">
            <v>834010168</v>
          </cell>
          <cell r="C3396" t="str">
            <v>CUSTODIA DE ARCHIVOS DEL COMAHUE S.A.</v>
          </cell>
          <cell r="G3396">
            <v>174057010</v>
          </cell>
          <cell r="H3396">
            <v>174057010</v>
          </cell>
          <cell r="I3396" t="str">
            <v>834</v>
          </cell>
        </row>
        <row r="3397">
          <cell r="A3397" t="str">
            <v>ARS</v>
          </cell>
          <cell r="B3397" t="str">
            <v>834010204</v>
          </cell>
          <cell r="C3397" t="str">
            <v>ESCOBAR DARIO ENRIQUE</v>
          </cell>
          <cell r="G3397">
            <v>130639110</v>
          </cell>
          <cell r="H3397">
            <v>130639110</v>
          </cell>
          <cell r="I3397" t="str">
            <v>834</v>
          </cell>
        </row>
        <row r="3398">
          <cell r="A3398" t="str">
            <v>ARS</v>
          </cell>
          <cell r="B3398" t="str">
            <v>834010214</v>
          </cell>
          <cell r="C3398" t="str">
            <v>ASOCIACION PROPIETARIOS DE CAMIONES MENDOZA</v>
          </cell>
          <cell r="G3398">
            <v>3529.2</v>
          </cell>
          <cell r="H3398">
            <v>3529.2</v>
          </cell>
          <cell r="I3398" t="str">
            <v>834</v>
          </cell>
        </row>
        <row r="3399">
          <cell r="A3399" t="str">
            <v>ARS</v>
          </cell>
          <cell r="B3399" t="str">
            <v>834010234</v>
          </cell>
          <cell r="C3399" t="str">
            <v>MARTINEZ JERONIMO RICARDO</v>
          </cell>
          <cell r="G3399">
            <v>48634153</v>
          </cell>
          <cell r="H3399">
            <v>48634153</v>
          </cell>
          <cell r="I3399" t="str">
            <v>834</v>
          </cell>
        </row>
        <row r="3400">
          <cell r="A3400" t="str">
            <v>ARS</v>
          </cell>
          <cell r="B3400" t="str">
            <v>834010257</v>
          </cell>
          <cell r="C3400" t="str">
            <v>ZAVALA JURADO ALFREDO GUILLERMO</v>
          </cell>
          <cell r="G3400">
            <v>3527.6</v>
          </cell>
          <cell r="H3400">
            <v>3527.6</v>
          </cell>
          <cell r="I3400" t="str">
            <v>834</v>
          </cell>
        </row>
        <row r="3401">
          <cell r="A3401" t="str">
            <v>ARS</v>
          </cell>
          <cell r="B3401" t="str">
            <v>834010259</v>
          </cell>
          <cell r="C3401" t="str">
            <v>NOZICA, JORGE ANTONIO o NOZICA, JORGE</v>
          </cell>
          <cell r="G3401">
            <v>8263552.4500000002</v>
          </cell>
          <cell r="H3401">
            <v>8263552.4500000002</v>
          </cell>
          <cell r="I3401" t="str">
            <v>834</v>
          </cell>
        </row>
        <row r="3402">
          <cell r="A3402" t="str">
            <v>ARS</v>
          </cell>
          <cell r="B3402" t="str">
            <v>834010267</v>
          </cell>
          <cell r="C3402" t="str">
            <v>DE HOYOS, OSCAR NORBERTO o DE HOYOS, CARINA LIA</v>
          </cell>
          <cell r="G3402">
            <v>710208</v>
          </cell>
          <cell r="H3402">
            <v>710208</v>
          </cell>
          <cell r="I3402" t="str">
            <v>834</v>
          </cell>
        </row>
        <row r="3403">
          <cell r="A3403" t="str">
            <v>ARS</v>
          </cell>
          <cell r="B3403" t="str">
            <v>834010295</v>
          </cell>
          <cell r="C3403" t="str">
            <v>SOSA, RAMON SALVADOR o FERRO, MIRTA ANA</v>
          </cell>
          <cell r="G3403">
            <v>5512609</v>
          </cell>
          <cell r="H3403">
            <v>5512609</v>
          </cell>
          <cell r="I3403" t="str">
            <v>834</v>
          </cell>
        </row>
        <row r="3404">
          <cell r="A3404" t="str">
            <v>ARS</v>
          </cell>
          <cell r="B3404" t="str">
            <v>834010306</v>
          </cell>
          <cell r="C3404" t="str">
            <v>MERIN, GUSTAVO MIGUEL o GUERRA BARRUTI, MICAELA</v>
          </cell>
          <cell r="G3404">
            <v>24096950</v>
          </cell>
          <cell r="H3404">
            <v>24096950</v>
          </cell>
          <cell r="I3404" t="str">
            <v>834</v>
          </cell>
        </row>
        <row r="3405">
          <cell r="A3405" t="str">
            <v>ARS</v>
          </cell>
          <cell r="B3405" t="str">
            <v>834010325</v>
          </cell>
          <cell r="C3405" t="str">
            <v>BAREA, SUSANA BEATRIZ</v>
          </cell>
          <cell r="G3405">
            <v>5293.8</v>
          </cell>
          <cell r="H3405">
            <v>5293.8</v>
          </cell>
          <cell r="I3405" t="str">
            <v>834</v>
          </cell>
        </row>
        <row r="3406">
          <cell r="A3406" t="str">
            <v>ARS</v>
          </cell>
          <cell r="B3406" t="str">
            <v>834010344</v>
          </cell>
          <cell r="C3406" t="str">
            <v>CARDOZO, MARIA FERNANDA  o SALVARREDI, MARIA ISABEL JESUSA</v>
          </cell>
          <cell r="G3406">
            <v>3348.4</v>
          </cell>
          <cell r="H3406">
            <v>3348.4</v>
          </cell>
          <cell r="I3406" t="str">
            <v>834</v>
          </cell>
        </row>
        <row r="3407">
          <cell r="A3407" t="str">
            <v>ARS</v>
          </cell>
          <cell r="B3407" t="str">
            <v>834010347</v>
          </cell>
          <cell r="C3407" t="str">
            <v>CIVIT, RODRIGO JOSE</v>
          </cell>
          <cell r="G3407">
            <v>313175083</v>
          </cell>
          <cell r="H3407">
            <v>313175083</v>
          </cell>
          <cell r="I3407" t="str">
            <v>834</v>
          </cell>
        </row>
        <row r="3408">
          <cell r="A3408" t="str">
            <v>ARS</v>
          </cell>
          <cell r="B3408" t="str">
            <v>834010369</v>
          </cell>
          <cell r="C3408" t="str">
            <v>LUIS M. PAGLIARA S.A.</v>
          </cell>
          <cell r="G3408">
            <v>2231611.7000000002</v>
          </cell>
          <cell r="H3408">
            <v>2231611.7000000002</v>
          </cell>
          <cell r="I3408" t="str">
            <v>834</v>
          </cell>
        </row>
        <row r="3409">
          <cell r="A3409" t="str">
            <v>ARS</v>
          </cell>
          <cell r="B3409" t="str">
            <v>834010392</v>
          </cell>
          <cell r="C3409" t="str">
            <v>BARTUCCIOTTO, JUAN PABLO VICTOR</v>
          </cell>
          <cell r="G3409">
            <v>22135352.620000001</v>
          </cell>
          <cell r="H3409">
            <v>22135352.620000001</v>
          </cell>
          <cell r="I3409" t="str">
            <v>834</v>
          </cell>
        </row>
        <row r="3410">
          <cell r="A3410" t="str">
            <v>ARS</v>
          </cell>
          <cell r="B3410" t="str">
            <v>834010403</v>
          </cell>
          <cell r="C3410" t="str">
            <v>RETA, ANA MARIA o CANET, NICOLAS ENRIQUE</v>
          </cell>
          <cell r="G3410">
            <v>5156985.5</v>
          </cell>
          <cell r="H3410">
            <v>5156985.5</v>
          </cell>
          <cell r="I3410" t="str">
            <v>834</v>
          </cell>
        </row>
        <row r="3411">
          <cell r="A3411" t="str">
            <v>ARS</v>
          </cell>
          <cell r="B3411" t="str">
            <v>834010471</v>
          </cell>
          <cell r="C3411" t="str">
            <v>DIAZ, JORGE DAVID</v>
          </cell>
          <cell r="G3411">
            <v>8595</v>
          </cell>
          <cell r="H3411">
            <v>8595</v>
          </cell>
          <cell r="I3411" t="str">
            <v>834</v>
          </cell>
        </row>
        <row r="3412">
          <cell r="A3412" t="str">
            <v>ARS</v>
          </cell>
          <cell r="B3412" t="str">
            <v>834010524</v>
          </cell>
          <cell r="C3412" t="str">
            <v>GOMEZ, MARIA ELENA o SERRA GOMEZ, FACUNDO HERNAN o SERRA GOMEZ, EDUARDO GABRIEL</v>
          </cell>
          <cell r="G3412">
            <v>4216.5</v>
          </cell>
          <cell r="H3412">
            <v>4216.5</v>
          </cell>
          <cell r="I3412" t="str">
            <v>834</v>
          </cell>
        </row>
        <row r="3413">
          <cell r="A3413" t="str">
            <v>ARS</v>
          </cell>
          <cell r="B3413" t="str">
            <v>834010530</v>
          </cell>
          <cell r="C3413" t="str">
            <v>MATEO, LUIS ALBERTO o BASTIAS, SARA HILDA</v>
          </cell>
          <cell r="G3413">
            <v>3150318</v>
          </cell>
          <cell r="H3413">
            <v>3150318</v>
          </cell>
          <cell r="I3413" t="str">
            <v>834</v>
          </cell>
        </row>
        <row r="3414">
          <cell r="A3414" t="str">
            <v>ARS</v>
          </cell>
          <cell r="B3414" t="str">
            <v>834010536</v>
          </cell>
          <cell r="C3414" t="str">
            <v>CANTARELLI, JULIETA o FERNANDEZ, RAQUEL NELLY</v>
          </cell>
          <cell r="G3414">
            <v>4192.5</v>
          </cell>
          <cell r="H3414">
            <v>4192.5</v>
          </cell>
          <cell r="I3414" t="str">
            <v>834</v>
          </cell>
        </row>
        <row r="3415">
          <cell r="A3415" t="str">
            <v>ARS</v>
          </cell>
          <cell r="B3415" t="str">
            <v>834010546</v>
          </cell>
          <cell r="C3415" t="str">
            <v>MORELLO, JORGE LUIS</v>
          </cell>
          <cell r="G3415">
            <v>793683</v>
          </cell>
          <cell r="H3415">
            <v>793683</v>
          </cell>
          <cell r="I3415" t="str">
            <v>834</v>
          </cell>
        </row>
        <row r="3416">
          <cell r="A3416" t="str">
            <v>ARS</v>
          </cell>
          <cell r="B3416" t="str">
            <v>834010565</v>
          </cell>
          <cell r="C3416" t="str">
            <v xml:space="preserve">CAPRA, LUIS ENRIQUE </v>
          </cell>
          <cell r="G3416">
            <v>4190.5</v>
          </cell>
          <cell r="H3416">
            <v>4190.5</v>
          </cell>
          <cell r="I3416" t="str">
            <v>834</v>
          </cell>
        </row>
        <row r="3417">
          <cell r="A3417" t="str">
            <v>ARS</v>
          </cell>
          <cell r="B3417" t="str">
            <v>834010566</v>
          </cell>
          <cell r="C3417" t="str">
            <v xml:space="preserve">VIEJO, ERNESTO FRANCISCO </v>
          </cell>
          <cell r="G3417">
            <v>33578626.509999998</v>
          </cell>
          <cell r="H3417">
            <v>33578626.509999998</v>
          </cell>
          <cell r="I3417" t="str">
            <v>834</v>
          </cell>
        </row>
        <row r="3418">
          <cell r="A3418" t="str">
            <v>ARS</v>
          </cell>
          <cell r="B3418" t="str">
            <v>834010601</v>
          </cell>
          <cell r="C3418" t="str">
            <v xml:space="preserve">STUMBERGER, SONIA JULIA o ABREGO STUMBERGER, LUIS EMILIO </v>
          </cell>
          <cell r="G3418">
            <v>36635757.5</v>
          </cell>
          <cell r="H3418">
            <v>36635757.5</v>
          </cell>
          <cell r="I3418" t="str">
            <v>834</v>
          </cell>
        </row>
        <row r="3419">
          <cell r="A3419" t="str">
            <v>ARS</v>
          </cell>
          <cell r="B3419" t="str">
            <v>834010654</v>
          </cell>
          <cell r="C3419" t="str">
            <v>GOMEZ, RICARDO DANIEL</v>
          </cell>
          <cell r="G3419">
            <v>5034</v>
          </cell>
          <cell r="H3419">
            <v>5034</v>
          </cell>
          <cell r="I3419" t="str">
            <v>834</v>
          </cell>
        </row>
        <row r="3420">
          <cell r="A3420" t="str">
            <v>ARS</v>
          </cell>
          <cell r="B3420" t="str">
            <v>834010665</v>
          </cell>
          <cell r="C3420" t="str">
            <v>CUNIETTI, CRISTINA BEATRIZ o MENDOZA, SANTIAGO NICOLAS</v>
          </cell>
          <cell r="G3420">
            <v>18540</v>
          </cell>
          <cell r="H3420">
            <v>18540</v>
          </cell>
          <cell r="I3420" t="str">
            <v>834</v>
          </cell>
        </row>
        <row r="3421">
          <cell r="A3421" t="str">
            <v>ARS</v>
          </cell>
          <cell r="B3421" t="str">
            <v>834010672</v>
          </cell>
          <cell r="C3421" t="str">
            <v>LILLOY, JULIAN FRANCISCO</v>
          </cell>
          <cell r="G3421">
            <v>5000712.54</v>
          </cell>
          <cell r="H3421">
            <v>5000712.54</v>
          </cell>
          <cell r="I3421" t="str">
            <v>834</v>
          </cell>
        </row>
        <row r="3422">
          <cell r="A3422" t="str">
            <v>ARS</v>
          </cell>
          <cell r="B3422" t="str">
            <v>834010732</v>
          </cell>
          <cell r="C3422" t="str">
            <v>PARAMO, MARIA DE LOS ANGELES</v>
          </cell>
          <cell r="G3422">
            <v>3941340</v>
          </cell>
          <cell r="H3422">
            <v>3941340</v>
          </cell>
          <cell r="I3422" t="str">
            <v>834</v>
          </cell>
        </row>
        <row r="3423">
          <cell r="A3423" t="str">
            <v>ARS</v>
          </cell>
          <cell r="B3423" t="str">
            <v>834010744</v>
          </cell>
          <cell r="C3423" t="str">
            <v>MARTIN, NESTOR HUGO</v>
          </cell>
          <cell r="G3423">
            <v>79181905.200000003</v>
          </cell>
          <cell r="H3423">
            <v>79181905.200000003</v>
          </cell>
          <cell r="I3423" t="str">
            <v>834</v>
          </cell>
        </row>
        <row r="3424">
          <cell r="A3424" t="str">
            <v>ARS</v>
          </cell>
          <cell r="B3424" t="str">
            <v>834010747</v>
          </cell>
          <cell r="C3424" t="str">
            <v>VILLEGAS QUIROGA, ADOLFO DARIO o CASE, GRACIELA MARIA RAQUEL</v>
          </cell>
          <cell r="G3424">
            <v>14430512</v>
          </cell>
          <cell r="H3424">
            <v>14430512</v>
          </cell>
          <cell r="I3424" t="str">
            <v>834</v>
          </cell>
        </row>
        <row r="3425">
          <cell r="A3425" t="str">
            <v>ARS</v>
          </cell>
          <cell r="B3425" t="str">
            <v>834010749</v>
          </cell>
          <cell r="C3425" t="str">
            <v>VILLARROEL, DIEGO ALBERTO o ROSSETTO, DANIELA KARINA</v>
          </cell>
          <cell r="G3425">
            <v>16135010</v>
          </cell>
          <cell r="H3425">
            <v>16135010</v>
          </cell>
          <cell r="I3425" t="str">
            <v>834</v>
          </cell>
        </row>
        <row r="3426">
          <cell r="A3426" t="str">
            <v>ARS</v>
          </cell>
          <cell r="B3426" t="str">
            <v>834010752</v>
          </cell>
          <cell r="C3426" t="str">
            <v>CICCHITTI, JOSE ANTONIO</v>
          </cell>
          <cell r="G3426">
            <v>30652347.600000001</v>
          </cell>
          <cell r="H3426">
            <v>30652347.600000001</v>
          </cell>
          <cell r="I3426" t="str">
            <v>834</v>
          </cell>
        </row>
        <row r="3427">
          <cell r="A3427" t="str">
            <v>ARS</v>
          </cell>
          <cell r="B3427" t="str">
            <v>834010786</v>
          </cell>
          <cell r="C3427" t="str">
            <v>PRODUCTS STA ARGENTINA S.A.S.</v>
          </cell>
          <cell r="G3427">
            <v>75234954.950000003</v>
          </cell>
          <cell r="H3427">
            <v>75234954.950000003</v>
          </cell>
          <cell r="I3427" t="str">
            <v>834</v>
          </cell>
        </row>
        <row r="3428">
          <cell r="A3428" t="str">
            <v>ARS</v>
          </cell>
          <cell r="B3428" t="str">
            <v>834010787</v>
          </cell>
          <cell r="C3428" t="str">
            <v xml:space="preserve">RENZI, GUSTAVO JESUS </v>
          </cell>
          <cell r="G3428">
            <v>2932455</v>
          </cell>
          <cell r="H3428">
            <v>2932455</v>
          </cell>
          <cell r="I3428" t="str">
            <v>834</v>
          </cell>
        </row>
        <row r="3429">
          <cell r="A3429" t="str">
            <v>ARS</v>
          </cell>
          <cell r="B3429" t="str">
            <v>834010790</v>
          </cell>
          <cell r="C3429" t="str">
            <v>ABREGO STUMBERGER, ALEJANDRO JAVIER</v>
          </cell>
          <cell r="G3429">
            <v>32275213</v>
          </cell>
          <cell r="H3429">
            <v>32275213</v>
          </cell>
          <cell r="I3429" t="str">
            <v>834</v>
          </cell>
        </row>
        <row r="3430">
          <cell r="A3430" t="str">
            <v>ARS</v>
          </cell>
          <cell r="B3430" t="str">
            <v>834010796</v>
          </cell>
          <cell r="C3430" t="str">
            <v xml:space="preserve">ALBORNOZ, MIGUEL ANGEL </v>
          </cell>
          <cell r="G3430">
            <v>58116740</v>
          </cell>
          <cell r="H3430">
            <v>58116740</v>
          </cell>
          <cell r="I3430" t="str">
            <v>834</v>
          </cell>
        </row>
        <row r="3431">
          <cell r="A3431" t="str">
            <v>ARS</v>
          </cell>
          <cell r="B3431" t="str">
            <v>834010828</v>
          </cell>
          <cell r="C3431" t="str">
            <v>DI SANZO, GIOVANNI CARLO o DI SANZO, GIOVANNI PABLO o DI SANZO, FRANCO GABRIEL</v>
          </cell>
          <cell r="G3431">
            <v>194262450.93000001</v>
          </cell>
          <cell r="H3431">
            <v>194262450.93000001</v>
          </cell>
          <cell r="I3431" t="str">
            <v>834</v>
          </cell>
        </row>
        <row r="3432">
          <cell r="A3432" t="str">
            <v>ARS</v>
          </cell>
          <cell r="B3432" t="str">
            <v>834010831</v>
          </cell>
          <cell r="C3432" t="str">
            <v>LEMOS, EDUARDO JAVIER</v>
          </cell>
          <cell r="G3432">
            <v>383605</v>
          </cell>
          <cell r="H3432">
            <v>383605</v>
          </cell>
          <cell r="I3432" t="str">
            <v>834</v>
          </cell>
        </row>
        <row r="3433">
          <cell r="A3433" t="str">
            <v>ARS</v>
          </cell>
          <cell r="B3433" t="str">
            <v>834010836</v>
          </cell>
          <cell r="C3433" t="str">
            <v>DISSAN S.R.L.</v>
          </cell>
          <cell r="G3433">
            <v>5136975781.3000002</v>
          </cell>
          <cell r="H3433">
            <v>5136975781.3000002</v>
          </cell>
          <cell r="I3433" t="str">
            <v>834</v>
          </cell>
        </row>
        <row r="3434">
          <cell r="A3434" t="str">
            <v>ARS</v>
          </cell>
          <cell r="B3434" t="str">
            <v>834010853</v>
          </cell>
          <cell r="C3434" t="str">
            <v>DI SANZO, GIOVANNI PABLO o SANCHEZ TIVIROLI, SABRINA LETICIA</v>
          </cell>
          <cell r="G3434">
            <v>14208586</v>
          </cell>
          <cell r="H3434">
            <v>14208586</v>
          </cell>
          <cell r="I3434" t="str">
            <v>834</v>
          </cell>
        </row>
        <row r="3435">
          <cell r="A3435" t="str">
            <v>ARS</v>
          </cell>
          <cell r="B3435" t="str">
            <v>834010868</v>
          </cell>
          <cell r="C3435" t="str">
            <v>VIDELA, CARLOS ALBERTO o VIDELA, TATIANA INES</v>
          </cell>
          <cell r="G3435">
            <v>59299107</v>
          </cell>
          <cell r="H3435">
            <v>59299107</v>
          </cell>
          <cell r="I3435" t="str">
            <v>834</v>
          </cell>
        </row>
        <row r="3436">
          <cell r="A3436" t="str">
            <v>ARS</v>
          </cell>
          <cell r="B3436" t="str">
            <v>834010883</v>
          </cell>
          <cell r="C3436" t="str">
            <v>ELESPE, VERONICA INES o ELESPE, MARTIN GABRIEL</v>
          </cell>
          <cell r="G3436">
            <v>3664959.5</v>
          </cell>
          <cell r="H3436">
            <v>3664959.5</v>
          </cell>
          <cell r="I3436" t="str">
            <v>834</v>
          </cell>
        </row>
        <row r="3437">
          <cell r="A3437" t="str">
            <v>ARS</v>
          </cell>
          <cell r="B3437" t="str">
            <v>834010896</v>
          </cell>
          <cell r="C3437" t="str">
            <v>BERLOIN, ROBERTO ADRIAN</v>
          </cell>
          <cell r="G3437">
            <v>19872288</v>
          </cell>
          <cell r="H3437">
            <v>19872288</v>
          </cell>
          <cell r="I3437" t="str">
            <v>834</v>
          </cell>
        </row>
        <row r="3438">
          <cell r="A3438" t="str">
            <v>ARS</v>
          </cell>
          <cell r="B3438" t="str">
            <v>834010898</v>
          </cell>
          <cell r="C3438" t="str">
            <v>GAVIOLA, JORGE ANTONIO</v>
          </cell>
          <cell r="G3438">
            <v>14317469.74</v>
          </cell>
          <cell r="H3438">
            <v>14317469.74</v>
          </cell>
          <cell r="I3438" t="str">
            <v>834</v>
          </cell>
        </row>
        <row r="3439">
          <cell r="A3439" t="str">
            <v>ARS</v>
          </cell>
          <cell r="B3439" t="str">
            <v>834010901</v>
          </cell>
          <cell r="C3439" t="str">
            <v>FREIBERG, DEBORA MARCELA</v>
          </cell>
          <cell r="G3439">
            <v>813600</v>
          </cell>
          <cell r="H3439">
            <v>813600</v>
          </cell>
          <cell r="I3439" t="str">
            <v>834</v>
          </cell>
        </row>
        <row r="3440">
          <cell r="A3440" t="str">
            <v>ARS</v>
          </cell>
          <cell r="B3440" t="str">
            <v>834010904</v>
          </cell>
          <cell r="C3440" t="str">
            <v>LONGO, MONICA MARIA LAURA o BACARELLA, JORGE ALBERTO</v>
          </cell>
          <cell r="G3440">
            <v>26335434</v>
          </cell>
          <cell r="H3440">
            <v>26335434</v>
          </cell>
          <cell r="I3440" t="str">
            <v>834</v>
          </cell>
        </row>
        <row r="3441">
          <cell r="A3441" t="str">
            <v>ARS</v>
          </cell>
          <cell r="B3441" t="str">
            <v>834010905</v>
          </cell>
          <cell r="C3441" t="str">
            <v>IBAÑEZ, MARTA GRACIELA  o BRAGAGNOLO, GASTON MAURICIO</v>
          </cell>
          <cell r="G3441">
            <v>13675821</v>
          </cell>
          <cell r="H3441">
            <v>13675821</v>
          </cell>
          <cell r="I3441" t="str">
            <v>834</v>
          </cell>
        </row>
        <row r="3442">
          <cell r="A3442" t="str">
            <v>ARS</v>
          </cell>
          <cell r="B3442" t="str">
            <v>834010909</v>
          </cell>
          <cell r="C3442" t="str">
            <v>ASOCIACION MUTUAL FRANCO ANDINA REGIONALMENDOZA</v>
          </cell>
          <cell r="G3442">
            <v>76349223</v>
          </cell>
          <cell r="H3442">
            <v>76349223</v>
          </cell>
          <cell r="I3442" t="str">
            <v>834</v>
          </cell>
        </row>
        <row r="3443">
          <cell r="A3443" t="str">
            <v>ARS</v>
          </cell>
          <cell r="B3443" t="str">
            <v>834010911</v>
          </cell>
          <cell r="C3443" t="str">
            <v>MOLINA GUERRA, MATIAS MAURICIO</v>
          </cell>
          <cell r="G3443">
            <v>34622169</v>
          </cell>
          <cell r="H3443">
            <v>34622169</v>
          </cell>
          <cell r="I3443" t="str">
            <v>834</v>
          </cell>
        </row>
        <row r="3444">
          <cell r="A3444" t="str">
            <v>ARS</v>
          </cell>
          <cell r="B3444" t="str">
            <v>834010915</v>
          </cell>
          <cell r="C3444" t="str">
            <v>LEONARDI, MARIA EUGENIA</v>
          </cell>
          <cell r="G3444">
            <v>3774</v>
          </cell>
          <cell r="H3444">
            <v>3774</v>
          </cell>
          <cell r="I3444" t="str">
            <v>834</v>
          </cell>
        </row>
        <row r="3445">
          <cell r="A3445" t="str">
            <v>ARS</v>
          </cell>
          <cell r="B3445" t="str">
            <v>834010916</v>
          </cell>
          <cell r="C3445" t="str">
            <v>REDMOND LEONARDI, FACUNDO</v>
          </cell>
          <cell r="G3445">
            <v>199256</v>
          </cell>
          <cell r="H3445">
            <v>199256</v>
          </cell>
          <cell r="I3445" t="str">
            <v>834</v>
          </cell>
        </row>
        <row r="3446">
          <cell r="A3446" t="str">
            <v>ARS</v>
          </cell>
          <cell r="B3446" t="str">
            <v>834010918</v>
          </cell>
          <cell r="C3446" t="str">
            <v>BECE EMPAQUES Y SERVICIOS S.A.</v>
          </cell>
          <cell r="G3446">
            <v>168219268</v>
          </cell>
          <cell r="H3446">
            <v>168219268</v>
          </cell>
          <cell r="I3446" t="str">
            <v>834</v>
          </cell>
        </row>
        <row r="3447">
          <cell r="A3447" t="str">
            <v>ARS</v>
          </cell>
          <cell r="B3447" t="str">
            <v>834010925</v>
          </cell>
          <cell r="C3447" t="str">
            <v>LUCERO, ANGEL ANTONIO</v>
          </cell>
          <cell r="G3447">
            <v>136412.5</v>
          </cell>
          <cell r="H3447">
            <v>136412.5</v>
          </cell>
          <cell r="I3447" t="str">
            <v>834</v>
          </cell>
        </row>
        <row r="3448">
          <cell r="A3448" t="str">
            <v>ARS</v>
          </cell>
          <cell r="B3448" t="str">
            <v>834010930</v>
          </cell>
          <cell r="C3448" t="str">
            <v xml:space="preserve">ELESPE, FEDERICO CARLOS </v>
          </cell>
          <cell r="G3448">
            <v>35654186</v>
          </cell>
          <cell r="H3448">
            <v>35654186</v>
          </cell>
          <cell r="I3448" t="str">
            <v>834</v>
          </cell>
        </row>
        <row r="3449">
          <cell r="A3449" t="str">
            <v>ARS</v>
          </cell>
          <cell r="B3449" t="str">
            <v>834010932</v>
          </cell>
          <cell r="C3449" t="str">
            <v>FIDEICOMISO COMPLEJO VILLA CARTAGENA</v>
          </cell>
          <cell r="G3449">
            <v>147799318.09999999</v>
          </cell>
          <cell r="H3449">
            <v>147799318.09999999</v>
          </cell>
          <cell r="I3449" t="str">
            <v>834</v>
          </cell>
        </row>
        <row r="3450">
          <cell r="A3450" t="str">
            <v>ARS</v>
          </cell>
          <cell r="B3450" t="str">
            <v>834010937</v>
          </cell>
          <cell r="C3450" t="str">
            <v>SOLUS S.A</v>
          </cell>
          <cell r="G3450">
            <v>238728440.38999999</v>
          </cell>
          <cell r="H3450">
            <v>238728440.38999999</v>
          </cell>
          <cell r="I3450" t="str">
            <v>834</v>
          </cell>
        </row>
        <row r="3451">
          <cell r="A3451" t="str">
            <v>ARS</v>
          </cell>
          <cell r="B3451" t="str">
            <v>834010939</v>
          </cell>
          <cell r="C3451" t="str">
            <v>LOS MENUCOS S.A.S.</v>
          </cell>
          <cell r="G3451">
            <v>77479727</v>
          </cell>
          <cell r="H3451">
            <v>77479727</v>
          </cell>
          <cell r="I3451" t="str">
            <v>834</v>
          </cell>
        </row>
        <row r="3452">
          <cell r="A3452" t="str">
            <v>ARS</v>
          </cell>
          <cell r="B3452" t="str">
            <v>834010940</v>
          </cell>
          <cell r="C3452" t="str">
            <v>OVIEDO, MARIELA MARTA o GARCIA, ALEJANDRO JOSE MARIA</v>
          </cell>
          <cell r="G3452">
            <v>5889900</v>
          </cell>
          <cell r="H3452">
            <v>5889900</v>
          </cell>
          <cell r="I3452" t="str">
            <v>834</v>
          </cell>
        </row>
        <row r="3453">
          <cell r="A3453" t="str">
            <v>ARS</v>
          </cell>
          <cell r="B3453" t="str">
            <v>834010948</v>
          </cell>
          <cell r="C3453" t="str">
            <v>HIDALGO, JORGE MANUEL o HEREDIA, MARIA ELSA o HIDALGO, EMANUEL EMILIO</v>
          </cell>
          <cell r="G3453">
            <v>15026306</v>
          </cell>
          <cell r="H3453">
            <v>15026306</v>
          </cell>
          <cell r="I3453" t="str">
            <v>834</v>
          </cell>
        </row>
        <row r="3454">
          <cell r="A3454" t="str">
            <v>ARS</v>
          </cell>
          <cell r="B3454" t="str">
            <v>834010959</v>
          </cell>
          <cell r="C3454" t="str">
            <v>GARCIA, LUIS MARCELO</v>
          </cell>
          <cell r="G3454">
            <v>11478378</v>
          </cell>
          <cell r="H3454">
            <v>11478378</v>
          </cell>
          <cell r="I3454" t="str">
            <v>834</v>
          </cell>
        </row>
        <row r="3455">
          <cell r="A3455" t="str">
            <v>ARS</v>
          </cell>
          <cell r="B3455" t="str">
            <v>834010963</v>
          </cell>
          <cell r="C3455" t="str">
            <v>MIRANDA, SEBASTIAN XAVIER</v>
          </cell>
          <cell r="G3455">
            <v>6273453</v>
          </cell>
          <cell r="H3455">
            <v>6273453</v>
          </cell>
          <cell r="I3455" t="str">
            <v>834</v>
          </cell>
        </row>
        <row r="3456">
          <cell r="A3456" t="str">
            <v>ARS</v>
          </cell>
          <cell r="B3456" t="str">
            <v>834010997</v>
          </cell>
          <cell r="C3456" t="str">
            <v>GNAZZO, MARIA LUCIA o NAVEYRA, TOMAS</v>
          </cell>
          <cell r="G3456">
            <v>272395303</v>
          </cell>
          <cell r="H3456">
            <v>272395303</v>
          </cell>
          <cell r="I3456" t="str">
            <v>834</v>
          </cell>
        </row>
        <row r="3457">
          <cell r="A3457" t="str">
            <v>ARS</v>
          </cell>
          <cell r="B3457" t="str">
            <v>834010998</v>
          </cell>
          <cell r="C3457" t="str">
            <v>YACOMO, NICOLAS ARMANDO  o CORREA, MARIA LUCIANA</v>
          </cell>
          <cell r="G3457">
            <v>37016289</v>
          </cell>
          <cell r="H3457">
            <v>37016289</v>
          </cell>
          <cell r="I3457" t="str">
            <v>834</v>
          </cell>
        </row>
        <row r="3458">
          <cell r="A3458" t="str">
            <v>ARS</v>
          </cell>
          <cell r="B3458" t="str">
            <v>834011000</v>
          </cell>
          <cell r="C3458" t="str">
            <v>DEGIORGI, ESTEBAN RAUL o DEGIORGI, JUAN ANGEL</v>
          </cell>
          <cell r="G3458">
            <v>39316129.229999997</v>
          </cell>
          <cell r="H3458">
            <v>39316129.229999997</v>
          </cell>
          <cell r="I3458" t="str">
            <v>834</v>
          </cell>
        </row>
        <row r="3459">
          <cell r="A3459" t="str">
            <v>ARS</v>
          </cell>
          <cell r="B3459" t="str">
            <v>834011003</v>
          </cell>
          <cell r="C3459" t="str">
            <v>SANFILIPPO, RICARDO EMILIO o ABREGO, MARIA LAURA</v>
          </cell>
          <cell r="G3459">
            <v>304852</v>
          </cell>
          <cell r="H3459">
            <v>304852</v>
          </cell>
          <cell r="I3459" t="str">
            <v>834</v>
          </cell>
        </row>
        <row r="3460">
          <cell r="A3460" t="str">
            <v>ARS</v>
          </cell>
          <cell r="B3460" t="str">
            <v>834011004</v>
          </cell>
          <cell r="C3460" t="str">
            <v>CASTILLO, MARIA DE LOS ANGELES o MARIN CASTILLO, LUISANA VICTORIA o MARIN, SANTIAGO ARMANDO</v>
          </cell>
          <cell r="G3460">
            <v>437424</v>
          </cell>
          <cell r="H3460">
            <v>437424</v>
          </cell>
          <cell r="I3460" t="str">
            <v>834</v>
          </cell>
        </row>
        <row r="3461">
          <cell r="A3461" t="str">
            <v>ARS</v>
          </cell>
          <cell r="B3461" t="str">
            <v>834011005</v>
          </cell>
          <cell r="C3461" t="str">
            <v>BALMACEDA, ALCIDES VICTOR o BALMACEDA, ALCIDES DAMIAN</v>
          </cell>
          <cell r="G3461">
            <v>182929286</v>
          </cell>
          <cell r="H3461">
            <v>182929286</v>
          </cell>
          <cell r="I3461" t="str">
            <v>834</v>
          </cell>
        </row>
        <row r="3462">
          <cell r="A3462" t="str">
            <v>ARS</v>
          </cell>
          <cell r="B3462" t="str">
            <v>834011007</v>
          </cell>
          <cell r="C3462" t="str">
            <v>TORRES GIOVANNINI, LUDMILA VALENTINA IRIS o DEL VECCHIO, CESAR MATIAS</v>
          </cell>
          <cell r="G3462">
            <v>38110.5</v>
          </cell>
          <cell r="H3462">
            <v>38110.5</v>
          </cell>
          <cell r="I3462" t="str">
            <v>834</v>
          </cell>
        </row>
        <row r="3463">
          <cell r="A3463" t="str">
            <v>ARS</v>
          </cell>
          <cell r="B3463" t="str">
            <v>834011009</v>
          </cell>
          <cell r="C3463" t="str">
            <v>ARAUCO, MARIA LUCIANA o NANCLARES, MARIA CLAUDIA o ARAUCO, RUBEN CAMILO</v>
          </cell>
          <cell r="G3463">
            <v>177578.4</v>
          </cell>
          <cell r="H3463">
            <v>177578.4</v>
          </cell>
          <cell r="I3463" t="str">
            <v>834</v>
          </cell>
        </row>
        <row r="3464">
          <cell r="A3464" t="str">
            <v>ARS</v>
          </cell>
          <cell r="B3464" t="str">
            <v>834011010</v>
          </cell>
          <cell r="C3464" t="str">
            <v>GUILLEN, AMANDA JUDITH</v>
          </cell>
          <cell r="G3464">
            <v>18552300</v>
          </cell>
          <cell r="H3464">
            <v>18552300</v>
          </cell>
          <cell r="I3464" t="str">
            <v>834</v>
          </cell>
        </row>
        <row r="3465">
          <cell r="A3465" t="str">
            <v>ARS</v>
          </cell>
          <cell r="B3465" t="str">
            <v>852000005</v>
          </cell>
          <cell r="C3465" t="str">
            <v>MG ALFA</v>
          </cell>
          <cell r="G3465">
            <v>3213486429.0700002</v>
          </cell>
          <cell r="H3465">
            <v>3213486429.0700002</v>
          </cell>
          <cell r="I3465" t="str">
            <v>852</v>
          </cell>
        </row>
        <row r="3466">
          <cell r="A3466" t="str">
            <v>ARS</v>
          </cell>
          <cell r="B3466" t="str">
            <v>852000006</v>
          </cell>
          <cell r="C3466" t="str">
            <v>TERRALOTEOSCOM SA</v>
          </cell>
          <cell r="G3466">
            <v>489185498.11000001</v>
          </cell>
          <cell r="H3466">
            <v>489185498.11000001</v>
          </cell>
          <cell r="I3466" t="str">
            <v>852</v>
          </cell>
        </row>
        <row r="3467">
          <cell r="A3467" t="str">
            <v>ARS</v>
          </cell>
          <cell r="B3467" t="str">
            <v>852000007</v>
          </cell>
          <cell r="C3467" t="str">
            <v>MARANATHA SRL</v>
          </cell>
          <cell r="G3467">
            <v>386614651.41000003</v>
          </cell>
          <cell r="H3467">
            <v>386614651.41000003</v>
          </cell>
          <cell r="I3467" t="str">
            <v>852</v>
          </cell>
        </row>
        <row r="3468">
          <cell r="A3468" t="str">
            <v>ARS</v>
          </cell>
          <cell r="B3468" t="str">
            <v>852000012</v>
          </cell>
          <cell r="C3468" t="str">
            <v>Rizzi, Belen De Los Milagros</v>
          </cell>
          <cell r="G3468">
            <v>68726252.269999996</v>
          </cell>
          <cell r="H3468">
            <v>68726252.269999996</v>
          </cell>
          <cell r="I3468" t="str">
            <v>852</v>
          </cell>
        </row>
        <row r="3469">
          <cell r="A3469" t="str">
            <v>ARS</v>
          </cell>
          <cell r="B3469" t="str">
            <v>852000016</v>
          </cell>
          <cell r="C3469" t="str">
            <v>Cristal, Adrian Gonzalo</v>
          </cell>
          <cell r="G3469">
            <v>8922023.9600000009</v>
          </cell>
          <cell r="H3469">
            <v>8922023.9600000009</v>
          </cell>
          <cell r="I3469" t="str">
            <v>852</v>
          </cell>
        </row>
        <row r="3470">
          <cell r="A3470" t="str">
            <v>ARS</v>
          </cell>
          <cell r="B3470" t="str">
            <v>852000018</v>
          </cell>
          <cell r="C3470" t="str">
            <v xml:space="preserve">ARBITRA SA </v>
          </cell>
          <cell r="G3470">
            <v>74705968.150000006</v>
          </cell>
          <cell r="H3470">
            <v>74705968.150000006</v>
          </cell>
          <cell r="I3470" t="str">
            <v>852</v>
          </cell>
        </row>
        <row r="3471">
          <cell r="A3471" t="str">
            <v>ARS</v>
          </cell>
          <cell r="B3471" t="str">
            <v>852000021</v>
          </cell>
          <cell r="C3471" t="str">
            <v>Borgognone, Renata Carolina</v>
          </cell>
          <cell r="G3471">
            <v>29933134.93</v>
          </cell>
          <cell r="H3471">
            <v>29933134.93</v>
          </cell>
          <cell r="I3471" t="str">
            <v>852</v>
          </cell>
        </row>
        <row r="3472">
          <cell r="A3472" t="str">
            <v>ARS</v>
          </cell>
          <cell r="B3472" t="str">
            <v>852000022</v>
          </cell>
          <cell r="C3472" t="str">
            <v>AGROTRANSPORTE ALDAO SA</v>
          </cell>
          <cell r="G3472">
            <v>108104101.81</v>
          </cell>
          <cell r="H3472">
            <v>108104101.81</v>
          </cell>
          <cell r="I3472" t="str">
            <v>852</v>
          </cell>
        </row>
        <row r="3473">
          <cell r="A3473" t="str">
            <v>ARS</v>
          </cell>
          <cell r="B3473" t="str">
            <v>852000025</v>
          </cell>
          <cell r="C3473" t="str">
            <v>Araoz, Agustina</v>
          </cell>
          <cell r="G3473">
            <v>30000000</v>
          </cell>
          <cell r="H3473">
            <v>30000000</v>
          </cell>
          <cell r="I3473" t="str">
            <v>852</v>
          </cell>
        </row>
        <row r="3474">
          <cell r="A3474" t="str">
            <v>ARS</v>
          </cell>
          <cell r="B3474" t="str">
            <v>852000026</v>
          </cell>
          <cell r="C3474" t="str">
            <v>POLAND SA</v>
          </cell>
          <cell r="G3474">
            <v>26383877.059999999</v>
          </cell>
          <cell r="H3474">
            <v>26383877.059999999</v>
          </cell>
          <cell r="I3474" t="str">
            <v>852</v>
          </cell>
        </row>
        <row r="3475">
          <cell r="A3475" t="str">
            <v>ARS</v>
          </cell>
          <cell r="B3475" t="str">
            <v>852000027</v>
          </cell>
          <cell r="C3475" t="str">
            <v>SERGIO O GRIZUTTI SA</v>
          </cell>
          <cell r="G3475">
            <v>32748592.059999999</v>
          </cell>
          <cell r="H3475">
            <v>32748592.059999999</v>
          </cell>
          <cell r="I3475" t="str">
            <v>852</v>
          </cell>
        </row>
        <row r="3476">
          <cell r="A3476" t="str">
            <v>ARS</v>
          </cell>
          <cell r="B3476" t="str">
            <v>852000029</v>
          </cell>
          <cell r="C3476" t="str">
            <v>BANCO COMAFI SA Sociedad Depositaria AXIS FCI ABIERTO PYMES 3</v>
          </cell>
          <cell r="G3476">
            <v>1964238506.95</v>
          </cell>
          <cell r="H3476">
            <v>1964238506.95</v>
          </cell>
          <cell r="I3476" t="str">
            <v>852</v>
          </cell>
        </row>
        <row r="3477">
          <cell r="A3477" t="str">
            <v>ARS</v>
          </cell>
          <cell r="B3477" t="str">
            <v>852000031</v>
          </cell>
          <cell r="C3477" t="str">
            <v>Piñeiro, Sebastian</v>
          </cell>
          <cell r="G3477">
            <v>22945237.73</v>
          </cell>
          <cell r="H3477">
            <v>22945237.73</v>
          </cell>
          <cell r="I3477" t="str">
            <v>852</v>
          </cell>
        </row>
        <row r="3478">
          <cell r="A3478" t="str">
            <v>ARS</v>
          </cell>
          <cell r="B3478" t="str">
            <v>852000032</v>
          </cell>
          <cell r="C3478" t="str">
            <v>SION SA</v>
          </cell>
          <cell r="G3478">
            <v>92759948.090000004</v>
          </cell>
          <cell r="H3478">
            <v>92759948.090000004</v>
          </cell>
          <cell r="I3478" t="str">
            <v>852</v>
          </cell>
        </row>
        <row r="3479">
          <cell r="A3479" t="str">
            <v>ARS</v>
          </cell>
          <cell r="B3479" t="str">
            <v>852000035</v>
          </cell>
          <cell r="C3479" t="str">
            <v>Rovetto, Edgardo Daniel</v>
          </cell>
          <cell r="G3479">
            <v>67232157.799999997</v>
          </cell>
          <cell r="H3479">
            <v>67232157.799999997</v>
          </cell>
          <cell r="I3479" t="str">
            <v>852</v>
          </cell>
        </row>
        <row r="3480">
          <cell r="A3480" t="str">
            <v>ARS</v>
          </cell>
          <cell r="B3480" t="str">
            <v>852000036</v>
          </cell>
          <cell r="C3480" t="str">
            <v>CANARI CONSTRUCCIONES SRL</v>
          </cell>
          <cell r="G3480">
            <v>50970168.5</v>
          </cell>
          <cell r="H3480">
            <v>50970168.5</v>
          </cell>
          <cell r="I3480" t="str">
            <v>852</v>
          </cell>
        </row>
        <row r="3481">
          <cell r="A3481" t="str">
            <v>ARS</v>
          </cell>
          <cell r="B3481" t="str">
            <v>852000040</v>
          </cell>
          <cell r="C3481" t="str">
            <v>Foletti, Nicolas Agustin</v>
          </cell>
          <cell r="G3481">
            <v>2761879.77</v>
          </cell>
          <cell r="H3481">
            <v>2761879.77</v>
          </cell>
          <cell r="I3481" t="str">
            <v>852</v>
          </cell>
        </row>
        <row r="3482">
          <cell r="A3482" t="str">
            <v>ARS</v>
          </cell>
          <cell r="B3482" t="str">
            <v>852000043</v>
          </cell>
          <cell r="C3482" t="str">
            <v>RECI PROJECT SA</v>
          </cell>
          <cell r="G3482">
            <v>134224624.36000001</v>
          </cell>
          <cell r="H3482">
            <v>134224624.36000001</v>
          </cell>
          <cell r="I3482" t="str">
            <v>852</v>
          </cell>
        </row>
        <row r="3483">
          <cell r="A3483" t="str">
            <v>ARS</v>
          </cell>
          <cell r="B3483" t="str">
            <v>852000047</v>
          </cell>
          <cell r="C3483" t="str">
            <v>HOGARSTYLE SA</v>
          </cell>
          <cell r="G3483">
            <v>7460447.3700000001</v>
          </cell>
          <cell r="H3483">
            <v>7460447.3700000001</v>
          </cell>
          <cell r="I3483" t="str">
            <v>852</v>
          </cell>
        </row>
        <row r="3484">
          <cell r="A3484" t="str">
            <v>ARS</v>
          </cell>
          <cell r="B3484" t="str">
            <v>852000052</v>
          </cell>
          <cell r="C3484" t="str">
            <v>ECO TRADER IMPORT EXPORT SA</v>
          </cell>
          <cell r="G3484">
            <v>100436749.55</v>
          </cell>
          <cell r="H3484">
            <v>100436749.55</v>
          </cell>
          <cell r="I3484" t="str">
            <v>852</v>
          </cell>
        </row>
        <row r="3485">
          <cell r="A3485" t="str">
            <v>ARS</v>
          </cell>
          <cell r="B3485" t="str">
            <v>852000054</v>
          </cell>
          <cell r="C3485" t="str">
            <v>Sarasola, Hipolito Jose</v>
          </cell>
          <cell r="G3485">
            <v>21320845.09</v>
          </cell>
          <cell r="H3485">
            <v>21320845.09</v>
          </cell>
          <cell r="I3485" t="str">
            <v>852</v>
          </cell>
        </row>
        <row r="3486">
          <cell r="A3486" t="str">
            <v>ARS</v>
          </cell>
          <cell r="B3486" t="str">
            <v>852000056</v>
          </cell>
          <cell r="C3486" t="str">
            <v>Urrizmendi, Mateo Nicolas o gimenez, maria isabel</v>
          </cell>
          <cell r="G3486">
            <v>152649.60000000001</v>
          </cell>
          <cell r="H3486">
            <v>152649.60000000001</v>
          </cell>
          <cell r="I3486" t="str">
            <v>852</v>
          </cell>
        </row>
        <row r="3487">
          <cell r="A3487" t="str">
            <v>ARS</v>
          </cell>
          <cell r="B3487" t="str">
            <v>852000057</v>
          </cell>
          <cell r="C3487" t="str">
            <v>INDUSTRIAS FRIGORIFICAS JG SA</v>
          </cell>
          <cell r="G3487">
            <v>84689599.599999994</v>
          </cell>
          <cell r="H3487">
            <v>84689599.599999994</v>
          </cell>
          <cell r="I3487" t="str">
            <v>852</v>
          </cell>
        </row>
        <row r="3488">
          <cell r="A3488" t="str">
            <v>ARS</v>
          </cell>
          <cell r="B3488" t="str">
            <v>852000059</v>
          </cell>
          <cell r="C3488" t="str">
            <v>LABORATORIOS FERRINI SAICI</v>
          </cell>
          <cell r="G3488">
            <v>535804122.38999999</v>
          </cell>
          <cell r="H3488">
            <v>535804122.38999999</v>
          </cell>
          <cell r="I3488" t="str">
            <v>852</v>
          </cell>
        </row>
        <row r="3489">
          <cell r="A3489" t="str">
            <v>ARS</v>
          </cell>
          <cell r="B3489" t="str">
            <v>852000061</v>
          </cell>
          <cell r="C3489" t="str">
            <v>ARAMENDI Y ASOCIADOS SA</v>
          </cell>
          <cell r="G3489">
            <v>48910531.090000004</v>
          </cell>
          <cell r="H3489">
            <v>48910531.090000004</v>
          </cell>
          <cell r="I3489" t="str">
            <v>852</v>
          </cell>
        </row>
        <row r="3490">
          <cell r="A3490" t="str">
            <v>ARS</v>
          </cell>
          <cell r="B3490" t="str">
            <v>852000063</v>
          </cell>
          <cell r="C3490" t="str">
            <v>LACTEOS PREMIUM SA</v>
          </cell>
          <cell r="G3490">
            <v>95445290.680000007</v>
          </cell>
          <cell r="H3490">
            <v>95445290.680000007</v>
          </cell>
          <cell r="I3490" t="str">
            <v>852</v>
          </cell>
        </row>
        <row r="3491">
          <cell r="A3491" t="str">
            <v>ARS</v>
          </cell>
          <cell r="B3491" t="str">
            <v>852000065</v>
          </cell>
          <cell r="C3491" t="str">
            <v>MG ALFA OPERACIONES</v>
          </cell>
          <cell r="G3491">
            <v>1241784649.8499999</v>
          </cell>
          <cell r="H3491">
            <v>1241784649.8499999</v>
          </cell>
          <cell r="I3491" t="str">
            <v>852</v>
          </cell>
        </row>
        <row r="3492">
          <cell r="A3492" t="str">
            <v>ARS</v>
          </cell>
          <cell r="B3492" t="str">
            <v>852000066</v>
          </cell>
          <cell r="C3492" t="str">
            <v>FAMILY GROUP SA</v>
          </cell>
          <cell r="G3492">
            <v>412339285.66000003</v>
          </cell>
          <cell r="H3492">
            <v>412339285.66000003</v>
          </cell>
          <cell r="I3492" t="str">
            <v>852</v>
          </cell>
        </row>
        <row r="3493">
          <cell r="A3493" t="str">
            <v>ARS</v>
          </cell>
          <cell r="B3493" t="str">
            <v>852000070</v>
          </cell>
          <cell r="C3493" t="str">
            <v>SOL GROUP SAS</v>
          </cell>
          <cell r="G3493">
            <v>60745882.060000002</v>
          </cell>
          <cell r="H3493">
            <v>60745882.060000002</v>
          </cell>
          <cell r="I3493" t="str">
            <v>852</v>
          </cell>
        </row>
        <row r="3494">
          <cell r="A3494" t="str">
            <v>ARS</v>
          </cell>
          <cell r="B3494" t="str">
            <v>852000071</v>
          </cell>
          <cell r="C3494" t="str">
            <v>DECA SRL</v>
          </cell>
          <cell r="G3494">
            <v>73737981.040000007</v>
          </cell>
          <cell r="H3494">
            <v>73737981.040000007</v>
          </cell>
          <cell r="I3494" t="str">
            <v>852</v>
          </cell>
        </row>
        <row r="3495">
          <cell r="A3495" t="str">
            <v>ARS</v>
          </cell>
          <cell r="B3495" t="str">
            <v>852000072</v>
          </cell>
          <cell r="C3495" t="str">
            <v>BROOKLYN RIDERS SRL</v>
          </cell>
          <cell r="G3495">
            <v>30000000</v>
          </cell>
          <cell r="H3495">
            <v>30000000</v>
          </cell>
          <cell r="I3495" t="str">
            <v>852</v>
          </cell>
        </row>
        <row r="3496">
          <cell r="A3496" t="str">
            <v>ARS</v>
          </cell>
          <cell r="B3496" t="str">
            <v>865001002</v>
          </cell>
          <cell r="C3496" t="str">
            <v>PEÑA, JULIO JORGE o SOLORZA VUANELLO, MARIA LAURA</v>
          </cell>
          <cell r="G3496">
            <v>7031310.71</v>
          </cell>
          <cell r="H3496">
            <v>7031310.71</v>
          </cell>
          <cell r="I3496" t="str">
            <v>865</v>
          </cell>
        </row>
        <row r="3497">
          <cell r="A3497" t="str">
            <v>ARS</v>
          </cell>
          <cell r="B3497" t="str">
            <v>865001010</v>
          </cell>
          <cell r="C3497" t="str">
            <v>NOGUERA, MARIA ENCARNACION</v>
          </cell>
          <cell r="G3497">
            <v>975171.2</v>
          </cell>
          <cell r="H3497">
            <v>975171.2</v>
          </cell>
          <cell r="I3497" t="str">
            <v>865</v>
          </cell>
        </row>
        <row r="3498">
          <cell r="A3498" t="str">
            <v>ARS</v>
          </cell>
          <cell r="B3498" t="str">
            <v>865001077</v>
          </cell>
          <cell r="C3498" t="str">
            <v>MANRIQUE, FERNANDO ARTURO o COBOS, MARIA CRISTINA</v>
          </cell>
          <cell r="G3498">
            <v>16069732.880000001</v>
          </cell>
          <cell r="H3498">
            <v>16069732.880000001</v>
          </cell>
          <cell r="I3498" t="str">
            <v>865</v>
          </cell>
        </row>
        <row r="3499">
          <cell r="A3499" t="str">
            <v>ARS</v>
          </cell>
          <cell r="B3499" t="str">
            <v>865001097</v>
          </cell>
          <cell r="C3499" t="str">
            <v>FERRARI, NESTOR GENARO o GONZALEZ, GABRIELA MARINA</v>
          </cell>
          <cell r="G3499">
            <v>1629757610.0899999</v>
          </cell>
          <cell r="H3499">
            <v>1629757610.0899999</v>
          </cell>
          <cell r="I3499" t="str">
            <v>865</v>
          </cell>
        </row>
        <row r="3500">
          <cell r="A3500" t="str">
            <v>ARS</v>
          </cell>
          <cell r="B3500" t="str">
            <v>865001109</v>
          </cell>
          <cell r="C3500" t="str">
            <v>RODRIGUEZ NAVAS, ALICIA BEATRIZ o NAVAS, MARIA SILVIA o RODRIGUEZ NAVAS, SILVIA LILIANA</v>
          </cell>
          <cell r="G3500">
            <v>1351945.54</v>
          </cell>
          <cell r="H3500">
            <v>1351945.54</v>
          </cell>
          <cell r="I3500" t="str">
            <v>865</v>
          </cell>
        </row>
        <row r="3501">
          <cell r="A3501" t="str">
            <v>ARS</v>
          </cell>
          <cell r="B3501" t="str">
            <v>865001116</v>
          </cell>
          <cell r="C3501" t="str">
            <v>CASTRO, DANIEL ENRIQUE o JOFRE, ELENA ASCENCION o CASTRO, DANIEL ESTEBAN</v>
          </cell>
          <cell r="G3501">
            <v>11634750.800000001</v>
          </cell>
          <cell r="H3501">
            <v>11634750.800000001</v>
          </cell>
          <cell r="I3501" t="str">
            <v>865</v>
          </cell>
        </row>
        <row r="3502">
          <cell r="A3502" t="str">
            <v>ARS</v>
          </cell>
          <cell r="B3502" t="str">
            <v>865001124</v>
          </cell>
          <cell r="C3502" t="str">
            <v>GMI INVERSIONES S.A.</v>
          </cell>
          <cell r="G3502">
            <v>16051497599.290001</v>
          </cell>
          <cell r="H3502">
            <v>16051497599.290001</v>
          </cell>
          <cell r="I3502" t="str">
            <v>865</v>
          </cell>
        </row>
        <row r="3503">
          <cell r="A3503" t="str">
            <v>ARS</v>
          </cell>
          <cell r="B3503" t="str">
            <v>865001128</v>
          </cell>
          <cell r="C3503" t="str">
            <v>RIVAS, ANA MARIA o BASUALDO, ALFREDO EDUARDO</v>
          </cell>
          <cell r="G3503">
            <v>22729694.859999999</v>
          </cell>
          <cell r="H3503">
            <v>22729694.859999999</v>
          </cell>
          <cell r="I3503" t="str">
            <v>865</v>
          </cell>
        </row>
        <row r="3504">
          <cell r="A3504" t="str">
            <v>ARS</v>
          </cell>
          <cell r="B3504" t="str">
            <v>865001143</v>
          </cell>
          <cell r="C3504" t="str">
            <v>PEREZ, ELIZABETH o ROSALES, JULIO MANUEL</v>
          </cell>
          <cell r="G3504">
            <v>9217640.1400000006</v>
          </cell>
          <cell r="H3504">
            <v>9217640.1400000006</v>
          </cell>
          <cell r="I3504" t="str">
            <v>865</v>
          </cell>
        </row>
        <row r="3505">
          <cell r="A3505" t="str">
            <v>ARS</v>
          </cell>
          <cell r="B3505" t="str">
            <v>865001149</v>
          </cell>
          <cell r="C3505" t="str">
            <v>COLEGIO DE ABOGADOS DE SAN JUAN</v>
          </cell>
          <cell r="G3505">
            <v>45452553.420000002</v>
          </cell>
          <cell r="H3505">
            <v>45452553.420000002</v>
          </cell>
          <cell r="I3505" t="str">
            <v>865</v>
          </cell>
        </row>
        <row r="3506">
          <cell r="A3506" t="str">
            <v>ARS</v>
          </cell>
          <cell r="B3506" t="str">
            <v>865001155</v>
          </cell>
          <cell r="C3506" t="str">
            <v>AHUMADA, GUSTAVO OSCAR</v>
          </cell>
          <cell r="G3506">
            <v>5502388.9199999999</v>
          </cell>
          <cell r="H3506">
            <v>5502388.9199999999</v>
          </cell>
          <cell r="I3506" t="str">
            <v>865</v>
          </cell>
        </row>
        <row r="3507">
          <cell r="A3507" t="str">
            <v>ARS</v>
          </cell>
          <cell r="B3507" t="str">
            <v>865001157</v>
          </cell>
          <cell r="C3507" t="str">
            <v>JAIMEN, CARLOS LUIS o JAIMEN, AIDA INES</v>
          </cell>
          <cell r="G3507">
            <v>40736607.119999997</v>
          </cell>
          <cell r="H3507">
            <v>40736607.119999997</v>
          </cell>
          <cell r="I3507" t="str">
            <v>865</v>
          </cell>
        </row>
        <row r="3508">
          <cell r="A3508" t="str">
            <v>ARS</v>
          </cell>
          <cell r="B3508" t="str">
            <v>865001160</v>
          </cell>
          <cell r="C3508" t="str">
            <v>SPINELLI, LUIS ALBERTO</v>
          </cell>
          <cell r="G3508">
            <v>1232909606.0599999</v>
          </cell>
          <cell r="H3508">
            <v>1232909606.0599999</v>
          </cell>
          <cell r="I3508" t="str">
            <v>865</v>
          </cell>
        </row>
        <row r="3509">
          <cell r="A3509" t="str">
            <v>ARS</v>
          </cell>
          <cell r="B3509" t="str">
            <v>865001162</v>
          </cell>
          <cell r="C3509" t="str">
            <v>VILLARREAL, STELLA MARYS o MORENO, ELIAS RAUL  o MORENO LORENA</v>
          </cell>
          <cell r="G3509">
            <v>505896</v>
          </cell>
          <cell r="H3509">
            <v>505896</v>
          </cell>
          <cell r="I3509" t="str">
            <v>865</v>
          </cell>
        </row>
        <row r="3510">
          <cell r="A3510" t="str">
            <v>ARS</v>
          </cell>
          <cell r="B3510" t="str">
            <v>865001164</v>
          </cell>
          <cell r="C3510" t="str">
            <v>PEÑA, JUAN PABLO</v>
          </cell>
          <cell r="G3510">
            <v>1028922</v>
          </cell>
          <cell r="H3510">
            <v>1028922</v>
          </cell>
          <cell r="I3510" t="str">
            <v>865</v>
          </cell>
        </row>
        <row r="3511">
          <cell r="A3511" t="str">
            <v>ARS</v>
          </cell>
          <cell r="B3511" t="str">
            <v>865001181</v>
          </cell>
          <cell r="C3511" t="str">
            <v>HERNANDEZ, MARIA ANGEL o ZUCCOTTI, HORACIO GASTON</v>
          </cell>
          <cell r="G3511">
            <v>164351142.00999999</v>
          </cell>
          <cell r="H3511">
            <v>164351142.00999999</v>
          </cell>
          <cell r="I3511" t="str">
            <v>865</v>
          </cell>
        </row>
        <row r="3512">
          <cell r="A3512" t="str">
            <v>ARS</v>
          </cell>
          <cell r="B3512" t="str">
            <v>865001190</v>
          </cell>
          <cell r="C3512" t="str">
            <v>RUIZ, JORGE RICARDO</v>
          </cell>
          <cell r="G3512">
            <v>153473368.06</v>
          </cell>
          <cell r="H3512">
            <v>153473368.06</v>
          </cell>
          <cell r="I3512" t="str">
            <v>865</v>
          </cell>
        </row>
        <row r="3513">
          <cell r="A3513" t="str">
            <v>ARS</v>
          </cell>
          <cell r="B3513" t="str">
            <v>865001191</v>
          </cell>
          <cell r="C3513" t="str">
            <v>PEÑA, JULIO JORGE o QUIROGA, HILDA ADELA</v>
          </cell>
          <cell r="G3513">
            <v>1965637333.0699999</v>
          </cell>
          <cell r="H3513">
            <v>1965637333.0699999</v>
          </cell>
          <cell r="I3513" t="str">
            <v>865</v>
          </cell>
        </row>
        <row r="3514">
          <cell r="A3514" t="str">
            <v>ARS</v>
          </cell>
          <cell r="B3514" t="str">
            <v>865001192</v>
          </cell>
          <cell r="C3514" t="str">
            <v>MORENO, EDUARDO ROSENDO o BENEGAS, MARIA ESTELA</v>
          </cell>
          <cell r="G3514">
            <v>13326009.76</v>
          </cell>
          <cell r="H3514">
            <v>13326009.76</v>
          </cell>
          <cell r="I3514" t="str">
            <v>865</v>
          </cell>
        </row>
        <row r="3515">
          <cell r="A3515" t="str">
            <v>ARS</v>
          </cell>
          <cell r="B3515" t="str">
            <v>865001200</v>
          </cell>
          <cell r="C3515" t="str">
            <v>ALVAREZ, JOSE GERMAN</v>
          </cell>
          <cell r="G3515">
            <v>92222687.150000006</v>
          </cell>
          <cell r="H3515">
            <v>92222687.150000006</v>
          </cell>
          <cell r="I3515" t="str">
            <v>865</v>
          </cell>
        </row>
        <row r="3516">
          <cell r="A3516" t="str">
            <v>ARS</v>
          </cell>
          <cell r="B3516" t="str">
            <v>865001210</v>
          </cell>
          <cell r="C3516" t="str">
            <v>RUIZ Y ASOCIADOS CONSULTORA SRL</v>
          </cell>
          <cell r="G3516">
            <v>2372965804.8899999</v>
          </cell>
          <cell r="H3516">
            <v>2372965804.8899999</v>
          </cell>
          <cell r="I3516" t="str">
            <v>865</v>
          </cell>
        </row>
        <row r="3517">
          <cell r="A3517" t="str">
            <v>ARS</v>
          </cell>
          <cell r="B3517" t="str">
            <v>865001217</v>
          </cell>
          <cell r="C3517" t="str">
            <v>MARTIN, FRANCISCO ROBERTO o GODOY, MARIA EUGENIA o JOFRE PAEZ, SILVIA EDITH</v>
          </cell>
          <cell r="G3517">
            <v>18138859.539999999</v>
          </cell>
          <cell r="H3517">
            <v>18138859.539999999</v>
          </cell>
          <cell r="I3517" t="str">
            <v>865</v>
          </cell>
        </row>
        <row r="3518">
          <cell r="A3518" t="str">
            <v>ARS</v>
          </cell>
          <cell r="B3518" t="str">
            <v>865001232</v>
          </cell>
          <cell r="C3518" t="str">
            <v>GOUBAT, ADALBERTO ANIBAL</v>
          </cell>
          <cell r="G3518">
            <v>10287554.609999999</v>
          </cell>
          <cell r="H3518">
            <v>10287554.609999999</v>
          </cell>
          <cell r="I3518" t="str">
            <v>865</v>
          </cell>
        </row>
        <row r="3519">
          <cell r="A3519" t="str">
            <v>ARS</v>
          </cell>
          <cell r="B3519" t="str">
            <v>865001233</v>
          </cell>
          <cell r="C3519" t="str">
            <v>LUCATTO TRUJILLANO, SERGIO DANIEL</v>
          </cell>
          <cell r="G3519">
            <v>3857996.87</v>
          </cell>
          <cell r="H3519">
            <v>3857996.87</v>
          </cell>
          <cell r="I3519" t="str">
            <v>865</v>
          </cell>
        </row>
        <row r="3520">
          <cell r="A3520" t="str">
            <v>ARS</v>
          </cell>
          <cell r="B3520" t="str">
            <v>865001234</v>
          </cell>
          <cell r="C3520" t="str">
            <v>OLIVERA, SEBASTIAN</v>
          </cell>
          <cell r="G3520">
            <v>33679188.530000001</v>
          </cell>
          <cell r="H3520">
            <v>33679188.530000001</v>
          </cell>
          <cell r="I3520" t="str">
            <v>865</v>
          </cell>
        </row>
        <row r="3521">
          <cell r="A3521" t="str">
            <v>ARS</v>
          </cell>
          <cell r="B3521" t="str">
            <v>865001236</v>
          </cell>
          <cell r="C3521" t="str">
            <v>PERALTA, DANIEL ORLANDO o CASTRO, JUANA o CABRERA, ROSA NIDIA</v>
          </cell>
          <cell r="G3521">
            <v>82290772.540000007</v>
          </cell>
          <cell r="H3521">
            <v>82290772.540000007</v>
          </cell>
          <cell r="I3521" t="str">
            <v>865</v>
          </cell>
        </row>
        <row r="3522">
          <cell r="A3522" t="str">
            <v>ARS</v>
          </cell>
          <cell r="B3522" t="str">
            <v>865001237</v>
          </cell>
          <cell r="C3522" t="str">
            <v>MENCHETTI, SILVANA HAYDEE o LOPEZ MENCHETI, ARIANA</v>
          </cell>
          <cell r="G3522">
            <v>298105.46999999997</v>
          </cell>
          <cell r="H3522">
            <v>298105.46999999997</v>
          </cell>
          <cell r="I3522" t="str">
            <v>865</v>
          </cell>
        </row>
        <row r="3523">
          <cell r="A3523" t="str">
            <v>ARS</v>
          </cell>
          <cell r="B3523" t="str">
            <v>865001243</v>
          </cell>
          <cell r="C3523" t="str">
            <v>ROJAS, HAYDE LILIANA o DIAZ, OSCAR ANTONIO</v>
          </cell>
          <cell r="G3523">
            <v>148046318.18000001</v>
          </cell>
          <cell r="H3523">
            <v>148046318.18000001</v>
          </cell>
          <cell r="I3523" t="str">
            <v>865</v>
          </cell>
        </row>
        <row r="3524">
          <cell r="A3524" t="str">
            <v>ARS</v>
          </cell>
          <cell r="B3524" t="str">
            <v>865001265</v>
          </cell>
          <cell r="C3524" t="str">
            <v>LEONARDI GUERRERO, MARCELO AGUSTIN o RAMIREZ MARTIN, ANDREA ALEJANDRA</v>
          </cell>
          <cell r="G3524">
            <v>517488.29</v>
          </cell>
          <cell r="H3524">
            <v>517488.29</v>
          </cell>
          <cell r="I3524" t="str">
            <v>865</v>
          </cell>
        </row>
        <row r="3525">
          <cell r="A3525" t="str">
            <v>ARS</v>
          </cell>
          <cell r="B3525" t="str">
            <v>865001272</v>
          </cell>
          <cell r="C3525" t="str">
            <v>GROSSI YURKOVICH, IVAN DAVID o YURKOVICH, ANA LETICIA</v>
          </cell>
          <cell r="G3525">
            <v>393354343.82999998</v>
          </cell>
          <cell r="H3525">
            <v>393354343.82999998</v>
          </cell>
          <cell r="I3525" t="str">
            <v>865</v>
          </cell>
        </row>
        <row r="3526">
          <cell r="A3526" t="str">
            <v>ARS</v>
          </cell>
          <cell r="B3526" t="str">
            <v>865001277</v>
          </cell>
          <cell r="C3526" t="str">
            <v>SOLORZA VUANELLO, MARIA LAURA O PEÑA, JULIO JORGE</v>
          </cell>
          <cell r="G3526">
            <v>151582876.94999999</v>
          </cell>
          <cell r="H3526">
            <v>151582876.94999999</v>
          </cell>
          <cell r="I3526" t="str">
            <v>865</v>
          </cell>
        </row>
        <row r="3527">
          <cell r="A3527" t="str">
            <v>ARS</v>
          </cell>
          <cell r="B3527" t="str">
            <v>865001291</v>
          </cell>
          <cell r="C3527" t="str">
            <v>SOSA, ALFREDO JAVIER</v>
          </cell>
          <cell r="G3527">
            <v>7573957.3600000003</v>
          </cell>
          <cell r="H3527">
            <v>7573957.3600000003</v>
          </cell>
          <cell r="I3527" t="str">
            <v>865</v>
          </cell>
        </row>
        <row r="3528">
          <cell r="A3528" t="str">
            <v>ARS</v>
          </cell>
          <cell r="B3528" t="str">
            <v>865001298</v>
          </cell>
          <cell r="C3528" t="str">
            <v>VERA, OSCAR ALBERTO</v>
          </cell>
          <cell r="G3528">
            <v>17070023.07</v>
          </cell>
          <cell r="H3528">
            <v>17070023.07</v>
          </cell>
          <cell r="I3528" t="str">
            <v>865</v>
          </cell>
        </row>
        <row r="3529">
          <cell r="A3529" t="str">
            <v>ARS</v>
          </cell>
          <cell r="B3529" t="str">
            <v>865001301</v>
          </cell>
          <cell r="C3529" t="str">
            <v>PIZARRO, GUILLERMO DOMINGO</v>
          </cell>
          <cell r="G3529">
            <v>106094870.33</v>
          </cell>
          <cell r="H3529">
            <v>106094870.33</v>
          </cell>
          <cell r="I3529" t="str">
            <v>865</v>
          </cell>
        </row>
        <row r="3530">
          <cell r="A3530" t="str">
            <v>ARS</v>
          </cell>
          <cell r="B3530" t="str">
            <v>865001308</v>
          </cell>
          <cell r="C3530" t="str">
            <v>ROMEU, RENZO GERMAN o ROMEU, MELINA GEMA</v>
          </cell>
          <cell r="G3530">
            <v>2007762.85</v>
          </cell>
          <cell r="H3530">
            <v>2007762.85</v>
          </cell>
          <cell r="I3530" t="str">
            <v>865</v>
          </cell>
        </row>
        <row r="3531">
          <cell r="A3531" t="str">
            <v>ARS</v>
          </cell>
          <cell r="B3531" t="str">
            <v>865001309</v>
          </cell>
          <cell r="C3531" t="str">
            <v xml:space="preserve">SAGUA, MARIA DEL CARMEN </v>
          </cell>
          <cell r="G3531">
            <v>17740854.460000001</v>
          </cell>
          <cell r="H3531">
            <v>17740854.460000001</v>
          </cell>
          <cell r="I3531" t="str">
            <v>865</v>
          </cell>
        </row>
        <row r="3532">
          <cell r="A3532" t="str">
            <v>ARS</v>
          </cell>
          <cell r="B3532" t="str">
            <v>865001311</v>
          </cell>
          <cell r="C3532" t="str">
            <v>MARADONA, CARLOS ALBERTO</v>
          </cell>
          <cell r="G3532">
            <v>288600759.88999999</v>
          </cell>
          <cell r="H3532">
            <v>288600759.88999999</v>
          </cell>
          <cell r="I3532" t="str">
            <v>865</v>
          </cell>
        </row>
        <row r="3533">
          <cell r="A3533" t="str">
            <v>ARS</v>
          </cell>
          <cell r="B3533" t="str">
            <v>865001312</v>
          </cell>
          <cell r="C3533" t="str">
            <v>SOSA LEUZZI, EMANUEL JESUS MIGUEL</v>
          </cell>
          <cell r="G3533">
            <v>3375195.67</v>
          </cell>
          <cell r="H3533">
            <v>3375195.67</v>
          </cell>
          <cell r="I3533" t="str">
            <v>865</v>
          </cell>
        </row>
        <row r="3534">
          <cell r="A3534" t="str">
            <v>ARS</v>
          </cell>
          <cell r="B3534" t="str">
            <v>865001316</v>
          </cell>
          <cell r="C3534" t="str">
            <v>FEDERICO LOIACONO PABLO Y/O FEDERICO LOIACONO JUAN MANUEL</v>
          </cell>
          <cell r="G3534">
            <v>221044877.83000001</v>
          </cell>
          <cell r="H3534">
            <v>221044877.83000001</v>
          </cell>
          <cell r="I3534" t="str">
            <v>865</v>
          </cell>
        </row>
        <row r="3535">
          <cell r="A3535" t="str">
            <v>ARS</v>
          </cell>
          <cell r="B3535" t="str">
            <v>865001318</v>
          </cell>
          <cell r="C3535" t="str">
            <v>GUTIERREZ, PAMELA DAMIANA</v>
          </cell>
          <cell r="G3535">
            <v>23909905.960000001</v>
          </cell>
          <cell r="H3535">
            <v>23909905.960000001</v>
          </cell>
          <cell r="I3535" t="str">
            <v>865</v>
          </cell>
        </row>
        <row r="3536">
          <cell r="A3536" t="str">
            <v>ARS</v>
          </cell>
          <cell r="B3536" t="str">
            <v>865001322</v>
          </cell>
          <cell r="C3536" t="str">
            <v>ARMEGOM SA</v>
          </cell>
          <cell r="G3536">
            <v>4525006214.0699997</v>
          </cell>
          <cell r="H3536">
            <v>4525006214.0699997</v>
          </cell>
          <cell r="I3536" t="str">
            <v>865</v>
          </cell>
        </row>
        <row r="3537">
          <cell r="A3537" t="str">
            <v>ARS</v>
          </cell>
          <cell r="B3537" t="str">
            <v>865001323</v>
          </cell>
          <cell r="C3537" t="str">
            <v>MONTILLA, ESTELA ISABEL</v>
          </cell>
          <cell r="G3537">
            <v>147634020.52000001</v>
          </cell>
          <cell r="H3537">
            <v>147634020.52000001</v>
          </cell>
          <cell r="I3537" t="str">
            <v>865</v>
          </cell>
        </row>
        <row r="3538">
          <cell r="A3538" t="str">
            <v>ARS</v>
          </cell>
          <cell r="B3538" t="str">
            <v>865001326</v>
          </cell>
          <cell r="C3538" t="str">
            <v>MORENO ELIAS RAUL o VILLARREAL, STELLA MARYS o MORENO LORENA</v>
          </cell>
          <cell r="G3538">
            <v>8394138.8300000001</v>
          </cell>
          <cell r="H3538">
            <v>8394138.8300000001</v>
          </cell>
          <cell r="I3538" t="str">
            <v>865</v>
          </cell>
        </row>
        <row r="3539">
          <cell r="A3539" t="str">
            <v>ARS</v>
          </cell>
          <cell r="B3539" t="str">
            <v>865001329</v>
          </cell>
          <cell r="C3539" t="str">
            <v>ALVAREZ, GERMAN DANIEL</v>
          </cell>
          <cell r="G3539">
            <v>1537729.37</v>
          </cell>
          <cell r="H3539">
            <v>1537729.37</v>
          </cell>
          <cell r="I3539" t="str">
            <v>865</v>
          </cell>
        </row>
        <row r="3540">
          <cell r="A3540" t="str">
            <v>ARS</v>
          </cell>
          <cell r="B3540" t="str">
            <v>865001338</v>
          </cell>
          <cell r="C3540" t="str">
            <v>NAVAS ROSA JESUS Y O AGUILERA KARIN VANESA</v>
          </cell>
          <cell r="G3540">
            <v>3447759.05</v>
          </cell>
          <cell r="H3540">
            <v>3447759.05</v>
          </cell>
          <cell r="I3540" t="str">
            <v>865</v>
          </cell>
        </row>
        <row r="3541">
          <cell r="A3541" t="str">
            <v>ARS</v>
          </cell>
          <cell r="B3541" t="str">
            <v>865001339</v>
          </cell>
          <cell r="C3541" t="str">
            <v>ASMET, CAROLINA YASMIN</v>
          </cell>
          <cell r="G3541">
            <v>115730379.68000001</v>
          </cell>
          <cell r="H3541">
            <v>115730379.68000001</v>
          </cell>
          <cell r="I3541" t="str">
            <v>865</v>
          </cell>
        </row>
        <row r="3542">
          <cell r="A3542" t="str">
            <v>ARS</v>
          </cell>
          <cell r="B3542" t="str">
            <v>865001344</v>
          </cell>
          <cell r="C3542" t="str">
            <v xml:space="preserve">ALVAREZ GERMAN DANIEL </v>
          </cell>
          <cell r="G3542">
            <v>615624.55000000005</v>
          </cell>
          <cell r="H3542">
            <v>615624.55000000005</v>
          </cell>
          <cell r="I3542" t="str">
            <v>865</v>
          </cell>
        </row>
        <row r="3543">
          <cell r="A3543" t="str">
            <v>ARS</v>
          </cell>
          <cell r="B3543" t="str">
            <v>865001346</v>
          </cell>
          <cell r="C3543" t="str">
            <v>YUSTE, CLAUDIA ISABEL Y/O AHUMADA YUSTE, GERARDO SEBASTIAN</v>
          </cell>
          <cell r="G3543">
            <v>4588603.08</v>
          </cell>
          <cell r="H3543">
            <v>4588603.08</v>
          </cell>
          <cell r="I3543" t="str">
            <v>865</v>
          </cell>
        </row>
        <row r="3544">
          <cell r="A3544" t="str">
            <v>ARS</v>
          </cell>
          <cell r="B3544" t="str">
            <v>865001348</v>
          </cell>
          <cell r="C3544" t="str">
            <v xml:space="preserve">GROSSI YURKOVICH, PATRICIA IVANA y/o YURKOVICH, JUANA BEATRIZ y/o GROSSI YURKOVICH, IVAN DAVID </v>
          </cell>
          <cell r="G3544">
            <v>109287273.89</v>
          </cell>
          <cell r="H3544">
            <v>109287273.89</v>
          </cell>
          <cell r="I3544" t="str">
            <v>865</v>
          </cell>
        </row>
        <row r="3545">
          <cell r="A3545" t="str">
            <v>ARS</v>
          </cell>
          <cell r="B3545" t="str">
            <v>865001350</v>
          </cell>
          <cell r="C3545" t="str">
            <v>GARCIA SIERRA JOAQUIN y/o GROSSI YURKOVICH, PATRICIA IVANA</v>
          </cell>
          <cell r="G3545">
            <v>1398349.24</v>
          </cell>
          <cell r="H3545">
            <v>1398349.24</v>
          </cell>
          <cell r="I3545" t="str">
            <v>865</v>
          </cell>
        </row>
        <row r="3546">
          <cell r="A3546" t="str">
            <v>ARS</v>
          </cell>
          <cell r="B3546" t="str">
            <v>865001351</v>
          </cell>
          <cell r="C3546" t="str">
            <v>GROSSI YURKOVICH, PATRICIA IVANA y/o GROSSI YURKOVICH, IVAN DAVID</v>
          </cell>
          <cell r="G3546">
            <v>3287205.24</v>
          </cell>
          <cell r="H3546">
            <v>3287205.24</v>
          </cell>
          <cell r="I3546" t="str">
            <v>865</v>
          </cell>
        </row>
        <row r="3547">
          <cell r="A3547" t="str">
            <v>ARS</v>
          </cell>
          <cell r="B3547" t="str">
            <v>865001354</v>
          </cell>
          <cell r="C3547" t="str">
            <v>ARGAÑARAZ BLOIN, GRACIELA ADRIANA y PAEZ ARNALDO HUGO</v>
          </cell>
          <cell r="G3547">
            <v>25576602.690000001</v>
          </cell>
          <cell r="H3547">
            <v>25576602.690000001</v>
          </cell>
          <cell r="I3547" t="str">
            <v>865</v>
          </cell>
        </row>
        <row r="3548">
          <cell r="A3548" t="str">
            <v>ARS</v>
          </cell>
          <cell r="B3548" t="str">
            <v>865001356</v>
          </cell>
          <cell r="C3548" t="str">
            <v>SENDRA GLORIA BEATRIZ Y/O MADUEÑO SENDRA GLORIA FATIMA</v>
          </cell>
          <cell r="G3548">
            <v>313809047.81999999</v>
          </cell>
          <cell r="H3548">
            <v>313809047.81999999</v>
          </cell>
          <cell r="I3548" t="str">
            <v>865</v>
          </cell>
        </row>
        <row r="3549">
          <cell r="A3549" t="str">
            <v>ARS</v>
          </cell>
          <cell r="B3549" t="str">
            <v>865001357</v>
          </cell>
          <cell r="C3549" t="str">
            <v>DIAZ, ANGELA EMILCE</v>
          </cell>
          <cell r="G3549">
            <v>678584.77</v>
          </cell>
          <cell r="H3549">
            <v>678584.77</v>
          </cell>
          <cell r="I3549" t="str">
            <v>865</v>
          </cell>
        </row>
        <row r="3550">
          <cell r="A3550" t="str">
            <v>ARS</v>
          </cell>
          <cell r="B3550" t="str">
            <v>865001358</v>
          </cell>
          <cell r="C3550" t="str">
            <v>PAEZ ERIC WILIAM Y/O PAEZ JESUS HUGO</v>
          </cell>
          <cell r="G3550">
            <v>13351410.92</v>
          </cell>
          <cell r="H3550">
            <v>13351410.92</v>
          </cell>
          <cell r="I3550" t="str">
            <v>865</v>
          </cell>
        </row>
        <row r="3551">
          <cell r="A3551" t="str">
            <v>ARS</v>
          </cell>
          <cell r="B3551" t="str">
            <v>865001361</v>
          </cell>
          <cell r="C3551" t="str">
            <v>VARGAS TOLEDO, ARTURO BENJAMIN</v>
          </cell>
          <cell r="G3551">
            <v>623464.77</v>
          </cell>
          <cell r="H3551">
            <v>623464.77</v>
          </cell>
          <cell r="I3551" t="str">
            <v>865</v>
          </cell>
        </row>
        <row r="3552">
          <cell r="A3552" t="str">
            <v>ARS</v>
          </cell>
          <cell r="B3552" t="str">
            <v>865001362</v>
          </cell>
          <cell r="C3552" t="str">
            <v>DIAZ WILIAM ROBERTO</v>
          </cell>
          <cell r="G3552">
            <v>11553060.02</v>
          </cell>
          <cell r="H3552">
            <v>11553060.02</v>
          </cell>
          <cell r="I3552" t="str">
            <v>865</v>
          </cell>
        </row>
        <row r="3553">
          <cell r="A3553" t="str">
            <v>ARS</v>
          </cell>
          <cell r="B3553" t="str">
            <v>865001366</v>
          </cell>
          <cell r="C3553" t="str">
            <v xml:space="preserve">ARCHILLA, JOSE MANUEL </v>
          </cell>
          <cell r="G3553">
            <v>113991474.7</v>
          </cell>
          <cell r="H3553">
            <v>113991474.7</v>
          </cell>
          <cell r="I3553" t="str">
            <v>865</v>
          </cell>
        </row>
        <row r="3554">
          <cell r="A3554" t="str">
            <v>ARS</v>
          </cell>
          <cell r="B3554" t="str">
            <v>865001368</v>
          </cell>
          <cell r="C3554" t="str">
            <v>ARGAÑARAZ FIDEL ANIBAL Y/O BLOIN CLARA GRACIELA</v>
          </cell>
          <cell r="G3554">
            <v>32424629.460000001</v>
          </cell>
          <cell r="H3554">
            <v>32424629.460000001</v>
          </cell>
          <cell r="I3554" t="str">
            <v>865</v>
          </cell>
        </row>
        <row r="3555">
          <cell r="A3555" t="str">
            <v>ARS</v>
          </cell>
          <cell r="B3555" t="str">
            <v>865001371</v>
          </cell>
          <cell r="C3555" t="str">
            <v>CARRIZO, LUCAS EMANUEL Y/O AGUILERA KARIN VANESA</v>
          </cell>
          <cell r="G3555">
            <v>1023304.63</v>
          </cell>
          <cell r="H3555">
            <v>1023304.63</v>
          </cell>
          <cell r="I3555" t="str">
            <v>865</v>
          </cell>
        </row>
        <row r="3556">
          <cell r="A3556" t="str">
            <v>ARS</v>
          </cell>
          <cell r="B3556" t="str">
            <v>865001373</v>
          </cell>
          <cell r="C3556" t="str">
            <v>HERNANDEZ MARIA ANGEL o ZUCOTTI, HORACIO GASTON</v>
          </cell>
          <cell r="G3556">
            <v>15045656.83</v>
          </cell>
          <cell r="H3556">
            <v>15045656.83</v>
          </cell>
          <cell r="I3556" t="str">
            <v>865</v>
          </cell>
        </row>
        <row r="3557">
          <cell r="A3557" t="str">
            <v>ARS</v>
          </cell>
          <cell r="B3557" t="str">
            <v>865001374</v>
          </cell>
          <cell r="C3557" t="str">
            <v>BORDON, SERGIO FABIAN Y/O BRUNA TELLO, MARIA EUGENIA</v>
          </cell>
          <cell r="G3557">
            <v>3050313.49</v>
          </cell>
          <cell r="H3557">
            <v>3050313.49</v>
          </cell>
          <cell r="I3557" t="str">
            <v>865</v>
          </cell>
        </row>
        <row r="3558">
          <cell r="A3558" t="str">
            <v>ARS</v>
          </cell>
          <cell r="B3558" t="str">
            <v>865001376</v>
          </cell>
          <cell r="C3558" t="str">
            <v>GUERRERO, FEDERICO SAUL</v>
          </cell>
          <cell r="G3558">
            <v>829389.79</v>
          </cell>
          <cell r="H3558">
            <v>829389.79</v>
          </cell>
          <cell r="I3558" t="str">
            <v>865</v>
          </cell>
        </row>
        <row r="3559">
          <cell r="A3559" t="str">
            <v>ARS</v>
          </cell>
          <cell r="B3559" t="str">
            <v>865001379</v>
          </cell>
          <cell r="C3559" t="str">
            <v>GORANSKY, ETHEL RUTH</v>
          </cell>
          <cell r="G3559">
            <v>53651390.140000001</v>
          </cell>
          <cell r="H3559">
            <v>53651390.140000001</v>
          </cell>
          <cell r="I3559" t="str">
            <v>865</v>
          </cell>
        </row>
        <row r="3560">
          <cell r="A3560" t="str">
            <v>ARS</v>
          </cell>
          <cell r="B3560" t="str">
            <v>865001380</v>
          </cell>
          <cell r="C3560" t="str">
            <v>PAEZ, ANTONIO</v>
          </cell>
          <cell r="G3560">
            <v>4648913.03</v>
          </cell>
          <cell r="H3560">
            <v>4648913.03</v>
          </cell>
          <cell r="I3560" t="str">
            <v>865</v>
          </cell>
        </row>
        <row r="3561">
          <cell r="A3561" t="str">
            <v>ARS</v>
          </cell>
          <cell r="B3561" t="str">
            <v>865001383</v>
          </cell>
          <cell r="C3561" t="str">
            <v>GONZALO ARIEL, SANCHEZ</v>
          </cell>
          <cell r="G3561">
            <v>16016092.4</v>
          </cell>
          <cell r="H3561">
            <v>16016092.4</v>
          </cell>
          <cell r="I3561" t="str">
            <v>865</v>
          </cell>
        </row>
        <row r="3562">
          <cell r="A3562" t="str">
            <v>ARS</v>
          </cell>
          <cell r="B3562" t="str">
            <v>865001384</v>
          </cell>
          <cell r="C3562" t="str">
            <v>PELZER, NELVA HAYDEE o CORAGLIA, JUAN CARLOS</v>
          </cell>
          <cell r="G3562">
            <v>53101147.670000002</v>
          </cell>
          <cell r="H3562">
            <v>53101147.670000002</v>
          </cell>
          <cell r="I3562" t="str">
            <v>865</v>
          </cell>
        </row>
        <row r="3563">
          <cell r="A3563" t="str">
            <v>ARS</v>
          </cell>
          <cell r="B3563" t="str">
            <v>865001386</v>
          </cell>
          <cell r="C3563" t="str">
            <v>DATUM SA</v>
          </cell>
          <cell r="G3563">
            <v>1218122486.99</v>
          </cell>
          <cell r="H3563">
            <v>1218122486.99</v>
          </cell>
          <cell r="I3563" t="str">
            <v>865</v>
          </cell>
        </row>
        <row r="3564">
          <cell r="A3564" t="str">
            <v>ARS</v>
          </cell>
          <cell r="B3564" t="str">
            <v>865001387</v>
          </cell>
          <cell r="C3564" t="str">
            <v>MARTINEZ OLMOS, CARLOS ALBERTO o MARQUEZ, NATALIA VIVIANA</v>
          </cell>
          <cell r="G3564">
            <v>346463798.18000001</v>
          </cell>
          <cell r="H3564">
            <v>346463798.18000001</v>
          </cell>
          <cell r="I3564" t="str">
            <v>865</v>
          </cell>
        </row>
        <row r="3565">
          <cell r="A3565" t="str">
            <v>ARS</v>
          </cell>
          <cell r="B3565" t="str">
            <v>865001388</v>
          </cell>
          <cell r="C3565" t="str">
            <v>MELES, DAVID SEBASTIAN</v>
          </cell>
          <cell r="G3565">
            <v>10338793.17</v>
          </cell>
          <cell r="H3565">
            <v>10338793.17</v>
          </cell>
          <cell r="I3565" t="str">
            <v>865</v>
          </cell>
        </row>
        <row r="3566">
          <cell r="A3566" t="str">
            <v>ARS</v>
          </cell>
          <cell r="B3566" t="str">
            <v>865001389</v>
          </cell>
          <cell r="C3566" t="str">
            <v>ORO FARIAS, CLAUDIA BELEN o HERRERA, ENRIQUE MIGUEL</v>
          </cell>
          <cell r="G3566">
            <v>109594560.86</v>
          </cell>
          <cell r="H3566">
            <v>109594560.86</v>
          </cell>
          <cell r="I3566" t="str">
            <v>865</v>
          </cell>
        </row>
        <row r="3567">
          <cell r="A3567" t="str">
            <v>ARS</v>
          </cell>
          <cell r="B3567" t="str">
            <v>865001390</v>
          </cell>
          <cell r="C3567" t="str">
            <v>HERRERA, ENRIQUE MIGUEL u ORO FARIAS, CLAUDIA BELEN</v>
          </cell>
          <cell r="G3567">
            <v>31118514.620000001</v>
          </cell>
          <cell r="H3567">
            <v>31118514.620000001</v>
          </cell>
          <cell r="I3567" t="str">
            <v>865</v>
          </cell>
        </row>
        <row r="3568">
          <cell r="A3568" t="str">
            <v>ARS</v>
          </cell>
          <cell r="B3568" t="str">
            <v>865001391</v>
          </cell>
          <cell r="C3568" t="str">
            <v>MARTINEZ BOVE, DIANA MILAGROS</v>
          </cell>
          <cell r="G3568">
            <v>3209111.44</v>
          </cell>
          <cell r="H3568">
            <v>3209111.44</v>
          </cell>
          <cell r="I3568" t="str">
            <v>865</v>
          </cell>
        </row>
        <row r="3569">
          <cell r="A3569" t="str">
            <v>ARS</v>
          </cell>
          <cell r="B3569" t="str">
            <v>865001393</v>
          </cell>
          <cell r="C3569" t="str">
            <v>ACOSTA PEREZ, PABLO MAXIMILIANO Y BALMACEDA ROMINA</v>
          </cell>
          <cell r="G3569">
            <v>130553330.84</v>
          </cell>
          <cell r="H3569">
            <v>130553330.84</v>
          </cell>
          <cell r="I3569" t="str">
            <v>865</v>
          </cell>
        </row>
        <row r="3570">
          <cell r="A3570" t="str">
            <v>ARS</v>
          </cell>
          <cell r="B3570" t="str">
            <v>865001395</v>
          </cell>
          <cell r="C3570" t="str">
            <v>ROMEU, FRANCISCO EMILIO o ROMEU, RENZO GERMAN</v>
          </cell>
          <cell r="G3570">
            <v>31330438.969999999</v>
          </cell>
          <cell r="H3570">
            <v>31330438.969999999</v>
          </cell>
          <cell r="I3570" t="str">
            <v>865</v>
          </cell>
        </row>
        <row r="3571">
          <cell r="A3571" t="str">
            <v>ARS</v>
          </cell>
          <cell r="B3571" t="str">
            <v>865001398</v>
          </cell>
          <cell r="C3571" t="str">
            <v>CASTILLO , ROSANA FORTUNATA</v>
          </cell>
          <cell r="G3571">
            <v>13753270.99</v>
          </cell>
          <cell r="H3571">
            <v>13753270.99</v>
          </cell>
          <cell r="I3571" t="str">
            <v>865</v>
          </cell>
        </row>
        <row r="3572">
          <cell r="A3572" t="str">
            <v>ARS</v>
          </cell>
          <cell r="B3572" t="str">
            <v>865001400</v>
          </cell>
          <cell r="C3572" t="str">
            <v>MERCADO RIVEROS, DANISA EDITH</v>
          </cell>
          <cell r="G3572">
            <v>53851226.840000004</v>
          </cell>
          <cell r="H3572">
            <v>53851226.840000004</v>
          </cell>
          <cell r="I3572" t="str">
            <v>865</v>
          </cell>
        </row>
        <row r="3573">
          <cell r="A3573" t="str">
            <v>ARS</v>
          </cell>
          <cell r="B3573" t="str">
            <v>865001401</v>
          </cell>
          <cell r="C3573" t="str">
            <v>CORREA GINESTAR, MARIA CRISTINA DEL VALLE</v>
          </cell>
          <cell r="G3573">
            <v>6492329.29</v>
          </cell>
          <cell r="H3573">
            <v>6492329.29</v>
          </cell>
          <cell r="I3573" t="str">
            <v>865</v>
          </cell>
        </row>
        <row r="3574">
          <cell r="A3574" t="str">
            <v>ARS</v>
          </cell>
          <cell r="B3574" t="str">
            <v>865001403</v>
          </cell>
          <cell r="C3574" t="str">
            <v>MARTINEZ MARQUEZ, MAURICIO ANDRES o KEDI, VANINA ANDREA</v>
          </cell>
          <cell r="G3574">
            <v>54153480.130000003</v>
          </cell>
          <cell r="H3574">
            <v>54153480.130000003</v>
          </cell>
          <cell r="I3574" t="str">
            <v>865</v>
          </cell>
        </row>
        <row r="3575">
          <cell r="A3575" t="str">
            <v>ARS</v>
          </cell>
          <cell r="B3575" t="str">
            <v>865001405</v>
          </cell>
          <cell r="C3575" t="str">
            <v>RUIZ YACANTE, JOSE IGNACIO</v>
          </cell>
          <cell r="G3575">
            <v>43963371.140000001</v>
          </cell>
          <cell r="H3575">
            <v>43963371.140000001</v>
          </cell>
          <cell r="I3575" t="str">
            <v>865</v>
          </cell>
        </row>
        <row r="3576">
          <cell r="A3576" t="str">
            <v>ARS</v>
          </cell>
          <cell r="B3576" t="str">
            <v>865001406</v>
          </cell>
          <cell r="C3576" t="str">
            <v>HERRAMIENTAS SRL</v>
          </cell>
          <cell r="G3576">
            <v>894235307.09000003</v>
          </cell>
          <cell r="H3576">
            <v>894235307.09000003</v>
          </cell>
          <cell r="I3576" t="str">
            <v>865</v>
          </cell>
        </row>
        <row r="3577">
          <cell r="A3577" t="str">
            <v>ARS</v>
          </cell>
          <cell r="B3577" t="str">
            <v>865001407</v>
          </cell>
          <cell r="C3577" t="str">
            <v>FERNANDEZ, EDUARDO MARIO Y/O YUBEL JULIETA ANAHI</v>
          </cell>
          <cell r="G3577">
            <v>35657722.359999999</v>
          </cell>
          <cell r="H3577">
            <v>35657722.359999999</v>
          </cell>
          <cell r="I3577" t="str">
            <v>865</v>
          </cell>
        </row>
        <row r="3578">
          <cell r="A3578" t="str">
            <v>ARS</v>
          </cell>
          <cell r="B3578" t="str">
            <v>865001408</v>
          </cell>
          <cell r="C3578" t="str">
            <v xml:space="preserve"> GROSSI YURKOVICH, PATRICIA IVANA y/o GARCIA CASTRO ENRIQUE JAVIER</v>
          </cell>
          <cell r="G3578">
            <v>207759619.90000001</v>
          </cell>
          <cell r="H3578">
            <v>207759619.90000001</v>
          </cell>
          <cell r="I3578" t="str">
            <v>865</v>
          </cell>
        </row>
        <row r="3579">
          <cell r="A3579" t="str">
            <v>ARS</v>
          </cell>
          <cell r="B3579" t="str">
            <v>865001409</v>
          </cell>
          <cell r="C3579" t="str">
            <v>CASTRO CASTRO, MARITN ALBERTO</v>
          </cell>
          <cell r="G3579">
            <v>22690735.629999999</v>
          </cell>
          <cell r="H3579">
            <v>22690735.629999999</v>
          </cell>
          <cell r="I3579" t="str">
            <v>865</v>
          </cell>
        </row>
        <row r="3580">
          <cell r="A3580" t="str">
            <v>ARS</v>
          </cell>
          <cell r="B3580" t="str">
            <v>865001412</v>
          </cell>
          <cell r="C3580" t="str">
            <v>HERRAMIENTAS SRL</v>
          </cell>
          <cell r="G3580">
            <v>108466027.40000001</v>
          </cell>
          <cell r="H3580">
            <v>108466027.40000001</v>
          </cell>
          <cell r="I3580" t="str">
            <v>865</v>
          </cell>
        </row>
        <row r="3581">
          <cell r="A3581" t="str">
            <v>ARS</v>
          </cell>
          <cell r="B3581" t="str">
            <v>865020001</v>
          </cell>
          <cell r="C3581" t="str">
            <v>GLOBAL MARKET VALORES SA</v>
          </cell>
          <cell r="G3581">
            <v>11210085.18</v>
          </cell>
          <cell r="H3581">
            <v>11210085.18</v>
          </cell>
          <cell r="I3581" t="str">
            <v>865</v>
          </cell>
        </row>
        <row r="3582">
          <cell r="A3582" t="str">
            <v>ARS</v>
          </cell>
          <cell r="B3582" t="str">
            <v>868001007</v>
          </cell>
          <cell r="C3582" t="str">
            <v>Saiz, Carlos Francisco</v>
          </cell>
          <cell r="G3582">
            <v>1789149.91</v>
          </cell>
          <cell r="H3582">
            <v>1789149.91</v>
          </cell>
          <cell r="I3582" t="str">
            <v>868</v>
          </cell>
        </row>
        <row r="3583">
          <cell r="A3583" t="str">
            <v>ARS</v>
          </cell>
          <cell r="B3583" t="str">
            <v>868001011</v>
          </cell>
          <cell r="C3583" t="str">
            <v>PIETROPAOLO, Mario Luis</v>
          </cell>
          <cell r="G3583">
            <v>11641522.82</v>
          </cell>
          <cell r="H3583">
            <v>11641522.82</v>
          </cell>
          <cell r="I3583" t="str">
            <v>868</v>
          </cell>
        </row>
        <row r="3584">
          <cell r="A3584" t="str">
            <v>ARS</v>
          </cell>
          <cell r="B3584" t="str">
            <v>868001012</v>
          </cell>
          <cell r="C3584" t="str">
            <v>Dosam Agropecuaria S.A.</v>
          </cell>
          <cell r="G3584">
            <v>27999999.5</v>
          </cell>
          <cell r="H3584">
            <v>27999999.5</v>
          </cell>
          <cell r="I3584" t="str">
            <v>868</v>
          </cell>
        </row>
        <row r="3585">
          <cell r="A3585" t="str">
            <v>ARS</v>
          </cell>
          <cell r="B3585" t="str">
            <v>868001015</v>
          </cell>
          <cell r="C3585" t="str">
            <v>X LAS DUDAS S.A.S.</v>
          </cell>
          <cell r="G3585">
            <v>10127268</v>
          </cell>
          <cell r="H3585">
            <v>10127268</v>
          </cell>
          <cell r="I3585" t="str">
            <v>868</v>
          </cell>
        </row>
        <row r="3586">
          <cell r="A3586" t="str">
            <v>ARS</v>
          </cell>
          <cell r="B3586" t="str">
            <v>868001023</v>
          </cell>
          <cell r="C3586" t="str">
            <v>Marcelo Rossini S.A.</v>
          </cell>
          <cell r="G3586">
            <v>61822179.979999997</v>
          </cell>
          <cell r="H3586">
            <v>61822179.979999997</v>
          </cell>
          <cell r="I3586" t="str">
            <v>868</v>
          </cell>
        </row>
        <row r="3587">
          <cell r="A3587" t="str">
            <v>ARS</v>
          </cell>
          <cell r="B3587" t="str">
            <v>868001024</v>
          </cell>
          <cell r="C3587" t="str">
            <v>Desab SA</v>
          </cell>
          <cell r="G3587">
            <v>4304282700</v>
          </cell>
          <cell r="H3587">
            <v>4304282700</v>
          </cell>
          <cell r="I3587" t="str">
            <v>868</v>
          </cell>
        </row>
        <row r="3588">
          <cell r="A3588" t="str">
            <v>ARS</v>
          </cell>
          <cell r="B3588" t="str">
            <v>868001025</v>
          </cell>
          <cell r="C3588" t="str">
            <v>Fedea S.A.</v>
          </cell>
          <cell r="G3588">
            <v>621297268.79999995</v>
          </cell>
          <cell r="H3588">
            <v>621297268.79999995</v>
          </cell>
          <cell r="I3588" t="str">
            <v>868</v>
          </cell>
        </row>
        <row r="3589">
          <cell r="A3589" t="str">
            <v>ARS</v>
          </cell>
          <cell r="B3589" t="str">
            <v>868001030</v>
          </cell>
          <cell r="C3589" t="str">
            <v>PROYECTO CROPS S.A.S.</v>
          </cell>
          <cell r="G3589">
            <v>59625164.840000004</v>
          </cell>
          <cell r="H3589">
            <v>59625164.840000004</v>
          </cell>
          <cell r="I3589" t="str">
            <v>868</v>
          </cell>
        </row>
        <row r="3590">
          <cell r="A3590" t="str">
            <v>ARS</v>
          </cell>
          <cell r="B3590" t="str">
            <v>868001033</v>
          </cell>
          <cell r="C3590" t="str">
            <v>LUXURY CRYSTALS S.A.C. E I.</v>
          </cell>
          <cell r="G3590">
            <v>108256740.67</v>
          </cell>
          <cell r="H3590">
            <v>108256740.67</v>
          </cell>
          <cell r="I3590" t="str">
            <v>868</v>
          </cell>
        </row>
        <row r="3591">
          <cell r="A3591" t="str">
            <v>ARS</v>
          </cell>
          <cell r="B3591" t="str">
            <v>868001034</v>
          </cell>
          <cell r="C3591" t="str">
            <v>OSTROVSKY, MAXIMILIANO</v>
          </cell>
          <cell r="G3591">
            <v>89779475.540000007</v>
          </cell>
          <cell r="H3591">
            <v>89779475.540000007</v>
          </cell>
          <cell r="I3591" t="str">
            <v>868</v>
          </cell>
        </row>
        <row r="3592">
          <cell r="A3592" t="str">
            <v>ARS</v>
          </cell>
          <cell r="B3592" t="str">
            <v>868001036</v>
          </cell>
          <cell r="C3592" t="str">
            <v>GENTE CHICA S R L</v>
          </cell>
          <cell r="G3592">
            <v>1300128533.48</v>
          </cell>
          <cell r="H3592">
            <v>1300128533.48</v>
          </cell>
          <cell r="I3592" t="str">
            <v>868</v>
          </cell>
        </row>
        <row r="3593">
          <cell r="A3593" t="str">
            <v>ARS</v>
          </cell>
          <cell r="B3593" t="str">
            <v>868001037</v>
          </cell>
          <cell r="C3593" t="str">
            <v>BUSSOLATI, LUCAS AGUSTIN</v>
          </cell>
          <cell r="G3593">
            <v>19791026.59</v>
          </cell>
          <cell r="H3593">
            <v>19791026.59</v>
          </cell>
          <cell r="I3593" t="str">
            <v>868</v>
          </cell>
        </row>
        <row r="3594">
          <cell r="A3594" t="str">
            <v>ARS</v>
          </cell>
          <cell r="B3594" t="str">
            <v>868001038</v>
          </cell>
          <cell r="C3594" t="str">
            <v>LH TRADING SRL</v>
          </cell>
          <cell r="G3594">
            <v>26546537.609999999</v>
          </cell>
          <cell r="H3594">
            <v>26546537.609999999</v>
          </cell>
          <cell r="I3594" t="str">
            <v>868</v>
          </cell>
        </row>
        <row r="3595">
          <cell r="A3595" t="str">
            <v>ARS</v>
          </cell>
          <cell r="B3595" t="str">
            <v>868001039</v>
          </cell>
          <cell r="C3595" t="str">
            <v>Grifon SRL</v>
          </cell>
          <cell r="G3595">
            <v>35700000</v>
          </cell>
          <cell r="H3595">
            <v>35700000</v>
          </cell>
          <cell r="I3595" t="str">
            <v>868</v>
          </cell>
        </row>
        <row r="3596">
          <cell r="A3596" t="str">
            <v>ARS</v>
          </cell>
          <cell r="B3596" t="str">
            <v>868001040</v>
          </cell>
          <cell r="C3596" t="str">
            <v>REALICO AGROSOLUCIONES SRL</v>
          </cell>
          <cell r="G3596">
            <v>95210893.430000007</v>
          </cell>
          <cell r="H3596">
            <v>95210893.430000007</v>
          </cell>
          <cell r="I3596" t="str">
            <v>868</v>
          </cell>
        </row>
        <row r="3597">
          <cell r="A3597" t="str">
            <v>ARS</v>
          </cell>
          <cell r="B3597" t="str">
            <v>868001042</v>
          </cell>
          <cell r="C3597" t="str">
            <v>RATERO, MIGUEL ANTONIO</v>
          </cell>
          <cell r="G3597">
            <v>33370950.260000002</v>
          </cell>
          <cell r="H3597">
            <v>33370950.260000002</v>
          </cell>
          <cell r="I3597" t="str">
            <v>868</v>
          </cell>
        </row>
        <row r="3598">
          <cell r="A3598" t="str">
            <v>ARS</v>
          </cell>
          <cell r="B3598" t="str">
            <v>868001044</v>
          </cell>
          <cell r="C3598" t="str">
            <v>TRES PELOS S.A.S.</v>
          </cell>
          <cell r="G3598">
            <v>1934287.23</v>
          </cell>
          <cell r="H3598">
            <v>1934287.23</v>
          </cell>
          <cell r="I3598" t="str">
            <v>868</v>
          </cell>
        </row>
        <row r="3599">
          <cell r="A3599" t="str">
            <v>ARS</v>
          </cell>
          <cell r="B3599" t="str">
            <v>868001046</v>
          </cell>
          <cell r="C3599" t="str">
            <v>ASERRADEROS Y TRANSPORTES AVIA TERAI S.R.L.</v>
          </cell>
          <cell r="G3599">
            <v>22734158.289999999</v>
          </cell>
          <cell r="H3599">
            <v>22734158.289999999</v>
          </cell>
          <cell r="I3599" t="str">
            <v>868</v>
          </cell>
        </row>
        <row r="3600">
          <cell r="A3600" t="str">
            <v>ARS</v>
          </cell>
          <cell r="B3600" t="str">
            <v>875001001</v>
          </cell>
          <cell r="C3600" t="str">
            <v>MANTA COMPAÑIA INVERSORA SOCIEDAD DE BOLSA S.A.</v>
          </cell>
          <cell r="G3600">
            <v>18646458</v>
          </cell>
          <cell r="H3600">
            <v>18646458</v>
          </cell>
          <cell r="I3600" t="str">
            <v>875</v>
          </cell>
        </row>
        <row r="3601">
          <cell r="A3601" t="str">
            <v>ARS</v>
          </cell>
          <cell r="B3601" t="str">
            <v>875001051</v>
          </cell>
          <cell r="C3601" t="str">
            <v>Gimenez Agustina</v>
          </cell>
          <cell r="G3601">
            <v>21280188</v>
          </cell>
          <cell r="H3601">
            <v>21280188</v>
          </cell>
          <cell r="I3601" t="str">
            <v>875</v>
          </cell>
        </row>
        <row r="3602">
          <cell r="A3602" t="str">
            <v>ARS</v>
          </cell>
          <cell r="B3602" t="str">
            <v>875001065</v>
          </cell>
          <cell r="C3602" t="str">
            <v>Depietri, Nicolas</v>
          </cell>
          <cell r="G3602">
            <v>3457515</v>
          </cell>
          <cell r="H3602">
            <v>3457515</v>
          </cell>
          <cell r="I3602" t="str">
            <v>875</v>
          </cell>
        </row>
        <row r="3603">
          <cell r="A3603" t="str">
            <v>ARS</v>
          </cell>
          <cell r="B3603" t="str">
            <v>875001073</v>
          </cell>
          <cell r="C3603" t="str">
            <v>Somaschini, Luis Maria</v>
          </cell>
          <cell r="G3603">
            <v>24961840</v>
          </cell>
          <cell r="H3603">
            <v>24961840</v>
          </cell>
          <cell r="I3603" t="str">
            <v>875</v>
          </cell>
        </row>
        <row r="3604">
          <cell r="A3604" t="str">
            <v>ARS</v>
          </cell>
          <cell r="B3604" t="str">
            <v>875001103</v>
          </cell>
          <cell r="C3604" t="str">
            <v>Seggiaro Ana Carlota</v>
          </cell>
          <cell r="G3604">
            <v>88249823</v>
          </cell>
          <cell r="H3604">
            <v>88249823</v>
          </cell>
          <cell r="I3604" t="str">
            <v>875</v>
          </cell>
        </row>
        <row r="3605">
          <cell r="A3605" t="str">
            <v>ARS</v>
          </cell>
          <cell r="B3605" t="str">
            <v>875001113</v>
          </cell>
          <cell r="C3605" t="str">
            <v>Pardo Carranza Juan Antonio Rodolfo Pedro</v>
          </cell>
          <cell r="G3605">
            <v>13546820</v>
          </cell>
          <cell r="H3605">
            <v>13546820</v>
          </cell>
          <cell r="I3605" t="str">
            <v>875</v>
          </cell>
        </row>
        <row r="3606">
          <cell r="A3606" t="str">
            <v>ARS</v>
          </cell>
          <cell r="B3606" t="str">
            <v>875001118</v>
          </cell>
          <cell r="C3606" t="str">
            <v>Miguelez Cesar Fabian</v>
          </cell>
          <cell r="G3606">
            <v>12145648</v>
          </cell>
          <cell r="H3606">
            <v>12145648</v>
          </cell>
          <cell r="I3606" t="str">
            <v>875</v>
          </cell>
        </row>
        <row r="3607">
          <cell r="A3607" t="str">
            <v>ARS</v>
          </cell>
          <cell r="B3607" t="str">
            <v>875001121</v>
          </cell>
          <cell r="C3607" t="str">
            <v>Nerina Cian</v>
          </cell>
          <cell r="G3607">
            <v>10272182</v>
          </cell>
          <cell r="H3607">
            <v>10272182</v>
          </cell>
          <cell r="I3607" t="str">
            <v>875</v>
          </cell>
        </row>
        <row r="3608">
          <cell r="A3608" t="str">
            <v>ARS</v>
          </cell>
          <cell r="B3608" t="str">
            <v>875001131</v>
          </cell>
          <cell r="C3608" t="str">
            <v>Depietri Agustin</v>
          </cell>
          <cell r="G3608">
            <v>1691200.1</v>
          </cell>
          <cell r="H3608">
            <v>1691200.1</v>
          </cell>
          <cell r="I3608" t="str">
            <v>875</v>
          </cell>
        </row>
        <row r="3609">
          <cell r="A3609" t="str">
            <v>ARS</v>
          </cell>
          <cell r="B3609" t="str">
            <v>875001189</v>
          </cell>
          <cell r="C3609" t="str">
            <v>Litmanovich, Alejandro Leonel</v>
          </cell>
          <cell r="G3609">
            <v>4757407</v>
          </cell>
          <cell r="H3609">
            <v>4757407</v>
          </cell>
          <cell r="I3609" t="str">
            <v>875</v>
          </cell>
        </row>
        <row r="3610">
          <cell r="A3610" t="str">
            <v>ARS</v>
          </cell>
          <cell r="B3610" t="str">
            <v>875001264</v>
          </cell>
          <cell r="C3610" t="str">
            <v>Depietri, Matias</v>
          </cell>
          <cell r="G3610">
            <v>4933546</v>
          </cell>
          <cell r="H3610">
            <v>4933546</v>
          </cell>
          <cell r="I3610" t="str">
            <v>875</v>
          </cell>
        </row>
        <row r="3611">
          <cell r="A3611" t="str">
            <v>ARS</v>
          </cell>
          <cell r="B3611" t="str">
            <v>875001306</v>
          </cell>
          <cell r="C3611" t="str">
            <v>Pettiti, Walter Luis Y/O Condorelli, Maria Irene</v>
          </cell>
          <cell r="G3611">
            <v>85951394.400000006</v>
          </cell>
          <cell r="H3611">
            <v>85951394.400000006</v>
          </cell>
          <cell r="I3611" t="str">
            <v>875</v>
          </cell>
        </row>
        <row r="3612">
          <cell r="A3612" t="str">
            <v>USD</v>
          </cell>
          <cell r="B3612" t="str">
            <v>000000101</v>
          </cell>
          <cell r="C3612" t="str">
            <v>LERNER CAPITAL S.A.</v>
          </cell>
          <cell r="G3612">
            <v>102370.05</v>
          </cell>
          <cell r="H3612">
            <v>153102599.37900001</v>
          </cell>
          <cell r="I3612" t="str">
            <v>000</v>
          </cell>
        </row>
        <row r="3613">
          <cell r="A3613" t="str">
            <v>USD</v>
          </cell>
          <cell r="B3613" t="str">
            <v>114000114</v>
          </cell>
          <cell r="C3613" t="str">
            <v>Rosario Valores S.A. - Contrapartida</v>
          </cell>
          <cell r="G3613">
            <v>16088.69</v>
          </cell>
          <cell r="H3613">
            <v>24061922.990199998</v>
          </cell>
          <cell r="I3613" t="str">
            <v>114</v>
          </cell>
        </row>
        <row r="3614">
          <cell r="A3614" t="str">
            <v>USD</v>
          </cell>
          <cell r="B3614" t="str">
            <v>114000118</v>
          </cell>
          <cell r="C3614" t="str">
            <v>Rosario Derivados S.A.</v>
          </cell>
          <cell r="G3614">
            <v>32152.03</v>
          </cell>
          <cell r="H3614">
            <v>48085933.027399994</v>
          </cell>
          <cell r="I3614" t="str">
            <v>114</v>
          </cell>
        </row>
        <row r="3615">
          <cell r="A3615" t="str">
            <v>USD</v>
          </cell>
          <cell r="B3615" t="str">
            <v>114000593</v>
          </cell>
          <cell r="C3615" t="str">
            <v>Mercado Ganadero S.A.</v>
          </cell>
          <cell r="G3615">
            <v>5950.32</v>
          </cell>
          <cell r="H3615">
            <v>8899179.5855999999</v>
          </cell>
          <cell r="I3615" t="str">
            <v>114</v>
          </cell>
        </row>
        <row r="3616">
          <cell r="A3616" t="str">
            <v>USD</v>
          </cell>
          <cell r="B3616" t="str">
            <v>114114005</v>
          </cell>
          <cell r="C3616" t="str">
            <v>ROSVAL - Operaciones Mesa Trading</v>
          </cell>
          <cell r="G3616">
            <v>44585856.350000001</v>
          </cell>
          <cell r="H3616">
            <v>66681715039.932999</v>
          </cell>
          <cell r="I3616" t="str">
            <v>114</v>
          </cell>
        </row>
        <row r="3617">
          <cell r="A3617" t="str">
            <v>USD</v>
          </cell>
          <cell r="B3617" t="str">
            <v>114645004</v>
          </cell>
          <cell r="C3617" t="str">
            <v>Bolsa de Comercio de Rosario Asociación Civil</v>
          </cell>
          <cell r="G3617">
            <v>693480.95999999996</v>
          </cell>
          <cell r="H3617">
            <v>1037156254.1567999</v>
          </cell>
          <cell r="I3617" t="str">
            <v>114</v>
          </cell>
        </row>
        <row r="3618">
          <cell r="A3618" t="str">
            <v>USD</v>
          </cell>
          <cell r="B3618" t="str">
            <v>114646005</v>
          </cell>
          <cell r="C3618" t="str">
            <v>Mercado Argentino de Valores – Mesa Trading</v>
          </cell>
          <cell r="G3618">
            <v>1300000</v>
          </cell>
          <cell r="H3618">
            <v>1944254000</v>
          </cell>
          <cell r="I3618" t="str">
            <v>114</v>
          </cell>
        </row>
        <row r="3619">
          <cell r="A3619" t="str">
            <v>USD</v>
          </cell>
          <cell r="B3619" t="str">
            <v>278500113</v>
          </cell>
          <cell r="C3619" t="str">
            <v>Merep, Matias Ezequiel</v>
          </cell>
          <cell r="G3619">
            <v>969</v>
          </cell>
          <cell r="H3619">
            <v>1449217.02</v>
          </cell>
          <cell r="I3619" t="str">
            <v>278</v>
          </cell>
        </row>
        <row r="3620">
          <cell r="A3620" t="str">
            <v>USD</v>
          </cell>
          <cell r="B3620" t="str">
            <v>344000005</v>
          </cell>
          <cell r="C3620" t="str">
            <v>Bafomet SA</v>
          </cell>
          <cell r="G3620">
            <v>4082134.51</v>
          </cell>
          <cell r="H3620">
            <v>6105158730.4657993</v>
          </cell>
          <cell r="I3620" t="str">
            <v>344</v>
          </cell>
        </row>
        <row r="3621">
          <cell r="A3621" t="str">
            <v>USD</v>
          </cell>
          <cell r="B3621" t="str">
            <v>344000091</v>
          </cell>
          <cell r="C3621" t="str">
            <v>González Ortner, Lucas</v>
          </cell>
          <cell r="G3621">
            <v>1000.25</v>
          </cell>
          <cell r="H3621">
            <v>1495953.895</v>
          </cell>
          <cell r="I3621" t="str">
            <v>344</v>
          </cell>
        </row>
        <row r="3622">
          <cell r="A3622" t="str">
            <v>USD</v>
          </cell>
          <cell r="B3622" t="str">
            <v>344000126</v>
          </cell>
          <cell r="C3622" t="str">
            <v>Pedace, Liliana Rosa</v>
          </cell>
          <cell r="G3622">
            <v>35.08</v>
          </cell>
          <cell r="H3622">
            <v>52464.946399999993</v>
          </cell>
          <cell r="I3622" t="str">
            <v>344</v>
          </cell>
        </row>
        <row r="3623">
          <cell r="A3623" t="str">
            <v>USD</v>
          </cell>
          <cell r="B3623" t="str">
            <v>344000130</v>
          </cell>
          <cell r="C3623" t="str">
            <v>Bernardoni, Antonella Belen</v>
          </cell>
          <cell r="G3623">
            <v>100.69</v>
          </cell>
          <cell r="H3623">
            <v>150589.95019999999</v>
          </cell>
          <cell r="I3623" t="str">
            <v>344</v>
          </cell>
        </row>
        <row r="3624">
          <cell r="A3624" t="str">
            <v>USD</v>
          </cell>
          <cell r="B3624" t="str">
            <v>344000133</v>
          </cell>
          <cell r="C3624" t="str">
            <v>Lareo, Fernando Manuel</v>
          </cell>
          <cell r="G3624">
            <v>9938.4599999999991</v>
          </cell>
          <cell r="H3624">
            <v>14863762.006799998</v>
          </cell>
          <cell r="I3624" t="str">
            <v>344</v>
          </cell>
        </row>
        <row r="3625">
          <cell r="A3625" t="str">
            <v>USD</v>
          </cell>
          <cell r="B3625" t="str">
            <v>344000201</v>
          </cell>
          <cell r="C3625" t="str">
            <v>Marianela García Rossell y R. Mariano García Rossell</v>
          </cell>
          <cell r="G3625">
            <v>16975.7</v>
          </cell>
          <cell r="H3625">
            <v>25388517.405999999</v>
          </cell>
          <cell r="I3625" t="str">
            <v>344</v>
          </cell>
        </row>
        <row r="3626">
          <cell r="A3626" t="str">
            <v>USD</v>
          </cell>
          <cell r="B3626" t="str">
            <v>344000219</v>
          </cell>
          <cell r="C3626" t="str">
            <v>Bonzini, Hernan Javier</v>
          </cell>
          <cell r="G3626">
            <v>88048.1</v>
          </cell>
          <cell r="H3626">
            <v>131682977.398</v>
          </cell>
          <cell r="I3626" t="str">
            <v>344</v>
          </cell>
        </row>
        <row r="3627">
          <cell r="A3627" t="str">
            <v>USD</v>
          </cell>
          <cell r="B3627" t="str">
            <v>344000223</v>
          </cell>
          <cell r="C3627" t="str">
            <v>Coccia, Guido</v>
          </cell>
          <cell r="G3627">
            <v>1748.29</v>
          </cell>
          <cell r="H3627">
            <v>2614707.5581999999</v>
          </cell>
          <cell r="I3627" t="str">
            <v>344</v>
          </cell>
        </row>
        <row r="3628">
          <cell r="A3628" t="str">
            <v>USD</v>
          </cell>
          <cell r="B3628" t="str">
            <v>344000231</v>
          </cell>
          <cell r="C3628" t="str">
            <v>Metronos</v>
          </cell>
          <cell r="G3628">
            <v>165.36</v>
          </cell>
          <cell r="H3628">
            <v>247309.10880000002</v>
          </cell>
          <cell r="I3628" t="str">
            <v>344</v>
          </cell>
        </row>
        <row r="3629">
          <cell r="A3629" t="str">
            <v>USD</v>
          </cell>
          <cell r="B3629" t="str">
            <v>344000401</v>
          </cell>
          <cell r="C3629" t="str">
            <v>Ortner Andres Martin &amp; Schlenew Tatiana</v>
          </cell>
          <cell r="G3629">
            <v>3499.84</v>
          </cell>
          <cell r="H3629">
            <v>5234290.7072000001</v>
          </cell>
          <cell r="I3629" t="str">
            <v>344</v>
          </cell>
        </row>
        <row r="3630">
          <cell r="A3630" t="str">
            <v>USD</v>
          </cell>
          <cell r="B3630" t="str">
            <v>344000408</v>
          </cell>
          <cell r="C3630" t="str">
            <v>Teijeiro, Ricardo Augusto</v>
          </cell>
          <cell r="G3630">
            <v>5466.53</v>
          </cell>
          <cell r="H3630">
            <v>8175632.9373999992</v>
          </cell>
          <cell r="I3630" t="str">
            <v>344</v>
          </cell>
        </row>
        <row r="3631">
          <cell r="A3631" t="str">
            <v>USD</v>
          </cell>
          <cell r="B3631" t="str">
            <v>344000442</v>
          </cell>
          <cell r="C3631" t="str">
            <v>Grossi, Roxana Maria</v>
          </cell>
          <cell r="G3631">
            <v>1169.25</v>
          </cell>
          <cell r="H3631">
            <v>1748706.9149999998</v>
          </cell>
          <cell r="I3631" t="str">
            <v>344</v>
          </cell>
        </row>
        <row r="3632">
          <cell r="A3632" t="str">
            <v>USD</v>
          </cell>
          <cell r="B3632" t="str">
            <v>344000485</v>
          </cell>
          <cell r="C3632" t="str">
            <v>Blaquier, Dominique</v>
          </cell>
          <cell r="G3632">
            <v>634.69000000000005</v>
          </cell>
          <cell r="H3632">
            <v>949229.67020000005</v>
          </cell>
          <cell r="I3632" t="str">
            <v>344</v>
          </cell>
        </row>
        <row r="3633">
          <cell r="A3633" t="str">
            <v>USD</v>
          </cell>
          <cell r="B3633" t="str">
            <v>344000658</v>
          </cell>
          <cell r="C3633" t="str">
            <v>Allende Adolfo Tomas &amp; Allende Delia Maria</v>
          </cell>
          <cell r="G3633">
            <v>3857.03</v>
          </cell>
          <cell r="H3633">
            <v>5768496.9274000004</v>
          </cell>
          <cell r="I3633" t="str">
            <v>344</v>
          </cell>
        </row>
        <row r="3634">
          <cell r="A3634" t="str">
            <v>USD</v>
          </cell>
          <cell r="B3634" t="str">
            <v>344000661</v>
          </cell>
          <cell r="C3634" t="str">
            <v>Sastre, Alejandro</v>
          </cell>
          <cell r="G3634">
            <v>2.4300000000000002</v>
          </cell>
          <cell r="H3634">
            <v>3634.2593999999999</v>
          </cell>
          <cell r="I3634" t="str">
            <v>344</v>
          </cell>
        </row>
        <row r="3635">
          <cell r="A3635" t="str">
            <v>USD</v>
          </cell>
          <cell r="B3635" t="str">
            <v>344000683</v>
          </cell>
          <cell r="C3635" t="str">
            <v>Envíos-Digitales SA</v>
          </cell>
          <cell r="G3635">
            <v>91855.35</v>
          </cell>
          <cell r="H3635">
            <v>137377024.35300002</v>
          </cell>
          <cell r="I3635" t="str">
            <v>344</v>
          </cell>
        </row>
        <row r="3636">
          <cell r="A3636" t="str">
            <v>USD</v>
          </cell>
          <cell r="B3636" t="str">
            <v>344000703</v>
          </cell>
          <cell r="C3636" t="str">
            <v>Funes, Roberto Gustavo</v>
          </cell>
          <cell r="G3636">
            <v>5832.13</v>
          </cell>
          <cell r="H3636">
            <v>8722416.9854000006</v>
          </cell>
          <cell r="I3636" t="str">
            <v>344</v>
          </cell>
        </row>
        <row r="3637">
          <cell r="A3637" t="str">
            <v>USD</v>
          </cell>
          <cell r="B3637" t="str">
            <v>344000712</v>
          </cell>
          <cell r="C3637" t="str">
            <v>Saceip S.A.</v>
          </cell>
          <cell r="G3637">
            <v>27000.43</v>
          </cell>
          <cell r="H3637">
            <v>40381303.099399999</v>
          </cell>
          <cell r="I3637" t="str">
            <v>344</v>
          </cell>
        </row>
        <row r="3638">
          <cell r="A3638" t="str">
            <v>USD</v>
          </cell>
          <cell r="B3638" t="str">
            <v>344000713</v>
          </cell>
          <cell r="C3638" t="str">
            <v>Vasvari, Maria Fabiana</v>
          </cell>
          <cell r="G3638">
            <v>22747.56</v>
          </cell>
          <cell r="H3638">
            <v>34020795.7848</v>
          </cell>
          <cell r="I3638" t="str">
            <v>344</v>
          </cell>
        </row>
        <row r="3639">
          <cell r="A3639" t="str">
            <v>USD</v>
          </cell>
          <cell r="B3639" t="str">
            <v>344000729</v>
          </cell>
          <cell r="C3639" t="str">
            <v>Jarvis, Juan Pablo</v>
          </cell>
          <cell r="G3639">
            <v>47699.45</v>
          </cell>
          <cell r="H3639">
            <v>71338343.430999994</v>
          </cell>
          <cell r="I3639" t="str">
            <v>344</v>
          </cell>
        </row>
        <row r="3640">
          <cell r="A3640" t="str">
            <v>USD</v>
          </cell>
          <cell r="B3640" t="str">
            <v>344000733</v>
          </cell>
          <cell r="C3640" t="str">
            <v xml:space="preserve"> Ramullo Federico</v>
          </cell>
          <cell r="G3640">
            <v>1986.31</v>
          </cell>
          <cell r="H3640">
            <v>2970685.5097999997</v>
          </cell>
          <cell r="I3640" t="str">
            <v>344</v>
          </cell>
        </row>
        <row r="3641">
          <cell r="A3641" t="str">
            <v>USD</v>
          </cell>
          <cell r="B3641" t="str">
            <v>344000734</v>
          </cell>
          <cell r="C3641" t="str">
            <v>CONSORCIO DE EMPRESAS MENDOCINAS PARA POTRERILLOS S A </v>
          </cell>
          <cell r="G3641">
            <v>1999991.48</v>
          </cell>
          <cell r="H3641">
            <v>2991147257.6584001</v>
          </cell>
          <cell r="I3641" t="str">
            <v>344</v>
          </cell>
        </row>
        <row r="3642">
          <cell r="A3642" t="str">
            <v>USD</v>
          </cell>
          <cell r="B3642" t="str">
            <v>345000005</v>
          </cell>
          <cell r="C3642" t="str">
            <v>Beta Group Inversiones Cartera Propia</v>
          </cell>
          <cell r="G3642">
            <v>6199.33</v>
          </cell>
          <cell r="H3642">
            <v>9271593.9613999985</v>
          </cell>
          <cell r="I3642" t="str">
            <v>345</v>
          </cell>
        </row>
        <row r="3643">
          <cell r="A3643" t="str">
            <v>USD</v>
          </cell>
          <cell r="B3643" t="str">
            <v>345000007</v>
          </cell>
          <cell r="C3643" t="str">
            <v>Mainero, Gustavo Daniel</v>
          </cell>
          <cell r="G3643">
            <v>17182.57</v>
          </cell>
          <cell r="H3643">
            <v>25697908.040599998</v>
          </cell>
          <cell r="I3643" t="str">
            <v>345</v>
          </cell>
        </row>
        <row r="3644">
          <cell r="A3644" t="str">
            <v>USD</v>
          </cell>
          <cell r="B3644" t="str">
            <v>345000009</v>
          </cell>
          <cell r="C3644" t="str">
            <v>Federico Vazquez</v>
          </cell>
          <cell r="G3644">
            <v>24238.53</v>
          </cell>
          <cell r="H3644">
            <v>36250660.697399996</v>
          </cell>
          <cell r="I3644" t="str">
            <v>345</v>
          </cell>
        </row>
        <row r="3645">
          <cell r="A3645" t="str">
            <v>USD</v>
          </cell>
          <cell r="B3645" t="str">
            <v>345000013</v>
          </cell>
          <cell r="C3645" t="str">
            <v>Gonzalo, Nicolas Fornasieri</v>
          </cell>
          <cell r="G3645">
            <v>229.69</v>
          </cell>
          <cell r="H3645">
            <v>343519.77019999997</v>
          </cell>
          <cell r="I3645" t="str">
            <v>345</v>
          </cell>
        </row>
        <row r="3646">
          <cell r="A3646" t="str">
            <v>USD</v>
          </cell>
          <cell r="B3646" t="str">
            <v>345000030</v>
          </cell>
          <cell r="C3646" t="str">
            <v>Juan Maria Hugo Mees</v>
          </cell>
          <cell r="G3646">
            <v>1.9</v>
          </cell>
          <cell r="H3646">
            <v>2841.6019999999999</v>
          </cell>
          <cell r="I3646" t="str">
            <v>345</v>
          </cell>
        </row>
        <row r="3647">
          <cell r="A3647" t="str">
            <v>USD</v>
          </cell>
          <cell r="B3647" t="str">
            <v>345000171</v>
          </cell>
          <cell r="C3647" t="str">
            <v>Barbara Pamela Lencina</v>
          </cell>
          <cell r="G3647">
            <v>1.9</v>
          </cell>
          <cell r="H3647">
            <v>2841.6019999999999</v>
          </cell>
          <cell r="I3647" t="str">
            <v>345</v>
          </cell>
        </row>
        <row r="3648">
          <cell r="A3648" t="str">
            <v>USD</v>
          </cell>
          <cell r="B3648" t="str">
            <v>345000403</v>
          </cell>
          <cell r="C3648" t="str">
            <v>Jazmin Geist</v>
          </cell>
          <cell r="G3648">
            <v>538.83000000000004</v>
          </cell>
          <cell r="H3648">
            <v>805863.37140000006</v>
          </cell>
          <cell r="I3648" t="str">
            <v>345</v>
          </cell>
        </row>
        <row r="3649">
          <cell r="A3649" t="str">
            <v>USD</v>
          </cell>
          <cell r="B3649" t="str">
            <v>345000484</v>
          </cell>
          <cell r="C3649" t="str">
            <v>Araujo Obras Viales y Civiles SA</v>
          </cell>
          <cell r="G3649">
            <v>1939.92</v>
          </cell>
          <cell r="H3649">
            <v>2901305.5535999998</v>
          </cell>
          <cell r="I3649" t="str">
            <v>345</v>
          </cell>
        </row>
        <row r="3650">
          <cell r="A3650" t="str">
            <v>USD</v>
          </cell>
          <cell r="B3650" t="str">
            <v>345000620</v>
          </cell>
          <cell r="C3650" t="str">
            <v>Lucas Manuel Iturria</v>
          </cell>
          <cell r="G3650">
            <v>809.9</v>
          </cell>
          <cell r="H3650">
            <v>1211270.2419999999</v>
          </cell>
          <cell r="I3650" t="str">
            <v>345</v>
          </cell>
        </row>
        <row r="3651">
          <cell r="A3651" t="str">
            <v>USD</v>
          </cell>
          <cell r="B3651" t="str">
            <v>345000714</v>
          </cell>
          <cell r="C3651" t="str">
            <v>Oscar Antonio Turchak</v>
          </cell>
          <cell r="G3651">
            <v>705.96</v>
          </cell>
          <cell r="H3651">
            <v>1055819.6568</v>
          </cell>
          <cell r="I3651" t="str">
            <v>345</v>
          </cell>
        </row>
        <row r="3652">
          <cell r="A3652" t="str">
            <v>USD</v>
          </cell>
          <cell r="B3652" t="str">
            <v>345000724</v>
          </cell>
          <cell r="C3652" t="str">
            <v>[C.E.R.A.] Fornasieri Juan Cruz</v>
          </cell>
          <cell r="G3652">
            <v>1747.34</v>
          </cell>
          <cell r="H3652">
            <v>2613286.7571999999</v>
          </cell>
          <cell r="I3652" t="str">
            <v>345</v>
          </cell>
        </row>
        <row r="3653">
          <cell r="A3653" t="str">
            <v>USD</v>
          </cell>
          <cell r="B3653" t="str">
            <v>345000725</v>
          </cell>
          <cell r="C3653" t="str">
            <v>[C.E.R.A.]  Fornasieri Gonzalo Nicolas</v>
          </cell>
          <cell r="G3653">
            <v>624.41999999999996</v>
          </cell>
          <cell r="H3653">
            <v>933870.06359999988</v>
          </cell>
          <cell r="I3653" t="str">
            <v>345</v>
          </cell>
        </row>
        <row r="3654">
          <cell r="A3654" t="str">
            <v>USD</v>
          </cell>
          <cell r="B3654" t="str">
            <v>345000748</v>
          </cell>
          <cell r="C3654" t="str">
            <v>Nancy Beatriz Muras</v>
          </cell>
          <cell r="G3654">
            <v>6838.09</v>
          </cell>
          <cell r="H3654">
            <v>10226910.642200001</v>
          </cell>
          <cell r="I3654" t="str">
            <v>345</v>
          </cell>
        </row>
        <row r="3655">
          <cell r="A3655" t="str">
            <v>USD</v>
          </cell>
          <cell r="B3655" t="str">
            <v>345000769</v>
          </cell>
          <cell r="C3655" t="str">
            <v xml:space="preserve">[C.E.R.A.] Diego Andres Cymberknoh </v>
          </cell>
          <cell r="G3655">
            <v>600669.03</v>
          </cell>
          <cell r="H3655">
            <v>898348587.88740003</v>
          </cell>
          <cell r="I3655" t="str">
            <v>345</v>
          </cell>
        </row>
        <row r="3656">
          <cell r="A3656" t="str">
            <v>USD</v>
          </cell>
          <cell r="B3656" t="str">
            <v>345000783</v>
          </cell>
          <cell r="C3656" t="str">
            <v xml:space="preserve">[C.E.R.A.] Roberto Alfredo Ramos </v>
          </cell>
          <cell r="G3656">
            <v>1.9</v>
          </cell>
          <cell r="H3656">
            <v>2841.6019999999999</v>
          </cell>
          <cell r="I3656" t="str">
            <v>345</v>
          </cell>
        </row>
        <row r="3657">
          <cell r="A3657" t="str">
            <v>USD</v>
          </cell>
          <cell r="B3657" t="str">
            <v>345000794</v>
          </cell>
          <cell r="C3657" t="str">
            <v>Marta Graciela Blasco</v>
          </cell>
          <cell r="G3657">
            <v>1.9</v>
          </cell>
          <cell r="H3657">
            <v>2841.6019999999999</v>
          </cell>
          <cell r="I3657" t="str">
            <v>345</v>
          </cell>
        </row>
        <row r="3658">
          <cell r="A3658" t="str">
            <v>USD</v>
          </cell>
          <cell r="B3658" t="str">
            <v>345000848</v>
          </cell>
          <cell r="C3658" t="str">
            <v>Marcelo Muerza</v>
          </cell>
          <cell r="G3658">
            <v>39880.26</v>
          </cell>
          <cell r="H3658">
            <v>59644119.250799999</v>
          </cell>
          <cell r="I3658" t="str">
            <v>345</v>
          </cell>
        </row>
        <row r="3659">
          <cell r="A3659" t="str">
            <v>USD</v>
          </cell>
          <cell r="B3659" t="str">
            <v>345000875</v>
          </cell>
          <cell r="C3659" t="str">
            <v>Roberto Osvaldo Lestingi y Maria Elena Castro</v>
          </cell>
          <cell r="G3659">
            <v>59434.21</v>
          </cell>
          <cell r="H3659">
            <v>88888615.791799992</v>
          </cell>
          <cell r="I3659" t="str">
            <v>345</v>
          </cell>
        </row>
        <row r="3660">
          <cell r="A3660" t="str">
            <v>USD</v>
          </cell>
          <cell r="B3660" t="str">
            <v>346000033</v>
          </cell>
          <cell r="C3660" t="str">
            <v xml:space="preserve">COOPERATIVAS AGROPECUARIAS FEDERADAS DE ENTRE RIOS </v>
          </cell>
          <cell r="G3660">
            <v>2925.33</v>
          </cell>
          <cell r="H3660">
            <v>4375065.0413999995</v>
          </cell>
          <cell r="I3660" t="str">
            <v>346</v>
          </cell>
        </row>
        <row r="3661">
          <cell r="A3661" t="str">
            <v>USD</v>
          </cell>
          <cell r="B3661" t="str">
            <v>346070000</v>
          </cell>
          <cell r="C3661" t="str">
            <v>COOPERATIVA DE SERVICIOS PÚBLICOS GRAL. JOSÉ DE SAN MARTÍN LTDA.</v>
          </cell>
          <cell r="G3661">
            <v>162062.46</v>
          </cell>
          <cell r="H3661">
            <v>242377373.92679998</v>
          </cell>
          <cell r="I3661" t="str">
            <v>346</v>
          </cell>
        </row>
        <row r="3662">
          <cell r="A3662" t="str">
            <v>USD</v>
          </cell>
          <cell r="B3662" t="str">
            <v>346070005</v>
          </cell>
          <cell r="C3662" t="str">
            <v>Schaab, Daniel Aníbal</v>
          </cell>
          <cell r="G3662">
            <v>64</v>
          </cell>
          <cell r="H3662">
            <v>95717.119999999995</v>
          </cell>
          <cell r="I3662" t="str">
            <v>346</v>
          </cell>
        </row>
        <row r="3663">
          <cell r="A3663" t="str">
            <v>USD</v>
          </cell>
          <cell r="B3663" t="str">
            <v>346070006</v>
          </cell>
          <cell r="C3663" t="str">
            <v>Franco, Silvia María del Carmen</v>
          </cell>
          <cell r="G3663">
            <v>609</v>
          </cell>
          <cell r="H3663">
            <v>910808.22</v>
          </cell>
          <cell r="I3663" t="str">
            <v>346</v>
          </cell>
        </row>
        <row r="3664">
          <cell r="A3664" t="str">
            <v>USD</v>
          </cell>
          <cell r="B3664" t="str">
            <v>346070008</v>
          </cell>
          <cell r="C3664" t="str">
            <v>SOLVENCIA - Mutual de Consejeros, Síndicos y Empleados de entidades cooperativas de Seguí, Entre Ríos</v>
          </cell>
          <cell r="G3664">
            <v>17867</v>
          </cell>
          <cell r="H3664">
            <v>26721527.859999999</v>
          </cell>
          <cell r="I3664" t="str">
            <v>346</v>
          </cell>
        </row>
        <row r="3665">
          <cell r="A3665" t="str">
            <v>USD</v>
          </cell>
          <cell r="B3665" t="str">
            <v>346070010</v>
          </cell>
          <cell r="C3665" t="str">
            <v>Moro, Guillermo Luís</v>
          </cell>
          <cell r="G3665">
            <v>31076</v>
          </cell>
          <cell r="H3665">
            <v>46476644.079999998</v>
          </cell>
          <cell r="I3665" t="str">
            <v>346</v>
          </cell>
        </row>
        <row r="3666">
          <cell r="A3666" t="str">
            <v>USD</v>
          </cell>
          <cell r="B3666" t="str">
            <v>346200001</v>
          </cell>
          <cell r="C3666" t="str">
            <v>Espinosa, Rodrigo Fernando</v>
          </cell>
          <cell r="G3666">
            <v>9042.06</v>
          </cell>
          <cell r="H3666">
            <v>13523124.094799999</v>
          </cell>
          <cell r="I3666" t="str">
            <v>346</v>
          </cell>
        </row>
        <row r="3667">
          <cell r="A3667" t="str">
            <v>USD</v>
          </cell>
          <cell r="B3667" t="str">
            <v>346200002</v>
          </cell>
          <cell r="C3667" t="str">
            <v>Espinosa, Karina Elizabeth</v>
          </cell>
          <cell r="G3667">
            <v>6606</v>
          </cell>
          <cell r="H3667">
            <v>9879801.4800000004</v>
          </cell>
          <cell r="I3667" t="str">
            <v>346</v>
          </cell>
        </row>
        <row r="3668">
          <cell r="A3668" t="str">
            <v>USD</v>
          </cell>
          <cell r="B3668" t="str">
            <v>346200003</v>
          </cell>
          <cell r="C3668" t="str">
            <v>Tramontina, Mauro Alejandro</v>
          </cell>
          <cell r="G3668">
            <v>4735.3599999999997</v>
          </cell>
          <cell r="H3668">
            <v>7082109.7087999992</v>
          </cell>
          <cell r="I3668" t="str">
            <v>346</v>
          </cell>
        </row>
        <row r="3669">
          <cell r="A3669" t="str">
            <v>USD</v>
          </cell>
          <cell r="B3669" t="str">
            <v>346200010</v>
          </cell>
          <cell r="C3669" t="str">
            <v>Cinalli, Telma Cora</v>
          </cell>
          <cell r="G3669">
            <v>1526</v>
          </cell>
          <cell r="H3669">
            <v>2282255.08</v>
          </cell>
          <cell r="I3669" t="str">
            <v>346</v>
          </cell>
        </row>
        <row r="3670">
          <cell r="A3670" t="str">
            <v>USD</v>
          </cell>
          <cell r="B3670" t="str">
            <v>346310009</v>
          </cell>
          <cell r="C3670" t="str">
            <v>Leiss, Jonathan</v>
          </cell>
          <cell r="G3670">
            <v>9168</v>
          </cell>
          <cell r="H3670">
            <v>13711477.439999999</v>
          </cell>
          <cell r="I3670" t="str">
            <v>346</v>
          </cell>
        </row>
        <row r="3671">
          <cell r="A3671" t="str">
            <v>USD</v>
          </cell>
          <cell r="B3671" t="str">
            <v>346310010</v>
          </cell>
          <cell r="C3671" t="str">
            <v>Favero, Johana Belén</v>
          </cell>
          <cell r="G3671">
            <v>175</v>
          </cell>
          <cell r="H3671">
            <v>261726.5</v>
          </cell>
          <cell r="I3671" t="str">
            <v>346</v>
          </cell>
        </row>
        <row r="3672">
          <cell r="A3672" t="str">
            <v>USD</v>
          </cell>
          <cell r="B3672" t="str">
            <v>346310019</v>
          </cell>
          <cell r="C3672" t="str">
            <v>VITAL CAMPO S.R.L.</v>
          </cell>
          <cell r="G3672">
            <v>2446.19</v>
          </cell>
          <cell r="H3672">
            <v>3658472.8402</v>
          </cell>
          <cell r="I3672" t="str">
            <v>346</v>
          </cell>
        </row>
        <row r="3673">
          <cell r="A3673" t="str">
            <v>USD</v>
          </cell>
          <cell r="B3673" t="str">
            <v>346310020</v>
          </cell>
          <cell r="C3673" t="str">
            <v>Camuñas, Isabel Susana Inés</v>
          </cell>
          <cell r="G3673">
            <v>144712</v>
          </cell>
          <cell r="H3673">
            <v>216428372.95999998</v>
          </cell>
          <cell r="I3673" t="str">
            <v>346</v>
          </cell>
        </row>
        <row r="3674">
          <cell r="A3674" t="str">
            <v>USD</v>
          </cell>
          <cell r="B3674" t="str">
            <v>346310033</v>
          </cell>
          <cell r="C3674" t="str">
            <v>Darrichon, Viviana Amelia</v>
          </cell>
          <cell r="G3674">
            <v>1250.58</v>
          </cell>
          <cell r="H3674">
            <v>1870342.4363999998</v>
          </cell>
          <cell r="I3674" t="str">
            <v>346</v>
          </cell>
        </row>
        <row r="3675">
          <cell r="A3675" t="str">
            <v>USD</v>
          </cell>
          <cell r="B3675" t="str">
            <v>346310038</v>
          </cell>
          <cell r="C3675" t="str">
            <v>Vallejo, Raúl Gustavo</v>
          </cell>
          <cell r="G3675">
            <v>348</v>
          </cell>
          <cell r="H3675">
            <v>520461.83999999997</v>
          </cell>
          <cell r="I3675" t="str">
            <v>346</v>
          </cell>
        </row>
        <row r="3676">
          <cell r="A3676" t="str">
            <v>USD</v>
          </cell>
          <cell r="B3676" t="str">
            <v>346310042</v>
          </cell>
          <cell r="C3676" t="str">
            <v>Schwarzkopf, Alicia Noemí</v>
          </cell>
          <cell r="G3676">
            <v>531.72</v>
          </cell>
          <cell r="H3676">
            <v>795229.79760000005</v>
          </cell>
          <cell r="I3676" t="str">
            <v>346</v>
          </cell>
        </row>
        <row r="3677">
          <cell r="A3677" t="str">
            <v>USD</v>
          </cell>
          <cell r="B3677" t="str">
            <v>346310045</v>
          </cell>
          <cell r="C3677" t="str">
            <v>Romero, Walter Emanuel</v>
          </cell>
          <cell r="G3677">
            <v>95684.58</v>
          </cell>
          <cell r="H3677">
            <v>143103944.1564</v>
          </cell>
          <cell r="I3677" t="str">
            <v>346</v>
          </cell>
        </row>
        <row r="3678">
          <cell r="A3678" t="str">
            <v>USD</v>
          </cell>
          <cell r="B3678" t="str">
            <v>346311000</v>
          </cell>
          <cell r="C3678" t="str">
            <v>Dabin, Ignacio Pablo</v>
          </cell>
          <cell r="G3678">
            <v>692.02</v>
          </cell>
          <cell r="H3678">
            <v>1034971.2716</v>
          </cell>
          <cell r="I3678" t="str">
            <v>346</v>
          </cell>
        </row>
        <row r="3679">
          <cell r="A3679" t="str">
            <v>USD</v>
          </cell>
          <cell r="B3679" t="str">
            <v>346311001</v>
          </cell>
          <cell r="C3679" t="str">
            <v>Berta, Juliana Gisela</v>
          </cell>
          <cell r="G3679">
            <v>240.06</v>
          </cell>
          <cell r="H3679">
            <v>359028.93479999999</v>
          </cell>
          <cell r="I3679" t="str">
            <v>346</v>
          </cell>
        </row>
        <row r="3680">
          <cell r="A3680" t="str">
            <v>USD</v>
          </cell>
          <cell r="B3680" t="str">
            <v>346311005</v>
          </cell>
          <cell r="C3680" t="str">
            <v>Dittler, Mariano Pablo</v>
          </cell>
          <cell r="G3680">
            <v>528</v>
          </cell>
          <cell r="H3680">
            <v>789666.24</v>
          </cell>
          <cell r="I3680" t="str">
            <v>346</v>
          </cell>
        </row>
        <row r="3681">
          <cell r="A3681" t="str">
            <v>USD</v>
          </cell>
          <cell r="B3681" t="str">
            <v>346311007</v>
          </cell>
          <cell r="C3681" t="str">
            <v>Tentor, Silvia Guadalupe</v>
          </cell>
          <cell r="G3681">
            <v>5382.8</v>
          </cell>
          <cell r="H3681">
            <v>8050408.0240000002</v>
          </cell>
          <cell r="I3681" t="str">
            <v>346</v>
          </cell>
        </row>
        <row r="3682">
          <cell r="A3682" t="str">
            <v>USD</v>
          </cell>
          <cell r="B3682" t="str">
            <v>346311009</v>
          </cell>
          <cell r="C3682" t="str">
            <v>Balbi, Juan Adolfo</v>
          </cell>
          <cell r="G3682">
            <v>10902.57</v>
          </cell>
          <cell r="H3682">
            <v>16305665.6406</v>
          </cell>
          <cell r="I3682" t="str">
            <v>346</v>
          </cell>
        </row>
        <row r="3683">
          <cell r="A3683" t="str">
            <v>USD</v>
          </cell>
          <cell r="B3683" t="str">
            <v>346311011</v>
          </cell>
          <cell r="C3683" t="str">
            <v>Martinessi, Luciano Andrés</v>
          </cell>
          <cell r="G3683">
            <v>8569.1200000000008</v>
          </cell>
          <cell r="H3683">
            <v>12815804.489600001</v>
          </cell>
          <cell r="I3683" t="str">
            <v>346</v>
          </cell>
        </row>
        <row r="3684">
          <cell r="A3684" t="str">
            <v>USD</v>
          </cell>
          <cell r="B3684" t="str">
            <v>346311012</v>
          </cell>
          <cell r="C3684" t="str">
            <v>Peña, Lucy Guadalupe</v>
          </cell>
          <cell r="G3684">
            <v>107</v>
          </cell>
          <cell r="H3684">
            <v>160027.06</v>
          </cell>
          <cell r="I3684" t="str">
            <v>346</v>
          </cell>
        </row>
        <row r="3685">
          <cell r="A3685" t="str">
            <v>USD</v>
          </cell>
          <cell r="B3685" t="str">
            <v>346311013</v>
          </cell>
          <cell r="C3685" t="str">
            <v>Bel, Alfredo Fabián</v>
          </cell>
          <cell r="G3685">
            <v>2112</v>
          </cell>
          <cell r="H3685">
            <v>3158664.96</v>
          </cell>
          <cell r="I3685" t="str">
            <v>346</v>
          </cell>
        </row>
        <row r="3686">
          <cell r="A3686" t="str">
            <v>USD</v>
          </cell>
          <cell r="B3686" t="str">
            <v>346320101</v>
          </cell>
          <cell r="C3686" t="str">
            <v>Arce, Gabriel Arnoldo</v>
          </cell>
          <cell r="G3686">
            <v>6016.98</v>
          </cell>
          <cell r="H3686">
            <v>8998874.9483999982</v>
          </cell>
          <cell r="I3686" t="str">
            <v>346</v>
          </cell>
        </row>
        <row r="3687">
          <cell r="A3687" t="str">
            <v>USD</v>
          </cell>
          <cell r="B3687" t="str">
            <v>346320103</v>
          </cell>
          <cell r="C3687" t="str">
            <v>Maidana, Flavia Gisela</v>
          </cell>
          <cell r="G3687">
            <v>2122.98</v>
          </cell>
          <cell r="H3687">
            <v>3175086.4284000001</v>
          </cell>
          <cell r="I3687" t="str">
            <v>346</v>
          </cell>
        </row>
        <row r="3688">
          <cell r="A3688" t="str">
            <v>USD</v>
          </cell>
          <cell r="B3688" t="str">
            <v>346320301</v>
          </cell>
          <cell r="C3688" t="str">
            <v>Díaz, Pedro Omar</v>
          </cell>
          <cell r="G3688">
            <v>149</v>
          </cell>
          <cell r="H3688">
            <v>222841.41999999998</v>
          </cell>
          <cell r="I3688" t="str">
            <v>346</v>
          </cell>
        </row>
        <row r="3689">
          <cell r="A3689" t="str">
            <v>USD</v>
          </cell>
          <cell r="B3689" t="str">
            <v>346800006</v>
          </cell>
          <cell r="C3689" t="str">
            <v>Aladio, Adolfo Juan Pedro</v>
          </cell>
          <cell r="G3689">
            <v>8032</v>
          </cell>
          <cell r="H3689">
            <v>12012498.559999999</v>
          </cell>
          <cell r="I3689" t="str">
            <v>346</v>
          </cell>
        </row>
        <row r="3690">
          <cell r="A3690" t="str">
            <v>USD</v>
          </cell>
          <cell r="B3690" t="str">
            <v>401000007</v>
          </cell>
          <cell r="C3690" t="str">
            <v>MACIEL ENRIQUE</v>
          </cell>
          <cell r="G3690">
            <v>998873</v>
          </cell>
          <cell r="H3690">
            <v>1493894481.3399999</v>
          </cell>
          <cell r="I3690" t="str">
            <v>401</v>
          </cell>
        </row>
        <row r="3691">
          <cell r="A3691" t="str">
            <v>USD</v>
          </cell>
          <cell r="B3691" t="str">
            <v>401000008</v>
          </cell>
          <cell r="C3691" t="str">
            <v>AVANTIA VALORES SA</v>
          </cell>
          <cell r="G3691">
            <v>2605024.73</v>
          </cell>
          <cell r="H3691">
            <v>3896022885.6933999</v>
          </cell>
          <cell r="I3691" t="str">
            <v>401</v>
          </cell>
        </row>
        <row r="3692">
          <cell r="A3692" t="str">
            <v>USD</v>
          </cell>
          <cell r="B3692" t="str">
            <v>401000011</v>
          </cell>
          <cell r="C3692" t="str">
            <v>MICOLAND S.A.</v>
          </cell>
          <cell r="G3692">
            <v>8416.08</v>
          </cell>
          <cell r="H3692">
            <v>12586920.926399998</v>
          </cell>
          <cell r="I3692" t="str">
            <v>401</v>
          </cell>
        </row>
        <row r="3693">
          <cell r="A3693" t="str">
            <v>USD</v>
          </cell>
          <cell r="B3693" t="str">
            <v>401000012</v>
          </cell>
          <cell r="C3693" t="str">
            <v>GUNDESEN PEDRO NICOLAS</v>
          </cell>
          <cell r="G3693">
            <v>5.79</v>
          </cell>
          <cell r="H3693">
            <v>8659.4081999999999</v>
          </cell>
          <cell r="I3693" t="str">
            <v>401</v>
          </cell>
        </row>
        <row r="3694">
          <cell r="A3694" t="str">
            <v>USD</v>
          </cell>
          <cell r="B3694" t="str">
            <v>401000022</v>
          </cell>
          <cell r="C3694" t="str">
            <v>BENITEZ GUILLERMO</v>
          </cell>
          <cell r="G3694">
            <v>1055763</v>
          </cell>
          <cell r="H3694">
            <v>1578978027.54</v>
          </cell>
          <cell r="I3694" t="str">
            <v>401</v>
          </cell>
        </row>
        <row r="3695">
          <cell r="A3695" t="str">
            <v>USD</v>
          </cell>
          <cell r="B3695" t="str">
            <v>401000027</v>
          </cell>
          <cell r="C3695" t="str">
            <v>LP AGROPECUARIA S.R.L.</v>
          </cell>
          <cell r="G3695">
            <v>50455.14</v>
          </cell>
          <cell r="H3695">
            <v>75459698.281199992</v>
          </cell>
          <cell r="I3695" t="str">
            <v>401</v>
          </cell>
        </row>
        <row r="3696">
          <cell r="A3696" t="str">
            <v>USD</v>
          </cell>
          <cell r="B3696" t="str">
            <v>401000036</v>
          </cell>
          <cell r="C3696" t="str">
            <v>MISCELIO S.A.</v>
          </cell>
          <cell r="G3696">
            <v>21001.32</v>
          </cell>
          <cell r="H3696">
            <v>31409154.165599998</v>
          </cell>
          <cell r="I3696" t="str">
            <v>401</v>
          </cell>
        </row>
        <row r="3697">
          <cell r="A3697" t="str">
            <v>USD</v>
          </cell>
          <cell r="B3697" t="str">
            <v>401000037</v>
          </cell>
          <cell r="C3697" t="str">
            <v>GOTION ARGENTINA S.A.</v>
          </cell>
          <cell r="G3697">
            <v>183541.99</v>
          </cell>
          <cell r="H3697">
            <v>274501729.40419996</v>
          </cell>
          <cell r="I3697" t="str">
            <v>401</v>
          </cell>
        </row>
        <row r="3698">
          <cell r="A3698" t="str">
            <v>USD</v>
          </cell>
          <cell r="B3698" t="str">
            <v>401000051</v>
          </cell>
          <cell r="C3698" t="str">
            <v>EMPRESA NAVIERA PETROLERA ATLANTICA S.A.</v>
          </cell>
          <cell r="G3698">
            <v>42438724</v>
          </cell>
          <cell r="H3698">
            <v>63470506839.919998</v>
          </cell>
          <cell r="I3698" t="str">
            <v>401</v>
          </cell>
        </row>
        <row r="3699">
          <cell r="A3699" t="str">
            <v>USD</v>
          </cell>
          <cell r="B3699" t="str">
            <v>401000052</v>
          </cell>
          <cell r="C3699" t="str">
            <v>LA COMODA S.A.</v>
          </cell>
          <cell r="G3699">
            <v>4381676</v>
          </cell>
          <cell r="H3699">
            <v>6553146992.0799999</v>
          </cell>
          <cell r="I3699" t="str">
            <v>401</v>
          </cell>
        </row>
        <row r="3700">
          <cell r="A3700" t="str">
            <v>USD</v>
          </cell>
          <cell r="B3700" t="str">
            <v>401000076</v>
          </cell>
          <cell r="C3700" t="str">
            <v>GARCIA COLOMBINI MARIA JOSEFINA</v>
          </cell>
          <cell r="G3700">
            <v>5543303.2199999997</v>
          </cell>
          <cell r="H3700">
            <v>8290453429.7675991</v>
          </cell>
          <cell r="I3700" t="str">
            <v>401</v>
          </cell>
        </row>
        <row r="3701">
          <cell r="A3701" t="str">
            <v>USD</v>
          </cell>
          <cell r="B3701" t="str">
            <v>401000078</v>
          </cell>
          <cell r="C3701" t="str">
            <v>GROENENBERG HUMBERTO JACOBO</v>
          </cell>
          <cell r="G3701">
            <v>20953.599999999999</v>
          </cell>
          <cell r="H3701">
            <v>31337785.087999996</v>
          </cell>
          <cell r="I3701" t="str">
            <v>401</v>
          </cell>
        </row>
        <row r="3702">
          <cell r="A3702" t="str">
            <v>USD</v>
          </cell>
          <cell r="B3702" t="str">
            <v>401000097</v>
          </cell>
          <cell r="C3702" t="str">
            <v>CASA DEMARIA TEOFILO RAUL</v>
          </cell>
          <cell r="G3702">
            <v>7229264.21</v>
          </cell>
          <cell r="H3702">
            <v>10811942967.191799</v>
          </cell>
          <cell r="I3702" t="str">
            <v>401</v>
          </cell>
        </row>
        <row r="3703">
          <cell r="A3703" t="str">
            <v>USD</v>
          </cell>
          <cell r="B3703" t="str">
            <v>401000111</v>
          </cell>
          <cell r="C3703" t="str">
            <v>FANTASÍA JORGE LUIS</v>
          </cell>
          <cell r="G3703">
            <v>16377.09</v>
          </cell>
          <cell r="H3703">
            <v>24493248.262199998</v>
          </cell>
          <cell r="I3703" t="str">
            <v>401</v>
          </cell>
        </row>
        <row r="3704">
          <cell r="A3704" t="str">
            <v>USD</v>
          </cell>
          <cell r="B3704" t="str">
            <v>401000116</v>
          </cell>
          <cell r="C3704" t="str">
            <v>ITZCOVICH MARIANA</v>
          </cell>
          <cell r="G3704">
            <v>31.32</v>
          </cell>
          <cell r="H3704">
            <v>46841.565600000002</v>
          </cell>
          <cell r="I3704" t="str">
            <v>401</v>
          </cell>
        </row>
        <row r="3705">
          <cell r="A3705" t="str">
            <v>USD</v>
          </cell>
          <cell r="B3705" t="str">
            <v>401000134</v>
          </cell>
          <cell r="C3705" t="str">
            <v>ROJAS PANELO FERNANDO MARIO</v>
          </cell>
          <cell r="G3705">
            <v>71321.350000000006</v>
          </cell>
          <cell r="H3705">
            <v>106666784.633</v>
          </cell>
          <cell r="I3705" t="str">
            <v>401</v>
          </cell>
        </row>
        <row r="3706">
          <cell r="A3706" t="str">
            <v>USD</v>
          </cell>
          <cell r="B3706" t="str">
            <v>401000151</v>
          </cell>
          <cell r="C3706" t="str">
            <v>ZUBIAURRE MARIA  FLORENTINA</v>
          </cell>
          <cell r="G3706">
            <v>521.27</v>
          </cell>
          <cell r="H3706">
            <v>779600.98659999995</v>
          </cell>
          <cell r="I3706" t="str">
            <v>401</v>
          </cell>
        </row>
        <row r="3707">
          <cell r="A3707" t="str">
            <v>USD</v>
          </cell>
          <cell r="B3707" t="str">
            <v>401000153</v>
          </cell>
          <cell r="C3707" t="str">
            <v xml:space="preserve">AVANTIA VALORES SA - CUENTA ERROR </v>
          </cell>
          <cell r="G3707">
            <v>20.79</v>
          </cell>
          <cell r="H3707">
            <v>31093.108199999999</v>
          </cell>
          <cell r="I3707" t="str">
            <v>401</v>
          </cell>
        </row>
        <row r="3708">
          <cell r="A3708" t="str">
            <v>USD</v>
          </cell>
          <cell r="B3708" t="str">
            <v>401000154</v>
          </cell>
          <cell r="C3708" t="str">
            <v>SCHAER JUAN JOSE  Y FERNANDEZ MARIA DE LAS MERCEDES</v>
          </cell>
          <cell r="G3708">
            <v>124020.69</v>
          </cell>
          <cell r="H3708">
            <v>185482863.55019999</v>
          </cell>
          <cell r="I3708" t="str">
            <v>401</v>
          </cell>
        </row>
        <row r="3709">
          <cell r="A3709" t="str">
            <v>USD</v>
          </cell>
          <cell r="B3709" t="str">
            <v>401000155</v>
          </cell>
          <cell r="C3709" t="str">
            <v>SCALA LUIS MARTÍN</v>
          </cell>
          <cell r="G3709">
            <v>1264.21</v>
          </cell>
          <cell r="H3709">
            <v>1890727.1917999999</v>
          </cell>
          <cell r="I3709" t="str">
            <v>401</v>
          </cell>
        </row>
        <row r="3710">
          <cell r="A3710" t="str">
            <v>USD</v>
          </cell>
          <cell r="B3710" t="str">
            <v>401000205</v>
          </cell>
          <cell r="C3710" t="str">
            <v>REYNAL ESTEBAN</v>
          </cell>
          <cell r="G3710">
            <v>113990</v>
          </cell>
          <cell r="H3710">
            <v>170481164.19999999</v>
          </cell>
          <cell r="I3710" t="str">
            <v>401</v>
          </cell>
        </row>
        <row r="3711">
          <cell r="A3711" t="str">
            <v>USD</v>
          </cell>
          <cell r="B3711" t="str">
            <v>401000222</v>
          </cell>
          <cell r="C3711" t="str">
            <v>AVANTIA VALORES SA - PROP</v>
          </cell>
          <cell r="G3711">
            <v>2341015.36</v>
          </cell>
          <cell r="H3711">
            <v>3501175752.1087995</v>
          </cell>
          <cell r="I3711" t="str">
            <v>401</v>
          </cell>
        </row>
        <row r="3712">
          <cell r="A3712" t="str">
            <v>USD</v>
          </cell>
          <cell r="B3712" t="str">
            <v>401000239</v>
          </cell>
          <cell r="C3712" t="str">
            <v>MADA POY S.A</v>
          </cell>
          <cell r="G3712">
            <v>280.20999999999998</v>
          </cell>
          <cell r="H3712">
            <v>419076.47179999994</v>
          </cell>
          <cell r="I3712" t="str">
            <v>401</v>
          </cell>
        </row>
        <row r="3713">
          <cell r="A3713" t="str">
            <v>USD</v>
          </cell>
          <cell r="B3713" t="str">
            <v>401000244</v>
          </cell>
          <cell r="C3713" t="str">
            <v>DELFANTE VARELA LORENA SOLEDAD</v>
          </cell>
          <cell r="G3713">
            <v>486.18</v>
          </cell>
          <cell r="H3713">
            <v>727121.08439999993</v>
          </cell>
          <cell r="I3713" t="str">
            <v>401</v>
          </cell>
        </row>
        <row r="3714">
          <cell r="A3714" t="str">
            <v>USD</v>
          </cell>
          <cell r="B3714" t="str">
            <v>401000246</v>
          </cell>
          <cell r="C3714" t="str">
            <v>CAMPION IRENE MARTA</v>
          </cell>
          <cell r="G3714">
            <v>1267.47</v>
          </cell>
          <cell r="H3714">
            <v>1895602.7826</v>
          </cell>
          <cell r="I3714" t="str">
            <v>401</v>
          </cell>
        </row>
        <row r="3715">
          <cell r="A3715" t="str">
            <v>USD</v>
          </cell>
          <cell r="B3715" t="str">
            <v>401000261</v>
          </cell>
          <cell r="C3715" t="str">
            <v>TANCO CARLOS ARIEL</v>
          </cell>
          <cell r="G3715">
            <v>5268.63</v>
          </cell>
          <cell r="H3715">
            <v>7879657.6553999996</v>
          </cell>
          <cell r="I3715" t="str">
            <v>401</v>
          </cell>
        </row>
        <row r="3716">
          <cell r="A3716" t="str">
            <v>USD</v>
          </cell>
          <cell r="B3716" t="str">
            <v>401000269</v>
          </cell>
          <cell r="C3716" t="str">
            <v>MONTES DE OCA DOLORES MARIA</v>
          </cell>
          <cell r="G3716">
            <v>519.52</v>
          </cell>
          <cell r="H3716">
            <v>776983.72159999993</v>
          </cell>
          <cell r="I3716" t="str">
            <v>401</v>
          </cell>
        </row>
        <row r="3717">
          <cell r="A3717" t="str">
            <v>USD</v>
          </cell>
          <cell r="B3717" t="str">
            <v>401000278</v>
          </cell>
          <cell r="C3717" t="str">
            <v>FINELLI FERRAZZINI JAVIER</v>
          </cell>
          <cell r="G3717">
            <v>161</v>
          </cell>
          <cell r="H3717">
            <v>240788.37999999998</v>
          </cell>
          <cell r="I3717" t="str">
            <v>401</v>
          </cell>
        </row>
        <row r="3718">
          <cell r="A3718" t="str">
            <v>USD</v>
          </cell>
          <cell r="B3718" t="str">
            <v>401000292</v>
          </cell>
          <cell r="C3718" t="str">
            <v>FOSSATI EDUARDO</v>
          </cell>
          <cell r="G3718">
            <v>12065.99</v>
          </cell>
          <cell r="H3718">
            <v>18045653.324200001</v>
          </cell>
          <cell r="I3718" t="str">
            <v>401</v>
          </cell>
        </row>
        <row r="3719">
          <cell r="A3719" t="str">
            <v>USD</v>
          </cell>
          <cell r="B3719" t="str">
            <v>401000293</v>
          </cell>
          <cell r="C3719" t="str">
            <v>PENSANDO EN GRANDE S.A.S.</v>
          </cell>
          <cell r="G3719">
            <v>7.28</v>
          </cell>
          <cell r="H3719">
            <v>10887.822399999999</v>
          </cell>
          <cell r="I3719" t="str">
            <v>401</v>
          </cell>
        </row>
        <row r="3720">
          <cell r="A3720" t="str">
            <v>USD</v>
          </cell>
          <cell r="B3720" t="str">
            <v>401000355</v>
          </cell>
          <cell r="C3720" t="str">
            <v>LINEAS DE TRANSMISION DEL LITORAL SA S. A.</v>
          </cell>
          <cell r="G3720">
            <v>1000000</v>
          </cell>
          <cell r="H3720">
            <v>1495580000</v>
          </cell>
          <cell r="I3720" t="str">
            <v>401</v>
          </cell>
        </row>
        <row r="3721">
          <cell r="A3721" t="str">
            <v>USD</v>
          </cell>
          <cell r="B3721" t="str">
            <v>401000367</v>
          </cell>
          <cell r="C3721" t="str">
            <v xml:space="preserve">LUPONE ALBANO SEBASTIAN </v>
          </cell>
          <cell r="G3721">
            <v>34805.699999999997</v>
          </cell>
          <cell r="H3721">
            <v>52054708.805999994</v>
          </cell>
          <cell r="I3721" t="str">
            <v>401</v>
          </cell>
        </row>
        <row r="3722">
          <cell r="A3722" t="str">
            <v>USD</v>
          </cell>
          <cell r="B3722" t="str">
            <v>401000374</v>
          </cell>
          <cell r="C3722" t="str">
            <v>PADILLA TIBURCIO</v>
          </cell>
          <cell r="G3722">
            <v>66.34</v>
          </cell>
          <cell r="H3722">
            <v>99216.777199999997</v>
          </cell>
          <cell r="I3722" t="str">
            <v>401</v>
          </cell>
        </row>
        <row r="3723">
          <cell r="A3723" t="str">
            <v>USD</v>
          </cell>
          <cell r="B3723" t="str">
            <v>405000006</v>
          </cell>
          <cell r="C3723" t="str">
            <v>PUERTOS SRL (CARTERA PROPIA)</v>
          </cell>
          <cell r="G3723">
            <v>187029.99</v>
          </cell>
          <cell r="H3723">
            <v>279718312.44419998</v>
          </cell>
          <cell r="I3723" t="str">
            <v>405</v>
          </cell>
        </row>
        <row r="3724">
          <cell r="A3724" t="str">
            <v>USD</v>
          </cell>
          <cell r="B3724" t="str">
            <v>405000012</v>
          </cell>
          <cell r="C3724" t="str">
            <v>Galleano, Juan Pablo, Gabetta Matta, Georgina Mariela y/o Galleano, Bautista</v>
          </cell>
          <cell r="G3724">
            <v>47063.91</v>
          </cell>
          <cell r="H3724">
            <v>70387842.517800003</v>
          </cell>
          <cell r="I3724" t="str">
            <v>405</v>
          </cell>
        </row>
        <row r="3725">
          <cell r="A3725" t="str">
            <v>USD</v>
          </cell>
          <cell r="B3725" t="str">
            <v>405000016</v>
          </cell>
          <cell r="C3725" t="str">
            <v>SPEZIALI, ANDRES</v>
          </cell>
          <cell r="G3725">
            <v>10363.459999999999</v>
          </cell>
          <cell r="H3725">
            <v>15499383.506799998</v>
          </cell>
          <cell r="I3725" t="str">
            <v>405</v>
          </cell>
        </row>
        <row r="3726">
          <cell r="A3726" t="str">
            <v>USD</v>
          </cell>
          <cell r="B3726" t="str">
            <v>405000029</v>
          </cell>
          <cell r="C3726" t="str">
            <v>VINES &amp; CO S.A.S.</v>
          </cell>
          <cell r="G3726">
            <v>1360.88</v>
          </cell>
          <cell r="H3726">
            <v>2035304.9104000002</v>
          </cell>
          <cell r="I3726" t="str">
            <v>405</v>
          </cell>
        </row>
        <row r="3727">
          <cell r="A3727" t="str">
            <v>USD</v>
          </cell>
          <cell r="B3727" t="str">
            <v>405000070</v>
          </cell>
          <cell r="C3727" t="str">
            <v>Juan Pablo Gobbo</v>
          </cell>
          <cell r="G3727">
            <v>915.56</v>
          </cell>
          <cell r="H3727">
            <v>1369293.2248</v>
          </cell>
          <cell r="I3727" t="str">
            <v>405</v>
          </cell>
        </row>
        <row r="3728">
          <cell r="A3728" t="str">
            <v>USD</v>
          </cell>
          <cell r="B3728" t="str">
            <v>405000072</v>
          </cell>
          <cell r="C3728" t="str">
            <v>MARTIN , PAULO MIGUEL</v>
          </cell>
          <cell r="G3728">
            <v>1002.45</v>
          </cell>
          <cell r="H3728">
            <v>1499244.1710000001</v>
          </cell>
          <cell r="I3728" t="str">
            <v>405</v>
          </cell>
        </row>
        <row r="3729">
          <cell r="A3729" t="str">
            <v>USD</v>
          </cell>
          <cell r="B3729" t="str">
            <v>405000110</v>
          </cell>
          <cell r="C3729" t="str">
            <v>Reiton SRL</v>
          </cell>
          <cell r="G3729">
            <v>301.04000000000002</v>
          </cell>
          <cell r="H3729">
            <v>450229.4032</v>
          </cell>
          <cell r="I3729" t="str">
            <v>405</v>
          </cell>
        </row>
        <row r="3730">
          <cell r="A3730" t="str">
            <v>USD</v>
          </cell>
          <cell r="B3730" t="str">
            <v>405000140</v>
          </cell>
          <cell r="C3730" t="str">
            <v>CANNES FIDEICOMISO</v>
          </cell>
          <cell r="G3730">
            <v>27099.83</v>
          </cell>
          <cell r="H3730">
            <v>40529963.751400001</v>
          </cell>
          <cell r="I3730" t="str">
            <v>405</v>
          </cell>
        </row>
        <row r="3731">
          <cell r="A3731" t="str">
            <v>USD</v>
          </cell>
          <cell r="B3731" t="str">
            <v>410101010</v>
          </cell>
          <cell r="C3731" t="str">
            <v>Natali, Omar Emilio Ramon</v>
          </cell>
          <cell r="G3731">
            <v>9673.4500000000007</v>
          </cell>
          <cell r="H3731">
            <v>14467418.351</v>
          </cell>
          <cell r="I3731" t="str">
            <v>410</v>
          </cell>
        </row>
        <row r="3732">
          <cell r="A3732" t="str">
            <v>USD</v>
          </cell>
          <cell r="B3732" t="str">
            <v>410149190</v>
          </cell>
          <cell r="C3732" t="str">
            <v>Natali Ruben Dario Ramón</v>
          </cell>
          <cell r="G3732">
            <v>8112.49</v>
          </cell>
          <cell r="H3732">
            <v>12132877.794199999</v>
          </cell>
          <cell r="I3732" t="str">
            <v>410</v>
          </cell>
        </row>
        <row r="3733">
          <cell r="A3733" t="str">
            <v>USD</v>
          </cell>
          <cell r="B3733" t="str">
            <v>417001013</v>
          </cell>
          <cell r="C3733" t="str">
            <v>LEMESOFF IVAN</v>
          </cell>
          <cell r="G3733">
            <v>2262.81</v>
          </cell>
          <cell r="H3733">
            <v>3384213.3797999998</v>
          </cell>
          <cell r="I3733" t="str">
            <v>417</v>
          </cell>
        </row>
        <row r="3734">
          <cell r="A3734" t="str">
            <v>USD</v>
          </cell>
          <cell r="B3734" t="str">
            <v>423001013</v>
          </cell>
          <cell r="C3734" t="str">
            <v>PIATTI, CRISTIAN LEONARDO</v>
          </cell>
          <cell r="G3734">
            <v>1117</v>
          </cell>
          <cell r="H3734">
            <v>1670562.8599999999</v>
          </cell>
          <cell r="I3734" t="str">
            <v>423</v>
          </cell>
        </row>
        <row r="3735">
          <cell r="A3735" t="str">
            <v>USD</v>
          </cell>
          <cell r="B3735" t="str">
            <v>423001016</v>
          </cell>
          <cell r="C3735" t="str">
            <v>BRIGNONE, PABLO</v>
          </cell>
          <cell r="G3735">
            <v>1002.94</v>
          </cell>
          <cell r="H3735">
            <v>1499977.0052</v>
          </cell>
          <cell r="I3735" t="str">
            <v>423</v>
          </cell>
        </row>
        <row r="3736">
          <cell r="A3736" t="str">
            <v>USD</v>
          </cell>
          <cell r="B3736" t="str">
            <v>423001018</v>
          </cell>
          <cell r="C3736" t="str">
            <v xml:space="preserve">VRANICICH, MARIA CECILIA </v>
          </cell>
          <cell r="G3736">
            <v>137.25</v>
          </cell>
          <cell r="H3736">
            <v>205268.35499999998</v>
          </cell>
          <cell r="I3736" t="str">
            <v>423</v>
          </cell>
        </row>
        <row r="3737">
          <cell r="A3737" t="str">
            <v>USD</v>
          </cell>
          <cell r="B3737" t="str">
            <v>423001026</v>
          </cell>
          <cell r="C3737" t="str">
            <v>AUDISALUD SRL</v>
          </cell>
          <cell r="G3737">
            <v>2600.6999999999998</v>
          </cell>
          <cell r="H3737">
            <v>3889554.9059999995</v>
          </cell>
          <cell r="I3737" t="str">
            <v>423</v>
          </cell>
        </row>
        <row r="3738">
          <cell r="A3738" t="str">
            <v>USD</v>
          </cell>
          <cell r="B3738" t="str">
            <v>423001040</v>
          </cell>
          <cell r="C3738" t="str">
            <v>BOERIS, DIEGO NICOLAS</v>
          </cell>
          <cell r="G3738">
            <v>3015.69</v>
          </cell>
          <cell r="H3738">
            <v>4510205.6502</v>
          </cell>
          <cell r="I3738" t="str">
            <v>423</v>
          </cell>
        </row>
        <row r="3739">
          <cell r="A3739" t="str">
            <v>USD</v>
          </cell>
          <cell r="B3739" t="str">
            <v>423001083</v>
          </cell>
          <cell r="C3739" t="str">
            <v>ALBERDI, CARLOS RUBEN</v>
          </cell>
          <cell r="G3739">
            <v>31000.21</v>
          </cell>
          <cell r="H3739">
            <v>46363294.071799994</v>
          </cell>
          <cell r="I3739" t="str">
            <v>423</v>
          </cell>
        </row>
        <row r="3740">
          <cell r="A3740" t="str">
            <v>USD</v>
          </cell>
          <cell r="B3740" t="str">
            <v>423001084</v>
          </cell>
          <cell r="C3740" t="str">
            <v>ARAMBURU, JORGE LUIS</v>
          </cell>
          <cell r="G3740">
            <v>2999.74</v>
          </cell>
          <cell r="H3740">
            <v>4486351.1491999999</v>
          </cell>
          <cell r="I3740" t="str">
            <v>423</v>
          </cell>
        </row>
        <row r="3741">
          <cell r="A3741" t="str">
            <v>USD</v>
          </cell>
          <cell r="B3741" t="str">
            <v>423001123</v>
          </cell>
          <cell r="C3741" t="str">
            <v>FUNDACION PARA EL ESTUDIO E INVESTIGACION DE LOS SISTEMAS DE SALUD</v>
          </cell>
          <cell r="G3741">
            <v>400</v>
          </cell>
          <cell r="H3741">
            <v>598232</v>
          </cell>
          <cell r="I3741" t="str">
            <v>423</v>
          </cell>
        </row>
        <row r="3742">
          <cell r="A3742" t="str">
            <v>USD</v>
          </cell>
          <cell r="B3742" t="str">
            <v>423001126</v>
          </cell>
          <cell r="C3742" t="str">
            <v>LOSADA, IMANOL</v>
          </cell>
          <cell r="G3742">
            <v>1931.2</v>
          </cell>
          <cell r="H3742">
            <v>2888264.0959999999</v>
          </cell>
          <cell r="I3742" t="str">
            <v>423</v>
          </cell>
        </row>
        <row r="3743">
          <cell r="A3743" t="str">
            <v>USD</v>
          </cell>
          <cell r="B3743" t="str">
            <v>423001155</v>
          </cell>
          <cell r="C3743" t="str">
            <v>VENINI, JULIA</v>
          </cell>
          <cell r="G3743">
            <v>2285.21</v>
          </cell>
          <cell r="H3743">
            <v>3417714.3717999998</v>
          </cell>
          <cell r="I3743" t="str">
            <v>423</v>
          </cell>
        </row>
        <row r="3744">
          <cell r="A3744" t="str">
            <v>USD</v>
          </cell>
          <cell r="B3744" t="str">
            <v>423001204</v>
          </cell>
          <cell r="C3744" t="str">
            <v>CLERICI, EZEQUIEL ALBERTO | DE LOS SANTOS, GERMAN | CONTI, ANDRES</v>
          </cell>
          <cell r="G3744">
            <v>100.49</v>
          </cell>
          <cell r="H3744">
            <v>150290.83419999998</v>
          </cell>
          <cell r="I3744" t="str">
            <v>423</v>
          </cell>
        </row>
        <row r="3745">
          <cell r="A3745" t="str">
            <v>USD</v>
          </cell>
          <cell r="B3745" t="str">
            <v>424000006</v>
          </cell>
          <cell r="C3745" t="str">
            <v>Katz, Marcelo Horacio</v>
          </cell>
          <cell r="G3745">
            <v>22287.71</v>
          </cell>
          <cell r="H3745">
            <v>33333053.321799997</v>
          </cell>
          <cell r="I3745" t="str">
            <v>424</v>
          </cell>
        </row>
        <row r="3746">
          <cell r="A3746" t="str">
            <v>USD</v>
          </cell>
          <cell r="B3746" t="str">
            <v>424000032</v>
          </cell>
          <cell r="C3746" t="str">
            <v>Diego Yabes</v>
          </cell>
          <cell r="G3746">
            <v>0.55000000000000004</v>
          </cell>
          <cell r="H3746">
            <v>822.56900000000007</v>
          </cell>
          <cell r="I3746" t="str">
            <v>424</v>
          </cell>
        </row>
        <row r="3747">
          <cell r="A3747" t="str">
            <v>USD</v>
          </cell>
          <cell r="B3747" t="str">
            <v>424000036</v>
          </cell>
          <cell r="C3747" t="str">
            <v>Damian Ciocan</v>
          </cell>
          <cell r="G3747">
            <v>50.82</v>
          </cell>
          <cell r="H3747">
            <v>76005.375599999999</v>
          </cell>
          <cell r="I3747" t="str">
            <v>424</v>
          </cell>
        </row>
        <row r="3748">
          <cell r="A3748" t="str">
            <v>USD</v>
          </cell>
          <cell r="B3748" t="str">
            <v>424000054</v>
          </cell>
          <cell r="C3748" t="str">
            <v>Eco Box Int Group</v>
          </cell>
          <cell r="G3748">
            <v>337585.38</v>
          </cell>
          <cell r="H3748">
            <v>504885942.62040001</v>
          </cell>
          <cell r="I3748" t="str">
            <v>424</v>
          </cell>
        </row>
        <row r="3749">
          <cell r="A3749" t="str">
            <v>USD</v>
          </cell>
          <cell r="B3749" t="str">
            <v>424000069</v>
          </cell>
          <cell r="C3749" t="str">
            <v>Humboldt Inversiones S.A.</v>
          </cell>
          <cell r="G3749">
            <v>9000.74</v>
          </cell>
          <cell r="H3749">
            <v>13461326.7292</v>
          </cell>
          <cell r="I3749" t="str">
            <v>424</v>
          </cell>
        </row>
        <row r="3750">
          <cell r="A3750" t="str">
            <v>USD</v>
          </cell>
          <cell r="B3750" t="str">
            <v>424000074</v>
          </cell>
          <cell r="C3750" t="str">
            <v>Maria Dolores Sarobe</v>
          </cell>
          <cell r="G3750">
            <v>125.4</v>
          </cell>
          <cell r="H3750">
            <v>187545.73199999999</v>
          </cell>
          <cell r="I3750" t="str">
            <v>424</v>
          </cell>
        </row>
        <row r="3751">
          <cell r="A3751" t="str">
            <v>USD</v>
          </cell>
          <cell r="B3751" t="str">
            <v>424000086</v>
          </cell>
          <cell r="C3751" t="str">
            <v>Alberto Cabuli</v>
          </cell>
          <cell r="G3751">
            <v>38858.050000000003</v>
          </cell>
          <cell r="H3751">
            <v>58115322.419</v>
          </cell>
          <cell r="I3751" t="str">
            <v>424</v>
          </cell>
        </row>
        <row r="3752">
          <cell r="A3752" t="str">
            <v>USD</v>
          </cell>
          <cell r="B3752" t="str">
            <v>424000109</v>
          </cell>
          <cell r="C3752" t="str">
            <v>Eduardo, Weisz</v>
          </cell>
          <cell r="G3752">
            <v>3001.86</v>
          </cell>
          <cell r="H3752">
            <v>4489521.7788000004</v>
          </cell>
          <cell r="I3752" t="str">
            <v>424</v>
          </cell>
        </row>
        <row r="3753">
          <cell r="A3753" t="str">
            <v>USD</v>
          </cell>
          <cell r="B3753" t="str">
            <v>424000129</v>
          </cell>
          <cell r="C3753" t="str">
            <v>Maria Andrea Riquelme</v>
          </cell>
          <cell r="G3753">
            <v>5529.1</v>
          </cell>
          <cell r="H3753">
            <v>8269211.3780000005</v>
          </cell>
          <cell r="I3753" t="str">
            <v>424</v>
          </cell>
        </row>
        <row r="3754">
          <cell r="A3754" t="str">
            <v>USD</v>
          </cell>
          <cell r="B3754" t="str">
            <v>424000139</v>
          </cell>
          <cell r="C3754" t="str">
            <v>Bartolomé Doiny</v>
          </cell>
          <cell r="G3754">
            <v>504.89</v>
          </cell>
          <cell r="H3754">
            <v>755103.38619999995</v>
          </cell>
          <cell r="I3754" t="str">
            <v>424</v>
          </cell>
        </row>
        <row r="3755">
          <cell r="A3755" t="str">
            <v>USD</v>
          </cell>
          <cell r="B3755" t="str">
            <v>424000201</v>
          </cell>
          <cell r="C3755" t="str">
            <v>Scheimberg Sebastian Alberto</v>
          </cell>
          <cell r="G3755">
            <v>1036.9100000000001</v>
          </cell>
          <cell r="H3755">
            <v>1550781.8578000001</v>
          </cell>
          <cell r="I3755" t="str">
            <v>424</v>
          </cell>
        </row>
        <row r="3756">
          <cell r="A3756" t="str">
            <v>USD</v>
          </cell>
          <cell r="B3756" t="str">
            <v>424000222</v>
          </cell>
          <cell r="C3756" t="str">
            <v>Paula Claudia Budich</v>
          </cell>
          <cell r="G3756">
            <v>4006.82</v>
          </cell>
          <cell r="H3756">
            <v>5992519.8556000004</v>
          </cell>
          <cell r="I3756" t="str">
            <v>424</v>
          </cell>
        </row>
        <row r="3757">
          <cell r="A3757" t="str">
            <v>USD</v>
          </cell>
          <cell r="B3757" t="str">
            <v>424000228</v>
          </cell>
          <cell r="C3757" t="str">
            <v>Lorenzo Azicri</v>
          </cell>
          <cell r="G3757">
            <v>237.52</v>
          </cell>
          <cell r="H3757">
            <v>355230.16159999999</v>
          </cell>
          <cell r="I3757" t="str">
            <v>424</v>
          </cell>
        </row>
        <row r="3758">
          <cell r="A3758" t="str">
            <v>USD</v>
          </cell>
          <cell r="B3758" t="str">
            <v>424000239</v>
          </cell>
          <cell r="C3758" t="str">
            <v>Mariano Teubal</v>
          </cell>
          <cell r="G3758">
            <v>46074.09</v>
          </cell>
          <cell r="H3758">
            <v>68907487.522199988</v>
          </cell>
          <cell r="I3758" t="str">
            <v>424</v>
          </cell>
        </row>
        <row r="3759">
          <cell r="A3759" t="str">
            <v>USD</v>
          </cell>
          <cell r="B3759" t="str">
            <v>424000243</v>
          </cell>
          <cell r="C3759" t="str">
            <v>FIDEICOMISO CIPRESALES</v>
          </cell>
          <cell r="G3759">
            <v>69999.509999999995</v>
          </cell>
          <cell r="H3759">
            <v>104689867.16579999</v>
          </cell>
          <cell r="I3759" t="str">
            <v>424</v>
          </cell>
        </row>
        <row r="3760">
          <cell r="A3760" t="str">
            <v>USD</v>
          </cell>
          <cell r="B3760" t="str">
            <v>424000300</v>
          </cell>
          <cell r="C3760" t="str">
            <v>[C.E.R.A.] Hugo Enrique Doiny</v>
          </cell>
          <cell r="G3760">
            <v>40397.79</v>
          </cell>
          <cell r="H3760">
            <v>60418126.768199995</v>
          </cell>
          <cell r="I3760" t="str">
            <v>424</v>
          </cell>
        </row>
        <row r="3761">
          <cell r="A3761" t="str">
            <v>USD</v>
          </cell>
          <cell r="B3761" t="str">
            <v>424001000</v>
          </cell>
          <cell r="C3761" t="str">
            <v>Vector Investments S.A.</v>
          </cell>
          <cell r="G3761">
            <v>4353.5200000000004</v>
          </cell>
          <cell r="H3761">
            <v>6511037.4416000005</v>
          </cell>
          <cell r="I3761" t="str">
            <v>424</v>
          </cell>
        </row>
        <row r="3762">
          <cell r="A3762" t="str">
            <v>USD</v>
          </cell>
          <cell r="B3762" t="str">
            <v>432000006</v>
          </cell>
          <cell r="C3762" t="str">
            <v>Cristiá, Pedro Alejandro</v>
          </cell>
          <cell r="G3762">
            <v>33120.629999999997</v>
          </cell>
          <cell r="H3762">
            <v>49534551.815399997</v>
          </cell>
          <cell r="I3762" t="str">
            <v>432</v>
          </cell>
        </row>
        <row r="3763">
          <cell r="A3763" t="str">
            <v>USD</v>
          </cell>
          <cell r="B3763" t="str">
            <v>432000007</v>
          </cell>
          <cell r="C3763" t="str">
            <v>Garófalo, José Luis</v>
          </cell>
          <cell r="G3763">
            <v>792981.92</v>
          </cell>
          <cell r="H3763">
            <v>1185967899.9136</v>
          </cell>
          <cell r="I3763" t="str">
            <v>432</v>
          </cell>
        </row>
        <row r="3764">
          <cell r="A3764" t="str">
            <v>USD</v>
          </cell>
          <cell r="B3764" t="str">
            <v>432000008</v>
          </cell>
          <cell r="C3764" t="str">
            <v>Arrigoni, Miguel Angel</v>
          </cell>
          <cell r="G3764">
            <v>1449911.64</v>
          </cell>
          <cell r="H3764">
            <v>2168458850.5511999</v>
          </cell>
          <cell r="I3764" t="str">
            <v>432</v>
          </cell>
        </row>
        <row r="3765">
          <cell r="A3765" t="str">
            <v>USD</v>
          </cell>
          <cell r="B3765" t="str">
            <v>432000010</v>
          </cell>
          <cell r="C3765" t="str">
            <v>First Capital Markets SA</v>
          </cell>
          <cell r="G3765">
            <v>1448932.07</v>
          </cell>
          <cell r="H3765">
            <v>2166993825.2505999</v>
          </cell>
          <cell r="I3765" t="str">
            <v>432</v>
          </cell>
        </row>
        <row r="3766">
          <cell r="A3766" t="str">
            <v>USD</v>
          </cell>
          <cell r="B3766" t="str">
            <v>432000011</v>
          </cell>
          <cell r="C3766" t="str">
            <v>Caramella, Alejandro Diego</v>
          </cell>
          <cell r="G3766">
            <v>675.5</v>
          </cell>
          <cell r="H3766">
            <v>1010264.2899999999</v>
          </cell>
          <cell r="I3766" t="str">
            <v>432</v>
          </cell>
        </row>
        <row r="3767">
          <cell r="A3767" t="str">
            <v>USD</v>
          </cell>
          <cell r="B3767" t="str">
            <v>432000012</v>
          </cell>
          <cell r="C3767" t="str">
            <v>Barbero, Guillermo Alberto</v>
          </cell>
          <cell r="G3767">
            <v>22484.67</v>
          </cell>
          <cell r="H3767">
            <v>33627622.758599997</v>
          </cell>
          <cell r="I3767" t="str">
            <v>432</v>
          </cell>
        </row>
        <row r="3768">
          <cell r="A3768" t="str">
            <v>USD</v>
          </cell>
          <cell r="B3768" t="str">
            <v>432000021</v>
          </cell>
          <cell r="C3768" t="str">
            <v>Dubiski, Luis Alberto o Gherman, Teresa Estefania</v>
          </cell>
          <cell r="G3768">
            <v>1200.27</v>
          </cell>
          <cell r="H3768">
            <v>1795099.8065999998</v>
          </cell>
          <cell r="I3768" t="str">
            <v>432</v>
          </cell>
        </row>
        <row r="3769">
          <cell r="A3769" t="str">
            <v>USD</v>
          </cell>
          <cell r="B3769" t="str">
            <v>432000043</v>
          </cell>
          <cell r="C3769" t="str">
            <v>Buyatti, Cristian Andres o De Abaroa, Florencia</v>
          </cell>
          <cell r="G3769">
            <v>673654.44</v>
          </cell>
          <cell r="H3769">
            <v>1007504107.3751999</v>
          </cell>
          <cell r="I3769" t="str">
            <v>432</v>
          </cell>
        </row>
        <row r="3770">
          <cell r="A3770" t="str">
            <v>USD</v>
          </cell>
          <cell r="B3770" t="str">
            <v>432000111</v>
          </cell>
          <cell r="C3770" t="str">
            <v xml:space="preserve">Alberio, Sebastián  </v>
          </cell>
          <cell r="G3770">
            <v>438224.73</v>
          </cell>
          <cell r="H3770">
            <v>655400141.69339991</v>
          </cell>
          <cell r="I3770" t="str">
            <v>432</v>
          </cell>
        </row>
        <row r="3771">
          <cell r="A3771" t="str">
            <v>USD</v>
          </cell>
          <cell r="B3771" t="str">
            <v>432000125</v>
          </cell>
          <cell r="C3771" t="str">
            <v>Oyarzabal, Fermín o Ferranti, María Eugenia</v>
          </cell>
          <cell r="G3771">
            <v>7184.01</v>
          </cell>
          <cell r="H3771">
            <v>10744261.675799999</v>
          </cell>
          <cell r="I3771" t="str">
            <v>432</v>
          </cell>
        </row>
        <row r="3772">
          <cell r="A3772" t="str">
            <v>USD</v>
          </cell>
          <cell r="B3772" t="str">
            <v>432000128</v>
          </cell>
          <cell r="C3772" t="str">
            <v>Petrolo, Eduardo Alberto (CARTERA)</v>
          </cell>
          <cell r="G3772">
            <v>18.8</v>
          </cell>
          <cell r="H3772">
            <v>28116.903999999999</v>
          </cell>
          <cell r="I3772" t="str">
            <v>432</v>
          </cell>
        </row>
        <row r="3773">
          <cell r="A3773" t="str">
            <v>USD</v>
          </cell>
          <cell r="B3773" t="str">
            <v>432000129</v>
          </cell>
          <cell r="C3773" t="str">
            <v>Fittante, Luciano</v>
          </cell>
          <cell r="G3773">
            <v>120.76</v>
          </cell>
          <cell r="H3773">
            <v>180606.2408</v>
          </cell>
          <cell r="I3773" t="str">
            <v>432</v>
          </cell>
        </row>
        <row r="3774">
          <cell r="A3774" t="str">
            <v>USD</v>
          </cell>
          <cell r="B3774" t="str">
            <v>432000161</v>
          </cell>
          <cell r="C3774" t="str">
            <v>Novo, Gonzalo Martín</v>
          </cell>
          <cell r="G3774">
            <v>393.4</v>
          </cell>
          <cell r="H3774">
            <v>588361.1719999999</v>
          </cell>
          <cell r="I3774" t="str">
            <v>432</v>
          </cell>
        </row>
        <row r="3775">
          <cell r="A3775" t="str">
            <v>USD</v>
          </cell>
          <cell r="B3775" t="str">
            <v>432000168</v>
          </cell>
          <cell r="C3775" t="str">
            <v xml:space="preserve">Sanchez, Guillermo Alejandro o REY, SANDRA ELIZABETH </v>
          </cell>
          <cell r="G3775">
            <v>1750</v>
          </cell>
          <cell r="H3775">
            <v>2617265</v>
          </cell>
          <cell r="I3775" t="str">
            <v>432</v>
          </cell>
        </row>
        <row r="3776">
          <cell r="A3776" t="str">
            <v>USD</v>
          </cell>
          <cell r="B3776" t="str">
            <v>432000192</v>
          </cell>
          <cell r="C3776" t="str">
            <v>Alassia, Alejandro Jesús o Alassia, Marcelo Gustavo</v>
          </cell>
          <cell r="G3776">
            <v>211215.26</v>
          </cell>
          <cell r="H3776">
            <v>315889318.55080003</v>
          </cell>
          <cell r="I3776" t="str">
            <v>432</v>
          </cell>
        </row>
        <row r="3777">
          <cell r="A3777" t="str">
            <v>USD</v>
          </cell>
          <cell r="B3777" t="str">
            <v>432000248</v>
          </cell>
          <cell r="C3777" t="str">
            <v>Rebecchi, Sergio Ricardo (CARTERA)</v>
          </cell>
          <cell r="G3777">
            <v>157.53</v>
          </cell>
          <cell r="H3777">
            <v>235598.71739999999</v>
          </cell>
          <cell r="I3777" t="str">
            <v>432</v>
          </cell>
        </row>
        <row r="3778">
          <cell r="A3778" t="str">
            <v>USD</v>
          </cell>
          <cell r="B3778" t="str">
            <v>432000286</v>
          </cell>
          <cell r="C3778" t="str">
            <v>Huayra Camargo, Cristian Abelardo</v>
          </cell>
          <cell r="G3778">
            <v>9161.52</v>
          </cell>
          <cell r="H3778">
            <v>13701786.081599999</v>
          </cell>
          <cell r="I3778" t="str">
            <v>432</v>
          </cell>
        </row>
        <row r="3779">
          <cell r="A3779" t="str">
            <v>USD</v>
          </cell>
          <cell r="B3779" t="str">
            <v>432000297</v>
          </cell>
          <cell r="C3779" t="str">
            <v>Boveda, Roberto Fabian o Infantil, Daniela Alejandra</v>
          </cell>
          <cell r="G3779">
            <v>365278.49</v>
          </cell>
          <cell r="H3779">
            <v>546303204.07419991</v>
          </cell>
          <cell r="I3779" t="str">
            <v>432</v>
          </cell>
        </row>
        <row r="3780">
          <cell r="A3780" t="str">
            <v>USD</v>
          </cell>
          <cell r="B3780" t="str">
            <v>432000319</v>
          </cell>
          <cell r="C3780" t="str">
            <v>Dalla Bona Maini, Guido</v>
          </cell>
          <cell r="G3780">
            <v>38117.47</v>
          </cell>
          <cell r="H3780">
            <v>57007725.782600001</v>
          </cell>
          <cell r="I3780" t="str">
            <v>432</v>
          </cell>
        </row>
        <row r="3781">
          <cell r="A3781" t="str">
            <v>USD</v>
          </cell>
          <cell r="B3781" t="str">
            <v>432000335</v>
          </cell>
          <cell r="C3781" t="str">
            <v>Alberio, Guillermo Roberto</v>
          </cell>
          <cell r="G3781">
            <v>8000.36</v>
          </cell>
          <cell r="H3781">
            <v>11965178.408799998</v>
          </cell>
          <cell r="I3781" t="str">
            <v>432</v>
          </cell>
        </row>
        <row r="3782">
          <cell r="A3782" t="str">
            <v>USD</v>
          </cell>
          <cell r="B3782" t="str">
            <v>432000384</v>
          </cell>
          <cell r="C3782" t="str">
            <v>Fundación Nuevo Hogar y Centro de Ancianos para la Comunidad Judía</v>
          </cell>
          <cell r="G3782">
            <v>119999.87</v>
          </cell>
          <cell r="H3782">
            <v>179469405.57459998</v>
          </cell>
          <cell r="I3782" t="str">
            <v>432</v>
          </cell>
        </row>
        <row r="3783">
          <cell r="A3783" t="str">
            <v>USD</v>
          </cell>
          <cell r="B3783" t="str">
            <v>432000399</v>
          </cell>
          <cell r="C3783" t="str">
            <v>Di Loreto, Héctor Emir (CARTERA)</v>
          </cell>
          <cell r="G3783">
            <v>19.36</v>
          </cell>
          <cell r="H3783">
            <v>28954.428799999998</v>
          </cell>
          <cell r="I3783" t="str">
            <v>432</v>
          </cell>
        </row>
        <row r="3784">
          <cell r="A3784" t="str">
            <v>USD</v>
          </cell>
          <cell r="B3784" t="str">
            <v>432000533</v>
          </cell>
          <cell r="C3784" t="str">
            <v>Martinolich, Alejandro o Magri, María Soledad</v>
          </cell>
          <cell r="G3784">
            <v>9023.93</v>
          </cell>
          <cell r="H3784">
            <v>13496009.2294</v>
          </cell>
          <cell r="I3784" t="str">
            <v>432</v>
          </cell>
        </row>
        <row r="3785">
          <cell r="A3785" t="str">
            <v>USD</v>
          </cell>
          <cell r="B3785" t="str">
            <v>432000554</v>
          </cell>
          <cell r="C3785" t="str">
            <v>De Lorenzo, Carina Susana</v>
          </cell>
          <cell r="G3785">
            <v>400</v>
          </cell>
          <cell r="H3785">
            <v>598232</v>
          </cell>
          <cell r="I3785" t="str">
            <v>432</v>
          </cell>
        </row>
        <row r="3786">
          <cell r="A3786" t="str">
            <v>USD</v>
          </cell>
          <cell r="B3786" t="str">
            <v>432000594</v>
          </cell>
          <cell r="C3786" t="str">
            <v>Montemurri, David Eduardo o Cisneros, Sonia del Carmen</v>
          </cell>
          <cell r="G3786">
            <v>9000.06</v>
          </cell>
          <cell r="H3786">
            <v>13460309.734799998</v>
          </cell>
          <cell r="I3786" t="str">
            <v>432</v>
          </cell>
        </row>
        <row r="3787">
          <cell r="A3787" t="str">
            <v>USD</v>
          </cell>
          <cell r="B3787" t="str">
            <v>432000597</v>
          </cell>
          <cell r="C3787" t="str">
            <v>Tenaglia, Mauro Nicolás</v>
          </cell>
          <cell r="G3787">
            <v>4997.79</v>
          </cell>
          <cell r="H3787">
            <v>7474594.7681999998</v>
          </cell>
          <cell r="I3787" t="str">
            <v>432</v>
          </cell>
        </row>
        <row r="3788">
          <cell r="A3788" t="str">
            <v>USD</v>
          </cell>
          <cell r="B3788" t="str">
            <v>432000605</v>
          </cell>
          <cell r="C3788" t="str">
            <v xml:space="preserve">Bonino, Alicia Mónica </v>
          </cell>
          <cell r="G3788">
            <v>462.55</v>
          </cell>
          <cell r="H3788">
            <v>691780.52899999998</v>
          </cell>
          <cell r="I3788" t="str">
            <v>432</v>
          </cell>
        </row>
        <row r="3789">
          <cell r="A3789" t="str">
            <v>USD</v>
          </cell>
          <cell r="B3789" t="str">
            <v>432000677</v>
          </cell>
          <cell r="C3789" t="str">
            <v>FIRST CORPORATE FINANCE ADVISORS S.A.</v>
          </cell>
          <cell r="G3789">
            <v>131336.18</v>
          </cell>
          <cell r="H3789">
            <v>196423764.08439997</v>
          </cell>
          <cell r="I3789" t="str">
            <v>432</v>
          </cell>
        </row>
        <row r="3790">
          <cell r="A3790" t="str">
            <v>USD</v>
          </cell>
          <cell r="B3790" t="str">
            <v>432000679</v>
          </cell>
          <cell r="C3790" t="str">
            <v>Castagnino, Mario Alejandro</v>
          </cell>
          <cell r="G3790">
            <v>791</v>
          </cell>
          <cell r="H3790">
            <v>1183003.78</v>
          </cell>
          <cell r="I3790" t="str">
            <v>432</v>
          </cell>
        </row>
        <row r="3791">
          <cell r="A3791" t="str">
            <v>USD</v>
          </cell>
          <cell r="B3791" t="str">
            <v>432000714</v>
          </cell>
          <cell r="C3791" t="str">
            <v>Oportunidad Microfinanciera Latinoamericana OMLA S.A</v>
          </cell>
          <cell r="G3791">
            <v>35000</v>
          </cell>
          <cell r="H3791">
            <v>52345300</v>
          </cell>
          <cell r="I3791" t="str">
            <v>432</v>
          </cell>
        </row>
        <row r="3792">
          <cell r="A3792" t="str">
            <v>USD</v>
          </cell>
          <cell r="B3792" t="str">
            <v>432000744</v>
          </cell>
          <cell r="C3792" t="str">
            <v>OYARZABAL , MARIA INES</v>
          </cell>
          <cell r="G3792">
            <v>4958.8999999999996</v>
          </cell>
          <cell r="H3792">
            <v>7416431.6619999995</v>
          </cell>
          <cell r="I3792" t="str">
            <v>432</v>
          </cell>
        </row>
        <row r="3793">
          <cell r="A3793" t="str">
            <v>USD</v>
          </cell>
          <cell r="B3793" t="str">
            <v>432000747</v>
          </cell>
          <cell r="C3793" t="str">
            <v>Seineldin, Fidel o Corbo, Daniela Claudia</v>
          </cell>
          <cell r="G3793">
            <v>8400.2099999999991</v>
          </cell>
          <cell r="H3793">
            <v>12563186.071799997</v>
          </cell>
          <cell r="I3793" t="str">
            <v>432</v>
          </cell>
        </row>
        <row r="3794">
          <cell r="A3794" t="str">
            <v>USD</v>
          </cell>
          <cell r="B3794" t="str">
            <v>432000799</v>
          </cell>
          <cell r="C3794" t="str">
            <v>Perez Edgardo Enrique Y Dolce Pablo Adrián Sociedad de Hecho</v>
          </cell>
          <cell r="G3794">
            <v>1628.13</v>
          </cell>
          <cell r="H3794">
            <v>2434998.6653999998</v>
          </cell>
          <cell r="I3794" t="str">
            <v>432</v>
          </cell>
        </row>
        <row r="3795">
          <cell r="A3795" t="str">
            <v>USD</v>
          </cell>
          <cell r="B3795" t="str">
            <v>432000867</v>
          </cell>
          <cell r="C3795" t="str">
            <v>OTOK SA</v>
          </cell>
          <cell r="G3795">
            <v>72087815.969999999</v>
          </cell>
          <cell r="H3795">
            <v>107813095808.4126</v>
          </cell>
          <cell r="I3795" t="str">
            <v>432</v>
          </cell>
        </row>
        <row r="3796">
          <cell r="A3796" t="str">
            <v>USD</v>
          </cell>
          <cell r="B3796" t="str">
            <v>432000868</v>
          </cell>
          <cell r="C3796" t="str">
            <v>Dellarossa, Maria Betina</v>
          </cell>
          <cell r="G3796">
            <v>5199.79</v>
          </cell>
          <cell r="H3796">
            <v>7776701.9282</v>
          </cell>
          <cell r="I3796" t="str">
            <v>432</v>
          </cell>
        </row>
        <row r="3797">
          <cell r="A3797" t="str">
            <v>USD</v>
          </cell>
          <cell r="B3797" t="str">
            <v>432000876</v>
          </cell>
          <cell r="C3797" t="str">
            <v>Giancaterino, Graciela Ethel</v>
          </cell>
          <cell r="G3797">
            <v>13962.34</v>
          </cell>
          <cell r="H3797">
            <v>20881796.457199998</v>
          </cell>
          <cell r="I3797" t="str">
            <v>432</v>
          </cell>
        </row>
        <row r="3798">
          <cell r="A3798" t="str">
            <v>USD</v>
          </cell>
          <cell r="B3798" t="str">
            <v>432000878</v>
          </cell>
          <cell r="C3798" t="str">
            <v>MARCON, SUSANA BEATRIZ</v>
          </cell>
          <cell r="G3798">
            <v>1400.3</v>
          </cell>
          <cell r="H3798">
            <v>2094260.6739999999</v>
          </cell>
          <cell r="I3798" t="str">
            <v>432</v>
          </cell>
        </row>
        <row r="3799">
          <cell r="A3799" t="str">
            <v>USD</v>
          </cell>
          <cell r="B3799" t="str">
            <v>432000885</v>
          </cell>
          <cell r="C3799" t="str">
            <v>JAWORSKI, MARIA EUGENIA</v>
          </cell>
          <cell r="G3799">
            <v>212657.85</v>
          </cell>
          <cell r="H3799">
            <v>318046827.30299997</v>
          </cell>
          <cell r="I3799" t="str">
            <v>432</v>
          </cell>
        </row>
        <row r="3800">
          <cell r="A3800" t="str">
            <v>USD</v>
          </cell>
          <cell r="B3800" t="str">
            <v>432000890</v>
          </cell>
          <cell r="C3800" t="str">
            <v>Jaworski, Maria Lucia</v>
          </cell>
          <cell r="G3800">
            <v>116888.22</v>
          </cell>
          <cell r="H3800">
            <v>174815684.06759998</v>
          </cell>
          <cell r="I3800" t="str">
            <v>432</v>
          </cell>
        </row>
        <row r="3801">
          <cell r="A3801" t="str">
            <v>USD</v>
          </cell>
          <cell r="B3801" t="str">
            <v>432000927</v>
          </cell>
          <cell r="C3801" t="str">
            <v>STAGNARO DI CROCE, CAMILA</v>
          </cell>
          <cell r="G3801">
            <v>10353.14</v>
          </cell>
          <cell r="H3801">
            <v>15483949.121199999</v>
          </cell>
          <cell r="I3801" t="str">
            <v>432</v>
          </cell>
        </row>
        <row r="3802">
          <cell r="A3802" t="str">
            <v>USD</v>
          </cell>
          <cell r="B3802" t="str">
            <v>432000946</v>
          </cell>
          <cell r="C3802" t="str">
            <v>BUYATTI, GERARDO LUIS</v>
          </cell>
          <cell r="G3802">
            <v>10397.280000000001</v>
          </cell>
          <cell r="H3802">
            <v>15549964.022400001</v>
          </cell>
          <cell r="I3802" t="str">
            <v>432</v>
          </cell>
        </row>
        <row r="3803">
          <cell r="A3803" t="str">
            <v>USD</v>
          </cell>
          <cell r="B3803" t="str">
            <v>432001020</v>
          </cell>
          <cell r="C3803" t="str">
            <v>DELL' ELCE, DANTE ALEJANDRO</v>
          </cell>
          <cell r="G3803">
            <v>40000</v>
          </cell>
          <cell r="H3803">
            <v>59823200</v>
          </cell>
          <cell r="I3803" t="str">
            <v>432</v>
          </cell>
        </row>
        <row r="3804">
          <cell r="A3804" t="str">
            <v>USD</v>
          </cell>
          <cell r="B3804" t="str">
            <v>432001029</v>
          </cell>
          <cell r="C3804" t="str">
            <v>DISEÑO, LUZ Y SENTIDO S.R.L.</v>
          </cell>
          <cell r="G3804">
            <v>30499.52</v>
          </cell>
          <cell r="H3804">
            <v>45614472.121600002</v>
          </cell>
          <cell r="I3804" t="str">
            <v>432</v>
          </cell>
        </row>
        <row r="3805">
          <cell r="A3805" t="str">
            <v>USD</v>
          </cell>
          <cell r="B3805" t="str">
            <v>432001120</v>
          </cell>
          <cell r="C3805" t="str">
            <v>SOLOVEI, THIAGO TOMAS</v>
          </cell>
          <cell r="G3805">
            <v>4201.62</v>
          </cell>
          <cell r="H3805">
            <v>6283858.8395999996</v>
          </cell>
          <cell r="I3805" t="str">
            <v>432</v>
          </cell>
        </row>
        <row r="3806">
          <cell r="A3806" t="str">
            <v>USD</v>
          </cell>
          <cell r="B3806" t="str">
            <v>432001162</v>
          </cell>
          <cell r="C3806" t="str">
            <v>FABRE, HECTOR EDUARDO o DIAZ, ANA MARIA</v>
          </cell>
          <cell r="G3806">
            <v>6992.94</v>
          </cell>
          <cell r="H3806">
            <v>10458501.2052</v>
          </cell>
          <cell r="I3806" t="str">
            <v>432</v>
          </cell>
        </row>
        <row r="3807">
          <cell r="A3807" t="str">
            <v>USD</v>
          </cell>
          <cell r="B3807" t="str">
            <v>432001164</v>
          </cell>
          <cell r="C3807" t="str">
            <v>BASSANINI, DIEGO OMAR</v>
          </cell>
          <cell r="G3807">
            <v>102418.86</v>
          </cell>
          <cell r="H3807">
            <v>153175598.6388</v>
          </cell>
          <cell r="I3807" t="str">
            <v>432</v>
          </cell>
        </row>
        <row r="3808">
          <cell r="A3808" t="str">
            <v>USD</v>
          </cell>
          <cell r="B3808" t="str">
            <v>432001165</v>
          </cell>
          <cell r="C3808" t="str">
            <v>BASSANINI, VANINA PAOLA</v>
          </cell>
          <cell r="G3808">
            <v>102646.04</v>
          </cell>
          <cell r="H3808">
            <v>153515364.50319999</v>
          </cell>
          <cell r="I3808" t="str">
            <v>432</v>
          </cell>
        </row>
        <row r="3809">
          <cell r="A3809" t="str">
            <v>USD</v>
          </cell>
          <cell r="B3809" t="str">
            <v>432001189</v>
          </cell>
          <cell r="C3809" t="str">
            <v xml:space="preserve">OPTILINK S.R.L. </v>
          </cell>
          <cell r="G3809">
            <v>47158.23</v>
          </cell>
          <cell r="H3809">
            <v>70528905.623400003</v>
          </cell>
          <cell r="I3809" t="str">
            <v>432</v>
          </cell>
        </row>
        <row r="3810">
          <cell r="A3810" t="str">
            <v>USD</v>
          </cell>
          <cell r="B3810" t="str">
            <v>432001207</v>
          </cell>
          <cell r="C3810" t="str">
            <v>ARRIGONI, BARBARA o ARRIGONI MIGUEL o BALMAS CLAUDIA</v>
          </cell>
          <cell r="G3810">
            <v>7861.05</v>
          </cell>
          <cell r="H3810">
            <v>11756829.159</v>
          </cell>
          <cell r="I3810" t="str">
            <v>432</v>
          </cell>
        </row>
        <row r="3811">
          <cell r="A3811" t="str">
            <v>USD</v>
          </cell>
          <cell r="B3811" t="str">
            <v>432001214</v>
          </cell>
          <cell r="C3811" t="str">
            <v xml:space="preserve"> [C.E.R.A] Carsa S.A.</v>
          </cell>
          <cell r="G3811">
            <v>203494.44</v>
          </cell>
          <cell r="H3811">
            <v>304342214.57519996</v>
          </cell>
          <cell r="I3811" t="str">
            <v>432</v>
          </cell>
        </row>
        <row r="3812">
          <cell r="A3812" t="str">
            <v>USD</v>
          </cell>
          <cell r="B3812" t="str">
            <v>432001247</v>
          </cell>
          <cell r="C3812" t="str">
            <v>Bo, Diego Maximiliano</v>
          </cell>
          <cell r="G3812">
            <v>805.23</v>
          </cell>
          <cell r="H3812">
            <v>1204285.8833999999</v>
          </cell>
          <cell r="I3812" t="str">
            <v>432</v>
          </cell>
        </row>
        <row r="3813">
          <cell r="A3813" t="str">
            <v>USD</v>
          </cell>
          <cell r="B3813" t="str">
            <v>432001250</v>
          </cell>
          <cell r="C3813" t="str">
            <v>H&amp;S MANAGEMENT S. A. S.</v>
          </cell>
          <cell r="G3813">
            <v>1500</v>
          </cell>
          <cell r="H3813">
            <v>2243370</v>
          </cell>
          <cell r="I3813" t="str">
            <v>432</v>
          </cell>
        </row>
        <row r="3814">
          <cell r="A3814" t="str">
            <v>USD</v>
          </cell>
          <cell r="B3814" t="str">
            <v>432001251</v>
          </cell>
          <cell r="C3814" t="str">
            <v>RODRIGUEZ, HUGO FERNANDO o Mendes Novo, Maisa</v>
          </cell>
          <cell r="G3814">
            <v>1979.52</v>
          </cell>
          <cell r="H3814">
            <v>2960530.5215999996</v>
          </cell>
          <cell r="I3814" t="str">
            <v>432</v>
          </cell>
        </row>
        <row r="3815">
          <cell r="A3815" t="str">
            <v>USD</v>
          </cell>
          <cell r="B3815" t="str">
            <v>432001256</v>
          </cell>
          <cell r="C3815" t="str">
            <v>LINGUA, ENRIQUE MARIO o DE NICOLA, MIRTA SUSANA</v>
          </cell>
          <cell r="G3815">
            <v>20000</v>
          </cell>
          <cell r="H3815">
            <v>29911600</v>
          </cell>
          <cell r="I3815" t="str">
            <v>432</v>
          </cell>
        </row>
        <row r="3816">
          <cell r="A3816" t="str">
            <v>USD</v>
          </cell>
          <cell r="B3816" t="str">
            <v>432001257</v>
          </cell>
          <cell r="C3816" t="str">
            <v>ESBORRAZ, DIEGO</v>
          </cell>
          <cell r="G3816">
            <v>20633</v>
          </cell>
          <cell r="H3816">
            <v>30858302.139999997</v>
          </cell>
          <cell r="I3816" t="str">
            <v>432</v>
          </cell>
        </row>
        <row r="3817">
          <cell r="A3817" t="str">
            <v>USD</v>
          </cell>
          <cell r="B3817" t="str">
            <v>432001263</v>
          </cell>
          <cell r="C3817" t="str">
            <v>CASTAGNINO, TOMAS OCTAVIO</v>
          </cell>
          <cell r="G3817">
            <v>85043.79</v>
          </cell>
          <cell r="H3817">
            <v>127189791.44819999</v>
          </cell>
          <cell r="I3817" t="str">
            <v>432</v>
          </cell>
        </row>
        <row r="3818">
          <cell r="A3818" t="str">
            <v>USD</v>
          </cell>
          <cell r="B3818" t="str">
            <v>432001265</v>
          </cell>
          <cell r="C3818" t="str">
            <v xml:space="preserve">ALMARAZ, EDUARDO OSCAR </v>
          </cell>
          <cell r="G3818">
            <v>20329</v>
          </cell>
          <cell r="H3818">
            <v>30403645.82</v>
          </cell>
          <cell r="I3818" t="str">
            <v>432</v>
          </cell>
        </row>
        <row r="3819">
          <cell r="A3819" t="str">
            <v>USD</v>
          </cell>
          <cell r="B3819" t="str">
            <v>432001272</v>
          </cell>
          <cell r="C3819" t="str">
            <v>DI CROCE, SUSANA BEATRIZ</v>
          </cell>
          <cell r="G3819">
            <v>99.96</v>
          </cell>
          <cell r="H3819">
            <v>149498.17679999999</v>
          </cell>
          <cell r="I3819" t="str">
            <v>432</v>
          </cell>
        </row>
        <row r="3820">
          <cell r="A3820" t="str">
            <v>USD</v>
          </cell>
          <cell r="B3820" t="str">
            <v>432001273</v>
          </cell>
          <cell r="C3820" t="str">
            <v>STAGNARO, RANDY PAUL</v>
          </cell>
          <cell r="G3820">
            <v>60093.63</v>
          </cell>
          <cell r="H3820">
            <v>89874831.155399993</v>
          </cell>
          <cell r="I3820" t="str">
            <v>432</v>
          </cell>
        </row>
        <row r="3821">
          <cell r="A3821" t="str">
            <v>USD</v>
          </cell>
          <cell r="B3821" t="str">
            <v>435000005</v>
          </cell>
          <cell r="C3821" t="str">
            <v>Inverstart S.A.- Contrapartida Líquida -</v>
          </cell>
          <cell r="G3821">
            <v>438.36</v>
          </cell>
          <cell r="H3821">
            <v>655602.44880000001</v>
          </cell>
          <cell r="I3821" t="str">
            <v>435</v>
          </cell>
        </row>
        <row r="3822">
          <cell r="A3822" t="str">
            <v>USD</v>
          </cell>
          <cell r="B3822" t="str">
            <v>435000006</v>
          </cell>
          <cell r="C3822" t="str">
            <v>Inverstart S.A.</v>
          </cell>
          <cell r="G3822">
            <v>275038.2</v>
          </cell>
          <cell r="H3822">
            <v>411341631.15600002</v>
          </cell>
          <cell r="I3822" t="str">
            <v>435</v>
          </cell>
        </row>
        <row r="3823">
          <cell r="A3823" t="str">
            <v>USD</v>
          </cell>
          <cell r="B3823" t="str">
            <v>435000007</v>
          </cell>
          <cell r="C3823" t="str">
            <v>Conti, Sergio Horacio o Dominguez, Viviana Beatriz</v>
          </cell>
          <cell r="G3823">
            <v>17995.75</v>
          </cell>
          <cell r="H3823">
            <v>26914083.785</v>
          </cell>
          <cell r="I3823" t="str">
            <v>435</v>
          </cell>
        </row>
        <row r="3824">
          <cell r="A3824" t="str">
            <v>USD</v>
          </cell>
          <cell r="B3824" t="str">
            <v>435000010</v>
          </cell>
          <cell r="C3824" t="str">
            <v>Romero, Raúl Javier</v>
          </cell>
          <cell r="G3824">
            <v>2228.77</v>
          </cell>
          <cell r="H3824">
            <v>3333303.8366</v>
          </cell>
          <cell r="I3824" t="str">
            <v>435</v>
          </cell>
        </row>
        <row r="3825">
          <cell r="A3825" t="str">
            <v>USD</v>
          </cell>
          <cell r="B3825" t="str">
            <v>435000014</v>
          </cell>
          <cell r="C3825" t="str">
            <v>Muñoz, Leandro Adrián Evaristo  o Boulet, Marisol Liliana</v>
          </cell>
          <cell r="G3825">
            <v>4997.22</v>
          </cell>
          <cell r="H3825">
            <v>7473742.2876000004</v>
          </cell>
          <cell r="I3825" t="str">
            <v>435</v>
          </cell>
        </row>
        <row r="3826">
          <cell r="A3826" t="str">
            <v>USD</v>
          </cell>
          <cell r="B3826" t="str">
            <v>435000015</v>
          </cell>
          <cell r="C3826" t="str">
            <v>Nieto, Lucio Edgardo</v>
          </cell>
          <cell r="G3826">
            <v>45758.22</v>
          </cell>
          <cell r="H3826">
            <v>68435078.667600006</v>
          </cell>
          <cell r="I3826" t="str">
            <v>435</v>
          </cell>
        </row>
        <row r="3827">
          <cell r="A3827" t="str">
            <v>USD</v>
          </cell>
          <cell r="B3827" t="str">
            <v>435000023</v>
          </cell>
          <cell r="C3827" t="str">
            <v>Instecmec S.A.</v>
          </cell>
          <cell r="G3827">
            <v>834.57</v>
          </cell>
          <cell r="H3827">
            <v>1248166.2006000001</v>
          </cell>
          <cell r="I3827" t="str">
            <v>435</v>
          </cell>
        </row>
        <row r="3828">
          <cell r="A3828" t="str">
            <v>USD</v>
          </cell>
          <cell r="B3828" t="str">
            <v>435000024</v>
          </cell>
          <cell r="C3828" t="str">
            <v xml:space="preserve">Aguilera, Domingo Vicente o Hidalgo, Susana </v>
          </cell>
          <cell r="G3828">
            <v>107406.38</v>
          </cell>
          <cell r="H3828">
            <v>160634833.80039999</v>
          </cell>
          <cell r="I3828" t="str">
            <v>435</v>
          </cell>
        </row>
        <row r="3829">
          <cell r="A3829" t="str">
            <v>USD</v>
          </cell>
          <cell r="B3829" t="str">
            <v>435000032</v>
          </cell>
          <cell r="C3829" t="str">
            <v>Muñoz, Leandro Adrián Evaristo  o Nieto, Lucio Edgardo o Salaceta, Alberto Orlando</v>
          </cell>
          <cell r="G3829">
            <v>9066.7999999999993</v>
          </cell>
          <cell r="H3829">
            <v>13560124.743999999</v>
          </cell>
          <cell r="I3829" t="str">
            <v>435</v>
          </cell>
        </row>
        <row r="3830">
          <cell r="A3830" t="str">
            <v>USD</v>
          </cell>
          <cell r="B3830" t="str">
            <v>435000035</v>
          </cell>
          <cell r="C3830" t="str">
            <v>[C.E.R.A.] Conti, Sergio Horacio</v>
          </cell>
          <cell r="G3830">
            <v>7622.8</v>
          </cell>
          <cell r="H3830">
            <v>11400507.223999999</v>
          </cell>
          <cell r="I3830" t="str">
            <v>435</v>
          </cell>
        </row>
        <row r="3831">
          <cell r="A3831" t="str">
            <v>USD</v>
          </cell>
          <cell r="B3831" t="str">
            <v>435000036</v>
          </cell>
          <cell r="C3831" t="str">
            <v>[C.E.R.A.] De Marchi Alejandra</v>
          </cell>
          <cell r="G3831">
            <v>2510</v>
          </cell>
          <cell r="H3831">
            <v>3753905.8</v>
          </cell>
          <cell r="I3831" t="str">
            <v>435</v>
          </cell>
        </row>
        <row r="3832">
          <cell r="A3832" t="str">
            <v>USD</v>
          </cell>
          <cell r="B3832" t="str">
            <v>435000037</v>
          </cell>
          <cell r="C3832" t="str">
            <v xml:space="preserve"> [C.E.R.A.] De Marchi, Gabriel Luis</v>
          </cell>
          <cell r="G3832">
            <v>2510</v>
          </cell>
          <cell r="H3832">
            <v>3753905.8</v>
          </cell>
          <cell r="I3832" t="str">
            <v>435</v>
          </cell>
        </row>
        <row r="3833">
          <cell r="A3833" t="str">
            <v>USD</v>
          </cell>
          <cell r="B3833" t="str">
            <v>435000038</v>
          </cell>
          <cell r="C3833" t="str">
            <v>[C.E.R.A.] Proyectar AC SRL</v>
          </cell>
          <cell r="G3833">
            <v>2384.5</v>
          </cell>
          <cell r="H3833">
            <v>3566210.51</v>
          </cell>
          <cell r="I3833" t="str">
            <v>435</v>
          </cell>
        </row>
        <row r="3834">
          <cell r="A3834" t="str">
            <v>USD</v>
          </cell>
          <cell r="B3834" t="str">
            <v>435000091</v>
          </cell>
          <cell r="C3834" t="str">
            <v>Garcia, Oscar Alberto o Garcia, Natacha Jimena del Rosario o Volpe, Darío Javier</v>
          </cell>
          <cell r="G3834">
            <v>83505</v>
          </cell>
          <cell r="H3834">
            <v>124888407.89999999</v>
          </cell>
          <cell r="I3834" t="str">
            <v>435</v>
          </cell>
        </row>
        <row r="3835">
          <cell r="A3835" t="str">
            <v>USD</v>
          </cell>
          <cell r="B3835" t="str">
            <v>435000101</v>
          </cell>
          <cell r="C3835" t="str">
            <v>Fabre, Eduardo Anselmo o Fabre, Paula</v>
          </cell>
          <cell r="G3835">
            <v>19568.04</v>
          </cell>
          <cell r="H3835">
            <v>29265569.2632</v>
          </cell>
          <cell r="I3835" t="str">
            <v>435</v>
          </cell>
        </row>
        <row r="3836">
          <cell r="A3836" t="str">
            <v>USD</v>
          </cell>
          <cell r="B3836" t="str">
            <v>435000104</v>
          </cell>
          <cell r="C3836" t="str">
            <v>Peralta, Osvaldo Darío o Capotosti, Daniela</v>
          </cell>
          <cell r="G3836">
            <v>36606</v>
          </cell>
          <cell r="H3836">
            <v>54747201.479999997</v>
          </cell>
          <cell r="I3836" t="str">
            <v>435</v>
          </cell>
        </row>
        <row r="3837">
          <cell r="A3837" t="str">
            <v>USD</v>
          </cell>
          <cell r="B3837" t="str">
            <v>435000112</v>
          </cell>
          <cell r="C3837" t="str">
            <v>Karup, Nora Cristina o Coletto, Federico Enrique o Coletto, Gianina Anabella</v>
          </cell>
          <cell r="G3837">
            <v>30411</v>
          </cell>
          <cell r="H3837">
            <v>45482083.379999995</v>
          </cell>
          <cell r="I3837" t="str">
            <v>435</v>
          </cell>
        </row>
        <row r="3838">
          <cell r="A3838" t="str">
            <v>USD</v>
          </cell>
          <cell r="B3838" t="str">
            <v>435000129</v>
          </cell>
          <cell r="C3838" t="str">
            <v>Orozco, Pedro Efrayn o Martinez, Brian Ariel u Olmos, Maria Rosa</v>
          </cell>
          <cell r="G3838">
            <v>7074.43</v>
          </cell>
          <cell r="H3838">
            <v>10580376.019400001</v>
          </cell>
          <cell r="I3838" t="str">
            <v>435</v>
          </cell>
        </row>
        <row r="3839">
          <cell r="A3839" t="str">
            <v>USD</v>
          </cell>
          <cell r="B3839" t="str">
            <v>435000145</v>
          </cell>
          <cell r="C3839" t="str">
            <v>Gomila, Pedro Lorenzo</v>
          </cell>
          <cell r="G3839">
            <v>629.41</v>
          </cell>
          <cell r="H3839">
            <v>941333.0077999999</v>
          </cell>
          <cell r="I3839" t="str">
            <v>435</v>
          </cell>
        </row>
        <row r="3840">
          <cell r="A3840" t="str">
            <v>USD</v>
          </cell>
          <cell r="B3840" t="str">
            <v>435000156</v>
          </cell>
          <cell r="C3840" t="str">
            <v>Boulet, Vanesa Lidia o Boulet, Magali Isabel</v>
          </cell>
          <cell r="G3840">
            <v>371.74</v>
          </cell>
          <cell r="H3840">
            <v>555966.90919999999</v>
          </cell>
          <cell r="I3840" t="str">
            <v>435</v>
          </cell>
        </row>
        <row r="3841">
          <cell r="A3841" t="str">
            <v>USD</v>
          </cell>
          <cell r="B3841" t="str">
            <v>435000158</v>
          </cell>
          <cell r="C3841" t="str">
            <v>Los Virreyes S.A.</v>
          </cell>
          <cell r="G3841">
            <v>53522.89</v>
          </cell>
          <cell r="H3841">
            <v>80047763.826199993</v>
          </cell>
          <cell r="I3841" t="str">
            <v>435</v>
          </cell>
        </row>
        <row r="3842">
          <cell r="A3842" t="str">
            <v>USD</v>
          </cell>
          <cell r="B3842" t="str">
            <v>435000164</v>
          </cell>
          <cell r="C3842" t="str">
            <v xml:space="preserve">Ortiz, Myrna Beatriz o Salaceta Ortiz, Emilio Nicolas </v>
          </cell>
          <cell r="G3842">
            <v>200.1</v>
          </cell>
          <cell r="H3842">
            <v>299265.55799999996</v>
          </cell>
          <cell r="I3842" t="str">
            <v>435</v>
          </cell>
        </row>
        <row r="3843">
          <cell r="A3843" t="str">
            <v>USD</v>
          </cell>
          <cell r="B3843" t="str">
            <v>435000189</v>
          </cell>
          <cell r="C3843" t="str">
            <v>Castillo, Eduardo Ulises o Romero Hernandez, Gloria Helena</v>
          </cell>
          <cell r="G3843">
            <v>4000.04</v>
          </cell>
          <cell r="H3843">
            <v>5982379.8231999995</v>
          </cell>
          <cell r="I3843" t="str">
            <v>435</v>
          </cell>
        </row>
        <row r="3844">
          <cell r="A3844" t="str">
            <v>USD</v>
          </cell>
          <cell r="B3844" t="str">
            <v>435000191</v>
          </cell>
          <cell r="C3844" t="str">
            <v>Coletto, Mario Enrique o Coletto, Federico Enrique</v>
          </cell>
          <cell r="G3844">
            <v>23817</v>
          </cell>
          <cell r="H3844">
            <v>35620228.859999999</v>
          </cell>
          <cell r="I3844" t="str">
            <v>435</v>
          </cell>
        </row>
        <row r="3845">
          <cell r="A3845" t="str">
            <v>USD</v>
          </cell>
          <cell r="B3845" t="str">
            <v>435000192</v>
          </cell>
          <cell r="C3845" t="str">
            <v>Zaniuk, Juan Ignacio Nicolas o Martin, Norma Susana Angelica</v>
          </cell>
          <cell r="G3845">
            <v>999.63</v>
          </cell>
          <cell r="H3845">
            <v>1495026.6354</v>
          </cell>
          <cell r="I3845" t="str">
            <v>435</v>
          </cell>
        </row>
        <row r="3846">
          <cell r="A3846" t="str">
            <v>USD</v>
          </cell>
          <cell r="B3846" t="str">
            <v>435000222</v>
          </cell>
          <cell r="C3846" t="str">
            <v>Paez, Oscar Alexander o Lencina, Nancy Susana</v>
          </cell>
          <cell r="G3846">
            <v>42.75</v>
          </cell>
          <cell r="H3846">
            <v>63936.044999999998</v>
          </cell>
          <cell r="I3846" t="str">
            <v>435</v>
          </cell>
        </row>
        <row r="3847">
          <cell r="A3847" t="str">
            <v>USD</v>
          </cell>
          <cell r="B3847" t="str">
            <v>435000257</v>
          </cell>
          <cell r="C3847" t="str">
            <v>Muscara, Lorena Alejandra o Muscara, Sandra Elisabeth o Romano, Anunciada Carmela</v>
          </cell>
          <cell r="G3847">
            <v>3008.26</v>
          </cell>
          <cell r="H3847">
            <v>4499093.4907999998</v>
          </cell>
          <cell r="I3847" t="str">
            <v>435</v>
          </cell>
        </row>
        <row r="3848">
          <cell r="A3848" t="str">
            <v>USD</v>
          </cell>
          <cell r="B3848" t="str">
            <v>435000260</v>
          </cell>
          <cell r="C3848" t="str">
            <v>Papaianni Pose, Alejandro Raul</v>
          </cell>
          <cell r="G3848">
            <v>115604.07</v>
          </cell>
          <cell r="H3848">
            <v>172895135.0106</v>
          </cell>
          <cell r="I3848" t="str">
            <v>435</v>
          </cell>
        </row>
        <row r="3849">
          <cell r="A3849" t="str">
            <v>USD</v>
          </cell>
          <cell r="B3849" t="str">
            <v>435000272</v>
          </cell>
          <cell r="C3849" t="str">
            <v xml:space="preserve">Olagaray, Esther Patricia </v>
          </cell>
          <cell r="G3849">
            <v>1603.72</v>
          </cell>
          <cell r="H3849">
            <v>2398491.5575999999</v>
          </cell>
          <cell r="I3849" t="str">
            <v>435</v>
          </cell>
        </row>
        <row r="3850">
          <cell r="A3850" t="str">
            <v>USD</v>
          </cell>
          <cell r="B3850" t="str">
            <v>435000276</v>
          </cell>
          <cell r="C3850" t="str">
            <v>Gibbs, Jose Guillermo o Gibbs Moreira, Guillermo Damian o Gibbs Moreira, Andres Enrique</v>
          </cell>
          <cell r="G3850">
            <v>42714</v>
          </cell>
          <cell r="H3850">
            <v>63882204.119999997</v>
          </cell>
          <cell r="I3850" t="str">
            <v>435</v>
          </cell>
        </row>
        <row r="3851">
          <cell r="A3851" t="str">
            <v>USD</v>
          </cell>
          <cell r="B3851" t="str">
            <v>435000291</v>
          </cell>
          <cell r="C3851" t="str">
            <v>Rutas del Sol S.A.</v>
          </cell>
          <cell r="G3851">
            <v>239331</v>
          </cell>
          <cell r="H3851">
            <v>357938656.97999996</v>
          </cell>
          <cell r="I3851" t="str">
            <v>435</v>
          </cell>
        </row>
        <row r="3852">
          <cell r="A3852" t="str">
            <v>USD</v>
          </cell>
          <cell r="B3852" t="str">
            <v>435000292</v>
          </cell>
          <cell r="C3852" t="str">
            <v>Vignoni, Susana Vicenta o Gonzalez, Juan Horacio</v>
          </cell>
          <cell r="G3852">
            <v>92083</v>
          </cell>
          <cell r="H3852">
            <v>137717493.13999999</v>
          </cell>
          <cell r="I3852" t="str">
            <v>435</v>
          </cell>
        </row>
        <row r="3853">
          <cell r="A3853" t="str">
            <v>USD</v>
          </cell>
          <cell r="B3853" t="str">
            <v>435000293</v>
          </cell>
          <cell r="C3853" t="str">
            <v>G y V S.A.</v>
          </cell>
          <cell r="G3853">
            <v>1122.75</v>
          </cell>
          <cell r="H3853">
            <v>1679162.4449999998</v>
          </cell>
          <cell r="I3853" t="str">
            <v>435</v>
          </cell>
        </row>
        <row r="3854">
          <cell r="A3854" t="str">
            <v>USD</v>
          </cell>
          <cell r="B3854" t="str">
            <v>435000298</v>
          </cell>
          <cell r="C3854" t="str">
            <v>Volpe, Domingo Américo o Volpe, Darío Javier</v>
          </cell>
          <cell r="G3854">
            <v>9775</v>
          </cell>
          <cell r="H3854">
            <v>14619294.5</v>
          </cell>
          <cell r="I3854" t="str">
            <v>435</v>
          </cell>
        </row>
        <row r="3855">
          <cell r="A3855" t="str">
            <v>USD</v>
          </cell>
          <cell r="B3855" t="str">
            <v>435000299</v>
          </cell>
          <cell r="C3855" t="str">
            <v>Pefer Construcciones S.A.</v>
          </cell>
          <cell r="G3855">
            <v>58.24</v>
          </cell>
          <cell r="H3855">
            <v>87102.579199999993</v>
          </cell>
          <cell r="I3855" t="str">
            <v>435</v>
          </cell>
        </row>
        <row r="3856">
          <cell r="A3856" t="str">
            <v>USD</v>
          </cell>
          <cell r="B3856" t="str">
            <v>435000305</v>
          </cell>
          <cell r="C3856" t="str">
            <v>Fredes, Adriana Cecilia  o Llaver, Rodolfo Jesus o Llaver Fredes, Fatima Yamila u otros</v>
          </cell>
          <cell r="G3856">
            <v>21882</v>
          </cell>
          <cell r="H3856">
            <v>32726281.559999999</v>
          </cell>
          <cell r="I3856" t="str">
            <v>435</v>
          </cell>
        </row>
        <row r="3857">
          <cell r="A3857" t="str">
            <v>USD</v>
          </cell>
          <cell r="B3857" t="str">
            <v>435000311</v>
          </cell>
          <cell r="C3857" t="str">
            <v>Yanzon, Roberto Horacio</v>
          </cell>
          <cell r="G3857">
            <v>47931</v>
          </cell>
          <cell r="H3857">
            <v>71684644.979999989</v>
          </cell>
          <cell r="I3857" t="str">
            <v>435</v>
          </cell>
        </row>
        <row r="3858">
          <cell r="A3858" t="str">
            <v>USD</v>
          </cell>
          <cell r="B3858" t="str">
            <v>435000322</v>
          </cell>
          <cell r="C3858" t="str">
            <v>Pozzi, Andres o Pozzi, Carolina</v>
          </cell>
          <cell r="G3858">
            <v>138991.93</v>
          </cell>
          <cell r="H3858">
            <v>207873550.66939998</v>
          </cell>
          <cell r="I3858" t="str">
            <v>435</v>
          </cell>
        </row>
        <row r="3859">
          <cell r="A3859" t="str">
            <v>USD</v>
          </cell>
          <cell r="B3859" t="str">
            <v>435000326</v>
          </cell>
          <cell r="C3859" t="str">
            <v xml:space="preserve">Amerio, Andrea Fabiana </v>
          </cell>
          <cell r="G3859">
            <v>271.93</v>
          </cell>
          <cell r="H3859">
            <v>406693.06939999998</v>
          </cell>
          <cell r="I3859" t="str">
            <v>435</v>
          </cell>
        </row>
        <row r="3860">
          <cell r="A3860" t="str">
            <v>USD</v>
          </cell>
          <cell r="B3860" t="str">
            <v>435000338</v>
          </cell>
          <cell r="C3860" t="str">
            <v>Piulats, Elsa Libertad o Marin, Norma Beatriz</v>
          </cell>
          <cell r="G3860">
            <v>3629.57</v>
          </cell>
          <cell r="H3860">
            <v>5428312.3005999997</v>
          </cell>
          <cell r="I3860" t="str">
            <v>435</v>
          </cell>
        </row>
        <row r="3861">
          <cell r="A3861" t="str">
            <v>USD</v>
          </cell>
          <cell r="B3861" t="str">
            <v>435000347</v>
          </cell>
          <cell r="C3861" t="str">
            <v>Tecno Service S.R.L.</v>
          </cell>
          <cell r="G3861">
            <v>32488</v>
          </cell>
          <cell r="H3861">
            <v>48588403.039999999</v>
          </cell>
          <cell r="I3861" t="str">
            <v>435</v>
          </cell>
        </row>
        <row r="3862">
          <cell r="A3862" t="str">
            <v>USD</v>
          </cell>
          <cell r="B3862" t="str">
            <v>435000370</v>
          </cell>
          <cell r="C3862" t="str">
            <v>Frutofe SA</v>
          </cell>
          <cell r="G3862">
            <v>41499.129999999997</v>
          </cell>
          <cell r="H3862">
            <v>62065268.845399991</v>
          </cell>
          <cell r="I3862" t="str">
            <v>435</v>
          </cell>
        </row>
        <row r="3863">
          <cell r="A3863" t="str">
            <v>USD</v>
          </cell>
          <cell r="B3863" t="str">
            <v>435000372</v>
          </cell>
          <cell r="C3863" t="str">
            <v>Vicino, Esteban David</v>
          </cell>
          <cell r="G3863">
            <v>498.43</v>
          </cell>
          <cell r="H3863">
            <v>745441.93940000003</v>
          </cell>
          <cell r="I3863" t="str">
            <v>435</v>
          </cell>
        </row>
        <row r="3864">
          <cell r="A3864" t="str">
            <v>USD</v>
          </cell>
          <cell r="B3864" t="str">
            <v>435000379</v>
          </cell>
          <cell r="C3864" t="str">
            <v>ML Lonas y Carpas Maipú S.A.</v>
          </cell>
          <cell r="G3864">
            <v>4109.32</v>
          </cell>
          <cell r="H3864">
            <v>6145816.8055999996</v>
          </cell>
          <cell r="I3864" t="str">
            <v>435</v>
          </cell>
        </row>
        <row r="3865">
          <cell r="A3865" t="str">
            <v>USD</v>
          </cell>
          <cell r="B3865" t="str">
            <v>435000385</v>
          </cell>
          <cell r="C3865" t="str">
            <v>Malnis, Alejandro Antonio</v>
          </cell>
          <cell r="G3865">
            <v>143.31</v>
          </cell>
          <cell r="H3865">
            <v>214331.5698</v>
          </cell>
          <cell r="I3865" t="str">
            <v>435</v>
          </cell>
        </row>
        <row r="3866">
          <cell r="A3866" t="str">
            <v>USD</v>
          </cell>
          <cell r="B3866" t="str">
            <v>435000402</v>
          </cell>
          <cell r="C3866" t="str">
            <v>Boninu, Silvia Rosana</v>
          </cell>
          <cell r="G3866">
            <v>4607.24</v>
          </cell>
          <cell r="H3866">
            <v>6890495.9991999995</v>
          </cell>
          <cell r="I3866" t="str">
            <v>435</v>
          </cell>
        </row>
        <row r="3867">
          <cell r="A3867" t="str">
            <v>USD</v>
          </cell>
          <cell r="B3867" t="str">
            <v>435000409</v>
          </cell>
          <cell r="C3867" t="str">
            <v>Pellerano, Carlos Nicolas o Cunsolo, Antonella</v>
          </cell>
          <cell r="G3867">
            <v>24804</v>
          </cell>
          <cell r="H3867">
            <v>37096366.32</v>
          </cell>
          <cell r="I3867" t="str">
            <v>435</v>
          </cell>
        </row>
        <row r="3868">
          <cell r="A3868" t="str">
            <v>USD</v>
          </cell>
          <cell r="B3868" t="str">
            <v>435000417</v>
          </cell>
          <cell r="C3868" t="str">
            <v xml:space="preserve">Aguilera, Natalia Carina </v>
          </cell>
          <cell r="G3868">
            <v>7328</v>
          </cell>
          <cell r="H3868">
            <v>10959610.24</v>
          </cell>
          <cell r="I3868" t="str">
            <v>435</v>
          </cell>
        </row>
        <row r="3869">
          <cell r="A3869" t="str">
            <v>USD</v>
          </cell>
          <cell r="B3869" t="str">
            <v>435000422</v>
          </cell>
          <cell r="C3869" t="str">
            <v>Gil, Hector Jesus o Miranda, Mariela Alejandra</v>
          </cell>
          <cell r="G3869">
            <v>1078.82</v>
          </cell>
          <cell r="H3869">
            <v>1613461.6155999999</v>
          </cell>
          <cell r="I3869" t="str">
            <v>435</v>
          </cell>
        </row>
        <row r="3870">
          <cell r="A3870" t="str">
            <v>USD</v>
          </cell>
          <cell r="B3870" t="str">
            <v>435000426</v>
          </cell>
          <cell r="C3870" t="str">
            <v>Robello, Andrés Leonardo</v>
          </cell>
          <cell r="G3870">
            <v>168.6</v>
          </cell>
          <cell r="H3870">
            <v>252154.78799999997</v>
          </cell>
          <cell r="I3870" t="str">
            <v>435</v>
          </cell>
        </row>
        <row r="3871">
          <cell r="A3871" t="str">
            <v>USD</v>
          </cell>
          <cell r="B3871" t="str">
            <v>435000437</v>
          </cell>
          <cell r="C3871" t="str">
            <v>Muscara, Sandra Elisabeth</v>
          </cell>
          <cell r="G3871">
            <v>1592.09</v>
          </cell>
          <cell r="H3871">
            <v>2381097.9622</v>
          </cell>
          <cell r="I3871" t="str">
            <v>435</v>
          </cell>
        </row>
        <row r="3872">
          <cell r="A3872" t="str">
            <v>USD</v>
          </cell>
          <cell r="B3872" t="str">
            <v>435000447</v>
          </cell>
          <cell r="C3872" t="str">
            <v>Muñoz, Rosana Emilce o Dellabarba, Agustin Daniel</v>
          </cell>
          <cell r="G3872">
            <v>1266.99</v>
          </cell>
          <cell r="H3872">
            <v>1894884.9042</v>
          </cell>
          <cell r="I3872" t="str">
            <v>435</v>
          </cell>
        </row>
        <row r="3873">
          <cell r="A3873" t="str">
            <v>USD</v>
          </cell>
          <cell r="B3873" t="str">
            <v>435000451</v>
          </cell>
          <cell r="C3873" t="str">
            <v>Seoane, Federico Martin o Duarte, Sabrina Elizabeth</v>
          </cell>
          <cell r="G3873">
            <v>10155.16</v>
          </cell>
          <cell r="H3873">
            <v>15187854.192799998</v>
          </cell>
          <cell r="I3873" t="str">
            <v>435</v>
          </cell>
        </row>
        <row r="3874">
          <cell r="A3874" t="str">
            <v>USD</v>
          </cell>
          <cell r="B3874" t="str">
            <v>435000453</v>
          </cell>
          <cell r="C3874" t="str">
            <v>Atencio, Anabela Janet o Atencio, Osvaldo Juan</v>
          </cell>
          <cell r="G3874">
            <v>5942.54</v>
          </cell>
          <cell r="H3874">
            <v>8887543.973199999</v>
          </cell>
          <cell r="I3874" t="str">
            <v>435</v>
          </cell>
        </row>
        <row r="3875">
          <cell r="A3875" t="str">
            <v>USD</v>
          </cell>
          <cell r="B3875" t="str">
            <v>435000455</v>
          </cell>
          <cell r="C3875" t="str">
            <v>Berman, Julieta o Berman, Andres</v>
          </cell>
          <cell r="G3875">
            <v>52727</v>
          </cell>
          <cell r="H3875">
            <v>78857446.659999996</v>
          </cell>
          <cell r="I3875" t="str">
            <v>435</v>
          </cell>
        </row>
        <row r="3876">
          <cell r="A3876" t="str">
            <v>USD</v>
          </cell>
          <cell r="B3876" t="str">
            <v>435000456</v>
          </cell>
          <cell r="C3876" t="str">
            <v>Gibbs Moreira, Guillermo Damian o Gibbs Moreira, Andres Enrique</v>
          </cell>
          <cell r="G3876">
            <v>57693</v>
          </cell>
          <cell r="H3876">
            <v>86284496.939999998</v>
          </cell>
          <cell r="I3876" t="str">
            <v>435</v>
          </cell>
        </row>
        <row r="3877">
          <cell r="A3877" t="str">
            <v>USD</v>
          </cell>
          <cell r="B3877" t="str">
            <v>435000472</v>
          </cell>
          <cell r="C3877" t="str">
            <v xml:space="preserve"> COOP DE VIVIENDA, URBANIZACION, SERVICIOS PUBLICOS Y CONSUMO TRABAJADORES DE FECOVITA LTDA </v>
          </cell>
          <cell r="G3877">
            <v>22632.85</v>
          </cell>
          <cell r="H3877">
            <v>33849237.802999996</v>
          </cell>
          <cell r="I3877" t="str">
            <v>435</v>
          </cell>
        </row>
        <row r="3878">
          <cell r="A3878" t="str">
            <v>USD</v>
          </cell>
          <cell r="B3878" t="str">
            <v>435000480</v>
          </cell>
          <cell r="C3878" t="str">
            <v>Liberatore, Maria Eugenia o Bertolani, German Antonio</v>
          </cell>
          <cell r="G3878">
            <v>1059.25</v>
          </cell>
          <cell r="H3878">
            <v>1584193.115</v>
          </cell>
          <cell r="I3878" t="str">
            <v>435</v>
          </cell>
        </row>
        <row r="3879">
          <cell r="A3879" t="str">
            <v>USD</v>
          </cell>
          <cell r="B3879" t="str">
            <v>435000497</v>
          </cell>
          <cell r="C3879" t="str">
            <v>Musri, María Cecilia o Aranega, Guadalupe Camila</v>
          </cell>
          <cell r="G3879">
            <v>1567.86</v>
          </cell>
          <cell r="H3879">
            <v>2344860.0587999998</v>
          </cell>
          <cell r="I3879" t="str">
            <v>435</v>
          </cell>
        </row>
        <row r="3880">
          <cell r="A3880" t="str">
            <v>USD</v>
          </cell>
          <cell r="B3880" t="str">
            <v>435000499</v>
          </cell>
          <cell r="C3880" t="str">
            <v>Ferroner Argentina S.A.</v>
          </cell>
          <cell r="G3880">
            <v>3000</v>
          </cell>
          <cell r="H3880">
            <v>4486740</v>
          </cell>
          <cell r="I3880" t="str">
            <v>435</v>
          </cell>
        </row>
        <row r="3881">
          <cell r="A3881" t="str">
            <v>USD</v>
          </cell>
          <cell r="B3881" t="str">
            <v>435000510</v>
          </cell>
          <cell r="C3881" t="str">
            <v>Costigliolo, Enrique Andrés o Rodriguez, Claudia Patricia</v>
          </cell>
          <cell r="G3881">
            <v>6614</v>
          </cell>
          <cell r="H3881">
            <v>9891766.1199999992</v>
          </cell>
          <cell r="I3881" t="str">
            <v>435</v>
          </cell>
        </row>
        <row r="3882">
          <cell r="A3882" t="str">
            <v>USD</v>
          </cell>
          <cell r="B3882" t="str">
            <v>435000511</v>
          </cell>
          <cell r="C3882" t="str">
            <v>Villarruel, Carmen Graciela</v>
          </cell>
          <cell r="G3882">
            <v>1595.53</v>
          </cell>
          <cell r="H3882">
            <v>2386242.7574</v>
          </cell>
          <cell r="I3882" t="str">
            <v>435</v>
          </cell>
        </row>
        <row r="3883">
          <cell r="A3883" t="str">
            <v>USD</v>
          </cell>
          <cell r="B3883" t="str">
            <v>435000512</v>
          </cell>
          <cell r="C3883" t="str">
            <v>Barrera Oro, Elena Maria o Troncoso Flores, Paulo Roberto</v>
          </cell>
          <cell r="G3883">
            <v>408.71</v>
          </cell>
          <cell r="H3883">
            <v>611258.50179999997</v>
          </cell>
          <cell r="I3883" t="str">
            <v>435</v>
          </cell>
        </row>
        <row r="3884">
          <cell r="A3884" t="str">
            <v>USD</v>
          </cell>
          <cell r="B3884" t="str">
            <v>435000517</v>
          </cell>
          <cell r="C3884" t="str">
            <v xml:space="preserve">Muñoz, Karen Valeria o Muñoz, Leandro Adrián Evaristo </v>
          </cell>
          <cell r="G3884">
            <v>2419.77</v>
          </cell>
          <cell r="H3884">
            <v>3618959.6165999998</v>
          </cell>
          <cell r="I3884" t="str">
            <v>435</v>
          </cell>
        </row>
        <row r="3885">
          <cell r="A3885" t="str">
            <v>USD</v>
          </cell>
          <cell r="B3885" t="str">
            <v>435000518</v>
          </cell>
          <cell r="C3885" t="str">
            <v>Cerraro, Pablo Alberto o Vidal, Maria Alejandra</v>
          </cell>
          <cell r="G3885">
            <v>364.8</v>
          </cell>
          <cell r="H3885">
            <v>545587.58400000003</v>
          </cell>
          <cell r="I3885" t="str">
            <v>435</v>
          </cell>
        </row>
        <row r="3886">
          <cell r="A3886" t="str">
            <v>USD</v>
          </cell>
          <cell r="B3886" t="str">
            <v>435000521</v>
          </cell>
          <cell r="C3886" t="str">
            <v>Marti, Gustavo Horacio</v>
          </cell>
          <cell r="G3886">
            <v>33141.49</v>
          </cell>
          <cell r="H3886">
            <v>49565749.614199996</v>
          </cell>
          <cell r="I3886" t="str">
            <v>435</v>
          </cell>
        </row>
        <row r="3887">
          <cell r="A3887" t="str">
            <v>USD</v>
          </cell>
          <cell r="B3887" t="str">
            <v>435000522</v>
          </cell>
          <cell r="C3887" t="str">
            <v>Portabella, Roberto Juán</v>
          </cell>
          <cell r="G3887">
            <v>681.8</v>
          </cell>
          <cell r="H3887">
            <v>1019686.4439999999</v>
          </cell>
          <cell r="I3887" t="str">
            <v>435</v>
          </cell>
        </row>
        <row r="3888">
          <cell r="A3888" t="str">
            <v>USD</v>
          </cell>
          <cell r="B3888" t="str">
            <v>435000525</v>
          </cell>
          <cell r="C3888" t="str">
            <v>Lanati, Alberto Luis o Javier, Nahuel Emilio o Lanati Volpe, Victoria De Los Angeles</v>
          </cell>
          <cell r="G3888">
            <v>399.21</v>
          </cell>
          <cell r="H3888">
            <v>597050.49179999996</v>
          </cell>
          <cell r="I3888" t="str">
            <v>435</v>
          </cell>
        </row>
        <row r="3889">
          <cell r="A3889" t="str">
            <v>USD</v>
          </cell>
          <cell r="B3889" t="str">
            <v>447000023</v>
          </cell>
          <cell r="C3889" t="str">
            <v>COOPERATIVA DE PROVISION DE SERVICIOS AGRICOLAS CRIADERO SANTA ROSA LIMITADA</v>
          </cell>
          <cell r="G3889">
            <v>54500.03</v>
          </cell>
          <cell r="H3889">
            <v>81509154.867399991</v>
          </cell>
          <cell r="I3889" t="str">
            <v>447</v>
          </cell>
        </row>
        <row r="3890">
          <cell r="A3890" t="str">
            <v>USD</v>
          </cell>
          <cell r="B3890" t="str">
            <v>447000055</v>
          </cell>
          <cell r="C3890" t="str">
            <v>BAMBA VALORES S.A</v>
          </cell>
          <cell r="G3890">
            <v>109000.06</v>
          </cell>
          <cell r="H3890">
            <v>163018309.73479998</v>
          </cell>
          <cell r="I3890" t="str">
            <v>447</v>
          </cell>
        </row>
        <row r="3891">
          <cell r="A3891" t="str">
            <v>USD</v>
          </cell>
          <cell r="B3891" t="str">
            <v>465001001</v>
          </cell>
          <cell r="C3891" t="str">
            <v>Rodríguez Machado, Argos</v>
          </cell>
          <cell r="G3891">
            <v>4951.26</v>
          </cell>
          <cell r="H3891">
            <v>7405005.4308000002</v>
          </cell>
          <cell r="I3891" t="str">
            <v>465</v>
          </cell>
        </row>
        <row r="3892">
          <cell r="A3892" t="str">
            <v>USD</v>
          </cell>
          <cell r="B3892" t="str">
            <v>465001016</v>
          </cell>
          <cell r="C3892" t="str">
            <v>Bonangelino, Oscar Hugo Alejandro</v>
          </cell>
          <cell r="G3892">
            <v>2300</v>
          </cell>
          <cell r="H3892">
            <v>3439834</v>
          </cell>
          <cell r="I3892" t="str">
            <v>465</v>
          </cell>
        </row>
        <row r="3893">
          <cell r="A3893" t="str">
            <v>USD</v>
          </cell>
          <cell r="B3893" t="str">
            <v>465001033</v>
          </cell>
          <cell r="C3893" t="str">
            <v>Marcon, Guillermo Aldo</v>
          </cell>
          <cell r="G3893">
            <v>2000</v>
          </cell>
          <cell r="H3893">
            <v>2991160</v>
          </cell>
          <cell r="I3893" t="str">
            <v>465</v>
          </cell>
        </row>
        <row r="3894">
          <cell r="A3894" t="str">
            <v>USD</v>
          </cell>
          <cell r="B3894" t="str">
            <v>465001062</v>
          </cell>
          <cell r="C3894" t="str">
            <v>Movalli, Camilo Andres</v>
          </cell>
          <cell r="G3894">
            <v>3600</v>
          </cell>
          <cell r="H3894">
            <v>5384088</v>
          </cell>
          <cell r="I3894" t="str">
            <v>465</v>
          </cell>
        </row>
        <row r="3895">
          <cell r="A3895" t="str">
            <v>USD</v>
          </cell>
          <cell r="B3895" t="str">
            <v>465001106</v>
          </cell>
          <cell r="C3895" t="str">
            <v>Alimentaria S.R.L.</v>
          </cell>
          <cell r="G3895">
            <v>108495.67</v>
          </cell>
          <cell r="H3895">
            <v>162263954.13859999</v>
          </cell>
          <cell r="I3895" t="str">
            <v>465</v>
          </cell>
        </row>
        <row r="3896">
          <cell r="A3896" t="str">
            <v>USD</v>
          </cell>
          <cell r="B3896" t="str">
            <v>465001111</v>
          </cell>
          <cell r="C3896" t="str">
            <v>Lopez Ferla, Nicolás</v>
          </cell>
          <cell r="G3896">
            <v>3501.28</v>
          </cell>
          <cell r="H3896">
            <v>5236444.3424000004</v>
          </cell>
          <cell r="I3896" t="str">
            <v>465</v>
          </cell>
        </row>
        <row r="3897">
          <cell r="A3897" t="str">
            <v>USD</v>
          </cell>
          <cell r="B3897" t="str">
            <v>465001135</v>
          </cell>
          <cell r="C3897" t="str">
            <v>Odetti, Ivana Leticia</v>
          </cell>
          <cell r="G3897">
            <v>1900</v>
          </cell>
          <cell r="H3897">
            <v>2841602</v>
          </cell>
          <cell r="I3897" t="str">
            <v>465</v>
          </cell>
        </row>
        <row r="3898">
          <cell r="A3898" t="str">
            <v>USD</v>
          </cell>
          <cell r="B3898" t="str">
            <v>465001188</v>
          </cell>
          <cell r="C3898" t="str">
            <v>Ruiz, Roberto Sebastian</v>
          </cell>
          <cell r="G3898">
            <v>3950.81</v>
          </cell>
          <cell r="H3898">
            <v>5908752.4197999993</v>
          </cell>
          <cell r="I3898" t="str">
            <v>465</v>
          </cell>
        </row>
        <row r="3899">
          <cell r="A3899" t="str">
            <v>USD</v>
          </cell>
          <cell r="B3899" t="str">
            <v>465001198</v>
          </cell>
          <cell r="C3899" t="str">
            <v>Gallo, Claudia Andrea</v>
          </cell>
          <cell r="G3899">
            <v>2100.9499999999998</v>
          </cell>
          <cell r="H3899">
            <v>3142138.8009999995</v>
          </cell>
          <cell r="I3899" t="str">
            <v>465</v>
          </cell>
        </row>
        <row r="3900">
          <cell r="A3900" t="str">
            <v>USD</v>
          </cell>
          <cell r="B3900" t="str">
            <v>465001213</v>
          </cell>
          <cell r="C3900" t="str">
            <v>Mujica, Pablo Antonio</v>
          </cell>
          <cell r="G3900">
            <v>359.48</v>
          </cell>
          <cell r="H3900">
            <v>537631.09840000002</v>
          </cell>
          <cell r="I3900" t="str">
            <v>465</v>
          </cell>
        </row>
        <row r="3901">
          <cell r="A3901" t="str">
            <v>USD</v>
          </cell>
          <cell r="B3901" t="str">
            <v>465001223</v>
          </cell>
          <cell r="C3901" t="str">
            <v>Go Print SAS</v>
          </cell>
          <cell r="G3901">
            <v>3400.73</v>
          </cell>
          <cell r="H3901">
            <v>5086063.7733999994</v>
          </cell>
          <cell r="I3901" t="str">
            <v>465</v>
          </cell>
        </row>
        <row r="3902">
          <cell r="A3902" t="str">
            <v>USD</v>
          </cell>
          <cell r="B3902" t="str">
            <v>465001248</v>
          </cell>
          <cell r="C3902" t="str">
            <v>Castello, Hector Luis</v>
          </cell>
          <cell r="G3902">
            <v>8600.93</v>
          </cell>
          <cell r="H3902">
            <v>12863378.8894</v>
          </cell>
          <cell r="I3902" t="str">
            <v>465</v>
          </cell>
        </row>
        <row r="3903">
          <cell r="A3903" t="str">
            <v>USD</v>
          </cell>
          <cell r="B3903" t="str">
            <v>465001254</v>
          </cell>
          <cell r="C3903" t="str">
            <v>Remonda, Jose Ignacio</v>
          </cell>
          <cell r="G3903">
            <v>5996.29</v>
          </cell>
          <cell r="H3903">
            <v>8967931.3981999997</v>
          </cell>
          <cell r="I3903" t="str">
            <v>465</v>
          </cell>
        </row>
        <row r="3904">
          <cell r="A3904" t="str">
            <v>USD</v>
          </cell>
          <cell r="B3904" t="str">
            <v>465001255</v>
          </cell>
          <cell r="C3904" t="str">
            <v>Remonda, Ana Teresa o REMONDA, JOSÉ Ignacio</v>
          </cell>
          <cell r="G3904">
            <v>6014.2</v>
          </cell>
          <cell r="H3904">
            <v>8994717.2359999996</v>
          </cell>
          <cell r="I3904" t="str">
            <v>465</v>
          </cell>
        </row>
        <row r="3905">
          <cell r="A3905" t="str">
            <v>USD</v>
          </cell>
          <cell r="B3905" t="str">
            <v>465001269</v>
          </cell>
          <cell r="C3905" t="str">
            <v>Depretto MONTOYA, Ismael SEBASTIAN</v>
          </cell>
          <cell r="G3905">
            <v>493.43</v>
          </cell>
          <cell r="H3905">
            <v>737964.03940000001</v>
          </cell>
          <cell r="I3905" t="str">
            <v>465</v>
          </cell>
        </row>
        <row r="3906">
          <cell r="A3906" t="str">
            <v>USD</v>
          </cell>
          <cell r="B3906" t="str">
            <v>465001279</v>
          </cell>
          <cell r="C3906" t="str">
            <v>[C.E.R.A] - De Francisco Angel Eduardo</v>
          </cell>
          <cell r="G3906">
            <v>0.55000000000000004</v>
          </cell>
          <cell r="H3906">
            <v>822.56900000000007</v>
          </cell>
          <cell r="I3906" t="str">
            <v>465</v>
          </cell>
        </row>
        <row r="3907">
          <cell r="A3907" t="str">
            <v>USD</v>
          </cell>
          <cell r="B3907" t="str">
            <v>465001287</v>
          </cell>
          <cell r="C3907" t="str">
            <v>Daghero, Fabian</v>
          </cell>
          <cell r="G3907">
            <v>7206.38</v>
          </cell>
          <cell r="H3907">
            <v>10777717.8004</v>
          </cell>
          <cell r="I3907" t="str">
            <v>465</v>
          </cell>
        </row>
        <row r="3908">
          <cell r="A3908" t="str">
            <v>USD</v>
          </cell>
          <cell r="B3908" t="str">
            <v>465001295</v>
          </cell>
          <cell r="C3908" t="str">
            <v>Marrama, Gabriel</v>
          </cell>
          <cell r="G3908">
            <v>21197.15</v>
          </cell>
          <cell r="H3908">
            <v>31702033.596999999</v>
          </cell>
          <cell r="I3908" t="str">
            <v>465</v>
          </cell>
        </row>
        <row r="3909">
          <cell r="A3909" t="str">
            <v>USD</v>
          </cell>
          <cell r="B3909" t="str">
            <v>465001305</v>
          </cell>
          <cell r="C3909" t="str">
            <v>Trener, Ariel Arturo</v>
          </cell>
          <cell r="G3909">
            <v>3376.09</v>
          </cell>
          <cell r="H3909">
            <v>5049212.6821999997</v>
          </cell>
          <cell r="I3909" t="str">
            <v>465</v>
          </cell>
        </row>
        <row r="3910">
          <cell r="A3910" t="str">
            <v>USD</v>
          </cell>
          <cell r="B3910" t="str">
            <v>465001320</v>
          </cell>
          <cell r="C3910" t="str">
            <v>[C.E.R.A.] Gallo, Alejandro Gustavo</v>
          </cell>
          <cell r="G3910">
            <v>15097.5</v>
          </cell>
          <cell r="H3910">
            <v>22579519.050000001</v>
          </cell>
          <cell r="I3910" t="str">
            <v>465</v>
          </cell>
        </row>
        <row r="3911">
          <cell r="A3911" t="str">
            <v>USD</v>
          </cell>
          <cell r="B3911" t="str">
            <v>465001322</v>
          </cell>
          <cell r="C3911" t="str">
            <v>Rosenberg, Luis</v>
          </cell>
          <cell r="G3911">
            <v>87.47</v>
          </cell>
          <cell r="H3911">
            <v>130818.3826</v>
          </cell>
          <cell r="I3911" t="str">
            <v>465</v>
          </cell>
        </row>
        <row r="3912">
          <cell r="A3912" t="str">
            <v>USD</v>
          </cell>
          <cell r="B3912" t="str">
            <v>465001338</v>
          </cell>
          <cell r="C3912" t="str">
            <v>Gaido, Maria Fernanda</v>
          </cell>
          <cell r="G3912">
            <v>2156.54</v>
          </cell>
          <cell r="H3912">
            <v>3225278.0932</v>
          </cell>
          <cell r="I3912" t="str">
            <v>465</v>
          </cell>
        </row>
        <row r="3913">
          <cell r="A3913" t="str">
            <v>USD</v>
          </cell>
          <cell r="B3913" t="str">
            <v>465001352</v>
          </cell>
          <cell r="C3913" t="str">
            <v>Marcon, Lara</v>
          </cell>
          <cell r="G3913">
            <v>397.29</v>
          </cell>
          <cell r="H3913">
            <v>594178.97820000001</v>
          </cell>
          <cell r="I3913" t="str">
            <v>465</v>
          </cell>
        </row>
        <row r="3914">
          <cell r="A3914" t="str">
            <v>USD</v>
          </cell>
          <cell r="B3914" t="str">
            <v>465001353</v>
          </cell>
          <cell r="C3914" t="str">
            <v>LA UTOPIA SAS</v>
          </cell>
          <cell r="G3914">
            <v>161125.37</v>
          </cell>
          <cell r="H3914">
            <v>240975880.86459997</v>
          </cell>
          <cell r="I3914" t="str">
            <v>465</v>
          </cell>
        </row>
        <row r="3915">
          <cell r="A3915" t="str">
            <v>USD</v>
          </cell>
          <cell r="B3915" t="str">
            <v>465001367</v>
          </cell>
          <cell r="C3915" t="str">
            <v>Ramos, Gustavo Jose</v>
          </cell>
          <cell r="G3915">
            <v>14919.61</v>
          </cell>
          <cell r="H3915">
            <v>22313470.323800001</v>
          </cell>
          <cell r="I3915" t="str">
            <v>465</v>
          </cell>
        </row>
        <row r="3916">
          <cell r="A3916" t="str">
            <v>USD</v>
          </cell>
          <cell r="B3916" t="str">
            <v>465001381</v>
          </cell>
          <cell r="C3916" t="str">
            <v>Ratti, Marcelo Julio</v>
          </cell>
          <cell r="G3916">
            <v>10344.18</v>
          </cell>
          <cell r="H3916">
            <v>15470548.724399999</v>
          </cell>
          <cell r="I3916" t="str">
            <v>465</v>
          </cell>
        </row>
        <row r="3917">
          <cell r="A3917" t="str">
            <v>USD</v>
          </cell>
          <cell r="B3917" t="str">
            <v>465001382</v>
          </cell>
          <cell r="C3917" t="str">
            <v>Gangitano, Fabián Ernesto</v>
          </cell>
          <cell r="G3917">
            <v>20883.099999999999</v>
          </cell>
          <cell r="H3917">
            <v>31232346.697999995</v>
          </cell>
          <cell r="I3917" t="str">
            <v>465</v>
          </cell>
        </row>
        <row r="3918">
          <cell r="A3918" t="str">
            <v>USD</v>
          </cell>
          <cell r="B3918" t="str">
            <v>479005072</v>
          </cell>
          <cell r="C3918" t="str">
            <v>CECSAGAL</v>
          </cell>
          <cell r="G3918">
            <v>573079.89</v>
          </cell>
          <cell r="H3918">
            <v>857086821.88619995</v>
          </cell>
          <cell r="I3918" t="str">
            <v>479</v>
          </cell>
        </row>
        <row r="3919">
          <cell r="A3919" t="str">
            <v>USD</v>
          </cell>
          <cell r="B3919" t="str">
            <v>479005171</v>
          </cell>
          <cell r="C3919" t="str">
            <v>S.N.F. ARGENTINA S.R.L.</v>
          </cell>
          <cell r="G3919">
            <v>300000</v>
          </cell>
          <cell r="H3919">
            <v>448674000</v>
          </cell>
          <cell r="I3919" t="str">
            <v>479</v>
          </cell>
        </row>
        <row r="3920">
          <cell r="A3920" t="str">
            <v>USD</v>
          </cell>
          <cell r="B3920" t="str">
            <v>479005269</v>
          </cell>
          <cell r="C3920" t="str">
            <v>RICARDO VENTURINO S.A.</v>
          </cell>
          <cell r="G3920">
            <v>482404.66</v>
          </cell>
          <cell r="H3920">
            <v>721474761.40279996</v>
          </cell>
          <cell r="I3920" t="str">
            <v>479</v>
          </cell>
        </row>
        <row r="3921">
          <cell r="A3921" t="str">
            <v>USD</v>
          </cell>
          <cell r="B3921" t="str">
            <v>479005305</v>
          </cell>
          <cell r="C3921" t="str">
            <v>SERVICIOS DRILL SA</v>
          </cell>
          <cell r="G3921">
            <v>162548.76</v>
          </cell>
          <cell r="H3921">
            <v>243104674.4808</v>
          </cell>
          <cell r="I3921" t="str">
            <v>479</v>
          </cell>
        </row>
        <row r="3922">
          <cell r="A3922" t="str">
            <v>USD</v>
          </cell>
          <cell r="B3922" t="str">
            <v>479005352</v>
          </cell>
          <cell r="C3922" t="str">
            <v>CUYO AVAL SGR</v>
          </cell>
          <cell r="G3922">
            <v>33333.33</v>
          </cell>
          <cell r="H3922">
            <v>49852661.681400001</v>
          </cell>
          <cell r="I3922" t="str">
            <v>479</v>
          </cell>
        </row>
        <row r="3923">
          <cell r="A3923" t="str">
            <v>USD</v>
          </cell>
          <cell r="B3923" t="str">
            <v>479005356</v>
          </cell>
          <cell r="C3923" t="str">
            <v>CELA SA</v>
          </cell>
          <cell r="G3923">
            <v>547000</v>
          </cell>
          <cell r="H3923">
            <v>818082260</v>
          </cell>
          <cell r="I3923" t="str">
            <v>479</v>
          </cell>
        </row>
        <row r="3924">
          <cell r="A3924" t="str">
            <v>USD</v>
          </cell>
          <cell r="B3924" t="str">
            <v>479005415</v>
          </cell>
          <cell r="C3924" t="str">
            <v>CHECK MOVILIDAD S.A</v>
          </cell>
          <cell r="G3924">
            <v>470000</v>
          </cell>
          <cell r="H3924">
            <v>702922600</v>
          </cell>
          <cell r="I3924" t="str">
            <v>479</v>
          </cell>
        </row>
        <row r="3925">
          <cell r="A3925" t="str">
            <v>USD</v>
          </cell>
          <cell r="B3925" t="str">
            <v>479005435</v>
          </cell>
          <cell r="C3925" t="str">
            <v>Eucadera S.A.</v>
          </cell>
          <cell r="G3925">
            <v>329000</v>
          </cell>
          <cell r="H3925">
            <v>492045820</v>
          </cell>
          <cell r="I3925" t="str">
            <v>479</v>
          </cell>
        </row>
        <row r="3926">
          <cell r="A3926" t="str">
            <v>USD</v>
          </cell>
          <cell r="B3926" t="str">
            <v>479005439</v>
          </cell>
          <cell r="C3926" t="str">
            <v>P.D.I. S.A</v>
          </cell>
          <cell r="G3926">
            <v>67973.36</v>
          </cell>
          <cell r="H3926">
            <v>101659597.74879999</v>
          </cell>
          <cell r="I3926" t="str">
            <v>479</v>
          </cell>
        </row>
        <row r="3927">
          <cell r="A3927" t="str">
            <v>USD</v>
          </cell>
          <cell r="B3927" t="str">
            <v>479005460</v>
          </cell>
          <cell r="C3927" t="str">
            <v>LOCADORA POPULAR SA</v>
          </cell>
          <cell r="G3927">
            <v>13140.6</v>
          </cell>
          <cell r="H3927">
            <v>19652818.548</v>
          </cell>
          <cell r="I3927" t="str">
            <v>479</v>
          </cell>
        </row>
        <row r="3928">
          <cell r="A3928" t="str">
            <v>USD</v>
          </cell>
          <cell r="B3928" t="str">
            <v>479005462</v>
          </cell>
          <cell r="C3928" t="str">
            <v>URBANA AVELLANEDA S.A.</v>
          </cell>
          <cell r="G3928">
            <v>454444.51</v>
          </cell>
          <cell r="H3928">
            <v>679658120.2658</v>
          </cell>
          <cell r="I3928" t="str">
            <v>479</v>
          </cell>
        </row>
        <row r="3929">
          <cell r="A3929" t="str">
            <v>USD</v>
          </cell>
          <cell r="B3929" t="str">
            <v>479005463</v>
          </cell>
          <cell r="C3929" t="str">
            <v>DON CLEMENTE S A I F C E I</v>
          </cell>
          <cell r="G3929">
            <v>6570.3</v>
          </cell>
          <cell r="H3929">
            <v>9826409.2740000002</v>
          </cell>
          <cell r="I3929" t="str">
            <v>479</v>
          </cell>
        </row>
        <row r="3930">
          <cell r="A3930" t="str">
            <v>USD</v>
          </cell>
          <cell r="B3930" t="str">
            <v>479005465</v>
          </cell>
          <cell r="C3930" t="str">
            <v>ATRAPALO S.R.L.</v>
          </cell>
          <cell r="G3930">
            <v>212000</v>
          </cell>
          <cell r="H3930">
            <v>317062960</v>
          </cell>
          <cell r="I3930" t="str">
            <v>479</v>
          </cell>
        </row>
        <row r="3931">
          <cell r="A3931" t="str">
            <v>USD</v>
          </cell>
          <cell r="B3931" t="str">
            <v>479005482</v>
          </cell>
          <cell r="C3931" t="str">
            <v>AUTOMOVILES SAN JORGE S A</v>
          </cell>
          <cell r="G3931">
            <v>1063530</v>
          </cell>
          <cell r="H3931">
            <v>1590594197.3999999</v>
          </cell>
          <cell r="I3931" t="str">
            <v>479</v>
          </cell>
        </row>
        <row r="3932">
          <cell r="A3932" t="str">
            <v>USD</v>
          </cell>
          <cell r="B3932" t="str">
            <v>479005493</v>
          </cell>
          <cell r="C3932" t="str">
            <v>CINCA S.A.</v>
          </cell>
          <cell r="G3932">
            <v>253000</v>
          </cell>
          <cell r="H3932">
            <v>378381740</v>
          </cell>
          <cell r="I3932" t="str">
            <v>479</v>
          </cell>
        </row>
        <row r="3933">
          <cell r="A3933" t="str">
            <v>USD</v>
          </cell>
          <cell r="B3933" t="str">
            <v>479005510</v>
          </cell>
          <cell r="C3933" t="str">
            <v>ALENCO S A I C</v>
          </cell>
          <cell r="G3933">
            <v>333961.32</v>
          </cell>
          <cell r="H3933">
            <v>499465870.96560001</v>
          </cell>
          <cell r="I3933" t="str">
            <v>479</v>
          </cell>
        </row>
        <row r="3934">
          <cell r="A3934" t="str">
            <v>USD</v>
          </cell>
          <cell r="B3934" t="str">
            <v>479005535</v>
          </cell>
          <cell r="C3934" t="str">
            <v>GIMNASIOS ARGENTINOS S A</v>
          </cell>
          <cell r="G3934">
            <v>100000</v>
          </cell>
          <cell r="H3934">
            <v>149558000</v>
          </cell>
          <cell r="I3934" t="str">
            <v>479</v>
          </cell>
        </row>
        <row r="3935">
          <cell r="A3935" t="str">
            <v>USD</v>
          </cell>
          <cell r="B3935" t="str">
            <v>479005557</v>
          </cell>
          <cell r="C3935" t="str">
            <v>CLIMO SA</v>
          </cell>
          <cell r="G3935">
            <v>326724.13</v>
          </cell>
          <cell r="H3935">
            <v>488642074.34539998</v>
          </cell>
          <cell r="I3935" t="str">
            <v>479</v>
          </cell>
        </row>
        <row r="3936">
          <cell r="A3936" t="str">
            <v>USD</v>
          </cell>
          <cell r="B3936" t="str">
            <v>479005562</v>
          </cell>
          <cell r="C3936" t="str">
            <v>GLOBAL RACE S.A.</v>
          </cell>
          <cell r="G3936">
            <v>19666.669999999998</v>
          </cell>
          <cell r="H3936">
            <v>29413078.318599995</v>
          </cell>
          <cell r="I3936" t="str">
            <v>479</v>
          </cell>
        </row>
        <row r="3937">
          <cell r="A3937" t="str">
            <v>USD</v>
          </cell>
          <cell r="B3937" t="str">
            <v>479005564</v>
          </cell>
          <cell r="C3937" t="str">
            <v>CASCIA GASES S. A. S</v>
          </cell>
          <cell r="G3937">
            <v>9544</v>
          </cell>
          <cell r="H3937">
            <v>14273815.52</v>
          </cell>
          <cell r="I3937" t="str">
            <v>479</v>
          </cell>
        </row>
        <row r="3938">
          <cell r="A3938" t="str">
            <v>USD</v>
          </cell>
          <cell r="B3938" t="str">
            <v>479005605</v>
          </cell>
          <cell r="C3938" t="str">
            <v>BENTIA ENERGY SA</v>
          </cell>
          <cell r="G3938">
            <v>713753</v>
          </cell>
          <cell r="H3938">
            <v>1067474711.7399999</v>
          </cell>
          <cell r="I3938" t="str">
            <v>479</v>
          </cell>
        </row>
        <row r="3939">
          <cell r="A3939" t="str">
            <v>USD</v>
          </cell>
          <cell r="B3939" t="str">
            <v>479005615</v>
          </cell>
          <cell r="C3939" t="str">
            <v>ORTOPEDIA ITALIANA SAS</v>
          </cell>
          <cell r="G3939">
            <v>21572.32</v>
          </cell>
          <cell r="H3939">
            <v>32263130.345599998</v>
          </cell>
          <cell r="I3939" t="str">
            <v>479</v>
          </cell>
        </row>
        <row r="3940">
          <cell r="A3940" t="str">
            <v>USD</v>
          </cell>
          <cell r="B3940" t="str">
            <v>479005620</v>
          </cell>
          <cell r="C3940" t="str">
            <v>LA NATURALEZA S R L</v>
          </cell>
          <cell r="G3940">
            <v>16223.23</v>
          </cell>
          <cell r="H3940">
            <v>24263138.323399998</v>
          </cell>
          <cell r="I3940" t="str">
            <v>479</v>
          </cell>
        </row>
        <row r="3941">
          <cell r="A3941" t="str">
            <v>USD</v>
          </cell>
          <cell r="B3941" t="str">
            <v>479005621</v>
          </cell>
          <cell r="C3941" t="str">
            <v>CASA PAVIOTTI S. R. L.</v>
          </cell>
          <cell r="G3941">
            <v>19467.88</v>
          </cell>
          <cell r="H3941">
            <v>29115771.970400002</v>
          </cell>
          <cell r="I3941" t="str">
            <v>479</v>
          </cell>
        </row>
        <row r="3942">
          <cell r="A3942" t="str">
            <v>USD</v>
          </cell>
          <cell r="B3942" t="str">
            <v>479005622</v>
          </cell>
          <cell r="C3942" t="str">
            <v>SERVICIOS SOCIALES PAVIOTTI S. R. L.</v>
          </cell>
          <cell r="G3942">
            <v>38935.760000000002</v>
          </cell>
          <cell r="H3942">
            <v>58231543.940800004</v>
          </cell>
          <cell r="I3942" t="str">
            <v>479</v>
          </cell>
        </row>
        <row r="3943">
          <cell r="A3943" t="str">
            <v>USD</v>
          </cell>
          <cell r="B3943" t="str">
            <v>479005623</v>
          </cell>
          <cell r="C3943" t="str">
            <v>ASOCIACION MUTUAL DE SERVICIOS SOCIALES INTEGRALES</v>
          </cell>
          <cell r="G3943">
            <v>16872.16</v>
          </cell>
          <cell r="H3943">
            <v>25233665.0528</v>
          </cell>
          <cell r="I3943" t="str">
            <v>479</v>
          </cell>
        </row>
        <row r="3944">
          <cell r="A3944" t="str">
            <v>USD</v>
          </cell>
          <cell r="B3944" t="str">
            <v>479005629</v>
          </cell>
          <cell r="C3944" t="str">
            <v>EMPRESA DE DISTRIBUCION ELECTRICA DE TUCUMAN SA</v>
          </cell>
          <cell r="G3944">
            <v>1000066.75</v>
          </cell>
          <cell r="H3944">
            <v>1495679829.9649999</v>
          </cell>
          <cell r="I3944" t="str">
            <v>479</v>
          </cell>
        </row>
        <row r="3945">
          <cell r="A3945" t="str">
            <v>USD</v>
          </cell>
          <cell r="B3945" t="str">
            <v>479005646</v>
          </cell>
          <cell r="C3945" t="str">
            <v>T.C.B. TRANSPORTE DE CARGAS BERISSO S.A.</v>
          </cell>
          <cell r="G3945">
            <v>706371.82</v>
          </cell>
          <cell r="H3945">
            <v>1056435566.5555999</v>
          </cell>
          <cell r="I3945" t="str">
            <v>479</v>
          </cell>
        </row>
        <row r="3946">
          <cell r="A3946" t="str">
            <v>USD</v>
          </cell>
          <cell r="B3946" t="str">
            <v>479005661</v>
          </cell>
          <cell r="C3946" t="str">
            <v>SERMISUR S. A.</v>
          </cell>
          <cell r="G3946">
            <v>1732720.2</v>
          </cell>
          <cell r="H3946">
            <v>2591421676.7159996</v>
          </cell>
          <cell r="I3946" t="str">
            <v>479</v>
          </cell>
        </row>
        <row r="3947">
          <cell r="A3947" t="str">
            <v>USD</v>
          </cell>
          <cell r="B3947" t="str">
            <v>479005665</v>
          </cell>
          <cell r="C3947" t="str">
            <v>PATAGONIAN SEA TRAVEL SOCIEDAD ANONIMA</v>
          </cell>
          <cell r="G3947">
            <v>26143</v>
          </cell>
          <cell r="H3947">
            <v>39098947.939999998</v>
          </cell>
          <cell r="I3947" t="str">
            <v>479</v>
          </cell>
        </row>
        <row r="3948">
          <cell r="A3948" t="str">
            <v>USD</v>
          </cell>
          <cell r="B3948" t="str">
            <v>479005666</v>
          </cell>
          <cell r="C3948" t="str">
            <v>RICCITELLI WINE COMPANY S. A.</v>
          </cell>
          <cell r="G3948">
            <v>118000</v>
          </cell>
          <cell r="H3948">
            <v>176478440</v>
          </cell>
          <cell r="I3948" t="str">
            <v>479</v>
          </cell>
        </row>
        <row r="3949">
          <cell r="A3949" t="str">
            <v>USD</v>
          </cell>
          <cell r="B3949" t="str">
            <v>479005667</v>
          </cell>
          <cell r="C3949" t="str">
            <v>GENCO MATERIALES ELECTRICOS SOCIEDAD ANONIMA</v>
          </cell>
          <cell r="G3949">
            <v>154500</v>
          </cell>
          <cell r="H3949">
            <v>231067110</v>
          </cell>
          <cell r="I3949" t="str">
            <v>479</v>
          </cell>
        </row>
        <row r="3950">
          <cell r="A3950" t="str">
            <v>USD</v>
          </cell>
          <cell r="B3950" t="str">
            <v>479005669</v>
          </cell>
          <cell r="C3950" t="str">
            <v>MUTUAL MUTUAL DEL PERSONAL DE AGUA Y ENERGIA DE MENDOZA</v>
          </cell>
          <cell r="G3950">
            <v>20277</v>
          </cell>
          <cell r="H3950">
            <v>30325875.66</v>
          </cell>
          <cell r="I3950" t="str">
            <v>479</v>
          </cell>
        </row>
        <row r="3951">
          <cell r="A3951" t="str">
            <v>USD</v>
          </cell>
          <cell r="B3951" t="str">
            <v>479005671</v>
          </cell>
          <cell r="C3951" t="str">
            <v>YACOPINI INVERSORA S.A.</v>
          </cell>
          <cell r="G3951">
            <v>632000</v>
          </cell>
          <cell r="H3951">
            <v>945206560</v>
          </cell>
          <cell r="I3951" t="str">
            <v>479</v>
          </cell>
        </row>
        <row r="3952">
          <cell r="A3952" t="str">
            <v>USD</v>
          </cell>
          <cell r="B3952" t="str">
            <v>479005673</v>
          </cell>
          <cell r="C3952" t="str">
            <v>MEDICAMENTOS PARA TODOS SRL</v>
          </cell>
          <cell r="G3952">
            <v>360303.41</v>
          </cell>
          <cell r="H3952">
            <v>538862573.92779994</v>
          </cell>
          <cell r="I3952" t="str">
            <v>479</v>
          </cell>
        </row>
        <row r="3953">
          <cell r="A3953" t="str">
            <v>USD</v>
          </cell>
          <cell r="B3953" t="str">
            <v>479005674</v>
          </cell>
          <cell r="C3953" t="str">
            <v>LOMAS BLANCAS S.R.L</v>
          </cell>
          <cell r="G3953">
            <v>506263.84</v>
          </cell>
          <cell r="H3953">
            <v>757158073.82720006</v>
          </cell>
          <cell r="I3953" t="str">
            <v>479</v>
          </cell>
        </row>
        <row r="3954">
          <cell r="A3954" t="str">
            <v>USD</v>
          </cell>
          <cell r="B3954" t="str">
            <v>479005678</v>
          </cell>
          <cell r="C3954" t="str">
            <v>DISTRIFAR S.A.</v>
          </cell>
          <cell r="G3954">
            <v>647249.18999999994</v>
          </cell>
          <cell r="H3954">
            <v>968012943.58019984</v>
          </cell>
          <cell r="I3954" t="str">
            <v>479</v>
          </cell>
        </row>
        <row r="3955">
          <cell r="A3955" t="str">
            <v>USD</v>
          </cell>
          <cell r="B3955" t="str">
            <v>479005682</v>
          </cell>
          <cell r="C3955" t="str">
            <v>FELIPE ANDREU E HIJOS S A</v>
          </cell>
          <cell r="G3955">
            <v>172000</v>
          </cell>
          <cell r="H3955">
            <v>257239760</v>
          </cell>
          <cell r="I3955" t="str">
            <v>479</v>
          </cell>
        </row>
        <row r="3956">
          <cell r="A3956" t="str">
            <v>USD</v>
          </cell>
          <cell r="B3956" t="str">
            <v>479005684</v>
          </cell>
          <cell r="C3956" t="str">
            <v>CLUB ALEMAN DE MENDOZA</v>
          </cell>
          <cell r="G3956">
            <v>16212</v>
          </cell>
          <cell r="H3956">
            <v>24246342.959999997</v>
          </cell>
          <cell r="I3956" t="str">
            <v>479</v>
          </cell>
        </row>
        <row r="3957">
          <cell r="A3957" t="str">
            <v>USD</v>
          </cell>
          <cell r="B3957" t="str">
            <v>479040602</v>
          </cell>
          <cell r="C3957" t="str">
            <v>SUPERVIELLE AGENTE DE NEGOCIACION S.A.U.</v>
          </cell>
          <cell r="G3957">
            <v>64358338.670000002</v>
          </cell>
          <cell r="H3957">
            <v>96253044148.078598</v>
          </cell>
          <cell r="I3957" t="str">
            <v>479</v>
          </cell>
        </row>
        <row r="3958">
          <cell r="A3958" t="str">
            <v>USD</v>
          </cell>
          <cell r="B3958" t="str">
            <v>483000004</v>
          </cell>
          <cell r="C3958" t="str">
            <v>COPPOLA INVERSIONES S.A.</v>
          </cell>
          <cell r="G3958">
            <v>2104285.46</v>
          </cell>
          <cell r="H3958">
            <v>3147127248.2667999</v>
          </cell>
          <cell r="I3958" t="str">
            <v>483</v>
          </cell>
        </row>
        <row r="3959">
          <cell r="A3959" t="str">
            <v>USD</v>
          </cell>
          <cell r="B3959" t="str">
            <v>483000102</v>
          </cell>
          <cell r="C3959" t="str">
            <v>FUNDEMAP SA</v>
          </cell>
          <cell r="G3959">
            <v>1336031</v>
          </cell>
          <cell r="H3959">
            <v>1998141242.98</v>
          </cell>
          <cell r="I3959" t="str">
            <v>483</v>
          </cell>
        </row>
        <row r="3960">
          <cell r="A3960" t="str">
            <v>USD</v>
          </cell>
          <cell r="B3960" t="str">
            <v>483000109</v>
          </cell>
          <cell r="C3960" t="str">
            <v>LA BULONERA DE VILA SRL</v>
          </cell>
          <cell r="G3960">
            <v>2979748</v>
          </cell>
          <cell r="H3960">
            <v>4456451513.8400002</v>
          </cell>
          <cell r="I3960" t="str">
            <v>483</v>
          </cell>
        </row>
        <row r="3961">
          <cell r="A3961" t="str">
            <v>USD</v>
          </cell>
          <cell r="B3961" t="str">
            <v>483000117</v>
          </cell>
          <cell r="C3961" t="str">
            <v xml:space="preserve">SHORTON ARGENTINA SRL </v>
          </cell>
          <cell r="G3961">
            <v>3120767</v>
          </cell>
          <cell r="H3961">
            <v>4667356709.8599997</v>
          </cell>
          <cell r="I3961" t="str">
            <v>483</v>
          </cell>
        </row>
        <row r="3962">
          <cell r="A3962" t="str">
            <v>USD</v>
          </cell>
          <cell r="B3962" t="str">
            <v>483000121</v>
          </cell>
          <cell r="C3962" t="str">
            <v>SEMILLAS BISCAYART SA</v>
          </cell>
          <cell r="G3962">
            <v>857832.54</v>
          </cell>
          <cell r="H3962">
            <v>1282957190.1731999</v>
          </cell>
          <cell r="I3962" t="str">
            <v>483</v>
          </cell>
        </row>
        <row r="3963">
          <cell r="A3963" t="str">
            <v>USD</v>
          </cell>
          <cell r="B3963" t="str">
            <v>483000122</v>
          </cell>
          <cell r="C3963" t="str">
            <v>CARLOS BISCAYART SA</v>
          </cell>
          <cell r="G3963">
            <v>17590</v>
          </cell>
          <cell r="H3963">
            <v>26307252.199999999</v>
          </cell>
          <cell r="I3963" t="str">
            <v>483</v>
          </cell>
        </row>
        <row r="3964">
          <cell r="A3964" t="str">
            <v>USD</v>
          </cell>
          <cell r="B3964" t="str">
            <v>483000144</v>
          </cell>
          <cell r="C3964" t="str">
            <v>PAIS, MARCELA LETICIA</v>
          </cell>
          <cell r="G3964">
            <v>63878.66</v>
          </cell>
          <cell r="H3964">
            <v>95535646.322799996</v>
          </cell>
          <cell r="I3964" t="str">
            <v>483</v>
          </cell>
        </row>
        <row r="3965">
          <cell r="A3965" t="str">
            <v>USD</v>
          </cell>
          <cell r="B3965" t="str">
            <v>483000146</v>
          </cell>
          <cell r="C3965" t="str">
            <v>ACOPIO AREQUITO SA</v>
          </cell>
          <cell r="G3965">
            <v>687588</v>
          </cell>
          <cell r="H3965">
            <v>1028342861.04</v>
          </cell>
          <cell r="I3965" t="str">
            <v>483</v>
          </cell>
        </row>
        <row r="3966">
          <cell r="A3966" t="str">
            <v>USD</v>
          </cell>
          <cell r="B3966" t="str">
            <v>483000155</v>
          </cell>
          <cell r="C3966" t="str">
            <v>COMPAÑIA DE PRODUCTOS INDUSTRIALES SRL</v>
          </cell>
          <cell r="G3966">
            <v>35851.620000000003</v>
          </cell>
          <cell r="H3966">
            <v>53618965.839600004</v>
          </cell>
          <cell r="I3966" t="str">
            <v>483</v>
          </cell>
        </row>
        <row r="3967">
          <cell r="A3967" t="str">
            <v>USD</v>
          </cell>
          <cell r="B3967" t="str">
            <v>483000157</v>
          </cell>
          <cell r="C3967" t="str">
            <v>ACERMA SOCIEDAD ANÓNIMA</v>
          </cell>
          <cell r="G3967">
            <v>1485136.51</v>
          </cell>
          <cell r="H3967">
            <v>2221140461.6258001</v>
          </cell>
          <cell r="I3967" t="str">
            <v>483</v>
          </cell>
        </row>
        <row r="3968">
          <cell r="A3968" t="str">
            <v>USD</v>
          </cell>
          <cell r="B3968" t="str">
            <v>483000168</v>
          </cell>
          <cell r="C3968" t="str">
            <v>COPPOLA CARLOS MARIA</v>
          </cell>
          <cell r="G3968">
            <v>1040.8699999999999</v>
          </cell>
          <cell r="H3968">
            <v>1556704.3545999997</v>
          </cell>
          <cell r="I3968" t="str">
            <v>483</v>
          </cell>
        </row>
        <row r="3969">
          <cell r="A3969" t="str">
            <v>USD</v>
          </cell>
          <cell r="B3969" t="str">
            <v>483000171</v>
          </cell>
          <cell r="C3969" t="str">
            <v>FERNANDEZ, SEBASTIAN</v>
          </cell>
          <cell r="G3969">
            <v>2457.37</v>
          </cell>
          <cell r="H3969">
            <v>3675193.4245999996</v>
          </cell>
          <cell r="I3969" t="str">
            <v>483</v>
          </cell>
        </row>
        <row r="3970">
          <cell r="A3970" t="str">
            <v>USD</v>
          </cell>
          <cell r="B3970" t="str">
            <v>483000180</v>
          </cell>
          <cell r="C3970" t="str">
            <v>GRAMAGLIA, DIEGO ANDRES</v>
          </cell>
          <cell r="G3970">
            <v>2663.95</v>
          </cell>
          <cell r="H3970">
            <v>3984150.3409999995</v>
          </cell>
          <cell r="I3970" t="str">
            <v>483</v>
          </cell>
        </row>
        <row r="3971">
          <cell r="A3971" t="str">
            <v>USD</v>
          </cell>
          <cell r="B3971" t="str">
            <v>483000185</v>
          </cell>
          <cell r="C3971" t="str">
            <v>RUIZ, YAMIL MATIAS</v>
          </cell>
          <cell r="G3971">
            <v>120.89</v>
          </cell>
          <cell r="H3971">
            <v>180800.66619999998</v>
          </cell>
          <cell r="I3971" t="str">
            <v>483</v>
          </cell>
        </row>
        <row r="3972">
          <cell r="A3972" t="str">
            <v>USD</v>
          </cell>
          <cell r="B3972" t="str">
            <v>483000204</v>
          </cell>
          <cell r="C3972" t="str">
            <v>YBAÑEZ CARRARA, MARIA DEL ROCIO</v>
          </cell>
          <cell r="G3972">
            <v>45.82</v>
          </cell>
          <cell r="H3972">
            <v>68527.475599999991</v>
          </cell>
          <cell r="I3972" t="str">
            <v>483</v>
          </cell>
        </row>
        <row r="3973">
          <cell r="A3973" t="str">
            <v>USD</v>
          </cell>
          <cell r="B3973" t="str">
            <v>483000241</v>
          </cell>
          <cell r="C3973" t="str">
            <v>MENARA CORRALON SA</v>
          </cell>
          <cell r="G3973">
            <v>195998.96</v>
          </cell>
          <cell r="H3973">
            <v>293132124.59679997</v>
          </cell>
          <cell r="I3973" t="str">
            <v>483</v>
          </cell>
        </row>
        <row r="3974">
          <cell r="A3974" t="str">
            <v>USD</v>
          </cell>
          <cell r="B3974" t="str">
            <v>483000249</v>
          </cell>
          <cell r="C3974" t="str">
            <v>LEVI FEDERICO</v>
          </cell>
          <cell r="G3974">
            <v>3161.96</v>
          </cell>
          <cell r="H3974">
            <v>4728964.1367999995</v>
          </cell>
          <cell r="I3974" t="str">
            <v>483</v>
          </cell>
        </row>
        <row r="3975">
          <cell r="A3975" t="str">
            <v>USD</v>
          </cell>
          <cell r="B3975" t="str">
            <v>483000255</v>
          </cell>
          <cell r="C3975" t="str">
            <v>LLORENS CAROLINA ANALI</v>
          </cell>
          <cell r="G3975">
            <v>242.61</v>
          </cell>
          <cell r="H3975">
            <v>362842.66379999998</v>
          </cell>
          <cell r="I3975" t="str">
            <v>483</v>
          </cell>
        </row>
        <row r="3976">
          <cell r="A3976" t="str">
            <v>USD</v>
          </cell>
          <cell r="B3976" t="str">
            <v>483000264</v>
          </cell>
          <cell r="C3976" t="str">
            <v>IZAGUIRRE PILAR y VEROLO ECHARRI TOMÁS</v>
          </cell>
          <cell r="G3976">
            <v>185.15</v>
          </cell>
          <cell r="H3976">
            <v>276906.63699999999</v>
          </cell>
          <cell r="I3976" t="str">
            <v>483</v>
          </cell>
        </row>
        <row r="3977">
          <cell r="A3977" t="str">
            <v>USD</v>
          </cell>
          <cell r="B3977" t="str">
            <v>483000276</v>
          </cell>
          <cell r="C3977" t="str">
            <v xml:space="preserve">STORERO DIEGO </v>
          </cell>
          <cell r="G3977">
            <v>493.3</v>
          </cell>
          <cell r="H3977">
            <v>737769.61399999994</v>
          </cell>
          <cell r="I3977" t="str">
            <v>483</v>
          </cell>
        </row>
        <row r="3978">
          <cell r="A3978" t="str">
            <v>USD</v>
          </cell>
          <cell r="B3978" t="str">
            <v>483000286</v>
          </cell>
          <cell r="C3978" t="str">
            <v>GRAÑA, DAMIAN</v>
          </cell>
          <cell r="G3978">
            <v>82830.289999999994</v>
          </cell>
          <cell r="H3978">
            <v>123879325.11819999</v>
          </cell>
          <cell r="I3978" t="str">
            <v>483</v>
          </cell>
        </row>
        <row r="3979">
          <cell r="A3979" t="str">
            <v>USD</v>
          </cell>
          <cell r="B3979" t="str">
            <v>483000301</v>
          </cell>
          <cell r="C3979" t="str">
            <v>MOLINARI, OSCAR</v>
          </cell>
          <cell r="G3979">
            <v>2059.34</v>
          </cell>
          <cell r="H3979">
            <v>3079907.7171999998</v>
          </cell>
          <cell r="I3979" t="str">
            <v>483</v>
          </cell>
        </row>
        <row r="3980">
          <cell r="A3980" t="str">
            <v>USD</v>
          </cell>
          <cell r="B3980" t="str">
            <v>483000330</v>
          </cell>
          <cell r="C3980" t="str">
            <v>SEPULVEDA, DOMINGA NOEMI</v>
          </cell>
          <cell r="G3980">
            <v>2136.79</v>
          </cell>
          <cell r="H3980">
            <v>3195740.3881999999</v>
          </cell>
          <cell r="I3980" t="str">
            <v>483</v>
          </cell>
        </row>
        <row r="3981">
          <cell r="A3981" t="str">
            <v>USD</v>
          </cell>
          <cell r="B3981" t="str">
            <v>483000340</v>
          </cell>
          <cell r="C3981" t="str">
            <v>PELLONI, DANIEL EDUARDO</v>
          </cell>
          <cell r="G3981">
            <v>425.26</v>
          </cell>
          <cell r="H3981">
            <v>636010.3507999999</v>
          </cell>
          <cell r="I3981" t="str">
            <v>483</v>
          </cell>
        </row>
        <row r="3982">
          <cell r="A3982" t="str">
            <v>USD</v>
          </cell>
          <cell r="B3982" t="str">
            <v>483000347</v>
          </cell>
          <cell r="C3982" t="str">
            <v>YBAÑEZ CARRARA, IGNACIO MARTÍN</v>
          </cell>
          <cell r="G3982">
            <v>729</v>
          </cell>
          <cell r="H3982">
            <v>1090277.8199999998</v>
          </cell>
          <cell r="I3982" t="str">
            <v>483</v>
          </cell>
        </row>
        <row r="3983">
          <cell r="A3983" t="str">
            <v>USD</v>
          </cell>
          <cell r="B3983" t="str">
            <v>483000352</v>
          </cell>
          <cell r="C3983" t="str">
            <v>SEVERIN, MARCOS ESTEBAN</v>
          </cell>
          <cell r="G3983">
            <v>1853</v>
          </cell>
          <cell r="H3983">
            <v>2771309.7399999998</v>
          </cell>
          <cell r="I3983" t="str">
            <v>483</v>
          </cell>
        </row>
        <row r="3984">
          <cell r="A3984" t="str">
            <v>USD</v>
          </cell>
          <cell r="B3984" t="str">
            <v>483000358</v>
          </cell>
          <cell r="C3984" t="str">
            <v>COMINELLI, GERMÁN HECTOR</v>
          </cell>
          <cell r="G3984">
            <v>746.93</v>
          </cell>
          <cell r="H3984">
            <v>1117093.5693999999</v>
          </cell>
          <cell r="I3984" t="str">
            <v>483</v>
          </cell>
        </row>
        <row r="3985">
          <cell r="A3985" t="str">
            <v>USD</v>
          </cell>
          <cell r="B3985" t="str">
            <v>483000365</v>
          </cell>
          <cell r="C3985" t="str">
            <v>IZAGUIRRE, LUIS</v>
          </cell>
          <cell r="G3985">
            <v>4453.29</v>
          </cell>
          <cell r="H3985">
            <v>6660251.4581999993</v>
          </cell>
          <cell r="I3985" t="str">
            <v>483</v>
          </cell>
        </row>
        <row r="3986">
          <cell r="A3986" t="str">
            <v>USD</v>
          </cell>
          <cell r="B3986" t="str">
            <v>483000369</v>
          </cell>
          <cell r="C3986" t="str">
            <v>PATIÑO, HERNÁN LIONEL</v>
          </cell>
          <cell r="G3986">
            <v>92547.49</v>
          </cell>
          <cell r="H3986">
            <v>138412175.09420002</v>
          </cell>
          <cell r="I3986" t="str">
            <v>483</v>
          </cell>
        </row>
        <row r="3987">
          <cell r="A3987" t="str">
            <v>USD</v>
          </cell>
          <cell r="B3987" t="str">
            <v>483000372</v>
          </cell>
          <cell r="C3987" t="str">
            <v xml:space="preserve">YBAÑEZ MARTÍN </v>
          </cell>
          <cell r="G3987">
            <v>131.6</v>
          </cell>
          <cell r="H3987">
            <v>196818.32799999998</v>
          </cell>
          <cell r="I3987" t="str">
            <v>483</v>
          </cell>
        </row>
        <row r="3988">
          <cell r="A3988" t="str">
            <v>USD</v>
          </cell>
          <cell r="B3988" t="str">
            <v>483000402</v>
          </cell>
          <cell r="C3988" t="str">
            <v>WILLINER, RODOLFO JOSE</v>
          </cell>
          <cell r="G3988">
            <v>21060.99</v>
          </cell>
          <cell r="H3988">
            <v>31498395.424200002</v>
          </cell>
          <cell r="I3988" t="str">
            <v>483</v>
          </cell>
        </row>
        <row r="3989">
          <cell r="A3989" t="str">
            <v>USD</v>
          </cell>
          <cell r="B3989" t="str">
            <v>483000408</v>
          </cell>
          <cell r="C3989" t="str">
            <v>LÓPEZ, ELENA BEATRIZ</v>
          </cell>
          <cell r="G3989">
            <v>1000.02</v>
          </cell>
          <cell r="H3989">
            <v>1495609.9116</v>
          </cell>
          <cell r="I3989" t="str">
            <v>483</v>
          </cell>
        </row>
        <row r="3990">
          <cell r="A3990" t="str">
            <v>USD</v>
          </cell>
          <cell r="B3990" t="str">
            <v>483000419</v>
          </cell>
          <cell r="C3990" t="str">
            <v>MARTINEZ, MIGUEL GERARDO</v>
          </cell>
          <cell r="G3990">
            <v>890.84</v>
          </cell>
          <cell r="H3990">
            <v>1332322.4872000001</v>
          </cell>
          <cell r="I3990" t="str">
            <v>483</v>
          </cell>
        </row>
        <row r="3991">
          <cell r="A3991" t="str">
            <v>USD</v>
          </cell>
          <cell r="B3991" t="str">
            <v>483000434</v>
          </cell>
          <cell r="C3991" t="str">
            <v>COZACOV, SEBASTIAN</v>
          </cell>
          <cell r="G3991">
            <v>19785.79</v>
          </cell>
          <cell r="H3991">
            <v>29591231.808200002</v>
          </cell>
          <cell r="I3991" t="str">
            <v>483</v>
          </cell>
        </row>
        <row r="3992">
          <cell r="A3992" t="str">
            <v>USD</v>
          </cell>
          <cell r="B3992" t="str">
            <v>483005000</v>
          </cell>
          <cell r="C3992" t="str">
            <v>[C.E.R.A.] SANCHEZ, IVAN LUCAS</v>
          </cell>
          <cell r="G3992">
            <v>2016.68</v>
          </cell>
          <cell r="H3992">
            <v>3016106.2744</v>
          </cell>
          <cell r="I3992" t="str">
            <v>483</v>
          </cell>
        </row>
        <row r="3993">
          <cell r="A3993" t="str">
            <v>USD</v>
          </cell>
          <cell r="B3993" t="str">
            <v>483005001</v>
          </cell>
          <cell r="C3993" t="str">
            <v>[C.E.R.A.] SANCHEZ, DIEGO ALBERTO</v>
          </cell>
          <cell r="G3993">
            <v>3541.27</v>
          </cell>
          <cell r="H3993">
            <v>5296252.5866</v>
          </cell>
          <cell r="I3993" t="str">
            <v>483</v>
          </cell>
        </row>
        <row r="3994">
          <cell r="A3994" t="str">
            <v>USD</v>
          </cell>
          <cell r="B3994" t="str">
            <v>483005002</v>
          </cell>
          <cell r="C3994" t="str">
            <v>[C.E.R.A.] JUNTAS ILLINOIS S.A.</v>
          </cell>
          <cell r="G3994">
            <v>10536</v>
          </cell>
          <cell r="H3994">
            <v>15757430.879999999</v>
          </cell>
          <cell r="I3994" t="str">
            <v>483</v>
          </cell>
        </row>
        <row r="3995">
          <cell r="A3995" t="str">
            <v>USD</v>
          </cell>
          <cell r="B3995" t="str">
            <v>483005007</v>
          </cell>
          <cell r="C3995" t="str">
            <v>[C.E.R.A.] MEDINA, GERMAN ARIEL</v>
          </cell>
          <cell r="G3995">
            <v>9405.36</v>
          </cell>
          <cell r="H3995">
            <v>14066468.308800001</v>
          </cell>
          <cell r="I3995" t="str">
            <v>483</v>
          </cell>
        </row>
        <row r="3996">
          <cell r="A3996" t="str">
            <v>USD</v>
          </cell>
          <cell r="B3996" t="str">
            <v>483005008</v>
          </cell>
          <cell r="C3996" t="str">
            <v>[C.E.R.A.] COZACOV, NORBERTO</v>
          </cell>
          <cell r="G3996">
            <v>105.66</v>
          </cell>
          <cell r="H3996">
            <v>158022.9828</v>
          </cell>
          <cell r="I3996" t="str">
            <v>483</v>
          </cell>
        </row>
        <row r="3997">
          <cell r="A3997" t="str">
            <v>USD</v>
          </cell>
          <cell r="B3997" t="str">
            <v>483005009</v>
          </cell>
          <cell r="C3997" t="str">
            <v>[C.E.R.A.] ELVIO YBAÑEZ S.R.L.</v>
          </cell>
          <cell r="G3997">
            <v>14.37</v>
          </cell>
          <cell r="H3997">
            <v>21491.484599999996</v>
          </cell>
          <cell r="I3997" t="str">
            <v>483</v>
          </cell>
        </row>
        <row r="3998">
          <cell r="A3998" t="str">
            <v>USD</v>
          </cell>
          <cell r="B3998" t="str">
            <v>486000009</v>
          </cell>
          <cell r="C3998" t="str">
            <v>Chevallier Boutell, Joaquin o Brochard, Mariana</v>
          </cell>
          <cell r="G3998">
            <v>308135.07</v>
          </cell>
          <cell r="H3998">
            <v>460840647.99059999</v>
          </cell>
          <cell r="I3998" t="str">
            <v>486</v>
          </cell>
        </row>
        <row r="3999">
          <cell r="A3999" t="str">
            <v>USD</v>
          </cell>
          <cell r="B3999" t="str">
            <v>486000035</v>
          </cell>
          <cell r="C3999" t="str">
            <v>PUESTO LAS MULAS S.A</v>
          </cell>
          <cell r="G3999">
            <v>42112.959999999999</v>
          </cell>
          <cell r="H3999">
            <v>62983300.716799997</v>
          </cell>
          <cell r="I3999" t="str">
            <v>486</v>
          </cell>
        </row>
        <row r="4000">
          <cell r="A4000" t="str">
            <v>USD</v>
          </cell>
          <cell r="B4000" t="str">
            <v>486000036</v>
          </cell>
          <cell r="C4000" t="str">
            <v>Aguirre Holmberg, Delia Maria</v>
          </cell>
          <cell r="G4000">
            <v>5499.99</v>
          </cell>
          <cell r="H4000">
            <v>8225675.0441999994</v>
          </cell>
          <cell r="I4000" t="str">
            <v>486</v>
          </cell>
        </row>
        <row r="4001">
          <cell r="A4001" t="str">
            <v>USD</v>
          </cell>
          <cell r="B4001" t="str">
            <v>486000101</v>
          </cell>
          <cell r="C4001" t="str">
            <v>Belli, María Clara</v>
          </cell>
          <cell r="G4001">
            <v>1392.48</v>
          </cell>
          <cell r="H4001">
            <v>2082565.2383999999</v>
          </cell>
          <cell r="I4001" t="str">
            <v>486</v>
          </cell>
        </row>
        <row r="4002">
          <cell r="A4002" t="str">
            <v>USD</v>
          </cell>
          <cell r="B4002" t="str">
            <v>486000115</v>
          </cell>
          <cell r="C4002" t="str">
            <v>Vilariño, Federico Manuel</v>
          </cell>
          <cell r="G4002">
            <v>2588350.9500000002</v>
          </cell>
          <cell r="H4002">
            <v>3871085913.8010001</v>
          </cell>
          <cell r="I4002" t="str">
            <v>486</v>
          </cell>
        </row>
        <row r="4003">
          <cell r="A4003" t="str">
            <v>USD</v>
          </cell>
          <cell r="B4003" t="str">
            <v>486000124</v>
          </cell>
          <cell r="C4003" t="str">
            <v>Vilariño, Matias</v>
          </cell>
          <cell r="G4003">
            <v>375932.81</v>
          </cell>
          <cell r="H4003">
            <v>562237591.97979999</v>
          </cell>
          <cell r="I4003" t="str">
            <v>486</v>
          </cell>
        </row>
        <row r="4004">
          <cell r="A4004" t="str">
            <v>USD</v>
          </cell>
          <cell r="B4004" t="str">
            <v>486000128</v>
          </cell>
          <cell r="C4004" t="str">
            <v>Vilariño, Federico</v>
          </cell>
          <cell r="G4004">
            <v>966191.98</v>
          </cell>
          <cell r="H4004">
            <v>1445017401.4484</v>
          </cell>
          <cell r="I4004" t="str">
            <v>486</v>
          </cell>
        </row>
        <row r="4005">
          <cell r="A4005" t="str">
            <v>USD</v>
          </cell>
          <cell r="B4005" t="str">
            <v>486000129</v>
          </cell>
          <cell r="C4005" t="str">
            <v>Vilariño, Juan Cruz</v>
          </cell>
          <cell r="G4005">
            <v>79465.649999999994</v>
          </cell>
          <cell r="H4005">
            <v>118847236.82699999</v>
          </cell>
          <cell r="I4005" t="str">
            <v>486</v>
          </cell>
        </row>
        <row r="4006">
          <cell r="A4006" t="str">
            <v>USD</v>
          </cell>
          <cell r="B4006" t="str">
            <v>486000148</v>
          </cell>
          <cell r="C4006" t="str">
            <v>Moreiro, Joaquin</v>
          </cell>
          <cell r="G4006">
            <v>1202.25</v>
          </cell>
          <cell r="H4006">
            <v>1798061.0549999999</v>
          </cell>
          <cell r="I4006" t="str">
            <v>486</v>
          </cell>
        </row>
        <row r="4007">
          <cell r="A4007" t="str">
            <v>USD</v>
          </cell>
          <cell r="B4007" t="str">
            <v>486000149</v>
          </cell>
          <cell r="C4007" t="str">
            <v>Grinda, Ignacio</v>
          </cell>
          <cell r="G4007">
            <v>11798.19</v>
          </cell>
          <cell r="H4007">
            <v>17645137.0002</v>
          </cell>
          <cell r="I4007" t="str">
            <v>486</v>
          </cell>
        </row>
        <row r="4008">
          <cell r="A4008" t="str">
            <v>USD</v>
          </cell>
          <cell r="B4008" t="str">
            <v>486000154</v>
          </cell>
          <cell r="C4008" t="str">
            <v xml:space="preserve">Lorenzo, Martin Angel </v>
          </cell>
          <cell r="G4008">
            <v>398.77</v>
          </cell>
          <cell r="H4008">
            <v>596392.4365999999</v>
          </cell>
          <cell r="I4008" t="str">
            <v>486</v>
          </cell>
        </row>
        <row r="4009">
          <cell r="A4009" t="str">
            <v>USD</v>
          </cell>
          <cell r="B4009" t="str">
            <v>486000166</v>
          </cell>
          <cell r="C4009" t="str">
            <v>Doreski , Diego</v>
          </cell>
          <cell r="G4009">
            <v>16000.31</v>
          </cell>
          <cell r="H4009">
            <v>23929743.629799999</v>
          </cell>
          <cell r="I4009" t="str">
            <v>486</v>
          </cell>
        </row>
        <row r="4010">
          <cell r="A4010" t="str">
            <v>USD</v>
          </cell>
          <cell r="B4010" t="str">
            <v>486000200</v>
          </cell>
          <cell r="C4010" t="str">
            <v>Marque, Joaquín Enrique TRADING</v>
          </cell>
          <cell r="G4010">
            <v>4788463.22</v>
          </cell>
          <cell r="H4010">
            <v>7161529822.5675993</v>
          </cell>
          <cell r="I4010" t="str">
            <v>486</v>
          </cell>
        </row>
        <row r="4011">
          <cell r="A4011" t="str">
            <v>USD</v>
          </cell>
          <cell r="B4011" t="str">
            <v>486000234</v>
          </cell>
          <cell r="C4011" t="str">
            <v>Forchiassin, Mario Rubén</v>
          </cell>
          <cell r="G4011">
            <v>77048.42</v>
          </cell>
          <cell r="H4011">
            <v>115232075.98359999</v>
          </cell>
          <cell r="I4011" t="str">
            <v>486</v>
          </cell>
        </row>
        <row r="4012">
          <cell r="A4012" t="str">
            <v>USD</v>
          </cell>
          <cell r="B4012" t="str">
            <v>486000237</v>
          </cell>
          <cell r="C4012" t="str">
            <v>Uriburu, María Inés</v>
          </cell>
          <cell r="G4012">
            <v>3099.57</v>
          </cell>
          <cell r="H4012">
            <v>4635654.9006000003</v>
          </cell>
          <cell r="I4012" t="str">
            <v>486</v>
          </cell>
        </row>
        <row r="4013">
          <cell r="A4013" t="str">
            <v>USD</v>
          </cell>
          <cell r="B4013" t="str">
            <v>486000244</v>
          </cell>
          <cell r="C4013" t="str">
            <v>Rentero, Sergio Damián</v>
          </cell>
          <cell r="G4013">
            <v>1499.12</v>
          </cell>
          <cell r="H4013">
            <v>2242053.8895999999</v>
          </cell>
          <cell r="I4013" t="str">
            <v>486</v>
          </cell>
        </row>
        <row r="4014">
          <cell r="A4014" t="str">
            <v>USD</v>
          </cell>
          <cell r="B4014" t="str">
            <v>486000254</v>
          </cell>
          <cell r="C4014" t="str">
            <v>Holmberg, Delia Ernestina</v>
          </cell>
          <cell r="G4014">
            <v>4499.21</v>
          </cell>
          <cell r="H4014">
            <v>6728928.4918</v>
          </cell>
          <cell r="I4014" t="str">
            <v>486</v>
          </cell>
        </row>
        <row r="4015">
          <cell r="A4015" t="str">
            <v>USD</v>
          </cell>
          <cell r="B4015" t="str">
            <v>486000260</v>
          </cell>
          <cell r="C4015" t="str">
            <v>Steverlynck, María Sofía</v>
          </cell>
          <cell r="G4015">
            <v>1792209.01</v>
          </cell>
          <cell r="H4015">
            <v>2680391951.1757998</v>
          </cell>
          <cell r="I4015" t="str">
            <v>486</v>
          </cell>
        </row>
        <row r="4016">
          <cell r="A4016" t="str">
            <v>USD</v>
          </cell>
          <cell r="B4016" t="str">
            <v>486000262</v>
          </cell>
          <cell r="C4016" t="str">
            <v>Massollo, Anabella Bettina</v>
          </cell>
          <cell r="G4016">
            <v>1727.83</v>
          </cell>
          <cell r="H4016">
            <v>2584107.9913999997</v>
          </cell>
          <cell r="I4016" t="str">
            <v>486</v>
          </cell>
        </row>
        <row r="4017">
          <cell r="A4017" t="str">
            <v>USD</v>
          </cell>
          <cell r="B4017" t="str">
            <v>486000268</v>
          </cell>
          <cell r="C4017" t="str">
            <v>Robles, Maria Paula</v>
          </cell>
          <cell r="G4017">
            <v>15344.37</v>
          </cell>
          <cell r="H4017">
            <v>22948732.884599999</v>
          </cell>
          <cell r="I4017" t="str">
            <v>486</v>
          </cell>
        </row>
        <row r="4018">
          <cell r="A4018" t="str">
            <v>USD</v>
          </cell>
          <cell r="B4018" t="str">
            <v>486000269</v>
          </cell>
          <cell r="C4018" t="str">
            <v>Vilariño, Agustín</v>
          </cell>
          <cell r="G4018">
            <v>1204.5</v>
          </cell>
          <cell r="H4018">
            <v>1801426.1099999999</v>
          </cell>
          <cell r="I4018" t="str">
            <v>486</v>
          </cell>
        </row>
        <row r="4019">
          <cell r="A4019" t="str">
            <v>USD</v>
          </cell>
          <cell r="B4019" t="str">
            <v>486000272</v>
          </cell>
          <cell r="C4019" t="str">
            <v>Jaeger, Francisco</v>
          </cell>
          <cell r="G4019">
            <v>32480.02</v>
          </cell>
          <cell r="H4019">
            <v>48576468.3116</v>
          </cell>
          <cell r="I4019" t="str">
            <v>486</v>
          </cell>
        </row>
        <row r="4020">
          <cell r="A4020" t="str">
            <v>USD</v>
          </cell>
          <cell r="B4020" t="str">
            <v>486000276</v>
          </cell>
          <cell r="C4020" t="str">
            <v xml:space="preserve">Marque, Maria Carolina </v>
          </cell>
          <cell r="G4020">
            <v>349.22</v>
          </cell>
          <cell r="H4020">
            <v>522286.44760000001</v>
          </cell>
          <cell r="I4020" t="str">
            <v>486</v>
          </cell>
        </row>
        <row r="4021">
          <cell r="A4021" t="str">
            <v>USD</v>
          </cell>
          <cell r="B4021" t="str">
            <v>486000286</v>
          </cell>
          <cell r="C4021" t="str">
            <v>Catalan, Matias Ezequiel</v>
          </cell>
          <cell r="G4021">
            <v>83803.02</v>
          </cell>
          <cell r="H4021">
            <v>125334120.6516</v>
          </cell>
          <cell r="I4021" t="str">
            <v>486</v>
          </cell>
        </row>
        <row r="4022">
          <cell r="A4022" t="str">
            <v>USD</v>
          </cell>
          <cell r="B4022" t="str">
            <v>486000302</v>
          </cell>
          <cell r="C4022" t="str">
            <v>CLOUDGAIA S.R.L</v>
          </cell>
          <cell r="G4022">
            <v>44715.56</v>
          </cell>
          <cell r="H4022">
            <v>66875697.224799991</v>
          </cell>
          <cell r="I4022" t="str">
            <v>486</v>
          </cell>
        </row>
        <row r="4023">
          <cell r="A4023" t="str">
            <v>USD</v>
          </cell>
          <cell r="B4023" t="str">
            <v>486000359</v>
          </cell>
          <cell r="C4023" t="str">
            <v>TIMON CAPITAL S.A.</v>
          </cell>
          <cell r="G4023">
            <v>763518.26</v>
          </cell>
          <cell r="H4023">
            <v>1141902639.2907999</v>
          </cell>
          <cell r="I4023" t="str">
            <v>486</v>
          </cell>
        </row>
        <row r="4024">
          <cell r="A4024" t="str">
            <v>USD</v>
          </cell>
          <cell r="B4024" t="str">
            <v>486000366</v>
          </cell>
          <cell r="C4024" t="str">
            <v>Reliance Export S.A</v>
          </cell>
          <cell r="G4024">
            <v>122729.54</v>
          </cell>
          <cell r="H4024">
            <v>183551845.43319997</v>
          </cell>
          <cell r="I4024" t="str">
            <v>486</v>
          </cell>
        </row>
        <row r="4025">
          <cell r="A4025" t="str">
            <v>USD</v>
          </cell>
          <cell r="B4025" t="str">
            <v>486000369</v>
          </cell>
          <cell r="C4025" t="str">
            <v>SUCESIÓN ALBERTO S. ARECO S.A.</v>
          </cell>
          <cell r="G4025">
            <v>151381.71</v>
          </cell>
          <cell r="H4025">
            <v>226403457.84179997</v>
          </cell>
          <cell r="I4025" t="str">
            <v>486</v>
          </cell>
        </row>
        <row r="4026">
          <cell r="A4026" t="str">
            <v>USD</v>
          </cell>
          <cell r="B4026" t="str">
            <v>486000373</v>
          </cell>
          <cell r="C4026" t="str">
            <v>La Bebina SRL</v>
          </cell>
          <cell r="G4026">
            <v>12511.64</v>
          </cell>
          <cell r="H4026">
            <v>18712158.551199999</v>
          </cell>
          <cell r="I4026" t="str">
            <v>486</v>
          </cell>
        </row>
        <row r="4027">
          <cell r="A4027" t="str">
            <v>USD</v>
          </cell>
          <cell r="B4027" t="str">
            <v>486000386</v>
          </cell>
          <cell r="C4027" t="str">
            <v>Timbo S.A</v>
          </cell>
          <cell r="G4027">
            <v>5249.97</v>
          </cell>
          <cell r="H4027">
            <v>7851750.1326000001</v>
          </cell>
          <cell r="I4027" t="str">
            <v>486</v>
          </cell>
        </row>
        <row r="4028">
          <cell r="A4028" t="str">
            <v>USD</v>
          </cell>
          <cell r="B4028" t="str">
            <v>486000390</v>
          </cell>
          <cell r="C4028" t="str">
            <v>La Precesion S.A.U</v>
          </cell>
          <cell r="G4028">
            <v>31930.68</v>
          </cell>
          <cell r="H4028">
            <v>47754886.394400001</v>
          </cell>
          <cell r="I4028" t="str">
            <v>486</v>
          </cell>
        </row>
        <row r="4029">
          <cell r="A4029" t="str">
            <v>USD</v>
          </cell>
          <cell r="B4029" t="str">
            <v>486000396</v>
          </cell>
          <cell r="C4029" t="str">
            <v>Cabildo BLVD S.A</v>
          </cell>
          <cell r="G4029">
            <v>54000.05</v>
          </cell>
          <cell r="H4029">
            <v>80761394.778999999</v>
          </cell>
          <cell r="I4029" t="str">
            <v>486</v>
          </cell>
        </row>
        <row r="4030">
          <cell r="A4030" t="str">
            <v>USD</v>
          </cell>
          <cell r="B4030" t="str">
            <v>486000444</v>
          </cell>
          <cell r="C4030" t="str">
            <v>Garbino, Maria Agustina</v>
          </cell>
          <cell r="G4030">
            <v>1473.94</v>
          </cell>
          <cell r="H4030">
            <v>2204395.1852000002</v>
          </cell>
          <cell r="I4030" t="str">
            <v>486</v>
          </cell>
        </row>
        <row r="4031">
          <cell r="A4031" t="str">
            <v>USD</v>
          </cell>
          <cell r="B4031" t="str">
            <v>486000448</v>
          </cell>
          <cell r="C4031" t="str">
            <v>Sabate, Juan Francisco</v>
          </cell>
          <cell r="G4031">
            <v>12994.74</v>
          </cell>
          <cell r="H4031">
            <v>19434673.249199998</v>
          </cell>
          <cell r="I4031" t="str">
            <v>486</v>
          </cell>
        </row>
        <row r="4032">
          <cell r="A4032" t="str">
            <v>USD</v>
          </cell>
          <cell r="B4032" t="str">
            <v>486000455</v>
          </cell>
          <cell r="C4032" t="str">
            <v>Garcia Irizar, Servanda &amp; Maximo De La Vega</v>
          </cell>
          <cell r="G4032">
            <v>31.77</v>
          </cell>
          <cell r="H4032">
            <v>47514.5766</v>
          </cell>
          <cell r="I4032" t="str">
            <v>486</v>
          </cell>
        </row>
        <row r="4033">
          <cell r="A4033" t="str">
            <v>USD</v>
          </cell>
          <cell r="B4033" t="str">
            <v>486000469</v>
          </cell>
          <cell r="C4033" t="str">
            <v>Lavezzi, Ezequiel Ivan</v>
          </cell>
          <cell r="G4033">
            <v>199998.95</v>
          </cell>
          <cell r="H4033">
            <v>299114429.64100003</v>
          </cell>
          <cell r="I4033" t="str">
            <v>486</v>
          </cell>
        </row>
        <row r="4034">
          <cell r="A4034" t="str">
            <v>USD</v>
          </cell>
          <cell r="B4034" t="str">
            <v>486000482</v>
          </cell>
          <cell r="C4034" t="str">
            <v>Olaizola, Bautista</v>
          </cell>
          <cell r="G4034">
            <v>45195.24</v>
          </cell>
          <cell r="H4034">
            <v>67593097.039199993</v>
          </cell>
          <cell r="I4034" t="str">
            <v>486</v>
          </cell>
        </row>
        <row r="4035">
          <cell r="A4035" t="str">
            <v>USD</v>
          </cell>
          <cell r="B4035" t="str">
            <v>486000491</v>
          </cell>
          <cell r="C4035" t="str">
            <v>Padula Iglesias, Andres</v>
          </cell>
          <cell r="G4035">
            <v>25.41</v>
          </cell>
          <cell r="H4035">
            <v>38002.6878</v>
          </cell>
          <cell r="I4035" t="str">
            <v>486</v>
          </cell>
        </row>
        <row r="4036">
          <cell r="A4036" t="str">
            <v>USD</v>
          </cell>
          <cell r="B4036" t="str">
            <v>486000493</v>
          </cell>
          <cell r="C4036" t="str">
            <v>Iglesias Gangoso, Maria Teresa</v>
          </cell>
          <cell r="G4036">
            <v>68.69</v>
          </cell>
          <cell r="H4036">
            <v>102731.39019999999</v>
          </cell>
          <cell r="I4036" t="str">
            <v>486</v>
          </cell>
        </row>
        <row r="4037">
          <cell r="A4037" t="str">
            <v>USD</v>
          </cell>
          <cell r="B4037" t="str">
            <v>486000498</v>
          </cell>
          <cell r="C4037" t="str">
            <v xml:space="preserve">Fernandez Arancibia, Martin &amp; Bru, Maria &amp; Fernandez Arancibia Macarena </v>
          </cell>
          <cell r="G4037">
            <v>5999.56</v>
          </cell>
          <cell r="H4037">
            <v>8972821.9448000006</v>
          </cell>
          <cell r="I4037" t="str">
            <v>486</v>
          </cell>
        </row>
        <row r="4038">
          <cell r="A4038" t="str">
            <v>USD</v>
          </cell>
          <cell r="B4038" t="str">
            <v>486000504</v>
          </cell>
          <cell r="C4038" t="str">
            <v>Mosquera, Francisco</v>
          </cell>
          <cell r="G4038">
            <v>39.520000000000003</v>
          </cell>
          <cell r="H4038">
            <v>59105.321600000003</v>
          </cell>
          <cell r="I4038" t="str">
            <v>486</v>
          </cell>
        </row>
        <row r="4039">
          <cell r="A4039" t="str">
            <v>USD</v>
          </cell>
          <cell r="B4039" t="str">
            <v>486000510</v>
          </cell>
          <cell r="C4039" t="str">
            <v>Waites, Nicole Samantha</v>
          </cell>
          <cell r="G4039">
            <v>15152.63</v>
          </cell>
          <cell r="H4039">
            <v>22661970.375399999</v>
          </cell>
          <cell r="I4039" t="str">
            <v>486</v>
          </cell>
        </row>
        <row r="4040">
          <cell r="A4040" t="str">
            <v>USD</v>
          </cell>
          <cell r="B4040" t="str">
            <v>486000511</v>
          </cell>
          <cell r="C4040" t="str">
            <v>Gutierrez Eguia, Patricio</v>
          </cell>
          <cell r="G4040">
            <v>802.62</v>
          </cell>
          <cell r="H4040">
            <v>1200382.4195999999</v>
          </cell>
          <cell r="I4040" t="str">
            <v>486</v>
          </cell>
        </row>
        <row r="4041">
          <cell r="A4041" t="str">
            <v>USD</v>
          </cell>
          <cell r="B4041" t="str">
            <v>486000515</v>
          </cell>
          <cell r="C4041" t="str">
            <v>Boye, Lucas Ariel</v>
          </cell>
          <cell r="G4041">
            <v>10046.41</v>
          </cell>
          <cell r="H4041">
            <v>15025209.867799999</v>
          </cell>
          <cell r="I4041" t="str">
            <v>486</v>
          </cell>
        </row>
        <row r="4042">
          <cell r="A4042" t="str">
            <v>USD</v>
          </cell>
          <cell r="B4042" t="str">
            <v>486000517</v>
          </cell>
          <cell r="C4042" t="str">
            <v>Olaizola, Joaquin</v>
          </cell>
          <cell r="G4042">
            <v>7288</v>
          </cell>
          <cell r="H4042">
            <v>10899787.039999999</v>
          </cell>
          <cell r="I4042" t="str">
            <v>486</v>
          </cell>
        </row>
        <row r="4043">
          <cell r="A4043" t="str">
            <v>USD</v>
          </cell>
          <cell r="B4043" t="str">
            <v>486000520</v>
          </cell>
          <cell r="C4043" t="str">
            <v>Arancibia, Jorge Hugo</v>
          </cell>
          <cell r="G4043">
            <v>135004.67000000001</v>
          </cell>
          <cell r="H4043">
            <v>201910284.35860002</v>
          </cell>
          <cell r="I4043" t="str">
            <v>486</v>
          </cell>
        </row>
        <row r="4044">
          <cell r="A4044" t="str">
            <v>USD</v>
          </cell>
          <cell r="B4044" t="str">
            <v>486000523</v>
          </cell>
          <cell r="C4044" t="str">
            <v>Hayet, Martina</v>
          </cell>
          <cell r="G4044">
            <v>17248</v>
          </cell>
          <cell r="H4044">
            <v>25795763.84</v>
          </cell>
          <cell r="I4044" t="str">
            <v>486</v>
          </cell>
        </row>
        <row r="4045">
          <cell r="A4045" t="str">
            <v>USD</v>
          </cell>
          <cell r="B4045" t="str">
            <v>486000524</v>
          </cell>
          <cell r="C4045" t="str">
            <v>Luicina Alcorta</v>
          </cell>
          <cell r="G4045">
            <v>180992.2</v>
          </cell>
          <cell r="H4045">
            <v>270688314.47600001</v>
          </cell>
          <cell r="I4045" t="str">
            <v>486</v>
          </cell>
        </row>
        <row r="4046">
          <cell r="A4046" t="str">
            <v>USD</v>
          </cell>
          <cell r="B4046" t="str">
            <v>486002121</v>
          </cell>
          <cell r="C4046" t="str">
            <v>UG VALORES SA (TRADING)</v>
          </cell>
          <cell r="G4046">
            <v>4909984.6900000004</v>
          </cell>
          <cell r="H4046">
            <v>7343274902.6702003</v>
          </cell>
          <cell r="I4046" t="str">
            <v>486</v>
          </cell>
        </row>
        <row r="4047">
          <cell r="A4047" t="str">
            <v>USD</v>
          </cell>
          <cell r="B4047" t="str">
            <v>486003030</v>
          </cell>
          <cell r="C4047" t="str">
            <v>Chevallier Boutell, Joaquin (trade senebi)</v>
          </cell>
          <cell r="G4047">
            <v>99661.51</v>
          </cell>
          <cell r="H4047">
            <v>149051761.12579998</v>
          </cell>
          <cell r="I4047" t="str">
            <v>486</v>
          </cell>
        </row>
        <row r="4048">
          <cell r="A4048" t="str">
            <v>USD</v>
          </cell>
          <cell r="B4048" t="str">
            <v>486004545</v>
          </cell>
          <cell r="C4048" t="str">
            <v>UG Valores SA (Trading2)</v>
          </cell>
          <cell r="G4048">
            <v>120567596.08</v>
          </cell>
          <cell r="H4048">
            <v>180318485345.32639</v>
          </cell>
          <cell r="I4048" t="str">
            <v>486</v>
          </cell>
        </row>
        <row r="4049">
          <cell r="A4049" t="str">
            <v>USD</v>
          </cell>
          <cell r="B4049" t="str">
            <v>486005009</v>
          </cell>
          <cell r="C4049" t="str">
            <v>Fideicomiso Catedral HI y JK</v>
          </cell>
          <cell r="G4049">
            <v>2800.29</v>
          </cell>
          <cell r="H4049">
            <v>4188057.7181999995</v>
          </cell>
          <cell r="I4049" t="str">
            <v>486</v>
          </cell>
        </row>
        <row r="4050">
          <cell r="A4050" t="str">
            <v>USD</v>
          </cell>
          <cell r="B4050" t="str">
            <v>486005012</v>
          </cell>
          <cell r="C4050" t="str">
            <v>ANDES AGROS</v>
          </cell>
          <cell r="G4050">
            <v>9999.7999999999993</v>
          </cell>
          <cell r="H4050">
            <v>14955500.883999998</v>
          </cell>
          <cell r="I4050" t="str">
            <v>486</v>
          </cell>
        </row>
        <row r="4051">
          <cell r="A4051" t="str">
            <v>USD</v>
          </cell>
          <cell r="B4051" t="str">
            <v>486005021</v>
          </cell>
          <cell r="C4051" t="str">
            <v>Cinco Yardas S.R.L</v>
          </cell>
          <cell r="G4051">
            <v>98619.33</v>
          </cell>
          <cell r="H4051">
            <v>147493097.5614</v>
          </cell>
          <cell r="I4051" t="str">
            <v>486</v>
          </cell>
        </row>
        <row r="4052">
          <cell r="A4052" t="str">
            <v>USD</v>
          </cell>
          <cell r="B4052" t="str">
            <v>486007373</v>
          </cell>
          <cell r="C4052" t="str">
            <v>Marque, Joaquín Enrique (BOT)</v>
          </cell>
          <cell r="G4052">
            <v>104079945.09</v>
          </cell>
          <cell r="H4052">
            <v>155659884277.70221</v>
          </cell>
          <cell r="I4052" t="str">
            <v>486</v>
          </cell>
        </row>
        <row r="4053">
          <cell r="A4053" t="str">
            <v>USD</v>
          </cell>
          <cell r="B4053" t="str">
            <v>486100115</v>
          </cell>
          <cell r="C4053" t="str">
            <v>[C.E.R.A.] Vilariño, Federico Manuel</v>
          </cell>
          <cell r="G4053">
            <v>1479646.81</v>
          </cell>
          <cell r="H4053">
            <v>2212930176.0998001</v>
          </cell>
          <cell r="I4053" t="str">
            <v>486</v>
          </cell>
        </row>
        <row r="4054">
          <cell r="A4054" t="str">
            <v>USD</v>
          </cell>
          <cell r="B4054" t="str">
            <v>486100127</v>
          </cell>
          <cell r="C4054" t="str">
            <v>[C.E.R.A.] Vilariño, Oscar Alberto</v>
          </cell>
          <cell r="G4054">
            <v>414042.76</v>
          </cell>
          <cell r="H4054">
            <v>619234071.00080001</v>
          </cell>
          <cell r="I4054" t="str">
            <v>486</v>
          </cell>
        </row>
        <row r="4055">
          <cell r="A4055" t="str">
            <v>USD</v>
          </cell>
          <cell r="B4055" t="str">
            <v>486100129</v>
          </cell>
          <cell r="C4055" t="str">
            <v>[C.E.R.A.] Vilariño, Juan Cruz</v>
          </cell>
          <cell r="G4055">
            <v>1932003.89</v>
          </cell>
          <cell r="H4055">
            <v>2889466377.8061996</v>
          </cell>
          <cell r="I4055" t="str">
            <v>486</v>
          </cell>
        </row>
        <row r="4056">
          <cell r="A4056" t="str">
            <v>USD</v>
          </cell>
          <cell r="B4056" t="str">
            <v>492000010</v>
          </cell>
          <cell r="C4056" t="str">
            <v>POSSE SANTIAGO</v>
          </cell>
          <cell r="G4056">
            <v>1793.68</v>
          </cell>
          <cell r="H4056">
            <v>2682591.9344000001</v>
          </cell>
          <cell r="I4056" t="str">
            <v>492</v>
          </cell>
        </row>
        <row r="4057">
          <cell r="A4057" t="str">
            <v>USD</v>
          </cell>
          <cell r="B4057" t="str">
            <v>492000029</v>
          </cell>
          <cell r="C4057" t="str">
            <v>RICSA</v>
          </cell>
          <cell r="G4057">
            <v>3481619.12</v>
          </cell>
          <cell r="H4057">
            <v>5207039923.4896002</v>
          </cell>
          <cell r="I4057" t="str">
            <v>492</v>
          </cell>
        </row>
        <row r="4058">
          <cell r="A4058" t="str">
            <v>USD</v>
          </cell>
          <cell r="B4058" t="str">
            <v>492000030</v>
          </cell>
          <cell r="C4058" t="str">
            <v>PRECIADO, JUAN JOSE</v>
          </cell>
          <cell r="G4058">
            <v>73632.19</v>
          </cell>
          <cell r="H4058">
            <v>110122830.7202</v>
          </cell>
          <cell r="I4058" t="str">
            <v>492</v>
          </cell>
        </row>
        <row r="4059">
          <cell r="A4059" t="str">
            <v>USD</v>
          </cell>
          <cell r="B4059" t="str">
            <v>492000051</v>
          </cell>
          <cell r="C4059" t="str">
            <v>LUMPINI TRADE SRL</v>
          </cell>
          <cell r="G4059">
            <v>461798.89</v>
          </cell>
          <cell r="H4059">
            <v>690657183.90619993</v>
          </cell>
          <cell r="I4059" t="str">
            <v>492</v>
          </cell>
        </row>
        <row r="4060">
          <cell r="A4060" t="str">
            <v>USD</v>
          </cell>
          <cell r="B4060" t="str">
            <v>492000059</v>
          </cell>
          <cell r="C4060" t="str">
            <v>Tear, Federico</v>
          </cell>
          <cell r="G4060">
            <v>22976.62</v>
          </cell>
          <cell r="H4060">
            <v>34363373.339599997</v>
          </cell>
          <cell r="I4060" t="str">
            <v>492</v>
          </cell>
        </row>
        <row r="4061">
          <cell r="A4061" t="str">
            <v>USD</v>
          </cell>
          <cell r="B4061" t="str">
            <v>492000077</v>
          </cell>
          <cell r="C4061" t="str">
            <v>LAYUN MARCELA</v>
          </cell>
          <cell r="G4061">
            <v>291.62</v>
          </cell>
          <cell r="H4061">
            <v>436141.03959999996</v>
          </cell>
          <cell r="I4061" t="str">
            <v>492</v>
          </cell>
        </row>
        <row r="4062">
          <cell r="A4062" t="str">
            <v>USD</v>
          </cell>
          <cell r="B4062" t="str">
            <v>492000094</v>
          </cell>
          <cell r="C4062" t="str">
            <v>Silvina Hillar / Federico Tear</v>
          </cell>
          <cell r="G4062">
            <v>674.74</v>
          </cell>
          <cell r="H4062">
            <v>1009127.6492</v>
          </cell>
          <cell r="I4062" t="str">
            <v>492</v>
          </cell>
        </row>
        <row r="4063">
          <cell r="A4063" t="str">
            <v>USD</v>
          </cell>
          <cell r="B4063" t="str">
            <v>492000095</v>
          </cell>
          <cell r="C4063" t="str">
            <v>María Paula Tear</v>
          </cell>
          <cell r="G4063">
            <v>709.41</v>
          </cell>
          <cell r="H4063">
            <v>1060979.4077999999</v>
          </cell>
          <cell r="I4063" t="str">
            <v>492</v>
          </cell>
        </row>
        <row r="4064">
          <cell r="A4064" t="str">
            <v>USD</v>
          </cell>
          <cell r="B4064" t="str">
            <v>492000107</v>
          </cell>
          <cell r="C4064" t="str">
            <v>Carlos Alberto Diez</v>
          </cell>
          <cell r="G4064">
            <v>661.68</v>
          </cell>
          <cell r="H4064">
            <v>989595.37439999986</v>
          </cell>
          <cell r="I4064" t="str">
            <v>492</v>
          </cell>
        </row>
        <row r="4065">
          <cell r="A4065" t="str">
            <v>USD</v>
          </cell>
          <cell r="B4065" t="str">
            <v>492000109</v>
          </cell>
          <cell r="C4065" t="str">
            <v xml:space="preserve">Olaizola Joaquín </v>
          </cell>
          <cell r="G4065">
            <v>12526.86</v>
          </cell>
          <cell r="H4065">
            <v>18734921.2788</v>
          </cell>
          <cell r="I4065" t="str">
            <v>492</v>
          </cell>
        </row>
        <row r="4066">
          <cell r="A4066" t="str">
            <v>USD</v>
          </cell>
          <cell r="B4066" t="str">
            <v>492000110</v>
          </cell>
          <cell r="C4066" t="str">
            <v>Mini Mario Luigi</v>
          </cell>
          <cell r="G4066">
            <v>158.4</v>
          </cell>
          <cell r="H4066">
            <v>236899.872</v>
          </cell>
          <cell r="I4066" t="str">
            <v>492</v>
          </cell>
        </row>
        <row r="4067">
          <cell r="A4067" t="str">
            <v>USD</v>
          </cell>
          <cell r="B4067" t="str">
            <v>492000115</v>
          </cell>
          <cell r="C4067" t="str">
            <v>Nievas Angel</v>
          </cell>
          <cell r="G4067">
            <v>376.61</v>
          </cell>
          <cell r="H4067">
            <v>563250.38379999995</v>
          </cell>
          <cell r="I4067" t="str">
            <v>492</v>
          </cell>
        </row>
        <row r="4068">
          <cell r="A4068" t="str">
            <v>USD</v>
          </cell>
          <cell r="B4068" t="str">
            <v>492000118</v>
          </cell>
          <cell r="C4068" t="str">
            <v>Federico Alberto Ceballos</v>
          </cell>
          <cell r="G4068">
            <v>81718.399999999994</v>
          </cell>
          <cell r="H4068">
            <v>122216404.67199999</v>
          </cell>
          <cell r="I4068" t="str">
            <v>492</v>
          </cell>
        </row>
        <row r="4069">
          <cell r="A4069" t="str">
            <v>USD</v>
          </cell>
          <cell r="B4069" t="str">
            <v>492000129</v>
          </cell>
          <cell r="C4069" t="str">
            <v>AXIS ESTRATEGIA 6 FCI</v>
          </cell>
          <cell r="G4069">
            <v>8490</v>
          </cell>
          <cell r="H4069">
            <v>12697474.199999999</v>
          </cell>
          <cell r="I4069" t="str">
            <v>492</v>
          </cell>
        </row>
        <row r="4070">
          <cell r="A4070" t="str">
            <v>USD</v>
          </cell>
          <cell r="B4070" t="str">
            <v>492000171</v>
          </cell>
          <cell r="C4070" t="str">
            <v>Correa Ariana Julieta</v>
          </cell>
          <cell r="G4070">
            <v>33.619999999999997</v>
          </cell>
          <cell r="H4070">
            <v>50281.399599999997</v>
          </cell>
          <cell r="I4070" t="str">
            <v>492</v>
          </cell>
        </row>
        <row r="4071">
          <cell r="A4071" t="str">
            <v>USD</v>
          </cell>
          <cell r="B4071" t="str">
            <v>492000181</v>
          </cell>
          <cell r="C4071" t="str">
            <v>Berenice Mariel Correa</v>
          </cell>
          <cell r="G4071">
            <v>40.6</v>
          </cell>
          <cell r="H4071">
            <v>60720.548000000003</v>
          </cell>
          <cell r="I4071" t="str">
            <v>492</v>
          </cell>
        </row>
        <row r="4072">
          <cell r="A4072" t="str">
            <v>USD</v>
          </cell>
          <cell r="B4072" t="str">
            <v>492000239</v>
          </cell>
          <cell r="C4072" t="str">
            <v>KOBELIOVSKY, MATIAS</v>
          </cell>
          <cell r="G4072">
            <v>15547.26</v>
          </cell>
          <cell r="H4072">
            <v>23252171.110799998</v>
          </cell>
          <cell r="I4072" t="str">
            <v>492</v>
          </cell>
        </row>
        <row r="4073">
          <cell r="A4073" t="str">
            <v>USD</v>
          </cell>
          <cell r="B4073" t="str">
            <v>492000242</v>
          </cell>
          <cell r="C4073" t="str">
            <v>AFB AVALES SGR</v>
          </cell>
          <cell r="G4073">
            <v>10369.58</v>
          </cell>
          <cell r="H4073">
            <v>15508536.4564</v>
          </cell>
          <cell r="I4073" t="str">
            <v>492</v>
          </cell>
        </row>
        <row r="4074">
          <cell r="A4074" t="str">
            <v>USD</v>
          </cell>
          <cell r="B4074" t="str">
            <v>492000256</v>
          </cell>
          <cell r="C4074" t="str">
            <v>BERGOGLIO, EMANUEL HORACIO</v>
          </cell>
          <cell r="G4074">
            <v>69705.78</v>
          </cell>
          <cell r="H4074">
            <v>104250570.4524</v>
          </cell>
          <cell r="I4074" t="str">
            <v>492</v>
          </cell>
        </row>
        <row r="4075">
          <cell r="A4075" t="str">
            <v>USD</v>
          </cell>
          <cell r="B4075" t="str">
            <v>492000258</v>
          </cell>
          <cell r="C4075" t="str">
            <v>MAZZEO BARRERA, RAMIRO TOMAS</v>
          </cell>
          <cell r="G4075">
            <v>40.119999999999997</v>
          </cell>
          <cell r="H4075">
            <v>60002.669599999994</v>
          </cell>
          <cell r="I4075" t="str">
            <v>492</v>
          </cell>
        </row>
        <row r="4076">
          <cell r="A4076" t="str">
            <v>USD</v>
          </cell>
          <cell r="B4076" t="str">
            <v>492000261</v>
          </cell>
          <cell r="C4076" t="str">
            <v>POSSE, DIEGO</v>
          </cell>
          <cell r="G4076">
            <v>3232.91</v>
          </cell>
          <cell r="H4076">
            <v>4835075.5377999991</v>
          </cell>
          <cell r="I4076" t="str">
            <v>492</v>
          </cell>
        </row>
        <row r="4077">
          <cell r="A4077" t="str">
            <v>USD</v>
          </cell>
          <cell r="B4077" t="str">
            <v>492000264</v>
          </cell>
          <cell r="C4077" t="str">
            <v>DIEZ, ALEJO CARLOS</v>
          </cell>
          <cell r="G4077">
            <v>196.48</v>
          </cell>
          <cell r="H4077">
            <v>293851.55839999998</v>
          </cell>
          <cell r="I4077" t="str">
            <v>492</v>
          </cell>
        </row>
        <row r="4078">
          <cell r="A4078" t="str">
            <v>USD</v>
          </cell>
          <cell r="B4078" t="str">
            <v>492000266</v>
          </cell>
          <cell r="C4078" t="str">
            <v>CANTOCHAP S.A.</v>
          </cell>
          <cell r="G4078">
            <v>1317</v>
          </cell>
          <cell r="H4078">
            <v>1969678.8599999999</v>
          </cell>
          <cell r="I4078" t="str">
            <v>492</v>
          </cell>
        </row>
        <row r="4079">
          <cell r="A4079" t="str">
            <v>USD</v>
          </cell>
          <cell r="B4079" t="str">
            <v>492000268</v>
          </cell>
          <cell r="C4079" t="str">
            <v>FREDDI, LUIS ALBERTO</v>
          </cell>
          <cell r="G4079">
            <v>550</v>
          </cell>
          <cell r="H4079">
            <v>822569</v>
          </cell>
          <cell r="I4079" t="str">
            <v>492</v>
          </cell>
        </row>
        <row r="4080">
          <cell r="A4080" t="str">
            <v>USD</v>
          </cell>
          <cell r="B4080" t="str">
            <v>492000278</v>
          </cell>
          <cell r="C4080" t="str">
            <v>KALITO SA</v>
          </cell>
          <cell r="G4080">
            <v>1069</v>
          </cell>
          <cell r="H4080">
            <v>1598775.02</v>
          </cell>
          <cell r="I4080" t="str">
            <v>492</v>
          </cell>
        </row>
        <row r="4081">
          <cell r="A4081" t="str">
            <v>USD</v>
          </cell>
          <cell r="B4081" t="str">
            <v>492000287</v>
          </cell>
          <cell r="C4081" t="str">
            <v>JAGUEL VIEJO S.C.A.</v>
          </cell>
          <cell r="G4081">
            <v>243</v>
          </cell>
          <cell r="H4081">
            <v>363425.94</v>
          </cell>
          <cell r="I4081" t="str">
            <v>492</v>
          </cell>
        </row>
        <row r="4082">
          <cell r="A4082" t="str">
            <v>USD</v>
          </cell>
          <cell r="B4082" t="str">
            <v>492000294</v>
          </cell>
          <cell r="C4082" t="str">
            <v>ABACA, HUGO LUJAN o RESIA, LORENA CELIA</v>
          </cell>
          <cell r="G4082">
            <v>530.92999999999995</v>
          </cell>
          <cell r="H4082">
            <v>794048.28939999989</v>
          </cell>
          <cell r="I4082" t="str">
            <v>492</v>
          </cell>
        </row>
        <row r="4083">
          <cell r="A4083" t="str">
            <v>USD</v>
          </cell>
          <cell r="B4083" t="str">
            <v>492000305</v>
          </cell>
          <cell r="C4083" t="str">
            <v>DIEZ, VICTORIA</v>
          </cell>
          <cell r="G4083">
            <v>1362.02</v>
          </cell>
          <cell r="H4083">
            <v>2037009.8716</v>
          </cell>
          <cell r="I4083" t="str">
            <v>492</v>
          </cell>
        </row>
        <row r="4084">
          <cell r="A4084" t="str">
            <v>USD</v>
          </cell>
          <cell r="B4084" t="str">
            <v>492000307</v>
          </cell>
          <cell r="C4084" t="str">
            <v>CISNEROS, BRIAN NEHUEN</v>
          </cell>
          <cell r="G4084">
            <v>27.27</v>
          </cell>
          <cell r="H4084">
            <v>40784.4666</v>
          </cell>
          <cell r="I4084" t="str">
            <v>492</v>
          </cell>
        </row>
        <row r="4085">
          <cell r="A4085" t="str">
            <v>USD</v>
          </cell>
          <cell r="B4085" t="str">
            <v>492000308</v>
          </cell>
          <cell r="C4085" t="str">
            <v>BERENICE MARIEL CORREA / BRIAN NEHUEN CISNEROS</v>
          </cell>
          <cell r="G4085">
            <v>9.51</v>
          </cell>
          <cell r="H4085">
            <v>14222.965799999998</v>
          </cell>
          <cell r="I4085" t="str">
            <v>492</v>
          </cell>
        </row>
        <row r="4086">
          <cell r="A4086" t="str">
            <v>USD</v>
          </cell>
          <cell r="B4086" t="str">
            <v>492000310</v>
          </cell>
          <cell r="C4086" t="str">
            <v>RED INGENIERIA SRL</v>
          </cell>
          <cell r="G4086">
            <v>2453</v>
          </cell>
          <cell r="H4086">
            <v>3668657.7399999998</v>
          </cell>
          <cell r="I4086" t="str">
            <v>492</v>
          </cell>
        </row>
        <row r="4087">
          <cell r="A4087" t="str">
            <v>USD</v>
          </cell>
          <cell r="B4087" t="str">
            <v>492000313</v>
          </cell>
          <cell r="C4087" t="str">
            <v>SILICARO, REGINA MARTA</v>
          </cell>
          <cell r="G4087">
            <v>15422.88</v>
          </cell>
          <cell r="H4087">
            <v>23066150.870399997</v>
          </cell>
          <cell r="I4087" t="str">
            <v>492</v>
          </cell>
        </row>
        <row r="4088">
          <cell r="A4088" t="str">
            <v>USD</v>
          </cell>
          <cell r="B4088" t="str">
            <v>492000321</v>
          </cell>
          <cell r="C4088" t="str">
            <v>ROSALES, NATALIO ANGEL OSCAR</v>
          </cell>
          <cell r="G4088">
            <v>45.72</v>
          </cell>
          <cell r="H4088">
            <v>68377.917600000001</v>
          </cell>
          <cell r="I4088" t="str">
            <v>492</v>
          </cell>
        </row>
        <row r="4089">
          <cell r="A4089" t="str">
            <v>USD</v>
          </cell>
          <cell r="B4089" t="str">
            <v>492000328</v>
          </cell>
          <cell r="C4089" t="str">
            <v>ANELO, MARCOS</v>
          </cell>
          <cell r="G4089">
            <v>23190.74</v>
          </cell>
          <cell r="H4089">
            <v>34683606.929200001</v>
          </cell>
          <cell r="I4089" t="str">
            <v>492</v>
          </cell>
        </row>
        <row r="4090">
          <cell r="A4090" t="str">
            <v>USD</v>
          </cell>
          <cell r="B4090" t="str">
            <v>492000329</v>
          </cell>
          <cell r="C4090" t="str">
            <v>Tear, Alejandro Adrian</v>
          </cell>
          <cell r="G4090">
            <v>73.23</v>
          </cell>
          <cell r="H4090">
            <v>109521.32339999999</v>
          </cell>
          <cell r="I4090" t="str">
            <v>492</v>
          </cell>
        </row>
        <row r="4091">
          <cell r="A4091" t="str">
            <v>USD</v>
          </cell>
          <cell r="B4091" t="str">
            <v>492000348</v>
          </cell>
          <cell r="C4091" t="str">
            <v>MARINANGELI, VANESA CAROLINA</v>
          </cell>
          <cell r="G4091">
            <v>1054</v>
          </cell>
          <cell r="H4091">
            <v>1576341.3199999998</v>
          </cell>
          <cell r="I4091" t="str">
            <v>492</v>
          </cell>
        </row>
        <row r="4092">
          <cell r="A4092" t="str">
            <v>USD</v>
          </cell>
          <cell r="B4092" t="str">
            <v>492000362</v>
          </cell>
          <cell r="C4092" t="str">
            <v>COLMEGNA, FERNANDO MATIAS</v>
          </cell>
          <cell r="G4092">
            <v>1982.88</v>
          </cell>
          <cell r="H4092">
            <v>2965555.6704000002</v>
          </cell>
          <cell r="I4092" t="str">
            <v>492</v>
          </cell>
        </row>
        <row r="4093">
          <cell r="A4093" t="str">
            <v>USD</v>
          </cell>
          <cell r="B4093" t="str">
            <v>492000363</v>
          </cell>
          <cell r="C4093" t="str">
            <v>CABRERA, EULALIA ALICIA</v>
          </cell>
          <cell r="G4093">
            <v>1868.74</v>
          </cell>
          <cell r="H4093">
            <v>2794850.1691999999</v>
          </cell>
          <cell r="I4093" t="str">
            <v>492</v>
          </cell>
        </row>
        <row r="4094">
          <cell r="A4094" t="str">
            <v>USD</v>
          </cell>
          <cell r="B4094" t="str">
            <v>492000382</v>
          </cell>
          <cell r="C4094" t="str">
            <v>MEDINA, LUCAS HERNAN</v>
          </cell>
          <cell r="G4094">
            <v>1491.06</v>
          </cell>
          <cell r="H4094">
            <v>2229999.5148</v>
          </cell>
          <cell r="I4094" t="str">
            <v>492</v>
          </cell>
        </row>
        <row r="4095">
          <cell r="A4095" t="str">
            <v>USD</v>
          </cell>
          <cell r="B4095" t="str">
            <v>492000390</v>
          </cell>
          <cell r="C4095" t="str">
            <v>OLAIZOLA, MARTIN SIMON</v>
          </cell>
          <cell r="G4095">
            <v>14486</v>
          </cell>
          <cell r="H4095">
            <v>21664971.879999999</v>
          </cell>
          <cell r="I4095" t="str">
            <v>492</v>
          </cell>
        </row>
        <row r="4096">
          <cell r="A4096" t="str">
            <v>USD</v>
          </cell>
          <cell r="B4096" t="str">
            <v>492000394</v>
          </cell>
          <cell r="C4096" t="str">
            <v>GARCIA, FEDERICO ANDRES</v>
          </cell>
          <cell r="G4096">
            <v>475.04</v>
          </cell>
          <cell r="H4096">
            <v>710460.32319999998</v>
          </cell>
          <cell r="I4096" t="str">
            <v>492</v>
          </cell>
        </row>
        <row r="4097">
          <cell r="A4097" t="str">
            <v>USD</v>
          </cell>
          <cell r="B4097" t="str">
            <v>492000398</v>
          </cell>
          <cell r="C4097" t="str">
            <v>[C.E.R.A] GONZALEZ PASCUAL, JUAN PABLO</v>
          </cell>
          <cell r="G4097">
            <v>307.54000000000002</v>
          </cell>
          <cell r="H4097">
            <v>459950.67320000002</v>
          </cell>
          <cell r="I4097" t="str">
            <v>492</v>
          </cell>
        </row>
        <row r="4098">
          <cell r="A4098" t="str">
            <v>USD</v>
          </cell>
          <cell r="B4098" t="str">
            <v>492000402</v>
          </cell>
          <cell r="C4098" t="str">
            <v>FIDEICOMISO MIÑONES 1872</v>
          </cell>
          <cell r="G4098">
            <v>1981.07</v>
          </cell>
          <cell r="H4098">
            <v>2962848.6705999998</v>
          </cell>
          <cell r="I4098" t="str">
            <v>492</v>
          </cell>
        </row>
        <row r="4099">
          <cell r="A4099" t="str">
            <v>USD</v>
          </cell>
          <cell r="B4099" t="str">
            <v>492000407</v>
          </cell>
          <cell r="C4099" t="str">
            <v>[C.E.R.A] EDGARDO RAUL GARCIA</v>
          </cell>
          <cell r="G4099">
            <v>2232.59</v>
          </cell>
          <cell r="H4099">
            <v>3339016.9522000002</v>
          </cell>
          <cell r="I4099" t="str">
            <v>492</v>
          </cell>
        </row>
        <row r="4100">
          <cell r="A4100" t="str">
            <v>USD</v>
          </cell>
          <cell r="B4100" t="str">
            <v>492000409</v>
          </cell>
          <cell r="C4100" t="str">
            <v>[C.E.R.A] COMPAÑIA AVICOLA SA</v>
          </cell>
          <cell r="G4100">
            <v>690</v>
          </cell>
          <cell r="H4100">
            <v>1031950.2</v>
          </cell>
          <cell r="I4100" t="str">
            <v>492</v>
          </cell>
        </row>
        <row r="4101">
          <cell r="A4101" t="str">
            <v>USD</v>
          </cell>
          <cell r="B4101" t="str">
            <v>492000410</v>
          </cell>
          <cell r="C4101" t="str">
            <v>[C.E.R.A] FABIAN ANTONIO BELLETIERI</v>
          </cell>
          <cell r="G4101">
            <v>665.75</v>
          </cell>
          <cell r="H4101">
            <v>995682.38500000001</v>
          </cell>
          <cell r="I4101" t="str">
            <v>492</v>
          </cell>
        </row>
        <row r="4102">
          <cell r="A4102" t="str">
            <v>USD</v>
          </cell>
          <cell r="B4102" t="str">
            <v>492000411</v>
          </cell>
          <cell r="C4102" t="str">
            <v>[C.E.R.A] Granjas Carnave S.A</v>
          </cell>
          <cell r="G4102">
            <v>512</v>
          </cell>
          <cell r="H4102">
            <v>765736.95999999996</v>
          </cell>
          <cell r="I4102" t="str">
            <v>492</v>
          </cell>
        </row>
        <row r="4103">
          <cell r="A4103" t="str">
            <v>USD</v>
          </cell>
          <cell r="B4103" t="str">
            <v>492000414</v>
          </cell>
          <cell r="C4103" t="str">
            <v xml:space="preserve">[C.E.R.A]  Agroservicios Humboldt </v>
          </cell>
          <cell r="G4103">
            <v>2045</v>
          </cell>
          <cell r="H4103">
            <v>3058461.0999999996</v>
          </cell>
          <cell r="I4103" t="str">
            <v>492</v>
          </cell>
        </row>
        <row r="4104">
          <cell r="A4104" t="str">
            <v>USD</v>
          </cell>
          <cell r="B4104" t="str">
            <v>492000416</v>
          </cell>
          <cell r="C4104" t="str">
            <v>FTL S.A.</v>
          </cell>
          <cell r="G4104">
            <v>3682.2</v>
          </cell>
          <cell r="H4104">
            <v>5507024.675999999</v>
          </cell>
          <cell r="I4104" t="str">
            <v>492</v>
          </cell>
        </row>
        <row r="4105">
          <cell r="A4105" t="str">
            <v>USD</v>
          </cell>
          <cell r="B4105" t="str">
            <v>492000417</v>
          </cell>
          <cell r="C4105" t="str">
            <v>TESTI, FABRICIO ALBERTO</v>
          </cell>
          <cell r="G4105">
            <v>13711.6</v>
          </cell>
          <cell r="H4105">
            <v>20506794.728</v>
          </cell>
          <cell r="I4105" t="str">
            <v>492</v>
          </cell>
        </row>
        <row r="4106">
          <cell r="A4106" t="str">
            <v>USD</v>
          </cell>
          <cell r="B4106" t="str">
            <v>492000439</v>
          </cell>
          <cell r="C4106" t="str">
            <v>GATICA, HECTOR VICENTE</v>
          </cell>
          <cell r="G4106">
            <v>141.44999999999999</v>
          </cell>
          <cell r="H4106">
            <v>211549.79099999997</v>
          </cell>
          <cell r="I4106" t="str">
            <v>492</v>
          </cell>
        </row>
        <row r="4107">
          <cell r="A4107" t="str">
            <v>USD</v>
          </cell>
          <cell r="B4107" t="str">
            <v>492000464</v>
          </cell>
          <cell r="C4107" t="str">
            <v>BARRERA, SILVINA LAURA</v>
          </cell>
          <cell r="G4107">
            <v>38.590000000000003</v>
          </cell>
          <cell r="H4107">
            <v>57714.432200000003</v>
          </cell>
          <cell r="I4107" t="str">
            <v>492</v>
          </cell>
        </row>
        <row r="4108">
          <cell r="A4108" t="str">
            <v>USD</v>
          </cell>
          <cell r="B4108" t="str">
            <v>492000466</v>
          </cell>
          <cell r="C4108" t="str">
            <v>FREDDI, LUIS NICOLAS</v>
          </cell>
          <cell r="G4108">
            <v>731</v>
          </cell>
          <cell r="H4108">
            <v>1093268.98</v>
          </cell>
          <cell r="I4108" t="str">
            <v>492</v>
          </cell>
        </row>
        <row r="4109">
          <cell r="A4109" t="str">
            <v>USD</v>
          </cell>
          <cell r="B4109" t="str">
            <v>492000469</v>
          </cell>
          <cell r="C4109" t="str">
            <v>BAZERQUE, NICOLAS</v>
          </cell>
          <cell r="G4109">
            <v>11603.9</v>
          </cell>
          <cell r="H4109">
            <v>17354560.761999998</v>
          </cell>
          <cell r="I4109" t="str">
            <v>492</v>
          </cell>
        </row>
        <row r="4110">
          <cell r="A4110" t="str">
            <v>USD</v>
          </cell>
          <cell r="B4110" t="str">
            <v>492000471</v>
          </cell>
          <cell r="C4110" t="str">
            <v>PISTACHOS EL RAMBLON FIDEICOMISO</v>
          </cell>
          <cell r="G4110">
            <v>146528.99</v>
          </cell>
          <cell r="H4110">
            <v>219145826.86419997</v>
          </cell>
          <cell r="I4110" t="str">
            <v>492</v>
          </cell>
        </row>
        <row r="4111">
          <cell r="A4111" t="str">
            <v>USD</v>
          </cell>
          <cell r="B4111" t="str">
            <v>492000475</v>
          </cell>
          <cell r="C4111" t="str">
            <v>VITELLI, CLAUDIA BEATRIZ</v>
          </cell>
          <cell r="G4111">
            <v>52709.34</v>
          </cell>
          <cell r="H4111">
            <v>78831034.717199996</v>
          </cell>
          <cell r="I4111" t="str">
            <v>492</v>
          </cell>
        </row>
        <row r="4112">
          <cell r="A4112" t="str">
            <v>USD</v>
          </cell>
          <cell r="B4112" t="str">
            <v>492000476</v>
          </cell>
          <cell r="C4112" t="str">
            <v>TAGLIAFERRO, LEANDRO ARIEL</v>
          </cell>
          <cell r="G4112">
            <v>55381.760000000002</v>
          </cell>
          <cell r="H4112">
            <v>82827852.620800003</v>
          </cell>
          <cell r="I4112" t="str">
            <v>492</v>
          </cell>
        </row>
        <row r="4113">
          <cell r="A4113" t="str">
            <v>USD</v>
          </cell>
          <cell r="B4113" t="str">
            <v>492000493</v>
          </cell>
          <cell r="C4113" t="str">
            <v>SCHMITTENDORF, GRETEL</v>
          </cell>
          <cell r="G4113">
            <v>35.340000000000003</v>
          </cell>
          <cell r="H4113">
            <v>52853.797200000001</v>
          </cell>
          <cell r="I4113" t="str">
            <v>492</v>
          </cell>
        </row>
        <row r="4114">
          <cell r="A4114" t="str">
            <v>USD</v>
          </cell>
          <cell r="B4114" t="str">
            <v>492000505</v>
          </cell>
          <cell r="C4114" t="str">
            <v>Fabian Antonio Bellettieri / Candelaria Bellettieri Maria / Gonzalo Antonio Bellettieri</v>
          </cell>
          <cell r="G4114">
            <v>69297.279999999999</v>
          </cell>
          <cell r="H4114">
            <v>103639626.02239999</v>
          </cell>
          <cell r="I4114" t="str">
            <v>492</v>
          </cell>
        </row>
        <row r="4115">
          <cell r="A4115" t="str">
            <v>USD</v>
          </cell>
          <cell r="B4115" t="str">
            <v>492000557</v>
          </cell>
          <cell r="C4115" t="str">
            <v>MAGNANINI, ISABEL</v>
          </cell>
          <cell r="G4115">
            <v>22982.65</v>
          </cell>
          <cell r="H4115">
            <v>34372391.686999999</v>
          </cell>
          <cell r="I4115" t="str">
            <v>492</v>
          </cell>
        </row>
        <row r="4116">
          <cell r="A4116" t="str">
            <v>USD</v>
          </cell>
          <cell r="B4116" t="str">
            <v>492000559</v>
          </cell>
          <cell r="C4116" t="str">
            <v>3MC SA</v>
          </cell>
          <cell r="G4116">
            <v>11400.48</v>
          </cell>
          <cell r="H4116">
            <v>17050329.878399998</v>
          </cell>
          <cell r="I4116" t="str">
            <v>492</v>
          </cell>
        </row>
        <row r="4117">
          <cell r="A4117" t="str">
            <v>USD</v>
          </cell>
          <cell r="B4117" t="str">
            <v>492000562</v>
          </cell>
          <cell r="C4117" t="str">
            <v>AVENIDA 11 FIDEICOMISO</v>
          </cell>
          <cell r="G4117">
            <v>207.41</v>
          </cell>
          <cell r="H4117">
            <v>310198.24779999995</v>
          </cell>
          <cell r="I4117" t="str">
            <v>492</v>
          </cell>
        </row>
        <row r="4118">
          <cell r="A4118" t="str">
            <v>USD</v>
          </cell>
          <cell r="B4118" t="str">
            <v>492000571</v>
          </cell>
          <cell r="C4118" t="str">
            <v>BENTIA ENERGY SA</v>
          </cell>
          <cell r="G4118">
            <v>634813.52</v>
          </cell>
          <cell r="H4118">
            <v>949414404.24160004</v>
          </cell>
          <cell r="I4118" t="str">
            <v>492</v>
          </cell>
        </row>
        <row r="4119">
          <cell r="A4119" t="str">
            <v>USD</v>
          </cell>
          <cell r="B4119" t="str">
            <v>492000578</v>
          </cell>
          <cell r="C4119" t="str">
            <v>SEVA, MARCELA ADRIANA</v>
          </cell>
          <cell r="G4119">
            <v>12970.66</v>
          </cell>
          <cell r="H4119">
            <v>19398659.682799999</v>
          </cell>
          <cell r="I4119" t="str">
            <v>492</v>
          </cell>
        </row>
        <row r="4120">
          <cell r="A4120" t="str">
            <v>USD</v>
          </cell>
          <cell r="B4120" t="str">
            <v>492000581</v>
          </cell>
          <cell r="C4120" t="str">
            <v>BENTIA ENERGY S.A. E ING. SIMA S.A. U.T.E.</v>
          </cell>
          <cell r="G4120">
            <v>657893.26</v>
          </cell>
          <cell r="H4120">
            <v>983932001.79079998</v>
          </cell>
          <cell r="I4120" t="str">
            <v>492</v>
          </cell>
        </row>
        <row r="4121">
          <cell r="A4121" t="str">
            <v>USD</v>
          </cell>
          <cell r="B4121" t="str">
            <v>492000590</v>
          </cell>
          <cell r="C4121" t="str">
            <v>BIOCORBA S.A.</v>
          </cell>
          <cell r="G4121">
            <v>70762.67</v>
          </cell>
          <cell r="H4121">
            <v>105831233.99859999</v>
          </cell>
          <cell r="I4121" t="str">
            <v>492</v>
          </cell>
        </row>
        <row r="4122">
          <cell r="A4122" t="str">
            <v>USD</v>
          </cell>
          <cell r="B4122" t="str">
            <v>492000591</v>
          </cell>
          <cell r="C4122" t="str">
            <v>BIOBIN S.A.</v>
          </cell>
          <cell r="G4122">
            <v>70891.91</v>
          </cell>
          <cell r="H4122">
            <v>106024522.7578</v>
          </cell>
          <cell r="I4122" t="str">
            <v>492</v>
          </cell>
        </row>
        <row r="4123">
          <cell r="A4123" t="str">
            <v>USD</v>
          </cell>
          <cell r="B4123" t="str">
            <v>492000593</v>
          </cell>
          <cell r="C4123" t="str">
            <v>REFINAR BIO S.A.</v>
          </cell>
          <cell r="G4123">
            <v>71005.25</v>
          </cell>
          <cell r="H4123">
            <v>106194031.795</v>
          </cell>
          <cell r="I4123" t="str">
            <v>492</v>
          </cell>
        </row>
        <row r="4124">
          <cell r="A4124" t="str">
            <v>USD</v>
          </cell>
          <cell r="B4124" t="str">
            <v>492000594</v>
          </cell>
          <cell r="C4124" t="str">
            <v>BIOBAHIA S.A</v>
          </cell>
          <cell r="G4124">
            <v>71644.06</v>
          </cell>
          <cell r="H4124">
            <v>107149423.25479999</v>
          </cell>
          <cell r="I4124" t="str">
            <v>492</v>
          </cell>
        </row>
        <row r="4125">
          <cell r="A4125" t="str">
            <v>USD</v>
          </cell>
          <cell r="B4125" t="str">
            <v>493003801</v>
          </cell>
          <cell r="C4125" t="str">
            <v>CAREY Maria</v>
          </cell>
          <cell r="G4125">
            <v>6.16</v>
          </cell>
          <cell r="H4125">
            <v>9212.7728000000006</v>
          </cell>
          <cell r="I4125" t="str">
            <v>493</v>
          </cell>
        </row>
        <row r="4126">
          <cell r="A4126" t="str">
            <v>USD</v>
          </cell>
          <cell r="B4126" t="str">
            <v>493003829</v>
          </cell>
          <cell r="C4126" t="str">
            <v>CAREY SANTIAGO PATRICIO</v>
          </cell>
          <cell r="G4126">
            <v>1304.5899999999999</v>
          </cell>
          <cell r="H4126">
            <v>1951118.7121999997</v>
          </cell>
          <cell r="I4126" t="str">
            <v>493</v>
          </cell>
        </row>
        <row r="4127">
          <cell r="A4127" t="str">
            <v>USD</v>
          </cell>
          <cell r="B4127" t="str">
            <v>493004012</v>
          </cell>
          <cell r="C4127" t="str">
            <v>CAREY EDUARDO JORGE</v>
          </cell>
          <cell r="G4127">
            <v>2.3199999999999998</v>
          </cell>
          <cell r="H4127">
            <v>3469.7455999999997</v>
          </cell>
          <cell r="I4127" t="str">
            <v>493</v>
          </cell>
        </row>
        <row r="4128">
          <cell r="A4128" t="str">
            <v>USD</v>
          </cell>
          <cell r="B4128" t="str">
            <v>493004026</v>
          </cell>
          <cell r="C4128" t="str">
            <v>MORELLI Carina Andrea</v>
          </cell>
          <cell r="G4128">
            <v>17000.95</v>
          </cell>
          <cell r="H4128">
            <v>25426280.800999999</v>
          </cell>
          <cell r="I4128" t="str">
            <v>493</v>
          </cell>
        </row>
        <row r="4129">
          <cell r="A4129" t="str">
            <v>USD</v>
          </cell>
          <cell r="B4129" t="str">
            <v>493004143</v>
          </cell>
          <cell r="C4129" t="str">
            <v>CONECTAR BURSATIL S.A.</v>
          </cell>
          <cell r="G4129">
            <v>484015.24</v>
          </cell>
          <cell r="H4129">
            <v>723883512.63919997</v>
          </cell>
          <cell r="I4129" t="str">
            <v>493</v>
          </cell>
        </row>
        <row r="4130">
          <cell r="A4130" t="str">
            <v>USD</v>
          </cell>
          <cell r="B4130" t="str">
            <v>493004580</v>
          </cell>
          <cell r="C4130" t="str">
            <v>GRUPO MALAU S.A.</v>
          </cell>
          <cell r="G4130">
            <v>630921</v>
          </cell>
          <cell r="H4130">
            <v>943592829.17999995</v>
          </cell>
          <cell r="I4130" t="str">
            <v>493</v>
          </cell>
        </row>
        <row r="4131">
          <cell r="A4131" t="str">
            <v>USD</v>
          </cell>
          <cell r="B4131" t="str">
            <v>493004741</v>
          </cell>
          <cell r="C4131" t="str">
            <v>DE AGUILAR Gonzalo Fernando</v>
          </cell>
          <cell r="G4131">
            <v>6254.18</v>
          </cell>
          <cell r="H4131">
            <v>9353626.5243999995</v>
          </cell>
          <cell r="I4131" t="str">
            <v>493</v>
          </cell>
        </row>
        <row r="4132">
          <cell r="A4132" t="str">
            <v>USD</v>
          </cell>
          <cell r="B4132" t="str">
            <v>493004772</v>
          </cell>
          <cell r="C4132" t="str">
            <v>MARCHENA Javier Luis</v>
          </cell>
          <cell r="G4132">
            <v>4.66</v>
          </cell>
          <cell r="H4132">
            <v>6969.4027999999998</v>
          </cell>
          <cell r="I4132" t="str">
            <v>493</v>
          </cell>
        </row>
        <row r="4133">
          <cell r="A4133" t="str">
            <v>USD</v>
          </cell>
          <cell r="B4133" t="str">
            <v>493004909</v>
          </cell>
          <cell r="C4133" t="str">
            <v>CRAVERO Roberto Mauro</v>
          </cell>
          <cell r="G4133">
            <v>3423.2</v>
          </cell>
          <cell r="H4133">
            <v>5119669.4559999993</v>
          </cell>
          <cell r="I4133" t="str">
            <v>493</v>
          </cell>
        </row>
        <row r="4134">
          <cell r="A4134" t="str">
            <v>USD</v>
          </cell>
          <cell r="B4134" t="str">
            <v>493004920</v>
          </cell>
          <cell r="C4134" t="str">
            <v>BIASSI JOSE LUIS</v>
          </cell>
          <cell r="G4134">
            <v>10999.35</v>
          </cell>
          <cell r="H4134">
            <v>16450407.873</v>
          </cell>
          <cell r="I4134" t="str">
            <v>493</v>
          </cell>
        </row>
        <row r="4135">
          <cell r="A4135" t="str">
            <v>USD</v>
          </cell>
          <cell r="B4135" t="str">
            <v>493005181</v>
          </cell>
          <cell r="C4135" t="str">
            <v>GHIOLDI JUAN SEBASTIAN</v>
          </cell>
          <cell r="G4135">
            <v>1.75</v>
          </cell>
          <cell r="H4135">
            <v>2617.2649999999999</v>
          </cell>
          <cell r="I4135" t="str">
            <v>493</v>
          </cell>
        </row>
        <row r="4136">
          <cell r="A4136" t="str">
            <v>USD</v>
          </cell>
          <cell r="B4136" t="str">
            <v>493005446</v>
          </cell>
          <cell r="C4136" t="str">
            <v>BERTERO BOERO S.A.</v>
          </cell>
          <cell r="G4136">
            <v>4.83</v>
          </cell>
          <cell r="H4136">
            <v>7223.6513999999997</v>
          </cell>
          <cell r="I4136" t="str">
            <v>493</v>
          </cell>
        </row>
        <row r="4137">
          <cell r="A4137" t="str">
            <v>USD</v>
          </cell>
          <cell r="B4137" t="str">
            <v>493005666</v>
          </cell>
          <cell r="C4137" t="str">
            <v>GONZALEZ, Damian</v>
          </cell>
          <cell r="G4137">
            <v>1999.38</v>
          </cell>
          <cell r="H4137">
            <v>2990232.7404</v>
          </cell>
          <cell r="I4137" t="str">
            <v>493</v>
          </cell>
        </row>
        <row r="4138">
          <cell r="A4138" t="str">
            <v>USD</v>
          </cell>
          <cell r="B4138" t="str">
            <v>493005695</v>
          </cell>
          <cell r="C4138" t="str">
            <v>OLIVA, Nelly Isabel o BOTT, Mariela Beatriz</v>
          </cell>
          <cell r="G4138">
            <v>2.3199999999999998</v>
          </cell>
          <cell r="H4138">
            <v>3469.7455999999997</v>
          </cell>
          <cell r="I4138" t="str">
            <v>493</v>
          </cell>
        </row>
        <row r="4139">
          <cell r="A4139" t="str">
            <v>USD</v>
          </cell>
          <cell r="B4139" t="str">
            <v>493005819</v>
          </cell>
          <cell r="C4139" t="str">
            <v>INDUSTRIAS DARMET S.A.</v>
          </cell>
          <cell r="G4139">
            <v>4.66</v>
          </cell>
          <cell r="H4139">
            <v>6969.4027999999998</v>
          </cell>
          <cell r="I4139" t="str">
            <v>493</v>
          </cell>
        </row>
        <row r="4140">
          <cell r="A4140" t="str">
            <v>USD</v>
          </cell>
          <cell r="B4140" t="str">
            <v>493005831</v>
          </cell>
          <cell r="C4140" t="str">
            <v>BOGGIO REALDO OSCAR</v>
          </cell>
          <cell r="G4140">
            <v>2.33</v>
          </cell>
          <cell r="H4140">
            <v>3484.7013999999999</v>
          </cell>
          <cell r="I4140" t="str">
            <v>493</v>
          </cell>
        </row>
        <row r="4141">
          <cell r="A4141" t="str">
            <v>USD</v>
          </cell>
          <cell r="B4141" t="str">
            <v>493006106</v>
          </cell>
          <cell r="C4141" t="str">
            <v>LAURINO, Guillermo Andres</v>
          </cell>
          <cell r="G4141">
            <v>2520</v>
          </cell>
          <cell r="H4141">
            <v>3768861.5999999996</v>
          </cell>
          <cell r="I4141" t="str">
            <v>493</v>
          </cell>
        </row>
        <row r="4142">
          <cell r="A4142" t="str">
            <v>USD</v>
          </cell>
          <cell r="B4142" t="str">
            <v>493006169</v>
          </cell>
          <cell r="C4142" t="str">
            <v xml:space="preserve">CRISTIA Moira Ines </v>
          </cell>
          <cell r="G4142">
            <v>274.38</v>
          </cell>
          <cell r="H4142">
            <v>410357.24039999995</v>
          </cell>
          <cell r="I4142" t="str">
            <v>493</v>
          </cell>
        </row>
        <row r="4143">
          <cell r="A4143" t="str">
            <v>USD</v>
          </cell>
          <cell r="B4143" t="str">
            <v>493006204</v>
          </cell>
          <cell r="C4143" t="str">
            <v>TURISMO CAREY S.R.L</v>
          </cell>
          <cell r="G4143">
            <v>63997.91</v>
          </cell>
          <cell r="H4143">
            <v>95713994.237800002</v>
          </cell>
          <cell r="I4143" t="str">
            <v>493</v>
          </cell>
        </row>
        <row r="4144">
          <cell r="A4144" t="str">
            <v>USD</v>
          </cell>
          <cell r="B4144" t="str">
            <v>493006220</v>
          </cell>
          <cell r="C4144" t="str">
            <v>BOGGIO , Hugo Alberto</v>
          </cell>
          <cell r="G4144">
            <v>52.99</v>
          </cell>
          <cell r="H4144">
            <v>79250.784199999995</v>
          </cell>
          <cell r="I4144" t="str">
            <v>493</v>
          </cell>
        </row>
        <row r="4145">
          <cell r="A4145" t="str">
            <v>USD</v>
          </cell>
          <cell r="B4145" t="str">
            <v>493006418</v>
          </cell>
          <cell r="C4145" t="str">
            <v>CRAVERO, VALENTINA</v>
          </cell>
          <cell r="G4145">
            <v>1011.4</v>
          </cell>
          <cell r="H4145">
            <v>1512629.612</v>
          </cell>
          <cell r="I4145" t="str">
            <v>493</v>
          </cell>
        </row>
        <row r="4146">
          <cell r="A4146" t="str">
            <v>USD</v>
          </cell>
          <cell r="B4146" t="str">
            <v>493006436</v>
          </cell>
          <cell r="C4146" t="str">
            <v>STECHINA, Gabriel Andres</v>
          </cell>
          <cell r="G4146">
            <v>8039.9</v>
          </cell>
          <cell r="H4146">
            <v>12024313.641999999</v>
          </cell>
          <cell r="I4146" t="str">
            <v>493</v>
          </cell>
        </row>
        <row r="4147">
          <cell r="A4147" t="str">
            <v>USD</v>
          </cell>
          <cell r="B4147" t="str">
            <v>493006703</v>
          </cell>
          <cell r="C4147" t="str">
            <v>LA RINCONADA EMPRENDIMIENTOS S.A</v>
          </cell>
          <cell r="G4147">
            <v>26387.38</v>
          </cell>
          <cell r="H4147">
            <v>39464437.780400001</v>
          </cell>
          <cell r="I4147" t="str">
            <v>493</v>
          </cell>
        </row>
        <row r="4148">
          <cell r="A4148" t="str">
            <v>USD</v>
          </cell>
          <cell r="B4148" t="str">
            <v>493006765</v>
          </cell>
          <cell r="C4148" t="str">
            <v>NISNIEVICH, David Ezequiel</v>
          </cell>
          <cell r="G4148">
            <v>217.3</v>
          </cell>
          <cell r="H4148">
            <v>324989.53399999999</v>
          </cell>
          <cell r="I4148" t="str">
            <v>493</v>
          </cell>
        </row>
        <row r="4149">
          <cell r="A4149" t="str">
            <v>USD</v>
          </cell>
          <cell r="B4149" t="str">
            <v>493007111</v>
          </cell>
          <cell r="C4149" t="str">
            <v>TOURN, María Rosario</v>
          </cell>
          <cell r="G4149">
            <v>14918.75</v>
          </cell>
          <cell r="H4149">
            <v>22312184.125</v>
          </cell>
          <cell r="I4149" t="str">
            <v>493</v>
          </cell>
        </row>
        <row r="4150">
          <cell r="A4150" t="str">
            <v>USD</v>
          </cell>
          <cell r="B4150" t="str">
            <v>493007158</v>
          </cell>
          <cell r="C4150" t="str">
            <v>MARTINEZ, DIEGO ANDRES</v>
          </cell>
          <cell r="G4150">
            <v>4575.97</v>
          </cell>
          <cell r="H4150">
            <v>6843729.2126000002</v>
          </cell>
          <cell r="I4150" t="str">
            <v>493</v>
          </cell>
        </row>
        <row r="4151">
          <cell r="A4151" t="str">
            <v>USD</v>
          </cell>
          <cell r="B4151" t="str">
            <v>493007205</v>
          </cell>
          <cell r="C4151" t="str">
            <v>EL HORMIGON S.A.</v>
          </cell>
          <cell r="G4151">
            <v>175.73</v>
          </cell>
          <cell r="H4151">
            <v>262818.27339999995</v>
          </cell>
          <cell r="I4151" t="str">
            <v>493</v>
          </cell>
        </row>
        <row r="4152">
          <cell r="A4152" t="str">
            <v>USD</v>
          </cell>
          <cell r="B4152" t="str">
            <v>493007227</v>
          </cell>
          <cell r="C4152" t="str">
            <v>GARCIA DANIEL ENRIQUE</v>
          </cell>
          <cell r="G4152">
            <v>4.66</v>
          </cell>
          <cell r="H4152">
            <v>6969.4027999999998</v>
          </cell>
          <cell r="I4152" t="str">
            <v>493</v>
          </cell>
        </row>
        <row r="4153">
          <cell r="A4153" t="str">
            <v>USD</v>
          </cell>
          <cell r="B4153" t="str">
            <v>493007254</v>
          </cell>
          <cell r="C4153" t="str">
            <v>ARDELLINI, BRIAN URIEL</v>
          </cell>
          <cell r="G4153">
            <v>45070.28</v>
          </cell>
          <cell r="H4153">
            <v>67406209.362399995</v>
          </cell>
          <cell r="I4153" t="str">
            <v>493</v>
          </cell>
        </row>
        <row r="4154">
          <cell r="A4154" t="str">
            <v>USD</v>
          </cell>
          <cell r="B4154" t="str">
            <v>493007256</v>
          </cell>
          <cell r="C4154" t="str">
            <v>BIO GLOBAL S.R.L.</v>
          </cell>
          <cell r="G4154">
            <v>2556.46</v>
          </cell>
          <cell r="H4154">
            <v>3823390.4468</v>
          </cell>
          <cell r="I4154" t="str">
            <v>493</v>
          </cell>
        </row>
        <row r="4155">
          <cell r="A4155" t="str">
            <v>USD</v>
          </cell>
          <cell r="B4155" t="str">
            <v>493007273</v>
          </cell>
          <cell r="C4155" t="str">
            <v>BERTINI, NANCI ROSALIA</v>
          </cell>
          <cell r="G4155">
            <v>3007.3</v>
          </cell>
          <cell r="H4155">
            <v>4497657.7340000002</v>
          </cell>
          <cell r="I4155" t="str">
            <v>493</v>
          </cell>
        </row>
        <row r="4156">
          <cell r="A4156" t="str">
            <v>USD</v>
          </cell>
          <cell r="B4156" t="str">
            <v>493007292</v>
          </cell>
          <cell r="C4156" t="str">
            <v>CHIESA MARIA AMALIA</v>
          </cell>
          <cell r="G4156">
            <v>59.4</v>
          </cell>
          <cell r="H4156">
            <v>88837.45199999999</v>
          </cell>
          <cell r="I4156" t="str">
            <v>493</v>
          </cell>
        </row>
        <row r="4157">
          <cell r="A4157" t="str">
            <v>USD</v>
          </cell>
          <cell r="B4157" t="str">
            <v>493007299</v>
          </cell>
          <cell r="C4157" t="str">
            <v>ALCACER IGNACIO RAMON</v>
          </cell>
          <cell r="G4157">
            <v>1004.4</v>
          </cell>
          <cell r="H4157">
            <v>1502160.5519999999</v>
          </cell>
          <cell r="I4157" t="str">
            <v>493</v>
          </cell>
        </row>
        <row r="4158">
          <cell r="A4158" t="str">
            <v>USD</v>
          </cell>
          <cell r="B4158" t="str">
            <v>493007322</v>
          </cell>
          <cell r="C4158" t="str">
            <v>CAREY MARIA MONICA</v>
          </cell>
          <cell r="G4158">
            <v>1127.47</v>
          </cell>
          <cell r="H4158">
            <v>1686221.5825999998</v>
          </cell>
          <cell r="I4158" t="str">
            <v>493</v>
          </cell>
        </row>
        <row r="4159">
          <cell r="A4159" t="str">
            <v>USD</v>
          </cell>
          <cell r="B4159" t="str">
            <v>493007327</v>
          </cell>
          <cell r="C4159" t="str">
            <v xml:space="preserve">CHIESA ANA ELISA </v>
          </cell>
          <cell r="G4159">
            <v>178.5</v>
          </cell>
          <cell r="H4159">
            <v>266961.02999999997</v>
          </cell>
          <cell r="I4159" t="str">
            <v>493</v>
          </cell>
        </row>
        <row r="4160">
          <cell r="A4160" t="str">
            <v>USD</v>
          </cell>
          <cell r="B4160" t="str">
            <v>493007331</v>
          </cell>
          <cell r="C4160" t="str">
            <v>ANDRADA JUAN ANGEL</v>
          </cell>
          <cell r="G4160">
            <v>605.64</v>
          </cell>
          <cell r="H4160">
            <v>905783.07119999989</v>
          </cell>
          <cell r="I4160" t="str">
            <v>493</v>
          </cell>
        </row>
        <row r="4161">
          <cell r="A4161" t="str">
            <v>USD</v>
          </cell>
          <cell r="B4161" t="str">
            <v>493007352</v>
          </cell>
          <cell r="C4161" t="str">
            <v>PURINAN MARIA JOSE</v>
          </cell>
          <cell r="G4161">
            <v>404.37</v>
          </cell>
          <cell r="H4161">
            <v>604767.68459999992</v>
          </cell>
          <cell r="I4161" t="str">
            <v>493</v>
          </cell>
        </row>
        <row r="4162">
          <cell r="A4162" t="str">
            <v>USD</v>
          </cell>
          <cell r="B4162" t="str">
            <v>493007353</v>
          </cell>
          <cell r="C4162" t="str">
            <v>GLOBAL TURISMO S.R.L</v>
          </cell>
          <cell r="G4162">
            <v>57.89</v>
          </cell>
          <cell r="H4162">
            <v>86579.126199999999</v>
          </cell>
          <cell r="I4162" t="str">
            <v>493</v>
          </cell>
        </row>
        <row r="4163">
          <cell r="A4163" t="str">
            <v>USD</v>
          </cell>
          <cell r="B4163" t="str">
            <v>493007359</v>
          </cell>
          <cell r="C4163" t="str">
            <v>[C.E.R.A.] CANSINO CINTIA INES</v>
          </cell>
          <cell r="G4163">
            <v>6216.98</v>
          </cell>
          <cell r="H4163">
            <v>9297990.9483999982</v>
          </cell>
          <cell r="I4163" t="str">
            <v>493</v>
          </cell>
        </row>
        <row r="4164">
          <cell r="A4164" t="str">
            <v>USD</v>
          </cell>
          <cell r="B4164" t="str">
            <v>493007362</v>
          </cell>
          <cell r="C4164" t="str">
            <v>SIRYI GUSTAVO ALEJANDRO</v>
          </cell>
          <cell r="G4164">
            <v>1.64</v>
          </cell>
          <cell r="H4164">
            <v>2452.7511999999997</v>
          </cell>
          <cell r="I4164" t="str">
            <v>493</v>
          </cell>
        </row>
        <row r="4165">
          <cell r="A4165" t="str">
            <v>USD</v>
          </cell>
          <cell r="B4165" t="str">
            <v>493007364</v>
          </cell>
          <cell r="C4165" t="str">
            <v>MANAR S.A</v>
          </cell>
          <cell r="G4165">
            <v>311709</v>
          </cell>
          <cell r="H4165">
            <v>466185746.21999997</v>
          </cell>
          <cell r="I4165" t="str">
            <v>493</v>
          </cell>
        </row>
        <row r="4166">
          <cell r="A4166" t="str">
            <v>USD</v>
          </cell>
          <cell r="B4166" t="str">
            <v>493007374</v>
          </cell>
          <cell r="C4166" t="str">
            <v>ASOCIACION CIVIL CIRCUITO VERDE</v>
          </cell>
          <cell r="G4166">
            <v>799.72</v>
          </cell>
          <cell r="H4166">
            <v>1196045.2375999999</v>
          </cell>
          <cell r="I4166" t="str">
            <v>493</v>
          </cell>
        </row>
        <row r="4167">
          <cell r="A4167" t="str">
            <v>USD</v>
          </cell>
          <cell r="B4167" t="str">
            <v>493007377</v>
          </cell>
          <cell r="C4167" t="str">
            <v>GIROLAMI LUCAS JOSÉ</v>
          </cell>
          <cell r="G4167">
            <v>368.65</v>
          </cell>
          <cell r="H4167">
            <v>551345.56699999992</v>
          </cell>
          <cell r="I4167" t="str">
            <v>493</v>
          </cell>
        </row>
        <row r="4168">
          <cell r="A4168" t="str">
            <v>USD</v>
          </cell>
          <cell r="B4168" t="str">
            <v>493007379</v>
          </cell>
          <cell r="C4168" t="str">
            <v>INFANTE MARIA DE LAS MERCEDES</v>
          </cell>
          <cell r="G4168">
            <v>129.47</v>
          </cell>
          <cell r="H4168">
            <v>193632.7426</v>
          </cell>
          <cell r="I4168" t="str">
            <v>493</v>
          </cell>
        </row>
        <row r="4169">
          <cell r="A4169" t="str">
            <v>USD</v>
          </cell>
          <cell r="B4169" t="str">
            <v>493007393</v>
          </cell>
          <cell r="C4169" t="str">
            <v>ORTIZ ANTONIO FRANCISCO</v>
          </cell>
          <cell r="G4169">
            <v>9129.18</v>
          </cell>
          <cell r="H4169">
            <v>13653419.0244</v>
          </cell>
          <cell r="I4169" t="str">
            <v>493</v>
          </cell>
        </row>
        <row r="4170">
          <cell r="A4170" t="str">
            <v>USD</v>
          </cell>
          <cell r="B4170" t="str">
            <v>493007406</v>
          </cell>
          <cell r="C4170" t="str">
            <v>BERIZZO OSCAR CLAUDIO</v>
          </cell>
          <cell r="G4170">
            <v>940.35</v>
          </cell>
          <cell r="H4170">
            <v>1406368.6529999999</v>
          </cell>
          <cell r="I4170" t="str">
            <v>493</v>
          </cell>
        </row>
        <row r="4171">
          <cell r="A4171" t="str">
            <v>USD</v>
          </cell>
          <cell r="B4171" t="str">
            <v>493007409</v>
          </cell>
          <cell r="C4171" t="str">
            <v>MALIZIA NERINA</v>
          </cell>
          <cell r="G4171">
            <v>131.26</v>
          </cell>
          <cell r="H4171">
            <v>196309.83079999997</v>
          </cell>
          <cell r="I4171" t="str">
            <v>493</v>
          </cell>
        </row>
        <row r="4172">
          <cell r="A4172" t="str">
            <v>USD</v>
          </cell>
          <cell r="B4172" t="str">
            <v>493007411</v>
          </cell>
          <cell r="C4172" t="str">
            <v>CUMINETTI JUAN CARLOS</v>
          </cell>
          <cell r="G4172">
            <v>142.71</v>
          </cell>
          <cell r="H4172">
            <v>213434.2218</v>
          </cell>
          <cell r="I4172" t="str">
            <v>493</v>
          </cell>
        </row>
        <row r="4173">
          <cell r="A4173" t="str">
            <v>USD</v>
          </cell>
          <cell r="B4173" t="str">
            <v>493010010</v>
          </cell>
          <cell r="C4173" t="str">
            <v>ARIAS Jorge Roberto</v>
          </cell>
          <cell r="G4173">
            <v>126.4</v>
          </cell>
          <cell r="H4173">
            <v>189041.31200000001</v>
          </cell>
          <cell r="I4173" t="str">
            <v>493</v>
          </cell>
        </row>
        <row r="4174">
          <cell r="A4174" t="str">
            <v>USD</v>
          </cell>
          <cell r="B4174" t="str">
            <v>493010031</v>
          </cell>
          <cell r="C4174" t="str">
            <v>ARIAS Rodrigo German</v>
          </cell>
          <cell r="G4174">
            <v>5.69</v>
          </cell>
          <cell r="H4174">
            <v>8509.8502000000008</v>
          </cell>
          <cell r="I4174" t="str">
            <v>493</v>
          </cell>
        </row>
        <row r="4175">
          <cell r="A4175" t="str">
            <v>USD</v>
          </cell>
          <cell r="B4175" t="str">
            <v>493010072</v>
          </cell>
          <cell r="C4175" t="str">
            <v>FIPENCO SA</v>
          </cell>
          <cell r="G4175">
            <v>3.49</v>
          </cell>
          <cell r="H4175">
            <v>5219.5742</v>
          </cell>
          <cell r="I4175" t="str">
            <v>493</v>
          </cell>
        </row>
        <row r="4176">
          <cell r="A4176" t="str">
            <v>USD</v>
          </cell>
          <cell r="B4176" t="str">
            <v>534000012</v>
          </cell>
          <cell r="C4176" t="str">
            <v>Klixar S.R.L.</v>
          </cell>
          <cell r="G4176">
            <v>10000</v>
          </cell>
          <cell r="H4176">
            <v>14955800</v>
          </cell>
          <cell r="I4176" t="str">
            <v>534</v>
          </cell>
        </row>
        <row r="4177">
          <cell r="A4177" t="str">
            <v>USD</v>
          </cell>
          <cell r="B4177" t="str">
            <v>534000013</v>
          </cell>
          <cell r="C4177" t="str">
            <v>Francisco Gaubeca &amp; Marta Fernández &amp; Enrique Gaubeca</v>
          </cell>
          <cell r="G4177">
            <v>12666.32</v>
          </cell>
          <cell r="H4177">
            <v>18943494.865599997</v>
          </cell>
          <cell r="I4177" t="str">
            <v>534</v>
          </cell>
        </row>
        <row r="4178">
          <cell r="A4178" t="str">
            <v>USD</v>
          </cell>
          <cell r="B4178" t="str">
            <v>534000017</v>
          </cell>
          <cell r="C4178" t="str">
            <v>Ricardo Romero Mundani &amp; Graciela Mengual</v>
          </cell>
          <cell r="G4178">
            <v>5260.55</v>
          </cell>
          <cell r="H4178">
            <v>7867573.3689999999</v>
          </cell>
          <cell r="I4178" t="str">
            <v>534</v>
          </cell>
        </row>
        <row r="4179">
          <cell r="A4179" t="str">
            <v>USD</v>
          </cell>
          <cell r="B4179" t="str">
            <v>534000018</v>
          </cell>
          <cell r="C4179" t="str">
            <v>Schneider, Guillermo Omar, Garcia Fraguas, Monica Paola &amp; otros</v>
          </cell>
          <cell r="G4179">
            <v>45951.08</v>
          </cell>
          <cell r="H4179">
            <v>68723516.226400003</v>
          </cell>
          <cell r="I4179" t="str">
            <v>534</v>
          </cell>
        </row>
        <row r="4180">
          <cell r="A4180" t="str">
            <v>USD</v>
          </cell>
          <cell r="B4180" t="str">
            <v>534000019</v>
          </cell>
          <cell r="C4180" t="str">
            <v>Carlos Valdez &amp; Gabriela Fusaro</v>
          </cell>
          <cell r="G4180">
            <v>1415.18</v>
          </cell>
          <cell r="H4180">
            <v>2116514.9043999999</v>
          </cell>
          <cell r="I4180" t="str">
            <v>534</v>
          </cell>
        </row>
        <row r="4181">
          <cell r="A4181" t="str">
            <v>USD</v>
          </cell>
          <cell r="B4181" t="str">
            <v>534000052</v>
          </cell>
          <cell r="C4181" t="str">
            <v>Matranca, Enriqueta &amp; Busnelli, Esteban</v>
          </cell>
          <cell r="G4181">
            <v>115000</v>
          </cell>
          <cell r="H4181">
            <v>171991700</v>
          </cell>
          <cell r="I4181" t="str">
            <v>534</v>
          </cell>
        </row>
        <row r="4182">
          <cell r="A4182" t="str">
            <v>USD</v>
          </cell>
          <cell r="B4182" t="str">
            <v>534000054</v>
          </cell>
          <cell r="C4182" t="str">
            <v>Rocco Oscar &amp; Miracca Maria Julia</v>
          </cell>
          <cell r="G4182">
            <v>3605.24</v>
          </cell>
          <cell r="H4182">
            <v>5391924.8391999993</v>
          </cell>
          <cell r="I4182" t="str">
            <v>534</v>
          </cell>
        </row>
        <row r="4183">
          <cell r="A4183" t="str">
            <v>USD</v>
          </cell>
          <cell r="B4183" t="str">
            <v>534000070</v>
          </cell>
          <cell r="C4183" t="str">
            <v>Romero Oneto Eduardo &amp; Baumgart Elena</v>
          </cell>
          <cell r="G4183">
            <v>81535.539999999994</v>
          </cell>
          <cell r="H4183">
            <v>121942922.91319999</v>
          </cell>
          <cell r="I4183" t="str">
            <v>534</v>
          </cell>
        </row>
        <row r="4184">
          <cell r="A4184" t="str">
            <v>USD</v>
          </cell>
          <cell r="B4184" t="str">
            <v>534000076</v>
          </cell>
          <cell r="C4184" t="str">
            <v>Gaubeca Molina Ma. Eugenia &amp; Gaubeca Molina Ma. Fernanda</v>
          </cell>
          <cell r="G4184">
            <v>1347.84</v>
          </cell>
          <cell r="H4184">
            <v>2015802.5471999997</v>
          </cell>
          <cell r="I4184" t="str">
            <v>534</v>
          </cell>
        </row>
        <row r="4185">
          <cell r="A4185" t="str">
            <v>USD</v>
          </cell>
          <cell r="B4185" t="str">
            <v>534000077</v>
          </cell>
          <cell r="C4185" t="str">
            <v>Gaubeca Klix, Verónica</v>
          </cell>
          <cell r="G4185">
            <v>549.09</v>
          </cell>
          <cell r="H4185">
            <v>821208.02220000001</v>
          </cell>
          <cell r="I4185" t="str">
            <v>534</v>
          </cell>
        </row>
        <row r="4186">
          <cell r="A4186" t="str">
            <v>USD</v>
          </cell>
          <cell r="B4186" t="str">
            <v>534000080</v>
          </cell>
          <cell r="C4186" t="str">
            <v>Ibarra, Eliseo Agustín</v>
          </cell>
          <cell r="G4186">
            <v>1115.73</v>
          </cell>
          <cell r="H4186">
            <v>1668663.4734</v>
          </cell>
          <cell r="I4186" t="str">
            <v>534</v>
          </cell>
        </row>
        <row r="4187">
          <cell r="A4187" t="str">
            <v>USD</v>
          </cell>
          <cell r="B4187" t="str">
            <v>534000094</v>
          </cell>
          <cell r="C4187" t="str">
            <v>Romero Oneto, Alejandro &amp; Obarrio Victoria</v>
          </cell>
          <cell r="G4187">
            <v>58133.67</v>
          </cell>
          <cell r="H4187">
            <v>86943554.178599998</v>
          </cell>
          <cell r="I4187" t="str">
            <v>534</v>
          </cell>
        </row>
        <row r="4188">
          <cell r="A4188" t="str">
            <v>USD</v>
          </cell>
          <cell r="B4188" t="str">
            <v>534000107</v>
          </cell>
          <cell r="C4188" t="str">
            <v>Romero Mundani, Melisa &amp; Carluccio, Federico</v>
          </cell>
          <cell r="G4188">
            <v>1741.06</v>
          </cell>
          <cell r="H4188">
            <v>2603894.5148</v>
          </cell>
          <cell r="I4188" t="str">
            <v>534</v>
          </cell>
        </row>
        <row r="4189">
          <cell r="A4189" t="str">
            <v>USD</v>
          </cell>
          <cell r="B4189" t="str">
            <v>534000111</v>
          </cell>
          <cell r="C4189" t="str">
            <v>Licastro Prado, Florencia &amp; Gaubeca Klix, Enrique</v>
          </cell>
          <cell r="G4189">
            <v>27432.48</v>
          </cell>
          <cell r="H4189">
            <v>41027468.4384</v>
          </cell>
          <cell r="I4189" t="str">
            <v>534</v>
          </cell>
        </row>
        <row r="4190">
          <cell r="A4190" t="str">
            <v>USD</v>
          </cell>
          <cell r="B4190" t="str">
            <v>534000115</v>
          </cell>
          <cell r="C4190" t="str">
            <v>Dansa S.A.</v>
          </cell>
          <cell r="G4190">
            <v>65000</v>
          </cell>
          <cell r="H4190">
            <v>97212700</v>
          </cell>
          <cell r="I4190" t="str">
            <v>534</v>
          </cell>
        </row>
        <row r="4191">
          <cell r="A4191" t="str">
            <v>USD</v>
          </cell>
          <cell r="B4191" t="str">
            <v>534000134</v>
          </cell>
          <cell r="C4191" t="str">
            <v>Martin, Nicolas &amp; Malaisi, Maria Belen</v>
          </cell>
          <cell r="G4191">
            <v>2787.76</v>
          </cell>
          <cell r="H4191">
            <v>4169318.1008000001</v>
          </cell>
          <cell r="I4191" t="str">
            <v>534</v>
          </cell>
        </row>
        <row r="4192">
          <cell r="A4192" t="str">
            <v>USD</v>
          </cell>
          <cell r="B4192" t="str">
            <v>534000154</v>
          </cell>
          <cell r="C4192" t="str">
            <v>Díaz, Matías Nicolás</v>
          </cell>
          <cell r="G4192">
            <v>59119.87</v>
          </cell>
          <cell r="H4192">
            <v>88418495.174600005</v>
          </cell>
          <cell r="I4192" t="str">
            <v>534</v>
          </cell>
        </row>
        <row r="4193">
          <cell r="A4193" t="str">
            <v>USD</v>
          </cell>
          <cell r="B4193" t="str">
            <v>534000162</v>
          </cell>
          <cell r="C4193" t="str">
            <v>Monaco Rolando &amp; Barolo María del Carmen</v>
          </cell>
          <cell r="G4193">
            <v>2508.59</v>
          </cell>
          <cell r="H4193">
            <v>3751797.0322000002</v>
          </cell>
          <cell r="I4193" t="str">
            <v>534</v>
          </cell>
        </row>
        <row r="4194">
          <cell r="A4194" t="str">
            <v>USD</v>
          </cell>
          <cell r="B4194" t="str">
            <v>534000170</v>
          </cell>
          <cell r="C4194" t="str">
            <v>Marini, María Victoria &amp; Dominguez, Juan Manuel</v>
          </cell>
          <cell r="G4194">
            <v>2.17</v>
          </cell>
          <cell r="H4194">
            <v>3245.4085999999998</v>
          </cell>
          <cell r="I4194" t="str">
            <v>534</v>
          </cell>
        </row>
        <row r="4195">
          <cell r="A4195" t="str">
            <v>USD</v>
          </cell>
          <cell r="B4195" t="str">
            <v>534000182</v>
          </cell>
          <cell r="C4195" t="str">
            <v>DUBAC URBANISMO S.A.</v>
          </cell>
          <cell r="G4195">
            <v>6991.13</v>
          </cell>
          <cell r="H4195">
            <v>10455794.205399999</v>
          </cell>
          <cell r="I4195" t="str">
            <v>534</v>
          </cell>
        </row>
        <row r="4196">
          <cell r="A4196" t="str">
            <v>USD</v>
          </cell>
          <cell r="B4196" t="str">
            <v>534000185</v>
          </cell>
          <cell r="C4196" t="str">
            <v>Bastanchuri, Ignacio &amp; Carpineti, Ma. Elena &amp; Bastanchuri, Ma. Mercedes (II)</v>
          </cell>
          <cell r="G4196">
            <v>37052.68</v>
          </cell>
          <cell r="H4196">
            <v>55415247.154399998</v>
          </cell>
          <cell r="I4196" t="str">
            <v>534</v>
          </cell>
        </row>
        <row r="4197">
          <cell r="A4197" t="str">
            <v>USD</v>
          </cell>
          <cell r="B4197" t="str">
            <v>534000204</v>
          </cell>
          <cell r="C4197" t="str">
            <v>Maggi, Ana Maria &amp; Caviglia, Fernando Cristian</v>
          </cell>
          <cell r="G4197">
            <v>8885.1299999999992</v>
          </cell>
          <cell r="H4197">
            <v>13288422.725399999</v>
          </cell>
          <cell r="I4197" t="str">
            <v>534</v>
          </cell>
        </row>
        <row r="4198">
          <cell r="A4198" t="str">
            <v>USD</v>
          </cell>
          <cell r="B4198" t="str">
            <v>534000206</v>
          </cell>
          <cell r="C4198" t="str">
            <v>Podesta, Maximiliano</v>
          </cell>
          <cell r="G4198">
            <v>5353.71</v>
          </cell>
          <cell r="H4198">
            <v>8006901.6017999994</v>
          </cell>
          <cell r="I4198" t="str">
            <v>534</v>
          </cell>
        </row>
        <row r="4199">
          <cell r="A4199" t="str">
            <v>USD</v>
          </cell>
          <cell r="B4199" t="str">
            <v>534000207</v>
          </cell>
          <cell r="C4199" t="str">
            <v>Bertsos, Martin Alejandro</v>
          </cell>
          <cell r="G4199">
            <v>10217.540000000001</v>
          </cell>
          <cell r="H4199">
            <v>15281148.473200001</v>
          </cell>
          <cell r="I4199" t="str">
            <v>534</v>
          </cell>
        </row>
        <row r="4200">
          <cell r="A4200" t="str">
            <v>USD</v>
          </cell>
          <cell r="B4200" t="str">
            <v>534000209</v>
          </cell>
          <cell r="C4200" t="str">
            <v>Campomane, María Cristina &amp; Percossi, María Luciana</v>
          </cell>
          <cell r="G4200">
            <v>7400.63</v>
          </cell>
          <cell r="H4200">
            <v>11068234.215399999</v>
          </cell>
          <cell r="I4200" t="str">
            <v>534</v>
          </cell>
        </row>
        <row r="4201">
          <cell r="A4201" t="str">
            <v>USD</v>
          </cell>
          <cell r="B4201" t="str">
            <v>534000210</v>
          </cell>
          <cell r="C4201" t="str">
            <v>Magri, José &amp; Prieto, Cecilia</v>
          </cell>
          <cell r="G4201">
            <v>17291.18</v>
          </cell>
          <cell r="H4201">
            <v>25860342.9844</v>
          </cell>
          <cell r="I4201" t="str">
            <v>534</v>
          </cell>
        </row>
        <row r="4202">
          <cell r="A4202" t="str">
            <v>USD</v>
          </cell>
          <cell r="B4202" t="str">
            <v>534000300</v>
          </cell>
          <cell r="C4202" t="str">
            <v>BCSA SD AXIS ESTRATEGIA 14</v>
          </cell>
          <cell r="G4202">
            <v>14043.29</v>
          </cell>
          <cell r="H4202">
            <v>21002863.658199999</v>
          </cell>
          <cell r="I4202" t="str">
            <v>534</v>
          </cell>
        </row>
        <row r="4203">
          <cell r="A4203" t="str">
            <v>USD</v>
          </cell>
          <cell r="B4203" t="str">
            <v>534000502</v>
          </cell>
          <cell r="C4203" t="str">
            <v>Laffont Oscar &amp; Perri Mariana</v>
          </cell>
          <cell r="G4203">
            <v>10000</v>
          </cell>
          <cell r="H4203">
            <v>14955800</v>
          </cell>
          <cell r="I4203" t="str">
            <v>534</v>
          </cell>
        </row>
        <row r="4204">
          <cell r="A4204" t="str">
            <v>USD</v>
          </cell>
          <cell r="B4204" t="str">
            <v>534000651</v>
          </cell>
          <cell r="C4204" t="str">
            <v>FARMACIA MARIA LAURA CURRO SCS</v>
          </cell>
          <cell r="G4204">
            <v>11837.66</v>
          </cell>
          <cell r="H4204">
            <v>17704167.542799998</v>
          </cell>
          <cell r="I4204" t="str">
            <v>534</v>
          </cell>
        </row>
        <row r="4205">
          <cell r="A4205" t="str">
            <v>USD</v>
          </cell>
          <cell r="B4205" t="str">
            <v>534000652</v>
          </cell>
          <cell r="C4205" t="str">
            <v>NUEVA FARMACIA MOURIN SCS</v>
          </cell>
          <cell r="G4205">
            <v>12946.84</v>
          </cell>
          <cell r="H4205">
            <v>19363034.9672</v>
          </cell>
          <cell r="I4205" t="str">
            <v>534</v>
          </cell>
        </row>
        <row r="4206">
          <cell r="A4206" t="str">
            <v>USD</v>
          </cell>
          <cell r="B4206" t="str">
            <v>534000653</v>
          </cell>
          <cell r="C4206" t="str">
            <v>SAN MARTIN 3300 SCS</v>
          </cell>
          <cell r="G4206">
            <v>32112.799999999999</v>
          </cell>
          <cell r="H4206">
            <v>48027261.423999995</v>
          </cell>
          <cell r="I4206" t="str">
            <v>534</v>
          </cell>
        </row>
        <row r="4207">
          <cell r="A4207" t="str">
            <v>USD</v>
          </cell>
          <cell r="B4207" t="str">
            <v>534000654</v>
          </cell>
          <cell r="C4207" t="str">
            <v>ROCALAN S.C.S.</v>
          </cell>
          <cell r="G4207">
            <v>17606.16</v>
          </cell>
          <cell r="H4207">
            <v>26331420.772799999</v>
          </cell>
          <cell r="I4207" t="str">
            <v>534</v>
          </cell>
        </row>
        <row r="4208">
          <cell r="A4208" t="str">
            <v>USD</v>
          </cell>
          <cell r="B4208" t="str">
            <v>534000655</v>
          </cell>
          <cell r="C4208" t="str">
            <v>FARMACIA CABEZUELO SCS</v>
          </cell>
          <cell r="G4208">
            <v>3266.01</v>
          </cell>
          <cell r="H4208">
            <v>4884579.2357999999</v>
          </cell>
          <cell r="I4208" t="str">
            <v>534</v>
          </cell>
        </row>
        <row r="4209">
          <cell r="A4209" t="str">
            <v>USD</v>
          </cell>
          <cell r="B4209" t="str">
            <v>534000656</v>
          </cell>
          <cell r="C4209" t="str">
            <v>PFM MARCOS AVELLANEDA SCS</v>
          </cell>
          <cell r="G4209">
            <v>9015.89</v>
          </cell>
          <cell r="H4209">
            <v>13483984.766199999</v>
          </cell>
          <cell r="I4209" t="str">
            <v>534</v>
          </cell>
        </row>
        <row r="4210">
          <cell r="A4210" t="str">
            <v>USD</v>
          </cell>
          <cell r="B4210" t="str">
            <v>534000657</v>
          </cell>
          <cell r="C4210" t="str">
            <v>FARMACIA ESCALADA DE LANUS SCS</v>
          </cell>
          <cell r="G4210">
            <v>17351.03</v>
          </cell>
          <cell r="H4210">
            <v>25949853.447399996</v>
          </cell>
          <cell r="I4210" t="str">
            <v>534</v>
          </cell>
        </row>
        <row r="4211">
          <cell r="A4211" t="str">
            <v>USD</v>
          </cell>
          <cell r="B4211" t="str">
            <v>534000659</v>
          </cell>
          <cell r="C4211" t="str">
            <v>RIVADALVEAR SCS</v>
          </cell>
          <cell r="G4211">
            <v>33728.1</v>
          </cell>
          <cell r="H4211">
            <v>50443071.797999993</v>
          </cell>
          <cell r="I4211" t="str">
            <v>534</v>
          </cell>
        </row>
        <row r="4212">
          <cell r="A4212" t="str">
            <v>USD</v>
          </cell>
          <cell r="B4212" t="str">
            <v>534000660</v>
          </cell>
          <cell r="C4212" t="str">
            <v>FARMACUSTOM BERNAL SCS</v>
          </cell>
          <cell r="G4212">
            <v>3243.2</v>
          </cell>
          <cell r="H4212">
            <v>4850465.0559999999</v>
          </cell>
          <cell r="I4212" t="str">
            <v>534</v>
          </cell>
        </row>
        <row r="4213">
          <cell r="A4213" t="str">
            <v>USD</v>
          </cell>
          <cell r="B4213" t="str">
            <v>534000661</v>
          </cell>
          <cell r="C4213" t="str">
            <v>FARMACIA FDOCE SCS</v>
          </cell>
          <cell r="G4213">
            <v>20247.25</v>
          </cell>
          <cell r="H4213">
            <v>30281382.154999997</v>
          </cell>
          <cell r="I4213" t="str">
            <v>534</v>
          </cell>
        </row>
        <row r="4214">
          <cell r="A4214" t="str">
            <v>USD</v>
          </cell>
          <cell r="B4214" t="str">
            <v>534000662</v>
          </cell>
          <cell r="C4214" t="str">
            <v>FARMACIA DE LA PLAZA SCS</v>
          </cell>
          <cell r="G4214">
            <v>24248.94</v>
          </cell>
          <cell r="H4214">
            <v>36266229.685199998</v>
          </cell>
          <cell r="I4214" t="str">
            <v>534</v>
          </cell>
        </row>
        <row r="4215">
          <cell r="A4215" t="str">
            <v>USD</v>
          </cell>
          <cell r="B4215" t="str">
            <v>534000663</v>
          </cell>
          <cell r="C4215" t="str">
            <v>FARMACIA TORRES SCS</v>
          </cell>
          <cell r="G4215">
            <v>5467.81</v>
          </cell>
          <cell r="H4215">
            <v>8177547.2798000006</v>
          </cell>
          <cell r="I4215" t="str">
            <v>534</v>
          </cell>
        </row>
        <row r="4216">
          <cell r="A4216" t="str">
            <v>USD</v>
          </cell>
          <cell r="B4216" t="str">
            <v>534000666</v>
          </cell>
          <cell r="C4216" t="str">
            <v>GRUPO FARMACEUTICO SCS</v>
          </cell>
          <cell r="G4216">
            <v>21910.1</v>
          </cell>
          <cell r="H4216">
            <v>32768307.357999995</v>
          </cell>
          <cell r="I4216" t="str">
            <v>534</v>
          </cell>
        </row>
        <row r="4217">
          <cell r="A4217" t="str">
            <v>USD</v>
          </cell>
          <cell r="B4217" t="str">
            <v>534000667</v>
          </cell>
          <cell r="C4217" t="str">
            <v>PFM NUEVA PRADO SCS</v>
          </cell>
          <cell r="G4217">
            <v>30161.1</v>
          </cell>
          <cell r="H4217">
            <v>45108337.937999994</v>
          </cell>
          <cell r="I4217" t="str">
            <v>534</v>
          </cell>
        </row>
        <row r="4218">
          <cell r="A4218" t="str">
            <v>USD</v>
          </cell>
          <cell r="B4218" t="str">
            <v>534000668</v>
          </cell>
          <cell r="C4218" t="str">
            <v>SBATELLA FARMACEUTICA SCS</v>
          </cell>
          <cell r="G4218">
            <v>37014</v>
          </cell>
          <cell r="H4218">
            <v>55357398.119999997</v>
          </cell>
          <cell r="I4218" t="str">
            <v>534</v>
          </cell>
        </row>
        <row r="4219">
          <cell r="A4219" t="str">
            <v>USD</v>
          </cell>
          <cell r="B4219" t="str">
            <v>534000669</v>
          </cell>
          <cell r="C4219" t="str">
            <v>PFM ITATI SCS</v>
          </cell>
          <cell r="G4219">
            <v>39549.65</v>
          </cell>
          <cell r="H4219">
            <v>59149665.546999998</v>
          </cell>
          <cell r="I4219" t="str">
            <v>534</v>
          </cell>
        </row>
        <row r="4220">
          <cell r="A4220" t="str">
            <v>USD</v>
          </cell>
          <cell r="B4220" t="str">
            <v>534000670</v>
          </cell>
          <cell r="C4220" t="str">
            <v>PFM BEFFA SCS</v>
          </cell>
          <cell r="G4220">
            <v>25235.4</v>
          </cell>
          <cell r="H4220">
            <v>37741559.531999998</v>
          </cell>
          <cell r="I4220" t="str">
            <v>534</v>
          </cell>
        </row>
        <row r="4221">
          <cell r="A4221" t="str">
            <v>USD</v>
          </cell>
          <cell r="B4221" t="str">
            <v>534000671</v>
          </cell>
          <cell r="C4221" t="str">
            <v>PFM SAN MARTIN 2101 SCS</v>
          </cell>
          <cell r="G4221">
            <v>21467.4</v>
          </cell>
          <cell r="H4221">
            <v>32106214.092</v>
          </cell>
          <cell r="I4221" t="str">
            <v>534</v>
          </cell>
        </row>
        <row r="4222">
          <cell r="A4222" t="str">
            <v>USD</v>
          </cell>
          <cell r="B4222" t="str">
            <v>534000672</v>
          </cell>
          <cell r="C4222" t="str">
            <v>PFM CHINGOLO SCS</v>
          </cell>
          <cell r="G4222">
            <v>15241.86</v>
          </cell>
          <cell r="H4222">
            <v>22795420.978799999</v>
          </cell>
          <cell r="I4222" t="str">
            <v>534</v>
          </cell>
        </row>
        <row r="4223">
          <cell r="A4223" t="str">
            <v>USD</v>
          </cell>
          <cell r="B4223" t="str">
            <v>534000673</v>
          </cell>
          <cell r="C4223" t="str">
            <v>FARMACIA TUYUTI SCS</v>
          </cell>
          <cell r="G4223">
            <v>11877</v>
          </cell>
          <cell r="H4223">
            <v>17763003.66</v>
          </cell>
          <cell r="I4223" t="str">
            <v>534</v>
          </cell>
        </row>
        <row r="4224">
          <cell r="A4224" t="str">
            <v>USD</v>
          </cell>
          <cell r="B4224" t="str">
            <v>534000674</v>
          </cell>
          <cell r="C4224" t="str">
            <v>FARMACIA BIO SCS</v>
          </cell>
          <cell r="G4224">
            <v>2570.1</v>
          </cell>
          <cell r="H4224">
            <v>3843790.1579999998</v>
          </cell>
          <cell r="I4224" t="str">
            <v>534</v>
          </cell>
        </row>
        <row r="4225">
          <cell r="A4225" t="str">
            <v>USD</v>
          </cell>
          <cell r="B4225" t="str">
            <v>534000675</v>
          </cell>
          <cell r="C4225" t="str">
            <v>WARNES FARMACEUTICA SCS</v>
          </cell>
          <cell r="G4225">
            <v>12279.2</v>
          </cell>
          <cell r="H4225">
            <v>18364525.936000001</v>
          </cell>
          <cell r="I4225" t="str">
            <v>534</v>
          </cell>
        </row>
        <row r="4226">
          <cell r="A4226" t="str">
            <v>USD</v>
          </cell>
          <cell r="B4226" t="str">
            <v>534000678</v>
          </cell>
          <cell r="C4226" t="str">
            <v>FARMACIA LIBERTADORES DE BURZACO S.C.S.</v>
          </cell>
          <cell r="G4226">
            <v>23486.45</v>
          </cell>
          <cell r="H4226">
            <v>35125864.891000003</v>
          </cell>
          <cell r="I4226" t="str">
            <v>534</v>
          </cell>
        </row>
        <row r="4227">
          <cell r="A4227" t="str">
            <v>USD</v>
          </cell>
          <cell r="B4227" t="str">
            <v>534000679</v>
          </cell>
          <cell r="C4227" t="str">
            <v>PUNTOFARMA AGRUPACION</v>
          </cell>
          <cell r="G4227">
            <v>190325.87</v>
          </cell>
          <cell r="H4227">
            <v>284647564.65459996</v>
          </cell>
          <cell r="I4227" t="str">
            <v>534</v>
          </cell>
        </row>
        <row r="4228">
          <cell r="A4228" t="str">
            <v>USD</v>
          </cell>
          <cell r="B4228" t="str">
            <v>534000752</v>
          </cell>
          <cell r="C4228" t="str">
            <v>BLKLEDS S.A.</v>
          </cell>
          <cell r="G4228">
            <v>12847.23</v>
          </cell>
          <cell r="H4228">
            <v>19214060.2434</v>
          </cell>
          <cell r="I4228" t="str">
            <v>534</v>
          </cell>
        </row>
        <row r="4229">
          <cell r="A4229" t="str">
            <v>USD</v>
          </cell>
          <cell r="B4229" t="str">
            <v>534000817</v>
          </cell>
          <cell r="C4229" t="str">
            <v>E-FRA IN S.A.</v>
          </cell>
          <cell r="G4229">
            <v>137.13</v>
          </cell>
          <cell r="H4229">
            <v>205088.88539999997</v>
          </cell>
          <cell r="I4229" t="str">
            <v>534</v>
          </cell>
        </row>
        <row r="4230">
          <cell r="A4230" t="str">
            <v>USD</v>
          </cell>
          <cell r="B4230" t="str">
            <v>534000824</v>
          </cell>
          <cell r="C4230" t="str">
            <v>Esteban Cordero SRL</v>
          </cell>
          <cell r="G4230">
            <v>367900</v>
          </cell>
          <cell r="H4230">
            <v>550223882</v>
          </cell>
          <cell r="I4230" t="str">
            <v>534</v>
          </cell>
        </row>
        <row r="4231">
          <cell r="A4231" t="str">
            <v>USD</v>
          </cell>
          <cell r="B4231" t="str">
            <v>534000869</v>
          </cell>
          <cell r="C4231" t="str">
            <v>CETRANGOLO SCS</v>
          </cell>
          <cell r="G4231">
            <v>31937.919999999998</v>
          </cell>
          <cell r="H4231">
            <v>47765714.393599994</v>
          </cell>
          <cell r="I4231" t="str">
            <v>534</v>
          </cell>
        </row>
        <row r="4232">
          <cell r="A4232" t="str">
            <v>USD</v>
          </cell>
          <cell r="B4232" t="str">
            <v>534000876</v>
          </cell>
          <cell r="C4232" t="str">
            <v xml:space="preserve">THIS IS DENIM SRL </v>
          </cell>
          <cell r="G4232">
            <v>6913.22</v>
          </cell>
          <cell r="H4232">
            <v>10339273.567600001</v>
          </cell>
          <cell r="I4232" t="str">
            <v>534</v>
          </cell>
        </row>
        <row r="4233">
          <cell r="A4233" t="str">
            <v>USD</v>
          </cell>
          <cell r="B4233" t="str">
            <v>534000941</v>
          </cell>
          <cell r="C4233" t="str">
            <v>Materiales Rurales El Quebracho S.A.</v>
          </cell>
          <cell r="G4233">
            <v>61732</v>
          </cell>
          <cell r="H4233">
            <v>92325144.560000002</v>
          </cell>
          <cell r="I4233" t="str">
            <v>534</v>
          </cell>
        </row>
        <row r="4234">
          <cell r="A4234" t="str">
            <v>USD</v>
          </cell>
          <cell r="B4234" t="str">
            <v>534001310</v>
          </cell>
          <cell r="C4234" t="str">
            <v>Guasp, Pablo Miguel</v>
          </cell>
          <cell r="G4234">
            <v>38.17</v>
          </cell>
          <cell r="H4234">
            <v>57086.2886</v>
          </cell>
          <cell r="I4234" t="str">
            <v>534</v>
          </cell>
        </row>
        <row r="4235">
          <cell r="A4235" t="str">
            <v>USD</v>
          </cell>
          <cell r="B4235" t="str">
            <v>534001353</v>
          </cell>
          <cell r="C4235" t="str">
            <v>Senillosa Vidal, Eduardo</v>
          </cell>
          <cell r="G4235">
            <v>11715.21</v>
          </cell>
          <cell r="H4235">
            <v>17521033.771799996</v>
          </cell>
          <cell r="I4235" t="str">
            <v>534</v>
          </cell>
        </row>
        <row r="4236">
          <cell r="A4236" t="str">
            <v>USD</v>
          </cell>
          <cell r="B4236" t="str">
            <v>534001358</v>
          </cell>
          <cell r="C4236" t="str">
            <v>Gomez Pola, Matias</v>
          </cell>
          <cell r="G4236">
            <v>9501.77</v>
          </cell>
          <cell r="H4236">
            <v>14210657.1766</v>
          </cell>
          <cell r="I4236" t="str">
            <v>534</v>
          </cell>
        </row>
        <row r="4237">
          <cell r="A4237" t="str">
            <v>USD</v>
          </cell>
          <cell r="B4237" t="str">
            <v>534002000</v>
          </cell>
          <cell r="C4237" t="str">
            <v>[C.E.R.A.] Marzotta, Stefano</v>
          </cell>
          <cell r="G4237">
            <v>31534.81</v>
          </cell>
          <cell r="H4237">
            <v>47162831.139799997</v>
          </cell>
          <cell r="I4237" t="str">
            <v>534</v>
          </cell>
        </row>
        <row r="4238">
          <cell r="A4238" t="str">
            <v>USD</v>
          </cell>
          <cell r="B4238" t="str">
            <v>534002001</v>
          </cell>
          <cell r="C4238" t="str">
            <v>[C.E.R.A.]  Busquet, Miguel Angel</v>
          </cell>
          <cell r="G4238">
            <v>33745.120000000003</v>
          </cell>
          <cell r="H4238">
            <v>50468526.569600001</v>
          </cell>
          <cell r="I4238" t="str">
            <v>534</v>
          </cell>
        </row>
        <row r="4239">
          <cell r="A4239" t="str">
            <v>USD</v>
          </cell>
          <cell r="B4239" t="str">
            <v>534002004</v>
          </cell>
          <cell r="C4239" t="str">
            <v>[C.E.R.A.] Buciol, Ariel</v>
          </cell>
          <cell r="G4239">
            <v>49206.52</v>
          </cell>
          <cell r="H4239">
            <v>73592287.18159999</v>
          </cell>
          <cell r="I4239" t="str">
            <v>534</v>
          </cell>
        </row>
        <row r="4240">
          <cell r="A4240" t="str">
            <v>USD</v>
          </cell>
          <cell r="B4240" t="str">
            <v>534002007</v>
          </cell>
          <cell r="C4240" t="str">
            <v>[C.E.R.A.] Micheltorena, Ariel Norberto</v>
          </cell>
          <cell r="G4240">
            <v>63472.82</v>
          </cell>
          <cell r="H4240">
            <v>94928680.135600001</v>
          </cell>
          <cell r="I4240" t="str">
            <v>534</v>
          </cell>
        </row>
        <row r="4241">
          <cell r="A4241" t="str">
            <v>USD</v>
          </cell>
          <cell r="B4241" t="str">
            <v>534005015</v>
          </cell>
          <cell r="C4241" t="str">
            <v xml:space="preserve">Gusmerini, Fernando Javier </v>
          </cell>
          <cell r="G4241">
            <v>11918.79</v>
          </cell>
          <cell r="H4241">
            <v>17825503.948199999</v>
          </cell>
          <cell r="I4241" t="str">
            <v>534</v>
          </cell>
        </row>
        <row r="4242">
          <cell r="A4242" t="str">
            <v>USD</v>
          </cell>
          <cell r="B4242" t="str">
            <v>534005103</v>
          </cell>
          <cell r="C4242" t="str">
            <v>Martino, Marcelo Osvaldo</v>
          </cell>
          <cell r="G4242">
            <v>5411.02</v>
          </cell>
          <cell r="H4242">
            <v>8092613.2916000001</v>
          </cell>
          <cell r="I4242" t="str">
            <v>534</v>
          </cell>
        </row>
        <row r="4243">
          <cell r="A4243" t="str">
            <v>USD</v>
          </cell>
          <cell r="B4243" t="str">
            <v>534005105</v>
          </cell>
          <cell r="C4243" t="str">
            <v>Maneiro, Sergio Ariel</v>
          </cell>
          <cell r="G4243">
            <v>9045.1</v>
          </cell>
          <cell r="H4243">
            <v>13527670.658</v>
          </cell>
          <cell r="I4243" t="str">
            <v>534</v>
          </cell>
        </row>
        <row r="4244">
          <cell r="A4244" t="str">
            <v>USD</v>
          </cell>
          <cell r="B4244" t="str">
            <v>534005122</v>
          </cell>
          <cell r="C4244" t="str">
            <v>Galindo, Mabel Iris &amp; Aguiló, Hugo Osvaldo</v>
          </cell>
          <cell r="G4244">
            <v>752.58</v>
          </cell>
          <cell r="H4244">
            <v>1125543.5963999999</v>
          </cell>
          <cell r="I4244" t="str">
            <v>534</v>
          </cell>
        </row>
        <row r="4245">
          <cell r="A4245" t="str">
            <v>USD</v>
          </cell>
          <cell r="B4245" t="str">
            <v>534005141</v>
          </cell>
          <cell r="C4245" t="str">
            <v>Waddle, Alejandro Osvaldo</v>
          </cell>
          <cell r="G4245">
            <v>1519.29</v>
          </cell>
          <cell r="H4245">
            <v>2272219.7382</v>
          </cell>
          <cell r="I4245" t="str">
            <v>534</v>
          </cell>
        </row>
        <row r="4246">
          <cell r="A4246" t="str">
            <v>USD</v>
          </cell>
          <cell r="B4246" t="str">
            <v>534005147</v>
          </cell>
          <cell r="C4246" t="str">
            <v>Urbano, Raul Omar &amp; Borgogna, Adriana Mercedes Luisa</v>
          </cell>
          <cell r="G4246">
            <v>1549.5</v>
          </cell>
          <cell r="H4246">
            <v>2317401.21</v>
          </cell>
          <cell r="I4246" t="str">
            <v>534</v>
          </cell>
        </row>
        <row r="4247">
          <cell r="A4247" t="str">
            <v>USD</v>
          </cell>
          <cell r="B4247" t="str">
            <v>534005152</v>
          </cell>
          <cell r="C4247" t="str">
            <v>Pedrotti, Victoria</v>
          </cell>
          <cell r="G4247">
            <v>881.98</v>
          </cell>
          <cell r="H4247">
            <v>1319071.6484000001</v>
          </cell>
          <cell r="I4247" t="str">
            <v>534</v>
          </cell>
        </row>
        <row r="4248">
          <cell r="A4248" t="str">
            <v>USD</v>
          </cell>
          <cell r="B4248" t="str">
            <v>534005178</v>
          </cell>
          <cell r="C4248" t="str">
            <v>Bermudez, Natalia Veronica</v>
          </cell>
          <cell r="G4248">
            <v>33500</v>
          </cell>
          <cell r="H4248">
            <v>50101930</v>
          </cell>
          <cell r="I4248" t="str">
            <v>534</v>
          </cell>
        </row>
        <row r="4249">
          <cell r="A4249" t="str">
            <v>USD</v>
          </cell>
          <cell r="B4249" t="str">
            <v>534005179</v>
          </cell>
          <cell r="C4249" t="str">
            <v>Diaz, Juan Ignacio</v>
          </cell>
          <cell r="G4249">
            <v>7304.95</v>
          </cell>
          <cell r="H4249">
            <v>10925137.120999999</v>
          </cell>
          <cell r="I4249" t="str">
            <v>534</v>
          </cell>
        </row>
        <row r="4250">
          <cell r="A4250" t="str">
            <v>USD</v>
          </cell>
          <cell r="B4250" t="str">
            <v>534005189</v>
          </cell>
          <cell r="C4250" t="str">
            <v>Vega Riera, Julieta</v>
          </cell>
          <cell r="G4250">
            <v>391</v>
          </cell>
          <cell r="H4250">
            <v>584771.78</v>
          </cell>
          <cell r="I4250" t="str">
            <v>534</v>
          </cell>
        </row>
        <row r="4251">
          <cell r="A4251" t="str">
            <v>USD</v>
          </cell>
          <cell r="B4251" t="str">
            <v>534005193</v>
          </cell>
          <cell r="C4251" t="str">
            <v>Civarolo, Maria Mercedes</v>
          </cell>
          <cell r="G4251">
            <v>5721.01</v>
          </cell>
          <cell r="H4251">
            <v>8556228.1358000003</v>
          </cell>
          <cell r="I4251" t="str">
            <v>534</v>
          </cell>
        </row>
        <row r="4252">
          <cell r="A4252" t="str">
            <v>USD</v>
          </cell>
          <cell r="B4252" t="str">
            <v>534005196</v>
          </cell>
          <cell r="C4252" t="str">
            <v>Invernizzi, Martin Alberto &amp; Invernizzi Anselmi, Fabrizio Marco</v>
          </cell>
          <cell r="G4252">
            <v>9647.9</v>
          </cell>
          <cell r="H4252">
            <v>14429206.282</v>
          </cell>
          <cell r="I4252" t="str">
            <v>534</v>
          </cell>
        </row>
        <row r="4253">
          <cell r="A4253" t="str">
            <v>USD</v>
          </cell>
          <cell r="B4253" t="str">
            <v>534005201</v>
          </cell>
          <cell r="C4253" t="str">
            <v>Magri, Jose</v>
          </cell>
          <cell r="G4253">
            <v>2754.44</v>
          </cell>
          <cell r="H4253">
            <v>4119485.3751999997</v>
          </cell>
          <cell r="I4253" t="str">
            <v>534</v>
          </cell>
        </row>
        <row r="4254">
          <cell r="A4254" t="str">
            <v>USD</v>
          </cell>
          <cell r="B4254" t="str">
            <v>534005263</v>
          </cell>
          <cell r="C4254" t="str">
            <v>Allamano Costa, Nicolas</v>
          </cell>
          <cell r="G4254">
            <v>8777.11</v>
          </cell>
          <cell r="H4254">
            <v>13126870.173800001</v>
          </cell>
          <cell r="I4254" t="str">
            <v>534</v>
          </cell>
        </row>
        <row r="4255">
          <cell r="A4255" t="str">
            <v>USD</v>
          </cell>
          <cell r="B4255" t="str">
            <v>534005266</v>
          </cell>
          <cell r="C4255" t="str">
            <v>Santos, Juan Carlos o Giscafre, Nelly</v>
          </cell>
          <cell r="G4255">
            <v>47.04</v>
          </cell>
          <cell r="H4255">
            <v>70352.083199999994</v>
          </cell>
          <cell r="I4255" t="str">
            <v>534</v>
          </cell>
        </row>
        <row r="4256">
          <cell r="A4256" t="str">
            <v>USD</v>
          </cell>
          <cell r="B4256" t="str">
            <v>534005270</v>
          </cell>
          <cell r="C4256" t="str">
            <v>Clarke, Fernando Alfredo</v>
          </cell>
          <cell r="G4256">
            <v>147.88</v>
          </cell>
          <cell r="H4256">
            <v>221166.37039999999</v>
          </cell>
          <cell r="I4256" t="str">
            <v>534</v>
          </cell>
        </row>
        <row r="4257">
          <cell r="A4257" t="str">
            <v>USD</v>
          </cell>
          <cell r="B4257" t="str">
            <v>534005281</v>
          </cell>
          <cell r="C4257" t="str">
            <v>Ramirez, Facundo Alberto Daniel</v>
          </cell>
          <cell r="G4257">
            <v>71.239999999999995</v>
          </cell>
          <cell r="H4257">
            <v>106545.11919999999</v>
          </cell>
          <cell r="I4257" t="str">
            <v>534</v>
          </cell>
        </row>
        <row r="4258">
          <cell r="A4258" t="str">
            <v>USD</v>
          </cell>
          <cell r="B4258" t="str">
            <v>534005283</v>
          </cell>
          <cell r="C4258" t="str">
            <v>Fernandez Balbis, Federico &amp; Terpin, Adriana Mabel</v>
          </cell>
          <cell r="G4258">
            <v>12576.86</v>
          </cell>
          <cell r="H4258">
            <v>18809700.2788</v>
          </cell>
          <cell r="I4258" t="str">
            <v>534</v>
          </cell>
        </row>
        <row r="4259">
          <cell r="A4259" t="str">
            <v>USD</v>
          </cell>
          <cell r="B4259" t="str">
            <v>534005286</v>
          </cell>
          <cell r="C4259" t="str">
            <v>Lopez, Ramiro</v>
          </cell>
          <cell r="G4259">
            <v>1.2</v>
          </cell>
          <cell r="H4259">
            <v>1794.6959999999999</v>
          </cell>
          <cell r="I4259" t="str">
            <v>534</v>
          </cell>
        </row>
        <row r="4260">
          <cell r="A4260" t="str">
            <v>USD</v>
          </cell>
          <cell r="B4260" t="str">
            <v>534005289</v>
          </cell>
          <cell r="C4260" t="str">
            <v>IBS CORDOBA SA</v>
          </cell>
          <cell r="G4260">
            <v>65569.05</v>
          </cell>
          <cell r="H4260">
            <v>98063759.798999995</v>
          </cell>
          <cell r="I4260" t="str">
            <v>534</v>
          </cell>
        </row>
        <row r="4261">
          <cell r="A4261" t="str">
            <v>USD</v>
          </cell>
          <cell r="B4261" t="str">
            <v>534005290</v>
          </cell>
          <cell r="C4261" t="str">
            <v>Gaubeca Klix, Federico</v>
          </cell>
          <cell r="G4261">
            <v>52.98</v>
          </cell>
          <cell r="H4261">
            <v>79235.828399999999</v>
          </cell>
          <cell r="I4261" t="str">
            <v>534</v>
          </cell>
        </row>
        <row r="4262">
          <cell r="A4262" t="str">
            <v>USD</v>
          </cell>
          <cell r="B4262" t="str">
            <v>534005297</v>
          </cell>
          <cell r="C4262" t="str">
            <v>PFM NUEVA FARMACIA BARRIAL SCS</v>
          </cell>
          <cell r="G4262">
            <v>10058.4</v>
          </cell>
          <cell r="H4262">
            <v>15043141.872</v>
          </cell>
          <cell r="I4262" t="str">
            <v>534</v>
          </cell>
        </row>
        <row r="4263">
          <cell r="A4263" t="str">
            <v>USD</v>
          </cell>
          <cell r="B4263" t="str">
            <v>554000007</v>
          </cell>
          <cell r="C4263" t="str">
            <v>GUIDO HERNAN SCALABRELLI</v>
          </cell>
          <cell r="G4263">
            <v>23203</v>
          </cell>
          <cell r="H4263">
            <v>34701942.739999995</v>
          </cell>
          <cell r="I4263" t="str">
            <v>554</v>
          </cell>
        </row>
        <row r="4264">
          <cell r="A4264" t="str">
            <v>USD</v>
          </cell>
          <cell r="B4264" t="str">
            <v>554000307</v>
          </cell>
          <cell r="C4264" t="str">
            <v>Los Coirones S.A.</v>
          </cell>
          <cell r="G4264">
            <v>23449.34</v>
          </cell>
          <cell r="H4264">
            <v>35070363.917199999</v>
          </cell>
          <cell r="I4264" t="str">
            <v>554</v>
          </cell>
        </row>
        <row r="4265">
          <cell r="A4265" t="str">
            <v>USD</v>
          </cell>
          <cell r="B4265" t="str">
            <v>554000372</v>
          </cell>
          <cell r="C4265" t="str">
            <v>Quale SA</v>
          </cell>
          <cell r="G4265">
            <v>4058.1</v>
          </cell>
          <cell r="H4265">
            <v>6069213.1979999999</v>
          </cell>
          <cell r="I4265" t="str">
            <v>554</v>
          </cell>
        </row>
        <row r="4266">
          <cell r="A4266" t="str">
            <v>USD</v>
          </cell>
          <cell r="B4266" t="str">
            <v>554000397</v>
          </cell>
          <cell r="C4266" t="str">
            <v>Di Bari, Tomas Francisco</v>
          </cell>
          <cell r="G4266">
            <v>0.57999999999999996</v>
          </cell>
          <cell r="H4266">
            <v>867.43639999999994</v>
          </cell>
          <cell r="I4266" t="str">
            <v>554</v>
          </cell>
        </row>
        <row r="4267">
          <cell r="A4267" t="str">
            <v>USD</v>
          </cell>
          <cell r="B4267" t="str">
            <v>554000409</v>
          </cell>
          <cell r="C4267" t="str">
            <v>Benz Parts S.A.S</v>
          </cell>
          <cell r="G4267">
            <v>46932.56</v>
          </cell>
          <cell r="H4267">
            <v>70191398.08479999</v>
          </cell>
          <cell r="I4267" t="str">
            <v>554</v>
          </cell>
        </row>
        <row r="4268">
          <cell r="A4268" t="str">
            <v>USD</v>
          </cell>
          <cell r="B4268" t="str">
            <v>554000411</v>
          </cell>
          <cell r="C4268" t="str">
            <v>Meregalli, Fabio</v>
          </cell>
          <cell r="G4268">
            <v>4951.38</v>
          </cell>
          <cell r="H4268">
            <v>7405184.9003999997</v>
          </cell>
          <cell r="I4268" t="str">
            <v>554</v>
          </cell>
        </row>
        <row r="4269">
          <cell r="A4269" t="str">
            <v>USD</v>
          </cell>
          <cell r="B4269" t="str">
            <v>554000424</v>
          </cell>
          <cell r="C4269" t="str">
            <v>Nebot, Mariana Lourdes</v>
          </cell>
          <cell r="G4269">
            <v>99.59</v>
          </cell>
          <cell r="H4269">
            <v>148944.81219999999</v>
          </cell>
          <cell r="I4269" t="str">
            <v>554</v>
          </cell>
        </row>
        <row r="4270">
          <cell r="A4270" t="str">
            <v>USD</v>
          </cell>
          <cell r="B4270" t="str">
            <v>554000428</v>
          </cell>
          <cell r="C4270" t="str">
            <v>Foresi, Carlos Agustin</v>
          </cell>
          <cell r="G4270">
            <v>15666.43</v>
          </cell>
          <cell r="H4270">
            <v>23430399.3794</v>
          </cell>
          <cell r="I4270" t="str">
            <v>554</v>
          </cell>
        </row>
        <row r="4271">
          <cell r="A4271" t="str">
            <v>USD</v>
          </cell>
          <cell r="B4271" t="str">
            <v>554000435</v>
          </cell>
          <cell r="C4271" t="str">
            <v>Piscopo, Enrique Nicolas</v>
          </cell>
          <cell r="G4271">
            <v>296.88</v>
          </cell>
          <cell r="H4271">
            <v>444007.7904</v>
          </cell>
          <cell r="I4271" t="str">
            <v>554</v>
          </cell>
        </row>
        <row r="4272">
          <cell r="A4272" t="str">
            <v>USD</v>
          </cell>
          <cell r="B4272" t="str">
            <v>554000438</v>
          </cell>
          <cell r="C4272" t="str">
            <v>Cicchinelli, Claudio Enrique</v>
          </cell>
          <cell r="G4272">
            <v>7.06</v>
          </cell>
          <cell r="H4272">
            <v>10558.7948</v>
          </cell>
          <cell r="I4272" t="str">
            <v>554</v>
          </cell>
        </row>
        <row r="4273">
          <cell r="A4273" t="str">
            <v>USD</v>
          </cell>
          <cell r="B4273" t="str">
            <v>554001010</v>
          </cell>
          <cell r="C4273" t="str">
            <v>Di Bari, Ignacio</v>
          </cell>
          <cell r="G4273">
            <v>2898.3</v>
          </cell>
          <cell r="H4273">
            <v>4334639.5140000004</v>
          </cell>
          <cell r="I4273" t="str">
            <v>554</v>
          </cell>
        </row>
        <row r="4274">
          <cell r="A4274" t="str">
            <v>USD</v>
          </cell>
          <cell r="B4274" t="str">
            <v>554001212</v>
          </cell>
          <cell r="C4274" t="str">
            <v>Di Bari, José Ignacio Tomás</v>
          </cell>
          <cell r="G4274">
            <v>3999.99</v>
          </cell>
          <cell r="H4274">
            <v>5982305.0441999994</v>
          </cell>
          <cell r="I4274" t="str">
            <v>554</v>
          </cell>
        </row>
        <row r="4275">
          <cell r="A4275" t="str">
            <v>USD</v>
          </cell>
          <cell r="B4275" t="str">
            <v>560636006</v>
          </cell>
          <cell r="C4275" t="str">
            <v>Gabriel Matias Indihar</v>
          </cell>
          <cell r="G4275">
            <v>200249.05</v>
          </cell>
          <cell r="H4275">
            <v>299488474.19899994</v>
          </cell>
          <cell r="I4275" t="str">
            <v>560</v>
          </cell>
        </row>
        <row r="4276">
          <cell r="A4276" t="str">
            <v>USD</v>
          </cell>
          <cell r="B4276" t="str">
            <v>560636007</v>
          </cell>
          <cell r="C4276" t="str">
            <v>Omega Bursátil S.A.</v>
          </cell>
          <cell r="G4276">
            <v>2589299.16</v>
          </cell>
          <cell r="H4276">
            <v>3872504037.7128</v>
          </cell>
          <cell r="I4276" t="str">
            <v>560</v>
          </cell>
        </row>
        <row r="4277">
          <cell r="A4277" t="str">
            <v>USD</v>
          </cell>
          <cell r="B4277" t="str">
            <v>560636009</v>
          </cell>
          <cell r="C4277" t="str">
            <v>Rovan, Antonio Miguel</v>
          </cell>
          <cell r="G4277">
            <v>15223.95</v>
          </cell>
          <cell r="H4277">
            <v>22768635.140999999</v>
          </cell>
          <cell r="I4277" t="str">
            <v>560</v>
          </cell>
        </row>
        <row r="4278">
          <cell r="A4278" t="str">
            <v>USD</v>
          </cell>
          <cell r="B4278" t="str">
            <v>560636011</v>
          </cell>
          <cell r="C4278" t="str">
            <v>Indihar, Monica Silvia</v>
          </cell>
          <cell r="G4278">
            <v>12245.81</v>
          </cell>
          <cell r="H4278">
            <v>18314588.5198</v>
          </cell>
          <cell r="I4278" t="str">
            <v>560</v>
          </cell>
        </row>
        <row r="4279">
          <cell r="A4279" t="str">
            <v>USD</v>
          </cell>
          <cell r="B4279" t="str">
            <v>560636029</v>
          </cell>
          <cell r="C4279" t="str">
            <v>Margarita Potocnik &amp; Michelle Sterzovsky</v>
          </cell>
          <cell r="G4279">
            <v>34.33</v>
          </cell>
          <cell r="H4279">
            <v>51343.261399999996</v>
          </cell>
          <cell r="I4279" t="str">
            <v>560</v>
          </cell>
        </row>
        <row r="4280">
          <cell r="A4280" t="str">
            <v>USD</v>
          </cell>
          <cell r="B4280" t="str">
            <v>560636030</v>
          </cell>
          <cell r="C4280" t="str">
            <v>Potocnik, Giselle</v>
          </cell>
          <cell r="G4280">
            <v>31980.77</v>
          </cell>
          <cell r="H4280">
            <v>47829799.996600002</v>
          </cell>
          <cell r="I4280" t="str">
            <v>560</v>
          </cell>
        </row>
        <row r="4281">
          <cell r="A4281" t="str">
            <v>USD</v>
          </cell>
          <cell r="B4281" t="str">
            <v>560636031</v>
          </cell>
          <cell r="C4281" t="str">
            <v xml:space="preserve">Matias Indihar and Bernarda Burgar </v>
          </cell>
          <cell r="G4281">
            <v>21659.1</v>
          </cell>
          <cell r="H4281">
            <v>32392916.777999997</v>
          </cell>
          <cell r="I4281" t="str">
            <v>560</v>
          </cell>
        </row>
        <row r="4282">
          <cell r="A4282" t="str">
            <v>USD</v>
          </cell>
          <cell r="B4282" t="str">
            <v>560636032</v>
          </cell>
          <cell r="C4282" t="str">
            <v>Stella Maris Menghi</v>
          </cell>
          <cell r="G4282">
            <v>2.5</v>
          </cell>
          <cell r="H4282">
            <v>3738.95</v>
          </cell>
          <cell r="I4282" t="str">
            <v>560</v>
          </cell>
        </row>
        <row r="4283">
          <cell r="A4283" t="str">
            <v>USD</v>
          </cell>
          <cell r="B4283" t="str">
            <v>560636095</v>
          </cell>
          <cell r="C4283" t="str">
            <v>Indihar, Mariano Andres</v>
          </cell>
          <cell r="G4283">
            <v>35429.949999999997</v>
          </cell>
          <cell r="H4283">
            <v>52988324.620999992</v>
          </cell>
          <cell r="I4283" t="str">
            <v>560</v>
          </cell>
        </row>
        <row r="4284">
          <cell r="A4284" t="str">
            <v>USD</v>
          </cell>
          <cell r="B4284" t="str">
            <v>560636106</v>
          </cell>
          <cell r="C4284" t="str">
            <v xml:space="preserve">Cooperativa de vivienda crédito y consumo Finadi LTDA.  </v>
          </cell>
          <cell r="G4284">
            <v>46490.69</v>
          </cell>
          <cell r="H4284">
            <v>69530546.150199994</v>
          </cell>
          <cell r="I4284" t="str">
            <v>560</v>
          </cell>
        </row>
        <row r="4285">
          <cell r="A4285" t="str">
            <v>USD</v>
          </cell>
          <cell r="B4285" t="str">
            <v>560636115</v>
          </cell>
          <cell r="C4285" t="str">
            <v>Spinaci, Ramiro</v>
          </cell>
          <cell r="G4285">
            <v>353586.57</v>
          </cell>
          <cell r="H4285">
            <v>528817002.36059999</v>
          </cell>
          <cell r="I4285" t="str">
            <v>560</v>
          </cell>
        </row>
        <row r="4286">
          <cell r="A4286" t="str">
            <v>USD</v>
          </cell>
          <cell r="B4286" t="str">
            <v>560636167</v>
          </cell>
          <cell r="C4286" t="str">
            <v>Sassani, Roberto Emiliano</v>
          </cell>
          <cell r="G4286">
            <v>65.44</v>
          </cell>
          <cell r="H4286">
            <v>97870.755199999985</v>
          </cell>
          <cell r="I4286" t="str">
            <v>560</v>
          </cell>
        </row>
        <row r="4287">
          <cell r="A4287" t="str">
            <v>USD</v>
          </cell>
          <cell r="B4287" t="str">
            <v>560636217</v>
          </cell>
          <cell r="C4287" t="str">
            <v>Montero, Mariano</v>
          </cell>
          <cell r="G4287">
            <v>127774.15</v>
          </cell>
          <cell r="H4287">
            <v>191096463.25699997</v>
          </cell>
          <cell r="I4287" t="str">
            <v>560</v>
          </cell>
        </row>
        <row r="4288">
          <cell r="A4288" t="str">
            <v>USD</v>
          </cell>
          <cell r="B4288" t="str">
            <v>560636238</v>
          </cell>
          <cell r="C4288" t="str">
            <v xml:space="preserve">Spiandorello, Claudio </v>
          </cell>
          <cell r="G4288">
            <v>723095.74</v>
          </cell>
          <cell r="H4288">
            <v>1081447526.8292</v>
          </cell>
          <cell r="I4288" t="str">
            <v>560</v>
          </cell>
        </row>
        <row r="4289">
          <cell r="A4289" t="str">
            <v>USD</v>
          </cell>
          <cell r="B4289" t="str">
            <v>560636333</v>
          </cell>
          <cell r="C4289" t="str">
            <v xml:space="preserve">Haag, Maria Julia y Menghi, Stella Maris </v>
          </cell>
          <cell r="G4289">
            <v>76089.460000000006</v>
          </cell>
          <cell r="H4289">
            <v>113797874.58680001</v>
          </cell>
          <cell r="I4289" t="str">
            <v>560</v>
          </cell>
        </row>
        <row r="4290">
          <cell r="A4290" t="str">
            <v>USD</v>
          </cell>
          <cell r="B4290" t="str">
            <v>560636379</v>
          </cell>
          <cell r="C4290" t="str">
            <v>HERRERA , NESTOR ANTONIO</v>
          </cell>
          <cell r="G4290">
            <v>2832.82</v>
          </cell>
          <cell r="H4290">
            <v>4236708.9356000004</v>
          </cell>
          <cell r="I4290" t="str">
            <v>560</v>
          </cell>
        </row>
        <row r="4291">
          <cell r="A4291" t="str">
            <v>USD</v>
          </cell>
          <cell r="B4291" t="str">
            <v>560636428</v>
          </cell>
          <cell r="C4291" t="str">
            <v>Marincic, María Verónica</v>
          </cell>
          <cell r="G4291">
            <v>35888.949999999997</v>
          </cell>
          <cell r="H4291">
            <v>53674795.840999991</v>
          </cell>
          <cell r="I4291" t="str">
            <v>560</v>
          </cell>
        </row>
        <row r="4292">
          <cell r="A4292" t="str">
            <v>USD</v>
          </cell>
          <cell r="B4292" t="str">
            <v>560636443</v>
          </cell>
          <cell r="C4292" t="str">
            <v>Gomez, Eustaquio Anastasio</v>
          </cell>
          <cell r="G4292">
            <v>70262.03</v>
          </cell>
          <cell r="H4292">
            <v>105082486.8274</v>
          </cell>
          <cell r="I4292" t="str">
            <v>560</v>
          </cell>
        </row>
        <row r="4293">
          <cell r="A4293" t="str">
            <v>USD</v>
          </cell>
          <cell r="B4293" t="str">
            <v>560636493</v>
          </cell>
          <cell r="C4293" t="str">
            <v>Levy, Luciano Nisim</v>
          </cell>
          <cell r="G4293">
            <v>991.12</v>
          </cell>
          <cell r="H4293">
            <v>1482299.2496</v>
          </cell>
          <cell r="I4293" t="str">
            <v>560</v>
          </cell>
        </row>
        <row r="4294">
          <cell r="A4294" t="str">
            <v>USD</v>
          </cell>
          <cell r="B4294" t="str">
            <v>560636549</v>
          </cell>
          <cell r="C4294" t="str">
            <v xml:space="preserve">INES YAEL, SALEM </v>
          </cell>
          <cell r="G4294">
            <v>555099.6</v>
          </cell>
          <cell r="H4294">
            <v>830195859.76799989</v>
          </cell>
          <cell r="I4294" t="str">
            <v>560</v>
          </cell>
        </row>
        <row r="4295">
          <cell r="A4295" t="str">
            <v>USD</v>
          </cell>
          <cell r="B4295" t="str">
            <v>560636573</v>
          </cell>
          <cell r="C4295" t="str">
            <v>Gomez, Lucas Miguel</v>
          </cell>
          <cell r="G4295">
            <v>29343.25</v>
          </cell>
          <cell r="H4295">
            <v>43885177.835000001</v>
          </cell>
          <cell r="I4295" t="str">
            <v>560</v>
          </cell>
        </row>
        <row r="4296">
          <cell r="A4296" t="str">
            <v>USD</v>
          </cell>
          <cell r="B4296" t="str">
            <v>560636610</v>
          </cell>
          <cell r="C4296" t="str">
            <v>Montero, Diego</v>
          </cell>
          <cell r="G4296">
            <v>90052</v>
          </cell>
          <cell r="H4296">
            <v>134679970.16</v>
          </cell>
          <cell r="I4296" t="str">
            <v>560</v>
          </cell>
        </row>
        <row r="4297">
          <cell r="A4297" t="str">
            <v>USD</v>
          </cell>
          <cell r="B4297" t="str">
            <v>560636630</v>
          </cell>
          <cell r="C4297" t="str">
            <v>Hofferle, Eric</v>
          </cell>
          <cell r="G4297">
            <v>0.49</v>
          </cell>
          <cell r="H4297">
            <v>732.8341999999999</v>
          </cell>
          <cell r="I4297" t="str">
            <v>560</v>
          </cell>
        </row>
        <row r="4298">
          <cell r="A4298" t="str">
            <v>USD</v>
          </cell>
          <cell r="B4298" t="str">
            <v>560636647</v>
          </cell>
          <cell r="C4298" t="str">
            <v xml:space="preserve">Gomez, Eustaquio Ezequiel </v>
          </cell>
          <cell r="G4298">
            <v>32184.41</v>
          </cell>
          <cell r="H4298">
            <v>48134359.907799996</v>
          </cell>
          <cell r="I4298" t="str">
            <v>560</v>
          </cell>
        </row>
        <row r="4299">
          <cell r="A4299" t="str">
            <v>USD</v>
          </cell>
          <cell r="B4299" t="str">
            <v>560636695</v>
          </cell>
          <cell r="C4299" t="str">
            <v>LUCESOLI, CLAUDIO MARTIN</v>
          </cell>
          <cell r="G4299">
            <v>7397.75</v>
          </cell>
          <cell r="H4299">
            <v>11063926.945</v>
          </cell>
          <cell r="I4299" t="str">
            <v>560</v>
          </cell>
        </row>
        <row r="4300">
          <cell r="A4300" t="str">
            <v>USD</v>
          </cell>
          <cell r="B4300" t="str">
            <v>560636736</v>
          </cell>
          <cell r="C4300" t="str">
            <v>Alfonso, Jose Emilio</v>
          </cell>
          <cell r="G4300">
            <v>3070.67</v>
          </cell>
          <cell r="H4300">
            <v>4592432.6386000002</v>
          </cell>
          <cell r="I4300" t="str">
            <v>560</v>
          </cell>
        </row>
        <row r="4301">
          <cell r="A4301" t="str">
            <v>USD</v>
          </cell>
          <cell r="B4301" t="str">
            <v>560636923</v>
          </cell>
          <cell r="C4301" t="str">
            <v>Carugati, Sebastian</v>
          </cell>
          <cell r="G4301">
            <v>65.12</v>
          </cell>
          <cell r="H4301">
            <v>97392.169600000008</v>
          </cell>
          <cell r="I4301" t="str">
            <v>560</v>
          </cell>
        </row>
        <row r="4302">
          <cell r="A4302" t="str">
            <v>USD</v>
          </cell>
          <cell r="B4302" t="str">
            <v>560637024</v>
          </cell>
          <cell r="C4302" t="str">
            <v>Bianchi, Carolina y Thielemann, Martin Alfredo</v>
          </cell>
          <cell r="G4302">
            <v>242217.48</v>
          </cell>
          <cell r="H4302">
            <v>362255618.73839998</v>
          </cell>
          <cell r="I4302" t="str">
            <v>560</v>
          </cell>
        </row>
        <row r="4303">
          <cell r="A4303" t="str">
            <v>USD</v>
          </cell>
          <cell r="B4303" t="str">
            <v>560637051</v>
          </cell>
          <cell r="C4303" t="str">
            <v>Indihar, Gabriel Matias</v>
          </cell>
          <cell r="G4303">
            <v>5730.52</v>
          </cell>
          <cell r="H4303">
            <v>8570451.1016000006</v>
          </cell>
          <cell r="I4303" t="str">
            <v>560</v>
          </cell>
        </row>
        <row r="4304">
          <cell r="A4304" t="str">
            <v>USD</v>
          </cell>
          <cell r="B4304" t="str">
            <v>560637052</v>
          </cell>
          <cell r="C4304" t="str">
            <v>Indihar, Gabriel Matias</v>
          </cell>
          <cell r="G4304">
            <v>6138.51</v>
          </cell>
          <cell r="H4304">
            <v>9180632.7858000007</v>
          </cell>
          <cell r="I4304" t="str">
            <v>560</v>
          </cell>
        </row>
        <row r="4305">
          <cell r="A4305" t="str">
            <v>USD</v>
          </cell>
          <cell r="B4305" t="str">
            <v>560637053</v>
          </cell>
          <cell r="C4305" t="str">
            <v>Indihar, Gabriel Matias</v>
          </cell>
          <cell r="G4305">
            <v>6135.64</v>
          </cell>
          <cell r="H4305">
            <v>9176340.4712000005</v>
          </cell>
          <cell r="I4305" t="str">
            <v>560</v>
          </cell>
        </row>
        <row r="4306">
          <cell r="A4306" t="str">
            <v>USD</v>
          </cell>
          <cell r="B4306" t="str">
            <v>560637146</v>
          </cell>
          <cell r="C4306" t="str">
            <v>Basavilbaso, Pablo</v>
          </cell>
          <cell r="G4306">
            <v>3153.14</v>
          </cell>
          <cell r="H4306">
            <v>4715773.1211999999</v>
          </cell>
          <cell r="I4306" t="str">
            <v>560</v>
          </cell>
        </row>
        <row r="4307">
          <cell r="A4307" t="str">
            <v>USD</v>
          </cell>
          <cell r="B4307" t="str">
            <v>560637259</v>
          </cell>
          <cell r="C4307" t="str">
            <v>Asociacion mutual vida salud</v>
          </cell>
          <cell r="G4307">
            <v>324937.63</v>
          </cell>
          <cell r="H4307">
            <v>485970220.67539996</v>
          </cell>
          <cell r="I4307" t="str">
            <v>560</v>
          </cell>
        </row>
        <row r="4308">
          <cell r="A4308" t="str">
            <v>USD</v>
          </cell>
          <cell r="B4308" t="str">
            <v>560637453</v>
          </cell>
          <cell r="C4308" t="str">
            <v>Oblak, Gabriel y Klemencic, Lorena</v>
          </cell>
          <cell r="G4308">
            <v>1.91</v>
          </cell>
          <cell r="H4308">
            <v>2856.5577999999996</v>
          </cell>
          <cell r="I4308" t="str">
            <v>560</v>
          </cell>
        </row>
        <row r="4309">
          <cell r="A4309" t="str">
            <v>USD</v>
          </cell>
          <cell r="B4309" t="str">
            <v>560637470</v>
          </cell>
          <cell r="C4309" t="str">
            <v>BIGEYE</v>
          </cell>
          <cell r="G4309">
            <v>685.8</v>
          </cell>
          <cell r="H4309">
            <v>1025668.7639999999</v>
          </cell>
          <cell r="I4309" t="str">
            <v>560</v>
          </cell>
        </row>
        <row r="4310">
          <cell r="A4310" t="str">
            <v>USD</v>
          </cell>
          <cell r="B4310" t="str">
            <v>560637506</v>
          </cell>
          <cell r="C4310" t="str">
            <v>MAR EXCHANGE S.A.</v>
          </cell>
          <cell r="G4310">
            <v>147.35</v>
          </cell>
          <cell r="H4310">
            <v>220373.71299999999</v>
          </cell>
          <cell r="I4310" t="str">
            <v>560</v>
          </cell>
        </row>
        <row r="4311">
          <cell r="A4311" t="str">
            <v>USD</v>
          </cell>
          <cell r="B4311" t="str">
            <v>560637533</v>
          </cell>
          <cell r="C4311" t="str">
            <v>KOCMUR, ANDRES</v>
          </cell>
          <cell r="G4311">
            <v>74443</v>
          </cell>
          <cell r="H4311">
            <v>111335461.94</v>
          </cell>
          <cell r="I4311" t="str">
            <v>560</v>
          </cell>
        </row>
        <row r="4312">
          <cell r="A4312" t="str">
            <v>USD</v>
          </cell>
          <cell r="B4312" t="str">
            <v>560637582</v>
          </cell>
          <cell r="C4312" t="str">
            <v>GOMEZ, Maria Teresa</v>
          </cell>
          <cell r="G4312">
            <v>29893.7</v>
          </cell>
          <cell r="H4312">
            <v>44708419.846000001</v>
          </cell>
          <cell r="I4312" t="str">
            <v>560</v>
          </cell>
        </row>
        <row r="4313">
          <cell r="A4313" t="str">
            <v>USD</v>
          </cell>
          <cell r="B4313" t="str">
            <v>560637602</v>
          </cell>
          <cell r="C4313" t="str">
            <v>Laboratorios Frasca SRL</v>
          </cell>
          <cell r="G4313">
            <v>99976.4</v>
          </cell>
          <cell r="H4313">
            <v>149522704.31199998</v>
          </cell>
          <cell r="I4313" t="str">
            <v>560</v>
          </cell>
        </row>
        <row r="4314">
          <cell r="A4314" t="str">
            <v>USD</v>
          </cell>
          <cell r="B4314" t="str">
            <v>560637637</v>
          </cell>
          <cell r="C4314" t="str">
            <v>Ceschini, Juan Carlos</v>
          </cell>
          <cell r="G4314">
            <v>1137.03</v>
          </cell>
          <cell r="H4314">
            <v>1700519.3273999998</v>
          </cell>
          <cell r="I4314" t="str">
            <v>560</v>
          </cell>
        </row>
        <row r="4315">
          <cell r="A4315" t="str">
            <v>USD</v>
          </cell>
          <cell r="B4315" t="str">
            <v>560637653</v>
          </cell>
          <cell r="C4315" t="str">
            <v>Macia, Bono</v>
          </cell>
          <cell r="G4315">
            <v>82056.160000000003</v>
          </cell>
          <cell r="H4315">
            <v>122721551.7728</v>
          </cell>
          <cell r="I4315" t="str">
            <v>560</v>
          </cell>
        </row>
        <row r="4316">
          <cell r="A4316" t="str">
            <v>USD</v>
          </cell>
          <cell r="B4316" t="str">
            <v>560637660</v>
          </cell>
          <cell r="C4316" t="str">
            <v>[C.E.R.A.] Venditti Import S.A.</v>
          </cell>
          <cell r="G4316">
            <v>84.51</v>
          </cell>
          <cell r="H4316">
            <v>126391.46580000001</v>
          </cell>
          <cell r="I4316" t="str">
            <v>560</v>
          </cell>
        </row>
        <row r="4317">
          <cell r="A4317" t="str">
            <v>USD</v>
          </cell>
          <cell r="B4317" t="str">
            <v>560637760</v>
          </cell>
          <cell r="C4317" t="str">
            <v>Belitsky, Natalia Giselda</v>
          </cell>
          <cell r="G4317">
            <v>25011.360000000001</v>
          </cell>
          <cell r="H4317">
            <v>37406489.788800001</v>
          </cell>
          <cell r="I4317" t="str">
            <v>560</v>
          </cell>
        </row>
        <row r="4318">
          <cell r="A4318" t="str">
            <v>USD</v>
          </cell>
          <cell r="B4318" t="str">
            <v>560637772</v>
          </cell>
          <cell r="C4318" t="str">
            <v>TABOADA , CANDIDA MARIA</v>
          </cell>
          <cell r="G4318">
            <v>1999.83</v>
          </cell>
          <cell r="H4318">
            <v>2990905.7514</v>
          </cell>
          <cell r="I4318" t="str">
            <v>560</v>
          </cell>
        </row>
        <row r="4319">
          <cell r="A4319" t="str">
            <v>USD</v>
          </cell>
          <cell r="B4319" t="str">
            <v>560637774</v>
          </cell>
          <cell r="C4319" t="str">
            <v>Christian Pedro Becker &amp; Gabriela Alejandra Ruhl</v>
          </cell>
          <cell r="G4319">
            <v>5426</v>
          </cell>
          <cell r="H4319">
            <v>8115017.0799999991</v>
          </cell>
          <cell r="I4319" t="str">
            <v>560</v>
          </cell>
        </row>
        <row r="4320">
          <cell r="A4320" t="str">
            <v>USD</v>
          </cell>
          <cell r="B4320" t="str">
            <v>560637807</v>
          </cell>
          <cell r="C4320" t="str">
            <v>Spinaci, Ramiro</v>
          </cell>
          <cell r="G4320">
            <v>713871.64</v>
          </cell>
          <cell r="H4320">
            <v>1067652147.3512</v>
          </cell>
          <cell r="I4320" t="str">
            <v>560</v>
          </cell>
        </row>
        <row r="4321">
          <cell r="A4321" t="str">
            <v>USD</v>
          </cell>
          <cell r="B4321" t="str">
            <v>560637829</v>
          </cell>
          <cell r="C4321" t="str">
            <v>Levy, Luciano Nisim &amp; Falak, Olinda Noemi</v>
          </cell>
          <cell r="G4321">
            <v>29.58</v>
          </cell>
          <cell r="H4321">
            <v>44239.256399999998</v>
          </cell>
          <cell r="I4321" t="str">
            <v>560</v>
          </cell>
        </row>
        <row r="4322">
          <cell r="A4322" t="str">
            <v>USD</v>
          </cell>
          <cell r="B4322" t="str">
            <v>560639013</v>
          </cell>
          <cell r="C4322" t="str">
            <v>[C.E.R.A] Kocmur, Andres</v>
          </cell>
          <cell r="G4322">
            <v>37.130000000000003</v>
          </cell>
          <cell r="H4322">
            <v>55530.885399999999</v>
          </cell>
          <cell r="I4322" t="str">
            <v>560</v>
          </cell>
        </row>
        <row r="4323">
          <cell r="A4323" t="str">
            <v>USD</v>
          </cell>
          <cell r="B4323" t="str">
            <v>565000101</v>
          </cell>
          <cell r="C4323" t="str">
            <v>Buenos Aires Crédito S.A.</v>
          </cell>
          <cell r="G4323">
            <v>304839.32</v>
          </cell>
          <cell r="H4323">
            <v>455911590.20559996</v>
          </cell>
          <cell r="I4323" t="str">
            <v>565</v>
          </cell>
        </row>
        <row r="4324">
          <cell r="A4324" t="str">
            <v>USD</v>
          </cell>
          <cell r="B4324" t="str">
            <v>565000102</v>
          </cell>
          <cell r="C4324" t="str">
            <v>Guillermo Hector Ferrero</v>
          </cell>
          <cell r="G4324">
            <v>1353801.64</v>
          </cell>
          <cell r="H4324">
            <v>2024718656.7511997</v>
          </cell>
          <cell r="I4324" t="str">
            <v>565</v>
          </cell>
        </row>
        <row r="4325">
          <cell r="A4325" t="str">
            <v>USD</v>
          </cell>
          <cell r="B4325" t="str">
            <v>565000103</v>
          </cell>
          <cell r="C4325" t="str">
            <v>Enio Bendinelli</v>
          </cell>
          <cell r="G4325">
            <v>2362503.4</v>
          </cell>
          <cell r="H4325">
            <v>3533312834.9719996</v>
          </cell>
          <cell r="I4325" t="str">
            <v>565</v>
          </cell>
        </row>
        <row r="4326">
          <cell r="A4326" t="str">
            <v>USD</v>
          </cell>
          <cell r="B4326" t="str">
            <v>565000104</v>
          </cell>
          <cell r="C4326" t="str">
            <v>Edgardo Luis Sala</v>
          </cell>
          <cell r="G4326">
            <v>21060.61</v>
          </cell>
          <cell r="H4326">
            <v>31497827.103799999</v>
          </cell>
          <cell r="I4326" t="str">
            <v>565</v>
          </cell>
        </row>
        <row r="4327">
          <cell r="A4327" t="str">
            <v>USD</v>
          </cell>
          <cell r="B4327" t="str">
            <v>565000105</v>
          </cell>
          <cell r="C4327" t="str">
            <v>Nelida Rut Gonzalez</v>
          </cell>
          <cell r="G4327">
            <v>8527.16</v>
          </cell>
          <cell r="H4327">
            <v>12753049.9528</v>
          </cell>
          <cell r="I4327" t="str">
            <v>565</v>
          </cell>
        </row>
        <row r="4328">
          <cell r="A4328" t="str">
            <v>USD</v>
          </cell>
          <cell r="B4328" t="str">
            <v>565000107</v>
          </cell>
          <cell r="C4328" t="str">
            <v>Mateo Sala</v>
          </cell>
          <cell r="G4328">
            <v>11425.02</v>
          </cell>
          <cell r="H4328">
            <v>17087031.411600001</v>
          </cell>
          <cell r="I4328" t="str">
            <v>565</v>
          </cell>
        </row>
        <row r="4329">
          <cell r="A4329" t="str">
            <v>USD</v>
          </cell>
          <cell r="B4329" t="str">
            <v>565000112</v>
          </cell>
          <cell r="C4329" t="str">
            <v>Rojo Nora Mercedes</v>
          </cell>
          <cell r="G4329">
            <v>2200.0300000000002</v>
          </cell>
          <cell r="H4329">
            <v>3290320.8674000003</v>
          </cell>
          <cell r="I4329" t="str">
            <v>565</v>
          </cell>
        </row>
        <row r="4330">
          <cell r="A4330" t="str">
            <v>USD</v>
          </cell>
          <cell r="B4330" t="str">
            <v>565000113</v>
          </cell>
          <cell r="C4330" t="str">
            <v>OFMARTS S.A.</v>
          </cell>
          <cell r="G4330">
            <v>41879.94</v>
          </cell>
          <cell r="H4330">
            <v>62634800.665200002</v>
          </cell>
          <cell r="I4330" t="str">
            <v>565</v>
          </cell>
        </row>
        <row r="4331">
          <cell r="A4331" t="str">
            <v>USD</v>
          </cell>
          <cell r="B4331" t="str">
            <v>565000115</v>
          </cell>
          <cell r="C4331" t="str">
            <v>Juan Manuel Gaytan</v>
          </cell>
          <cell r="G4331">
            <v>25352.19</v>
          </cell>
          <cell r="H4331">
            <v>37916228.320199996</v>
          </cell>
          <cell r="I4331" t="str">
            <v>565</v>
          </cell>
        </row>
        <row r="4332">
          <cell r="A4332" t="str">
            <v>USD</v>
          </cell>
          <cell r="B4332" t="str">
            <v>565000125</v>
          </cell>
          <cell r="C4332" t="str">
            <v>Coop. de Cred., Cons. y Viv., Desarrollo y Participacion Ltda.</v>
          </cell>
          <cell r="G4332">
            <v>30389.7</v>
          </cell>
          <cell r="H4332">
            <v>45450227.526000001</v>
          </cell>
          <cell r="I4332" t="str">
            <v>565</v>
          </cell>
        </row>
        <row r="4333">
          <cell r="A4333" t="str">
            <v>USD</v>
          </cell>
          <cell r="B4333" t="str">
            <v>565000126</v>
          </cell>
          <cell r="C4333" t="str">
            <v>Susi Ben S. A.</v>
          </cell>
          <cell r="G4333">
            <v>41319.160000000003</v>
          </cell>
          <cell r="H4333">
            <v>61796109.312800005</v>
          </cell>
          <cell r="I4333" t="str">
            <v>565</v>
          </cell>
        </row>
        <row r="4334">
          <cell r="A4334" t="str">
            <v>USD</v>
          </cell>
          <cell r="B4334" t="str">
            <v>565000140</v>
          </cell>
          <cell r="C4334" t="str">
            <v>Maria Dolores Insua Darros</v>
          </cell>
          <cell r="G4334">
            <v>1472062.16</v>
          </cell>
          <cell r="H4334">
            <v>2201586725.2528</v>
          </cell>
          <cell r="I4334" t="str">
            <v>565</v>
          </cell>
        </row>
        <row r="4335">
          <cell r="A4335" t="str">
            <v>USD</v>
          </cell>
          <cell r="B4335" t="str">
            <v>565000149</v>
          </cell>
          <cell r="C4335" t="str">
            <v>Pedro Sala</v>
          </cell>
          <cell r="G4335">
            <v>20264.400000000001</v>
          </cell>
          <cell r="H4335">
            <v>30307031.352000002</v>
          </cell>
          <cell r="I4335" t="str">
            <v>565</v>
          </cell>
        </row>
        <row r="4336">
          <cell r="A4336" t="str">
            <v>USD</v>
          </cell>
          <cell r="B4336" t="str">
            <v>565000153</v>
          </cell>
          <cell r="C4336" t="str">
            <v>Matilde Rosa Ibarguren</v>
          </cell>
          <cell r="G4336">
            <v>308767.98</v>
          </cell>
          <cell r="H4336">
            <v>461787215.52839994</v>
          </cell>
          <cell r="I4336" t="str">
            <v>565</v>
          </cell>
        </row>
        <row r="4337">
          <cell r="A4337" t="str">
            <v>USD</v>
          </cell>
          <cell r="B4337" t="str">
            <v>565000155</v>
          </cell>
          <cell r="C4337" t="str">
            <v>Vito Lorenzo Marchetto</v>
          </cell>
          <cell r="G4337">
            <v>5847.89</v>
          </cell>
          <cell r="H4337">
            <v>8745987.3262000009</v>
          </cell>
          <cell r="I4337" t="str">
            <v>565</v>
          </cell>
        </row>
        <row r="4338">
          <cell r="A4338" t="str">
            <v>USD</v>
          </cell>
          <cell r="B4338" t="str">
            <v>565000159</v>
          </cell>
          <cell r="C4338" t="str">
            <v>AB INITIO S.A.</v>
          </cell>
          <cell r="G4338">
            <v>32405.599999999999</v>
          </cell>
          <cell r="H4338">
            <v>48465167.247999996</v>
          </cell>
          <cell r="I4338" t="str">
            <v>565</v>
          </cell>
        </row>
        <row r="4339">
          <cell r="A4339" t="str">
            <v>USD</v>
          </cell>
          <cell r="B4339" t="str">
            <v>565000161</v>
          </cell>
          <cell r="C4339" t="str">
            <v>Adriano Eduardo Jaichenco</v>
          </cell>
          <cell r="G4339">
            <v>21380.17</v>
          </cell>
          <cell r="H4339">
            <v>31975754.648599997</v>
          </cell>
          <cell r="I4339" t="str">
            <v>565</v>
          </cell>
        </row>
        <row r="4340">
          <cell r="A4340" t="str">
            <v>USD</v>
          </cell>
          <cell r="B4340" t="str">
            <v>565000162</v>
          </cell>
          <cell r="C4340" t="str">
            <v>Mora Jaichenco</v>
          </cell>
          <cell r="G4340">
            <v>43259.97</v>
          </cell>
          <cell r="H4340">
            <v>64698745.932599999</v>
          </cell>
          <cell r="I4340" t="str">
            <v>565</v>
          </cell>
        </row>
        <row r="4341">
          <cell r="A4341" t="str">
            <v>USD</v>
          </cell>
          <cell r="B4341" t="str">
            <v>565000163</v>
          </cell>
          <cell r="C4341" t="str">
            <v>Alejandro Martin Mastino</v>
          </cell>
          <cell r="G4341">
            <v>14328.26</v>
          </cell>
          <cell r="H4341">
            <v>21429059.090799998</v>
          </cell>
          <cell r="I4341" t="str">
            <v>565</v>
          </cell>
        </row>
        <row r="4342">
          <cell r="A4342" t="str">
            <v>USD</v>
          </cell>
          <cell r="B4342" t="str">
            <v>565000166</v>
          </cell>
          <cell r="C4342" t="str">
            <v>Ricardo Martín Martinez Peñorori</v>
          </cell>
          <cell r="G4342">
            <v>48353.1</v>
          </cell>
          <cell r="H4342">
            <v>72315929.297999993</v>
          </cell>
          <cell r="I4342" t="str">
            <v>565</v>
          </cell>
        </row>
        <row r="4343">
          <cell r="A4343" t="str">
            <v>USD</v>
          </cell>
          <cell r="B4343" t="str">
            <v>565000169</v>
          </cell>
          <cell r="C4343" t="str">
            <v>Susana Ursula Bencich</v>
          </cell>
          <cell r="G4343">
            <v>1850348.48</v>
          </cell>
          <cell r="H4343">
            <v>2767344179.7184</v>
          </cell>
          <cell r="I4343" t="str">
            <v>565</v>
          </cell>
        </row>
        <row r="4344">
          <cell r="A4344" t="str">
            <v>USD</v>
          </cell>
          <cell r="B4344" t="str">
            <v>565000171</v>
          </cell>
          <cell r="C4344" t="str">
            <v>Maria Crsitina Ratto</v>
          </cell>
          <cell r="G4344">
            <v>412343.78</v>
          </cell>
          <cell r="H4344">
            <v>616693110.49240005</v>
          </cell>
          <cell r="I4344" t="str">
            <v>565</v>
          </cell>
        </row>
        <row r="4345">
          <cell r="A4345" t="str">
            <v>USD</v>
          </cell>
          <cell r="B4345" t="str">
            <v>565000565</v>
          </cell>
          <cell r="C4345" t="str">
            <v>BUENOS AIRES CREDITOS Y VALORES SOCIEDAD ANONIMA</v>
          </cell>
          <cell r="G4345">
            <v>13018.08</v>
          </cell>
          <cell r="H4345">
            <v>19469580.086399999</v>
          </cell>
          <cell r="I4345" t="str">
            <v>565</v>
          </cell>
        </row>
        <row r="4346">
          <cell r="A4346" t="str">
            <v>USD</v>
          </cell>
          <cell r="B4346" t="str">
            <v>565000952</v>
          </cell>
          <cell r="C4346" t="str">
            <v>C.E.RA. Juan Hector Crouzel</v>
          </cell>
          <cell r="G4346">
            <v>159582.62</v>
          </cell>
          <cell r="H4346">
            <v>238668574.81959999</v>
          </cell>
          <cell r="I4346" t="str">
            <v>565</v>
          </cell>
        </row>
        <row r="4347">
          <cell r="A4347" t="str">
            <v>USD</v>
          </cell>
          <cell r="B4347" t="str">
            <v>565000953</v>
          </cell>
          <cell r="C4347" t="str">
            <v>C.E.R.A. Ricardo Alberto Cano</v>
          </cell>
          <cell r="G4347">
            <v>145256.70000000001</v>
          </cell>
          <cell r="H4347">
            <v>217243015.38600001</v>
          </cell>
          <cell r="I4347" t="str">
            <v>565</v>
          </cell>
        </row>
        <row r="4348">
          <cell r="A4348" t="str">
            <v>USD</v>
          </cell>
          <cell r="B4348" t="str">
            <v>565001268</v>
          </cell>
          <cell r="C4348" t="str">
            <v>Bendinelli, Fernanda Dina</v>
          </cell>
          <cell r="G4348">
            <v>20762.66</v>
          </cell>
          <cell r="H4348">
            <v>31052219.042799998</v>
          </cell>
          <cell r="I4348" t="str">
            <v>565</v>
          </cell>
        </row>
        <row r="4349">
          <cell r="A4349" t="str">
            <v>USD</v>
          </cell>
          <cell r="B4349" t="str">
            <v>565001933</v>
          </cell>
          <cell r="C4349" t="str">
            <v>Ennio Bendinelli</v>
          </cell>
          <cell r="G4349">
            <v>3266.12</v>
          </cell>
          <cell r="H4349">
            <v>4884743.7495999997</v>
          </cell>
          <cell r="I4349" t="str">
            <v>565</v>
          </cell>
        </row>
        <row r="4350">
          <cell r="A4350" t="str">
            <v>USD</v>
          </cell>
          <cell r="B4350" t="str">
            <v>568000004</v>
          </cell>
          <cell r="C4350" t="str">
            <v>AXON CAPITAL S.A</v>
          </cell>
          <cell r="G4350">
            <v>35789781.229999997</v>
          </cell>
          <cell r="H4350">
            <v>53526481011.963394</v>
          </cell>
          <cell r="I4350" t="str">
            <v>568</v>
          </cell>
        </row>
        <row r="4351">
          <cell r="A4351" t="str">
            <v>USD</v>
          </cell>
          <cell r="B4351" t="str">
            <v>568000007</v>
          </cell>
          <cell r="C4351" t="str">
            <v>Manzo, Matias Jose Argentino</v>
          </cell>
          <cell r="G4351">
            <v>144022.37</v>
          </cell>
          <cell r="H4351">
            <v>215396976.12459999</v>
          </cell>
          <cell r="I4351" t="str">
            <v>568</v>
          </cell>
        </row>
        <row r="4352">
          <cell r="A4352" t="str">
            <v>USD</v>
          </cell>
          <cell r="B4352" t="str">
            <v>568000010</v>
          </cell>
          <cell r="C4352" t="str">
            <v>Costantini, Gonzalo</v>
          </cell>
          <cell r="G4352">
            <v>21588817.25</v>
          </cell>
          <cell r="H4352">
            <v>32287803302.754997</v>
          </cell>
          <cell r="I4352" t="str">
            <v>568</v>
          </cell>
        </row>
        <row r="4353">
          <cell r="A4353" t="str">
            <v>USD</v>
          </cell>
          <cell r="B4353" t="str">
            <v>568000013</v>
          </cell>
          <cell r="C4353" t="str">
            <v xml:space="preserve"> Marcoff, Tomas Pablo </v>
          </cell>
          <cell r="G4353">
            <v>398.88</v>
          </cell>
          <cell r="H4353">
            <v>596556.95039999997</v>
          </cell>
          <cell r="I4353" t="str">
            <v>568</v>
          </cell>
        </row>
        <row r="4354">
          <cell r="A4354" t="str">
            <v>USD</v>
          </cell>
          <cell r="B4354" t="str">
            <v>568000016</v>
          </cell>
          <cell r="C4354" t="str">
            <v>Maria Jimena Penedo</v>
          </cell>
          <cell r="G4354">
            <v>18682.400000000001</v>
          </cell>
          <cell r="H4354">
            <v>27941023.791999999</v>
          </cell>
          <cell r="I4354" t="str">
            <v>568</v>
          </cell>
        </row>
        <row r="4355">
          <cell r="A4355" t="str">
            <v>USD</v>
          </cell>
          <cell r="B4355" t="str">
            <v>568000024</v>
          </cell>
          <cell r="C4355" t="str">
            <v>Dimo, Juan Ignacio</v>
          </cell>
          <cell r="G4355">
            <v>3751.65</v>
          </cell>
          <cell r="H4355">
            <v>5610892.7069999995</v>
          </cell>
          <cell r="I4355" t="str">
            <v>568</v>
          </cell>
        </row>
        <row r="4356">
          <cell r="A4356" t="str">
            <v>USD</v>
          </cell>
          <cell r="B4356" t="str">
            <v>568000114</v>
          </cell>
          <cell r="C4356" t="str">
            <v>AREX ACTIVOS DIGITALES SA</v>
          </cell>
          <cell r="G4356">
            <v>2959998.77</v>
          </cell>
          <cell r="H4356">
            <v>4426914960.4365997</v>
          </cell>
          <cell r="I4356" t="str">
            <v>568</v>
          </cell>
        </row>
        <row r="4357">
          <cell r="A4357" t="str">
            <v>USD</v>
          </cell>
          <cell r="B4357" t="str">
            <v>568010003</v>
          </cell>
          <cell r="C4357" t="str">
            <v>Canullo, Marta Noemi</v>
          </cell>
          <cell r="G4357">
            <v>19654</v>
          </cell>
          <cell r="H4357">
            <v>29394129.32</v>
          </cell>
          <cell r="I4357" t="str">
            <v>568</v>
          </cell>
        </row>
        <row r="4358">
          <cell r="A4358" t="str">
            <v>USD</v>
          </cell>
          <cell r="B4358" t="str">
            <v>568010006</v>
          </cell>
          <cell r="C4358" t="str">
            <v>Ballesteros, Ricardo Julian</v>
          </cell>
          <cell r="G4358">
            <v>793.8</v>
          </cell>
          <cell r="H4358">
            <v>1187191.4039999999</v>
          </cell>
          <cell r="I4358" t="str">
            <v>568</v>
          </cell>
        </row>
        <row r="4359">
          <cell r="A4359" t="str">
            <v>USD</v>
          </cell>
          <cell r="B4359" t="str">
            <v>568010008</v>
          </cell>
          <cell r="C4359" t="str">
            <v>Etchezar, Alejo</v>
          </cell>
          <cell r="G4359">
            <v>1496.31</v>
          </cell>
          <cell r="H4359">
            <v>2237851.3097999999</v>
          </cell>
          <cell r="I4359" t="str">
            <v>568</v>
          </cell>
        </row>
        <row r="4360">
          <cell r="A4360" t="str">
            <v>USD</v>
          </cell>
          <cell r="B4360" t="str">
            <v>568010014</v>
          </cell>
          <cell r="C4360" t="str">
            <v>Dimo, Salvador</v>
          </cell>
          <cell r="G4360">
            <v>5855.01</v>
          </cell>
          <cell r="H4360">
            <v>8756635.8557999991</v>
          </cell>
          <cell r="I4360" t="str">
            <v>568</v>
          </cell>
        </row>
        <row r="4361">
          <cell r="A4361" t="str">
            <v>USD</v>
          </cell>
          <cell r="B4361" t="str">
            <v>568010019</v>
          </cell>
          <cell r="C4361" t="str">
            <v>Urba, Dalmiro</v>
          </cell>
          <cell r="G4361">
            <v>659.83</v>
          </cell>
          <cell r="H4361">
            <v>986828.5514</v>
          </cell>
          <cell r="I4361" t="str">
            <v>568</v>
          </cell>
        </row>
        <row r="4362">
          <cell r="A4362" t="str">
            <v>USD</v>
          </cell>
          <cell r="B4362" t="str">
            <v>568010028</v>
          </cell>
          <cell r="C4362" t="str">
            <v>Kalciyan, Marcelo Alexis</v>
          </cell>
          <cell r="G4362">
            <v>488750</v>
          </cell>
          <cell r="H4362">
            <v>730964725</v>
          </cell>
          <cell r="I4362" t="str">
            <v>568</v>
          </cell>
        </row>
        <row r="4363">
          <cell r="A4363" t="str">
            <v>USD</v>
          </cell>
          <cell r="B4363" t="str">
            <v>568010032</v>
          </cell>
          <cell r="C4363" t="str">
            <v>Fogola, Juan Cruz Agustin</v>
          </cell>
          <cell r="G4363">
            <v>4500.92</v>
          </cell>
          <cell r="H4363">
            <v>6731485.9336000001</v>
          </cell>
          <cell r="I4363" t="str">
            <v>568</v>
          </cell>
        </row>
        <row r="4364">
          <cell r="A4364" t="str">
            <v>USD</v>
          </cell>
          <cell r="B4364" t="str">
            <v>568010046</v>
          </cell>
          <cell r="C4364" t="str">
            <v>Elberg, Jeremias Joaquin</v>
          </cell>
          <cell r="G4364">
            <v>628.32000000000005</v>
          </cell>
          <cell r="H4364">
            <v>939702.82559999998</v>
          </cell>
          <cell r="I4364" t="str">
            <v>568</v>
          </cell>
        </row>
        <row r="4365">
          <cell r="A4365" t="str">
            <v>USD</v>
          </cell>
          <cell r="B4365" t="str">
            <v>568010049</v>
          </cell>
          <cell r="C4365" t="str">
            <v>Labajos, Marcelo Anibal y/o Salerno, Olga Norma y/o Labajos, Flavio Miguel y/o Labajos, Camilo y/o Labajos, Mateo Angel</v>
          </cell>
          <cell r="G4365">
            <v>1867821.75</v>
          </cell>
          <cell r="H4365">
            <v>2793476852.8649998</v>
          </cell>
          <cell r="I4365" t="str">
            <v>568</v>
          </cell>
        </row>
        <row r="4366">
          <cell r="A4366" t="str">
            <v>USD</v>
          </cell>
          <cell r="B4366" t="str">
            <v>568010051</v>
          </cell>
          <cell r="C4366" t="str">
            <v>Furer, Olga Felisa</v>
          </cell>
          <cell r="G4366">
            <v>150000</v>
          </cell>
          <cell r="H4366">
            <v>224337000</v>
          </cell>
          <cell r="I4366" t="str">
            <v>568</v>
          </cell>
        </row>
        <row r="4367">
          <cell r="A4367" t="str">
            <v>USD</v>
          </cell>
          <cell r="B4367" t="str">
            <v>599000005</v>
          </cell>
          <cell r="C4367" t="str">
            <v>MARIO CALANDRI E HIJOS S.A.</v>
          </cell>
          <cell r="G4367">
            <v>1512</v>
          </cell>
          <cell r="H4367">
            <v>2261316.96</v>
          </cell>
          <cell r="I4367" t="str">
            <v>599</v>
          </cell>
        </row>
        <row r="4368">
          <cell r="A4368" t="str">
            <v>USD</v>
          </cell>
          <cell r="B4368" t="str">
            <v>599000008</v>
          </cell>
          <cell r="C4368" t="str">
            <v xml:space="preserve">SAUTHIER MARCELO ABEL </v>
          </cell>
          <cell r="G4368">
            <v>15615.14</v>
          </cell>
          <cell r="H4368">
            <v>23353691.081199996</v>
          </cell>
          <cell r="I4368" t="str">
            <v>599</v>
          </cell>
        </row>
        <row r="4369">
          <cell r="A4369" t="str">
            <v>USD</v>
          </cell>
          <cell r="B4369" t="str">
            <v>599000018</v>
          </cell>
          <cell r="C4369" t="str">
            <v>Berardo Ruben Alberto</v>
          </cell>
          <cell r="G4369">
            <v>20160</v>
          </cell>
          <cell r="H4369">
            <v>30150892.799999997</v>
          </cell>
          <cell r="I4369" t="str">
            <v>599</v>
          </cell>
        </row>
        <row r="4370">
          <cell r="A4370" t="str">
            <v>USD</v>
          </cell>
          <cell r="B4370" t="str">
            <v>599000022</v>
          </cell>
          <cell r="C4370" t="str">
            <v>Annan Maria Jose</v>
          </cell>
          <cell r="G4370">
            <v>4991</v>
          </cell>
          <cell r="H4370">
            <v>7464439.7799999993</v>
          </cell>
          <cell r="I4370" t="str">
            <v>599</v>
          </cell>
        </row>
        <row r="4371">
          <cell r="A4371" t="str">
            <v>USD</v>
          </cell>
          <cell r="B4371" t="str">
            <v>599000024</v>
          </cell>
          <cell r="C4371" t="str">
            <v>Clerc Maria Alicia</v>
          </cell>
          <cell r="G4371">
            <v>492.17</v>
          </cell>
          <cell r="H4371">
            <v>736079.60860000004</v>
          </cell>
          <cell r="I4371" t="str">
            <v>599</v>
          </cell>
        </row>
        <row r="4372">
          <cell r="A4372" t="str">
            <v>USD</v>
          </cell>
          <cell r="B4372" t="str">
            <v>599000031</v>
          </cell>
          <cell r="C4372" t="str">
            <v>PRETINI ARACELI RAQUEL</v>
          </cell>
          <cell r="G4372">
            <v>35453</v>
          </cell>
          <cell r="H4372">
            <v>53022797.739999995</v>
          </cell>
          <cell r="I4372" t="str">
            <v>599</v>
          </cell>
        </row>
        <row r="4373">
          <cell r="A4373" t="str">
            <v>USD</v>
          </cell>
          <cell r="B4373" t="str">
            <v>602124211</v>
          </cell>
          <cell r="C4373" t="str">
            <v>Bancora Eduardo Alberto</v>
          </cell>
          <cell r="G4373">
            <v>54461.32</v>
          </cell>
          <cell r="H4373">
            <v>81451260.965599999</v>
          </cell>
          <cell r="I4373" t="str">
            <v>602</v>
          </cell>
        </row>
        <row r="4374">
          <cell r="A4374" t="str">
            <v>USD</v>
          </cell>
          <cell r="B4374" t="str">
            <v>602234060</v>
          </cell>
          <cell r="C4374" t="str">
            <v>Lera, Silvia Liliana o Gazzaniga, Amadeo Ivo</v>
          </cell>
          <cell r="G4374">
            <v>6009.64</v>
          </cell>
          <cell r="H4374">
            <v>8987897.3912000004</v>
          </cell>
          <cell r="I4374" t="str">
            <v>602</v>
          </cell>
        </row>
        <row r="4375">
          <cell r="A4375" t="str">
            <v>USD</v>
          </cell>
          <cell r="B4375" t="str">
            <v>602251595</v>
          </cell>
          <cell r="C4375" t="str">
            <v>Mierez, Miguel Angel o Tonella, Maria Teresa</v>
          </cell>
          <cell r="G4375">
            <v>5760.3</v>
          </cell>
          <cell r="H4375">
            <v>8614989.4739999995</v>
          </cell>
          <cell r="I4375" t="str">
            <v>602</v>
          </cell>
        </row>
        <row r="4376">
          <cell r="A4376" t="str">
            <v>USD</v>
          </cell>
          <cell r="B4376" t="str">
            <v>602254215</v>
          </cell>
          <cell r="C4376" t="str">
            <v>Mierez, Maria Florencia o Mierez, Miguel Angel</v>
          </cell>
          <cell r="G4376">
            <v>6485.34</v>
          </cell>
          <cell r="H4376">
            <v>9699344.7971999999</v>
          </cell>
          <cell r="I4376" t="str">
            <v>602</v>
          </cell>
        </row>
        <row r="4377">
          <cell r="A4377" t="str">
            <v>USD</v>
          </cell>
          <cell r="B4377" t="str">
            <v>602294351</v>
          </cell>
          <cell r="C4377" t="str">
            <v>Pinto, Maria Andrea o Barzetti, Mauricio</v>
          </cell>
          <cell r="G4377">
            <v>16033.15</v>
          </cell>
          <cell r="H4377">
            <v>23978858.476999998</v>
          </cell>
          <cell r="I4377" t="str">
            <v>602</v>
          </cell>
        </row>
        <row r="4378">
          <cell r="A4378" t="str">
            <v>USD</v>
          </cell>
          <cell r="B4378" t="str">
            <v>619009999</v>
          </cell>
          <cell r="C4378" t="str">
            <v>BRIO VALORES AGENTE DE LIQUIDACION Y COMPENSACION S.A.</v>
          </cell>
          <cell r="G4378">
            <v>1495040.83</v>
          </cell>
          <cell r="H4378">
            <v>2235953164.5314002</v>
          </cell>
          <cell r="I4378" t="str">
            <v>619</v>
          </cell>
        </row>
        <row r="4379">
          <cell r="A4379" t="str">
            <v>USD</v>
          </cell>
          <cell r="B4379" t="str">
            <v>619031712</v>
          </cell>
          <cell r="C4379" t="str">
            <v>ORLANDI, ALFREDO GUILLERMO u ORLANDI, MARIA FLORENCIA u ORLANDI, SANTIAGO RUBEN u ORLANDI, Gisela Laura y MASETTI, Susana</v>
          </cell>
          <cell r="G4379">
            <v>544999.94999999995</v>
          </cell>
          <cell r="H4379">
            <v>815091025.22099984</v>
          </cell>
          <cell r="I4379" t="str">
            <v>619</v>
          </cell>
        </row>
        <row r="4380">
          <cell r="A4380" t="str">
            <v>USD</v>
          </cell>
          <cell r="B4380" t="str">
            <v>619050429</v>
          </cell>
          <cell r="C4380" t="str">
            <v>YASCI, Adriana Del Lujan</v>
          </cell>
          <cell r="G4380">
            <v>151359.73000000001</v>
          </cell>
          <cell r="H4380">
            <v>226370584.99340001</v>
          </cell>
          <cell r="I4380" t="str">
            <v>619</v>
          </cell>
        </row>
        <row r="4381">
          <cell r="A4381" t="str">
            <v>USD</v>
          </cell>
          <cell r="B4381" t="str">
            <v>619050824</v>
          </cell>
          <cell r="C4381" t="str">
            <v>CHEMES, HECTOR DANIEL</v>
          </cell>
          <cell r="G4381">
            <v>200000.59</v>
          </cell>
          <cell r="H4381">
            <v>299116882.39219999</v>
          </cell>
          <cell r="I4381" t="str">
            <v>619</v>
          </cell>
        </row>
        <row r="4382">
          <cell r="A4382" t="str">
            <v>USD</v>
          </cell>
          <cell r="B4382" t="str">
            <v>624000802</v>
          </cell>
          <cell r="C4382" t="str">
            <v>SIRI, OSCAR HORACIO o PRETINI DE SIRI, HAYDEE CLELIA</v>
          </cell>
          <cell r="G4382">
            <v>390.38</v>
          </cell>
          <cell r="H4382">
            <v>583844.52039999992</v>
          </cell>
          <cell r="I4382" t="str">
            <v>624</v>
          </cell>
        </row>
        <row r="4383">
          <cell r="A4383" t="str">
            <v>USD</v>
          </cell>
          <cell r="B4383" t="str">
            <v>624001802</v>
          </cell>
          <cell r="C4383" t="str">
            <v>BALDINO, DAVID PATRICIO o BUSTAMANTE , MARIA PATRICIA o BALDINO, LUCILA</v>
          </cell>
          <cell r="G4383">
            <v>6825.61</v>
          </cell>
          <cell r="H4383">
            <v>10208245.8038</v>
          </cell>
          <cell r="I4383" t="str">
            <v>624</v>
          </cell>
        </row>
        <row r="4384">
          <cell r="A4384" t="str">
            <v>USD</v>
          </cell>
          <cell r="B4384" t="str">
            <v>624001896</v>
          </cell>
          <cell r="C4384" t="str">
            <v>PALOU , BERNARDO CARLOS o BETRIA, ALICIA NORMA o FERNANDEZ BETRIA, NESTOR JAVIER u otros</v>
          </cell>
          <cell r="G4384">
            <v>8875.16</v>
          </cell>
          <cell r="H4384">
            <v>13273511.7928</v>
          </cell>
          <cell r="I4384" t="str">
            <v>624</v>
          </cell>
        </row>
        <row r="4385">
          <cell r="A4385" t="str">
            <v>USD</v>
          </cell>
          <cell r="B4385" t="str">
            <v>624001924</v>
          </cell>
          <cell r="C4385" t="str">
            <v>MARTINEZ , DAVID PABLO o MARTINEZ, MARIA SOL o MARTINEZ SCHENARDI, TOMAS</v>
          </cell>
          <cell r="G4385">
            <v>2623.65</v>
          </cell>
          <cell r="H4385">
            <v>3923878.4669999997</v>
          </cell>
          <cell r="I4385" t="str">
            <v>624</v>
          </cell>
        </row>
        <row r="4386">
          <cell r="A4386" t="str">
            <v>USD</v>
          </cell>
          <cell r="B4386" t="str">
            <v>624002531</v>
          </cell>
          <cell r="C4386" t="str">
            <v>SERCA DE BELOTTI , NELIDA BEATRIZ o BELOTTI, RAUL ALBERTO o BELOTTI, MARIA PAULA u otros</v>
          </cell>
          <cell r="G4386">
            <v>1147.8699999999999</v>
          </cell>
          <cell r="H4386">
            <v>1716731.4145999998</v>
          </cell>
          <cell r="I4386" t="str">
            <v>624</v>
          </cell>
        </row>
        <row r="4387">
          <cell r="A4387" t="str">
            <v>USD</v>
          </cell>
          <cell r="B4387" t="str">
            <v>624002953</v>
          </cell>
          <cell r="C4387" t="str">
            <v>BASTERRETCHE, MIGUEL ALBERTO o MONTERO MARIELA, LUJAN o BASTERRETCHE MONTERO,  MARINA PAULA</v>
          </cell>
          <cell r="G4387">
            <v>53368.9</v>
          </cell>
          <cell r="H4387">
            <v>79817459.461999997</v>
          </cell>
          <cell r="I4387" t="str">
            <v>624</v>
          </cell>
        </row>
        <row r="4388">
          <cell r="A4388" t="str">
            <v>USD</v>
          </cell>
          <cell r="B4388" t="str">
            <v>624003080</v>
          </cell>
          <cell r="C4388" t="str">
            <v>LISTRO GISELA RAQUEL (CARTERA PROPIA)</v>
          </cell>
          <cell r="G4388">
            <v>69048.570000000007</v>
          </cell>
          <cell r="H4388">
            <v>103267660.3206</v>
          </cell>
          <cell r="I4388" t="str">
            <v>624</v>
          </cell>
        </row>
        <row r="4389">
          <cell r="A4389" t="str">
            <v>USD</v>
          </cell>
          <cell r="B4389" t="str">
            <v>624003163</v>
          </cell>
          <cell r="C4389" t="str">
            <v>GUSTAFSSON , GUILLERMO MARTIN o GUSTAFSSON , MARCELO ANDRES o GUSTAFSSON, LUCILA u otros</v>
          </cell>
          <cell r="G4389">
            <v>3862.39</v>
          </cell>
          <cell r="H4389">
            <v>5776513.2361999992</v>
          </cell>
          <cell r="I4389" t="str">
            <v>624</v>
          </cell>
        </row>
        <row r="4390">
          <cell r="A4390" t="str">
            <v>USD</v>
          </cell>
          <cell r="B4390" t="str">
            <v>624003172</v>
          </cell>
          <cell r="C4390" t="str">
            <v>BELLOTTI  , GUSTAVO HERNAN o BELLOTTI, GUIDO</v>
          </cell>
          <cell r="G4390">
            <v>18146.47</v>
          </cell>
          <cell r="H4390">
            <v>27139497.602600001</v>
          </cell>
          <cell r="I4390" t="str">
            <v>624</v>
          </cell>
        </row>
        <row r="4391">
          <cell r="A4391" t="str">
            <v>USD</v>
          </cell>
          <cell r="B4391" t="str">
            <v>624003357</v>
          </cell>
          <cell r="C4391" t="str">
            <v>RONCO , CESAR ANGEL</v>
          </cell>
          <cell r="G4391">
            <v>2179.81</v>
          </cell>
          <cell r="H4391">
            <v>3260080.2397999996</v>
          </cell>
          <cell r="I4391" t="str">
            <v>624</v>
          </cell>
        </row>
        <row r="4392">
          <cell r="A4392" t="str">
            <v>USD</v>
          </cell>
          <cell r="B4392" t="str">
            <v>624003384</v>
          </cell>
          <cell r="C4392" t="str">
            <v>SACCO , MARIA CRISTINA o BELLOTTI, GUIDO</v>
          </cell>
          <cell r="G4392">
            <v>9353.4500000000007</v>
          </cell>
          <cell r="H4392">
            <v>13988832.751</v>
          </cell>
          <cell r="I4392" t="str">
            <v>624</v>
          </cell>
        </row>
        <row r="4393">
          <cell r="A4393" t="str">
            <v>USD</v>
          </cell>
          <cell r="B4393" t="str">
            <v>624003461</v>
          </cell>
          <cell r="C4393" t="str">
            <v>IDOMANICO, SANDRA EDIT o MAURUTTO, FABIO HERNAN</v>
          </cell>
          <cell r="G4393">
            <v>39958.800000000003</v>
          </cell>
          <cell r="H4393">
            <v>59761582.104000002</v>
          </cell>
          <cell r="I4393" t="str">
            <v>624</v>
          </cell>
        </row>
        <row r="4394">
          <cell r="A4394" t="str">
            <v>USD</v>
          </cell>
          <cell r="B4394" t="str">
            <v>624003484</v>
          </cell>
          <cell r="C4394" t="str">
            <v>CALABRO , EDUARDO FRANCISCO o MARUSSO , PATRICIA BEATRIZ</v>
          </cell>
          <cell r="G4394">
            <v>28591.01</v>
          </cell>
          <cell r="H4394">
            <v>42760142.735799998</v>
          </cell>
          <cell r="I4394" t="str">
            <v>624</v>
          </cell>
        </row>
        <row r="4395">
          <cell r="A4395" t="str">
            <v>USD</v>
          </cell>
          <cell r="B4395" t="str">
            <v>624003514</v>
          </cell>
          <cell r="C4395" t="str">
            <v>CIRCULO DE AVIACION</v>
          </cell>
          <cell r="G4395">
            <v>8862.51</v>
          </cell>
          <cell r="H4395">
            <v>13254592.705800001</v>
          </cell>
          <cell r="I4395" t="str">
            <v>624</v>
          </cell>
        </row>
        <row r="4396">
          <cell r="A4396" t="str">
            <v>USD</v>
          </cell>
          <cell r="B4396" t="str">
            <v>624003548</v>
          </cell>
          <cell r="C4396" t="str">
            <v>ARASA, EDGARDO JOSE o ARASA, NAZARENO JOSE o ARASA, LAUTARO EDGARDO</v>
          </cell>
          <cell r="G4396">
            <v>769.78</v>
          </cell>
          <cell r="H4396">
            <v>1151267.5723999999</v>
          </cell>
          <cell r="I4396" t="str">
            <v>624</v>
          </cell>
        </row>
        <row r="4397">
          <cell r="A4397" t="str">
            <v>USD</v>
          </cell>
          <cell r="B4397" t="str">
            <v>624003584</v>
          </cell>
          <cell r="C4397" t="str">
            <v>PERALTA, RAUL RAMON o AQUINO, OFELIA NELLY</v>
          </cell>
          <cell r="G4397">
            <v>3003.02</v>
          </cell>
          <cell r="H4397">
            <v>4491256.6515999995</v>
          </cell>
          <cell r="I4397" t="str">
            <v>624</v>
          </cell>
        </row>
        <row r="4398">
          <cell r="A4398" t="str">
            <v>USD</v>
          </cell>
          <cell r="B4398" t="str">
            <v>624003651</v>
          </cell>
          <cell r="C4398" t="str">
            <v>CALABRO S.R.L.</v>
          </cell>
          <cell r="G4398">
            <v>57714.2</v>
          </cell>
          <cell r="H4398">
            <v>86316203.235999987</v>
          </cell>
          <cell r="I4398" t="str">
            <v>624</v>
          </cell>
        </row>
        <row r="4399">
          <cell r="A4399" t="str">
            <v>USD</v>
          </cell>
          <cell r="B4399" t="str">
            <v>624003670</v>
          </cell>
          <cell r="C4399" t="str">
            <v>VIEYRA , DANIEL RUBEN o VIEYRA, FRANCO DANIEL</v>
          </cell>
          <cell r="G4399">
            <v>2935.83</v>
          </cell>
          <cell r="H4399">
            <v>4390768.6313999994</v>
          </cell>
          <cell r="I4399" t="str">
            <v>624</v>
          </cell>
        </row>
        <row r="4400">
          <cell r="A4400" t="str">
            <v>USD</v>
          </cell>
          <cell r="B4400" t="str">
            <v>624003723</v>
          </cell>
          <cell r="C4400" t="str">
            <v>ARIJON, JUAN JOSE o PASCUAL, VIVIANA EUGENIA</v>
          </cell>
          <cell r="G4400">
            <v>199.98</v>
          </cell>
          <cell r="H4400">
            <v>299086.08839999995</v>
          </cell>
          <cell r="I4400" t="str">
            <v>624</v>
          </cell>
        </row>
        <row r="4401">
          <cell r="A4401" t="str">
            <v>USD</v>
          </cell>
          <cell r="B4401" t="str">
            <v>624003731</v>
          </cell>
          <cell r="C4401" t="str">
            <v>BARAVALLE, ROBERTO ANIBAL</v>
          </cell>
          <cell r="G4401">
            <v>5.53</v>
          </cell>
          <cell r="H4401">
            <v>8270.5573999999997</v>
          </cell>
          <cell r="I4401" t="str">
            <v>624</v>
          </cell>
        </row>
        <row r="4402">
          <cell r="A4402" t="str">
            <v>USD</v>
          </cell>
          <cell r="B4402" t="str">
            <v>624003833</v>
          </cell>
          <cell r="C4402" t="str">
            <v>ALDANA, LILIANA MIRTA o BONGELLI, OSCAR ANTONIO o ZAMBRANO, LEANDRO ARIEL</v>
          </cell>
          <cell r="G4402">
            <v>1040.4000000000001</v>
          </cell>
          <cell r="H4402">
            <v>1556001.432</v>
          </cell>
          <cell r="I4402" t="str">
            <v>624</v>
          </cell>
        </row>
        <row r="4403">
          <cell r="A4403" t="str">
            <v>USD</v>
          </cell>
          <cell r="B4403" t="str">
            <v>624003835</v>
          </cell>
          <cell r="C4403" t="str">
            <v>GIORDANO, SUSANA RAQUEL o DE DOMINICIS, SANTIAGO ALDO</v>
          </cell>
          <cell r="G4403">
            <v>51753.84</v>
          </cell>
          <cell r="H4403">
            <v>77402008.027199984</v>
          </cell>
          <cell r="I4403" t="str">
            <v>624</v>
          </cell>
        </row>
        <row r="4404">
          <cell r="A4404" t="str">
            <v>USD</v>
          </cell>
          <cell r="B4404" t="str">
            <v>624003902</v>
          </cell>
          <cell r="C4404" t="str">
            <v>FUNES, MARCELO ALBERTO  o  DALLA PACE, DANIELA</v>
          </cell>
          <cell r="G4404">
            <v>867.5</v>
          </cell>
          <cell r="H4404">
            <v>1297415.6499999999</v>
          </cell>
          <cell r="I4404" t="str">
            <v>624</v>
          </cell>
        </row>
        <row r="4405">
          <cell r="A4405" t="str">
            <v>USD</v>
          </cell>
          <cell r="B4405" t="str">
            <v>624003933</v>
          </cell>
          <cell r="C4405" t="str">
            <v xml:space="preserve"> FORTE, BRUNO</v>
          </cell>
          <cell r="G4405">
            <v>21307.98</v>
          </cell>
          <cell r="H4405">
            <v>31867788.728399999</v>
          </cell>
          <cell r="I4405" t="str">
            <v>624</v>
          </cell>
        </row>
        <row r="4406">
          <cell r="A4406" t="str">
            <v>USD</v>
          </cell>
          <cell r="B4406" t="str">
            <v>624003935</v>
          </cell>
          <cell r="C4406" t="str">
            <v>MORENO, CECILIA CARLA o ZURBRIGGEN, GASTON CARLOS</v>
          </cell>
          <cell r="G4406">
            <v>2107.1</v>
          </cell>
          <cell r="H4406">
            <v>3151336.6179999998</v>
          </cell>
          <cell r="I4406" t="str">
            <v>624</v>
          </cell>
        </row>
        <row r="4407">
          <cell r="A4407" t="str">
            <v>USD</v>
          </cell>
          <cell r="B4407" t="str">
            <v>624004035</v>
          </cell>
          <cell r="C4407" t="str">
            <v>D'AMICO, JOSE LUIS VICTOR</v>
          </cell>
          <cell r="G4407">
            <v>7175.5</v>
          </cell>
          <cell r="H4407">
            <v>10731534.289999999</v>
          </cell>
          <cell r="I4407" t="str">
            <v>624</v>
          </cell>
        </row>
        <row r="4408">
          <cell r="A4408" t="str">
            <v>USD</v>
          </cell>
          <cell r="B4408" t="str">
            <v>624004065</v>
          </cell>
          <cell r="C4408" t="str">
            <v>ARIMANY, JEREMIAS</v>
          </cell>
          <cell r="G4408">
            <v>11771.32</v>
          </cell>
          <cell r="H4408">
            <v>17604950.7656</v>
          </cell>
          <cell r="I4408" t="str">
            <v>624</v>
          </cell>
        </row>
        <row r="4409">
          <cell r="A4409" t="str">
            <v>USD</v>
          </cell>
          <cell r="B4409" t="str">
            <v>624004071</v>
          </cell>
          <cell r="C4409" t="str">
            <v>CAFARELL, OSVALDO RAMON</v>
          </cell>
          <cell r="G4409">
            <v>1325.35</v>
          </cell>
          <cell r="H4409">
            <v>1982166.9529999997</v>
          </cell>
          <cell r="I4409" t="str">
            <v>624</v>
          </cell>
        </row>
        <row r="4410">
          <cell r="A4410" t="str">
            <v>USD</v>
          </cell>
          <cell r="B4410" t="str">
            <v>624004072</v>
          </cell>
          <cell r="C4410" t="str">
            <v>GALEAZZI, JOSE LUIS o FISSORE, MARIA SOLEDAD o GALEAZZI, FRANCO</v>
          </cell>
          <cell r="G4410">
            <v>205210.77</v>
          </cell>
          <cell r="H4410">
            <v>306909123.39659995</v>
          </cell>
          <cell r="I4410" t="str">
            <v>624</v>
          </cell>
        </row>
        <row r="4411">
          <cell r="A4411" t="str">
            <v>USD</v>
          </cell>
          <cell r="B4411" t="str">
            <v>624004124</v>
          </cell>
          <cell r="C4411" t="str">
            <v>TONSICH, INES DEL LUJAN o DI PEGO, BELEN INES o DI PEGO, IGNACIO FERNANDO</v>
          </cell>
          <cell r="G4411">
            <v>1201.8499999999999</v>
          </cell>
          <cell r="H4411">
            <v>1797462.8229999999</v>
          </cell>
          <cell r="I4411" t="str">
            <v>624</v>
          </cell>
        </row>
        <row r="4412">
          <cell r="A4412" t="str">
            <v>USD</v>
          </cell>
          <cell r="B4412" t="str">
            <v>624004153</v>
          </cell>
          <cell r="C4412" t="str">
            <v>SANTA CRUZ, MARIA TERESA</v>
          </cell>
          <cell r="G4412">
            <v>949.9</v>
          </cell>
          <cell r="H4412">
            <v>1420651.4419999998</v>
          </cell>
          <cell r="I4412" t="str">
            <v>624</v>
          </cell>
        </row>
        <row r="4413">
          <cell r="A4413" t="str">
            <v>USD</v>
          </cell>
          <cell r="B4413" t="str">
            <v>624004220</v>
          </cell>
          <cell r="C4413" t="str">
            <v>ROJAS , ANALIA BEATRIZ o MORENO, JUSTO MARIO  o MORENO, NICOLE NAHIR u otros</v>
          </cell>
          <cell r="G4413">
            <v>1303.02</v>
          </cell>
          <cell r="H4413">
            <v>1948770.6516</v>
          </cell>
          <cell r="I4413" t="str">
            <v>624</v>
          </cell>
        </row>
        <row r="4414">
          <cell r="A4414" t="str">
            <v>USD</v>
          </cell>
          <cell r="B4414" t="str">
            <v>624004233</v>
          </cell>
          <cell r="C4414" t="str">
            <v>RODRIGUEZ, JOSE OSCAR</v>
          </cell>
          <cell r="G4414">
            <v>3865.01</v>
          </cell>
          <cell r="H4414">
            <v>5780431.6557999998</v>
          </cell>
          <cell r="I4414" t="str">
            <v>624</v>
          </cell>
        </row>
        <row r="4415">
          <cell r="A4415" t="str">
            <v>USD</v>
          </cell>
          <cell r="B4415" t="str">
            <v>624004242</v>
          </cell>
          <cell r="C4415" t="str">
            <v>UNIAGRO S.A.</v>
          </cell>
          <cell r="G4415">
            <v>799</v>
          </cell>
          <cell r="H4415">
            <v>1194968.42</v>
          </cell>
          <cell r="I4415" t="str">
            <v>624</v>
          </cell>
        </row>
        <row r="4416">
          <cell r="A4416" t="str">
            <v>USD</v>
          </cell>
          <cell r="B4416" t="str">
            <v>624004273</v>
          </cell>
          <cell r="C4416" t="str">
            <v>MARTINO, ROXANA CARLA</v>
          </cell>
          <cell r="G4416">
            <v>31.36</v>
          </cell>
          <cell r="H4416">
            <v>46901.388799999993</v>
          </cell>
          <cell r="I4416" t="str">
            <v>624</v>
          </cell>
        </row>
        <row r="4417">
          <cell r="A4417" t="str">
            <v>USD</v>
          </cell>
          <cell r="B4417" t="str">
            <v>624004281</v>
          </cell>
          <cell r="C4417" t="str">
            <v>ROLDAN, ROSA LILIANA  o AGUSTI ROLDAN, MARIANELA o DJOUBAILI, JORGE FRANCISCO</v>
          </cell>
          <cell r="G4417">
            <v>2499.58</v>
          </cell>
          <cell r="H4417">
            <v>3738321.8563999999</v>
          </cell>
          <cell r="I4417" t="str">
            <v>624</v>
          </cell>
        </row>
        <row r="4418">
          <cell r="A4418" t="str">
            <v>USD</v>
          </cell>
          <cell r="B4418" t="str">
            <v>624004287</v>
          </cell>
          <cell r="C4418" t="str">
            <v xml:space="preserve">POGLIACOMI, ADELA ADA o MORENO, JUSTO MARIO </v>
          </cell>
          <cell r="G4418">
            <v>5.55</v>
          </cell>
          <cell r="H4418">
            <v>8300.4689999999991</v>
          </cell>
          <cell r="I4418" t="str">
            <v>624</v>
          </cell>
        </row>
        <row r="4419">
          <cell r="A4419" t="str">
            <v>USD</v>
          </cell>
          <cell r="B4419" t="str">
            <v>624004300</v>
          </cell>
          <cell r="C4419" t="str">
            <v>SETTECASI, JULIETA</v>
          </cell>
          <cell r="G4419">
            <v>1043.6099999999999</v>
          </cell>
          <cell r="H4419">
            <v>1560802.2437999998</v>
          </cell>
          <cell r="I4419" t="str">
            <v>624</v>
          </cell>
        </row>
        <row r="4420">
          <cell r="A4420" t="str">
            <v>USD</v>
          </cell>
          <cell r="B4420" t="str">
            <v>624004304</v>
          </cell>
          <cell r="C4420" t="str">
            <v>RESINAS ROSARIO S.R.L.</v>
          </cell>
          <cell r="G4420">
            <v>4488.7</v>
          </cell>
          <cell r="H4420">
            <v>6713209.9459999995</v>
          </cell>
          <cell r="I4420" t="str">
            <v>624</v>
          </cell>
        </row>
        <row r="4421">
          <cell r="A4421" t="str">
            <v>USD</v>
          </cell>
          <cell r="B4421" t="str">
            <v>624004305</v>
          </cell>
          <cell r="C4421" t="str">
            <v>VEGAS, NESTOR JOSE</v>
          </cell>
          <cell r="G4421">
            <v>5898.82</v>
          </cell>
          <cell r="H4421">
            <v>8822157.2155999988</v>
          </cell>
          <cell r="I4421" t="str">
            <v>624</v>
          </cell>
        </row>
        <row r="4422">
          <cell r="A4422" t="str">
            <v>USD</v>
          </cell>
          <cell r="B4422" t="str">
            <v>624004324</v>
          </cell>
          <cell r="C4422" t="str">
            <v>SILVA, DANIELA PRISCILA</v>
          </cell>
          <cell r="G4422">
            <v>359</v>
          </cell>
          <cell r="H4422">
            <v>536913.22</v>
          </cell>
          <cell r="I4422" t="str">
            <v>624</v>
          </cell>
        </row>
        <row r="4423">
          <cell r="A4423" t="str">
            <v>USD</v>
          </cell>
          <cell r="B4423" t="str">
            <v>624004332</v>
          </cell>
          <cell r="C4423" t="str">
            <v>EZPELETA, HORACIO ESTEBAN</v>
          </cell>
          <cell r="G4423">
            <v>28978.1</v>
          </cell>
          <cell r="H4423">
            <v>43339066.797999993</v>
          </cell>
          <cell r="I4423" t="str">
            <v>624</v>
          </cell>
        </row>
        <row r="4424">
          <cell r="A4424" t="str">
            <v>USD</v>
          </cell>
          <cell r="B4424" t="str">
            <v>624004363</v>
          </cell>
          <cell r="C4424" t="str">
            <v>KYOJIN S.A.</v>
          </cell>
          <cell r="G4424">
            <v>7256.46</v>
          </cell>
          <cell r="H4424">
            <v>10852616.446799999</v>
          </cell>
          <cell r="I4424" t="str">
            <v>624</v>
          </cell>
        </row>
        <row r="4425">
          <cell r="A4425" t="str">
            <v>USD</v>
          </cell>
          <cell r="B4425" t="str">
            <v>624004380</v>
          </cell>
          <cell r="C4425" t="str">
            <v>RODRIGUEZ , MARIA ROSA o LOPEZ, SILVINA ANDREA</v>
          </cell>
          <cell r="G4425">
            <v>3045.82</v>
          </cell>
          <cell r="H4425">
            <v>4555267.4756000005</v>
          </cell>
          <cell r="I4425" t="str">
            <v>624</v>
          </cell>
        </row>
        <row r="4426">
          <cell r="A4426" t="str">
            <v>USD</v>
          </cell>
          <cell r="B4426" t="str">
            <v>624004389</v>
          </cell>
          <cell r="C4426" t="str">
            <v>FERNANDEZ, MARIA DEL ROSARIO o HACHEN, LUCIANA  o HACHEN, ULISES</v>
          </cell>
          <cell r="G4426">
            <v>328.5</v>
          </cell>
          <cell r="H4426">
            <v>491298.02999999997</v>
          </cell>
          <cell r="I4426" t="str">
            <v>624</v>
          </cell>
        </row>
        <row r="4427">
          <cell r="A4427" t="str">
            <v>USD</v>
          </cell>
          <cell r="B4427" t="str">
            <v>624004415</v>
          </cell>
          <cell r="C4427" t="str">
            <v xml:space="preserve"> [C.E.R.A.] PINAZO, MARIA SUSANA</v>
          </cell>
          <cell r="G4427">
            <v>1545.58</v>
          </cell>
          <cell r="H4427">
            <v>2311538.5363999996</v>
          </cell>
          <cell r="I4427" t="str">
            <v>624</v>
          </cell>
        </row>
        <row r="4428">
          <cell r="A4428" t="str">
            <v>USD</v>
          </cell>
          <cell r="B4428" t="str">
            <v>687000022</v>
          </cell>
          <cell r="C4428" t="str">
            <v>PIANO DANIEL</v>
          </cell>
          <cell r="G4428">
            <v>159</v>
          </cell>
          <cell r="H4428">
            <v>237797.22</v>
          </cell>
          <cell r="I4428" t="str">
            <v>687</v>
          </cell>
        </row>
        <row r="4429">
          <cell r="A4429" t="str">
            <v>USD</v>
          </cell>
          <cell r="B4429" t="str">
            <v>687000272</v>
          </cell>
          <cell r="C4429" t="str">
            <v>MOGETTA, PEDRO LUIS o JIMENEZ, GABRIELA</v>
          </cell>
          <cell r="G4429">
            <v>22981.919999999998</v>
          </cell>
          <cell r="H4429">
            <v>34371299.913599998</v>
          </cell>
          <cell r="I4429" t="str">
            <v>687</v>
          </cell>
        </row>
        <row r="4430">
          <cell r="A4430" t="str">
            <v>USD</v>
          </cell>
          <cell r="B4430" t="str">
            <v>687000360</v>
          </cell>
          <cell r="C4430" t="str">
            <v>PELLEGRINI, ADRIANA MABEL o PAGANI, JORGE CRISTIAN</v>
          </cell>
          <cell r="G4430">
            <v>10300</v>
          </cell>
          <cell r="H4430">
            <v>15404474</v>
          </cell>
          <cell r="I4430" t="str">
            <v>687</v>
          </cell>
        </row>
        <row r="4431">
          <cell r="A4431" t="str">
            <v>USD</v>
          </cell>
          <cell r="B4431" t="str">
            <v>687000371</v>
          </cell>
          <cell r="C4431" t="str">
            <v>SUFFRITI, LEOPOLDO o CEFOLA, MARIA VERONICA</v>
          </cell>
          <cell r="G4431">
            <v>99.67</v>
          </cell>
          <cell r="H4431">
            <v>149064.45859999998</v>
          </cell>
          <cell r="I4431" t="str">
            <v>687</v>
          </cell>
        </row>
        <row r="4432">
          <cell r="A4432" t="str">
            <v>USD</v>
          </cell>
          <cell r="B4432" t="str">
            <v>687000432</v>
          </cell>
          <cell r="C4432" t="str">
            <v>FONTANA, HIPOLITO RIZIERI o GHIGLIONE, LUISA BEATRIZ o FONTANA, ADRIANA GRACIELA</v>
          </cell>
          <cell r="G4432">
            <v>8657.4</v>
          </cell>
          <cell r="H4432">
            <v>12947834.291999999</v>
          </cell>
          <cell r="I4432" t="str">
            <v>687</v>
          </cell>
        </row>
        <row r="4433">
          <cell r="A4433" t="str">
            <v>USD</v>
          </cell>
          <cell r="B4433" t="str">
            <v>687000470</v>
          </cell>
          <cell r="C4433" t="str">
            <v>DELALOYE, NICANOR FELIX ALEJO</v>
          </cell>
          <cell r="G4433">
            <v>149177.44</v>
          </cell>
          <cell r="H4433">
            <v>223106795.71520001</v>
          </cell>
          <cell r="I4433" t="str">
            <v>687</v>
          </cell>
        </row>
        <row r="4434">
          <cell r="A4434" t="str">
            <v>USD</v>
          </cell>
          <cell r="B4434" t="str">
            <v>687000550</v>
          </cell>
          <cell r="C4434" t="str">
            <v>BRIL, ANDRES SIMON o GUTIERREZ, VERONICA</v>
          </cell>
          <cell r="G4434">
            <v>14999.01</v>
          </cell>
          <cell r="H4434">
            <v>22432219.375799999</v>
          </cell>
          <cell r="I4434" t="str">
            <v>687</v>
          </cell>
        </row>
        <row r="4435">
          <cell r="A4435" t="str">
            <v>USD</v>
          </cell>
          <cell r="B4435" t="str">
            <v>687000551</v>
          </cell>
          <cell r="C4435" t="str">
            <v>CASADEI, GERARDO MARTIN</v>
          </cell>
          <cell r="G4435">
            <v>2299.0700000000002</v>
          </cell>
          <cell r="H4435">
            <v>3438443.1106000002</v>
          </cell>
          <cell r="I4435" t="str">
            <v>687</v>
          </cell>
        </row>
        <row r="4436">
          <cell r="A4436" t="str">
            <v>USD</v>
          </cell>
          <cell r="B4436" t="str">
            <v>687000581</v>
          </cell>
          <cell r="C4436" t="str">
            <v>LORTE, ERNESTO PABLO</v>
          </cell>
          <cell r="G4436">
            <v>123.74</v>
          </cell>
          <cell r="H4436">
            <v>185063.06919999997</v>
          </cell>
          <cell r="I4436" t="str">
            <v>687</v>
          </cell>
        </row>
        <row r="4437">
          <cell r="A4437" t="str">
            <v>USD</v>
          </cell>
          <cell r="B4437" t="str">
            <v>687000587</v>
          </cell>
          <cell r="C4437" t="str">
            <v>MAOLONI, PAOLA MARIA o GALVANI, LUCAS ARIEL o FIORENTINI, NORA ISABEL</v>
          </cell>
          <cell r="G4437">
            <v>202.53</v>
          </cell>
          <cell r="H4437">
            <v>302899.8174</v>
          </cell>
          <cell r="I4437" t="str">
            <v>687</v>
          </cell>
        </row>
        <row r="4438">
          <cell r="A4438" t="str">
            <v>USD</v>
          </cell>
          <cell r="B4438" t="str">
            <v>687000594</v>
          </cell>
          <cell r="C4438" t="str">
            <v>CACCHIONE, BEATRIZ ELENA o CACCHIONE, RAUL JUAN</v>
          </cell>
          <cell r="G4438">
            <v>350.29</v>
          </cell>
          <cell r="H4438">
            <v>523886.7182</v>
          </cell>
          <cell r="I4438" t="str">
            <v>687</v>
          </cell>
        </row>
        <row r="4439">
          <cell r="A4439" t="str">
            <v>USD</v>
          </cell>
          <cell r="B4439" t="str">
            <v>687000665</v>
          </cell>
          <cell r="C4439" t="str">
            <v>TORRES, NATALIA EVANGELINA o IANNARELLI ERCOLE, JUAN BRUNO</v>
          </cell>
          <cell r="G4439">
            <v>3531.3</v>
          </cell>
          <cell r="H4439">
            <v>5281341.6540000001</v>
          </cell>
          <cell r="I4439" t="str">
            <v>687</v>
          </cell>
        </row>
        <row r="4440">
          <cell r="A4440" t="str">
            <v>USD</v>
          </cell>
          <cell r="B4440" t="str">
            <v>687000674</v>
          </cell>
          <cell r="C4440" t="str">
            <v>DE SANCTIS , ANIBAL PERICLES  o DE SANCTIS, SOFIA FLAVIA</v>
          </cell>
          <cell r="G4440">
            <v>88310.03</v>
          </cell>
          <cell r="H4440">
            <v>132074714.66739999</v>
          </cell>
          <cell r="I4440" t="str">
            <v>687</v>
          </cell>
        </row>
        <row r="4441">
          <cell r="A4441" t="str">
            <v>USD</v>
          </cell>
          <cell r="B4441" t="str">
            <v>687000685</v>
          </cell>
          <cell r="C4441" t="str">
            <v xml:space="preserve">DE SANCTIS, NICOLAS ANIBAL o DE SANCTIS , ANIBAL PERICLES </v>
          </cell>
          <cell r="G4441">
            <v>28473.84</v>
          </cell>
          <cell r="H4441">
            <v>42584905.6272</v>
          </cell>
          <cell r="I4441" t="str">
            <v>687</v>
          </cell>
        </row>
        <row r="4442">
          <cell r="A4442" t="str">
            <v>USD</v>
          </cell>
          <cell r="B4442" t="str">
            <v>687000705</v>
          </cell>
          <cell r="C4442" t="str">
            <v>MARTIN, ALBERTO JORGE</v>
          </cell>
          <cell r="G4442">
            <v>17999.72</v>
          </cell>
          <cell r="H4442">
            <v>26920021.237599999</v>
          </cell>
          <cell r="I4442" t="str">
            <v>687</v>
          </cell>
        </row>
        <row r="4443">
          <cell r="A4443" t="str">
            <v>USD</v>
          </cell>
          <cell r="B4443" t="str">
            <v>687000761</v>
          </cell>
          <cell r="C4443" t="str">
            <v>ZORATTI, CRISTIAN PABLO o ZORATTI, ANDREA BEATRIZ o ZORATTI, VICTOR ANTONIO ESTEBAN</v>
          </cell>
          <cell r="G4443">
            <v>759.34</v>
          </cell>
          <cell r="H4443">
            <v>1135653.7172000001</v>
          </cell>
          <cell r="I4443" t="str">
            <v>687</v>
          </cell>
        </row>
        <row r="4444">
          <cell r="A4444" t="str">
            <v>USD</v>
          </cell>
          <cell r="B4444" t="str">
            <v>687000771</v>
          </cell>
          <cell r="C4444" t="str">
            <v>GALVANI, GASTON ALEJANDRO o MATTIA, MARIA VIRGINIA</v>
          </cell>
          <cell r="G4444">
            <v>197630.85</v>
          </cell>
          <cell r="H4444">
            <v>295572746.64300001</v>
          </cell>
          <cell r="I4444" t="str">
            <v>687</v>
          </cell>
        </row>
        <row r="4445">
          <cell r="A4445" t="str">
            <v>USD</v>
          </cell>
          <cell r="B4445" t="str">
            <v>687000789</v>
          </cell>
          <cell r="C4445" t="str">
            <v>RUIZ, HERNAN GERARDO</v>
          </cell>
          <cell r="G4445">
            <v>489.49</v>
          </cell>
          <cell r="H4445">
            <v>732071.45419999992</v>
          </cell>
          <cell r="I4445" t="str">
            <v>687</v>
          </cell>
        </row>
        <row r="4446">
          <cell r="A4446" t="str">
            <v>USD</v>
          </cell>
          <cell r="B4446" t="str">
            <v>687000814</v>
          </cell>
          <cell r="C4446" t="str">
            <v>PEREZ CORTES, IGNACIO o MARZIONI, MELISA AGOSTINA</v>
          </cell>
          <cell r="G4446">
            <v>344.26</v>
          </cell>
          <cell r="H4446">
            <v>514868.37079999998</v>
          </cell>
          <cell r="I4446" t="str">
            <v>687</v>
          </cell>
        </row>
        <row r="4447">
          <cell r="A4447" t="str">
            <v>USD</v>
          </cell>
          <cell r="B4447" t="str">
            <v>687000825</v>
          </cell>
          <cell r="C4447" t="str">
            <v>RISSO, EDUARDO ANTONIO</v>
          </cell>
          <cell r="G4447">
            <v>1999.33</v>
          </cell>
          <cell r="H4447">
            <v>2990157.9613999999</v>
          </cell>
          <cell r="I4447" t="str">
            <v>687</v>
          </cell>
        </row>
        <row r="4448">
          <cell r="A4448" t="str">
            <v>USD</v>
          </cell>
          <cell r="B4448" t="str">
            <v>687000829</v>
          </cell>
          <cell r="C4448" t="str">
            <v>MUTUAL DEL CLUB ATLETICO JUVENTUD UNIDA</v>
          </cell>
          <cell r="G4448">
            <v>402.09</v>
          </cell>
          <cell r="H4448">
            <v>601357.76219999988</v>
          </cell>
          <cell r="I4448" t="str">
            <v>687</v>
          </cell>
        </row>
        <row r="4449">
          <cell r="A4449" t="str">
            <v>USD</v>
          </cell>
          <cell r="B4449" t="str">
            <v>687000833</v>
          </cell>
          <cell r="C4449" t="str">
            <v>GALLI, EUGENIA MARIA o BARAT, JUAN MANUEL</v>
          </cell>
          <cell r="G4449">
            <v>10034</v>
          </cell>
          <cell r="H4449">
            <v>15006649.719999999</v>
          </cell>
          <cell r="I4449" t="str">
            <v>687</v>
          </cell>
        </row>
        <row r="4450">
          <cell r="A4450" t="str">
            <v>USD</v>
          </cell>
          <cell r="B4450" t="str">
            <v>687000845</v>
          </cell>
          <cell r="C4450" t="str">
            <v>LA FAMILLE S.A.</v>
          </cell>
          <cell r="G4450">
            <v>119999.54</v>
          </cell>
          <cell r="H4450">
            <v>179468912.0332</v>
          </cell>
          <cell r="I4450" t="str">
            <v>687</v>
          </cell>
        </row>
        <row r="4451">
          <cell r="A4451" t="str">
            <v>USD</v>
          </cell>
          <cell r="B4451" t="str">
            <v>687000928</v>
          </cell>
          <cell r="C4451" t="str">
            <v>CORDIVIOLA, ESTEBAN GABRIEL</v>
          </cell>
          <cell r="G4451">
            <v>533495.51</v>
          </cell>
          <cell r="H4451">
            <v>797885214.84579992</v>
          </cell>
          <cell r="I4451" t="str">
            <v>687</v>
          </cell>
        </row>
        <row r="4452">
          <cell r="A4452" t="str">
            <v>USD</v>
          </cell>
          <cell r="B4452" t="str">
            <v>687000931</v>
          </cell>
          <cell r="C4452" t="str">
            <v>MENENDEZ, IGNACIO MARTIN</v>
          </cell>
          <cell r="G4452">
            <v>495.53</v>
          </cell>
          <cell r="H4452">
            <v>741104.75739999989</v>
          </cell>
          <cell r="I4452" t="str">
            <v>687</v>
          </cell>
        </row>
        <row r="4453">
          <cell r="A4453" t="str">
            <v>USD</v>
          </cell>
          <cell r="B4453" t="str">
            <v>687000941</v>
          </cell>
          <cell r="C4453" t="str">
            <v xml:space="preserve">DE MATTIA, MAURICIO </v>
          </cell>
          <cell r="G4453">
            <v>267.14999999999998</v>
          </cell>
          <cell r="H4453">
            <v>399544.19699999993</v>
          </cell>
          <cell r="I4453" t="str">
            <v>687</v>
          </cell>
        </row>
        <row r="4454">
          <cell r="A4454" t="str">
            <v>USD</v>
          </cell>
          <cell r="B4454" t="str">
            <v>687000961</v>
          </cell>
          <cell r="C4454" t="str">
            <v>MARZIONI, MELISA AGOSTINA</v>
          </cell>
          <cell r="G4454">
            <v>420.03</v>
          </cell>
          <cell r="H4454">
            <v>628188.46739999996</v>
          </cell>
          <cell r="I4454" t="str">
            <v>687</v>
          </cell>
        </row>
        <row r="4455">
          <cell r="A4455" t="str">
            <v>USD</v>
          </cell>
          <cell r="B4455" t="str">
            <v>687000968</v>
          </cell>
          <cell r="C4455" t="str">
            <v>GARCIA, AGUSTIN GASTON</v>
          </cell>
          <cell r="G4455">
            <v>101.22</v>
          </cell>
          <cell r="H4455">
            <v>151382.60759999999</v>
          </cell>
          <cell r="I4455" t="str">
            <v>687</v>
          </cell>
        </row>
        <row r="4456">
          <cell r="A4456" t="str">
            <v>USD</v>
          </cell>
          <cell r="B4456" t="str">
            <v>687000970</v>
          </cell>
          <cell r="C4456" t="str">
            <v>SENTINELLI, LUCA</v>
          </cell>
          <cell r="G4456">
            <v>162.09</v>
          </cell>
          <cell r="H4456">
            <v>242418.56219999999</v>
          </cell>
          <cell r="I4456" t="str">
            <v>687</v>
          </cell>
        </row>
        <row r="4457">
          <cell r="A4457" t="str">
            <v>USD</v>
          </cell>
          <cell r="B4457" t="str">
            <v>687000973</v>
          </cell>
          <cell r="C4457" t="str">
            <v>MALPASSI, LUCIANO DAMIAN</v>
          </cell>
          <cell r="G4457">
            <v>242635.05</v>
          </cell>
          <cell r="H4457">
            <v>362880128.07899994</v>
          </cell>
          <cell r="I4457" t="str">
            <v>687</v>
          </cell>
        </row>
        <row r="4458">
          <cell r="A4458" t="str">
            <v>USD</v>
          </cell>
          <cell r="B4458" t="str">
            <v>687000978</v>
          </cell>
          <cell r="C4458" t="str">
            <v>KOBILA, ANIBAL ABEL o MESSINA, LORENA ANDREA</v>
          </cell>
          <cell r="G4458">
            <v>289.27999999999997</v>
          </cell>
          <cell r="H4458">
            <v>432641.38239999994</v>
          </cell>
          <cell r="I4458" t="str">
            <v>687</v>
          </cell>
        </row>
        <row r="4459">
          <cell r="A4459" t="str">
            <v>USD</v>
          </cell>
          <cell r="B4459" t="str">
            <v>687000980</v>
          </cell>
          <cell r="C4459" t="str">
            <v>MARTIN, JUAN IGNACIO</v>
          </cell>
          <cell r="G4459">
            <v>10.220000000000001</v>
          </cell>
          <cell r="H4459">
            <v>15284.827600000001</v>
          </cell>
          <cell r="I4459" t="str">
            <v>687</v>
          </cell>
        </row>
        <row r="4460">
          <cell r="A4460" t="str">
            <v>USD</v>
          </cell>
          <cell r="B4460" t="str">
            <v>687000981</v>
          </cell>
          <cell r="C4460" t="str">
            <v>GARCIA, FRANCO</v>
          </cell>
          <cell r="G4460">
            <v>34.6</v>
          </cell>
          <cell r="H4460">
            <v>51747.067999999999</v>
          </cell>
          <cell r="I4460" t="str">
            <v>687</v>
          </cell>
        </row>
        <row r="4461">
          <cell r="A4461" t="str">
            <v>USD</v>
          </cell>
          <cell r="B4461" t="str">
            <v>687000983</v>
          </cell>
          <cell r="C4461" t="str">
            <v>YALKH, ALAN HERNAN</v>
          </cell>
          <cell r="G4461">
            <v>18.18</v>
          </cell>
          <cell r="H4461">
            <v>27189.644399999997</v>
          </cell>
          <cell r="I4461" t="str">
            <v>687</v>
          </cell>
        </row>
        <row r="4462">
          <cell r="A4462" t="str">
            <v>USD</v>
          </cell>
          <cell r="B4462" t="str">
            <v>687000992</v>
          </cell>
          <cell r="C4462" t="str">
            <v>PIATTI, CRISTIAN LEONARDO o MANGIONE, CARLA o PIATTI, CAMILO</v>
          </cell>
          <cell r="G4462">
            <v>1117</v>
          </cell>
          <cell r="H4462">
            <v>1670562.8599999999</v>
          </cell>
          <cell r="I4462" t="str">
            <v>687</v>
          </cell>
        </row>
        <row r="4463">
          <cell r="A4463" t="str">
            <v>USD</v>
          </cell>
          <cell r="B4463" t="str">
            <v>687000995</v>
          </cell>
          <cell r="C4463" t="str">
            <v>ROMANO, PATRICIO</v>
          </cell>
          <cell r="G4463">
            <v>22543.759999999998</v>
          </cell>
          <cell r="H4463">
            <v>33715996.580799997</v>
          </cell>
          <cell r="I4463" t="str">
            <v>687</v>
          </cell>
        </row>
        <row r="4464">
          <cell r="A4464" t="str">
            <v>USD</v>
          </cell>
          <cell r="B4464" t="str">
            <v>687000996</v>
          </cell>
          <cell r="C4464" t="str">
            <v>LOTE 3 SRL</v>
          </cell>
          <cell r="G4464">
            <v>611.97</v>
          </cell>
          <cell r="H4464">
            <v>915250.09259999997</v>
          </cell>
          <cell r="I4464" t="str">
            <v>687</v>
          </cell>
        </row>
        <row r="4465">
          <cell r="A4465" t="str">
            <v>USD</v>
          </cell>
          <cell r="B4465" t="str">
            <v>687000997</v>
          </cell>
          <cell r="C4465" t="str">
            <v>OJEDA, GUIDO ANTONIO</v>
          </cell>
          <cell r="G4465">
            <v>179.5</v>
          </cell>
          <cell r="H4465">
            <v>268456.61</v>
          </cell>
          <cell r="I4465" t="str">
            <v>687</v>
          </cell>
        </row>
        <row r="4466">
          <cell r="A4466" t="str">
            <v>USD</v>
          </cell>
          <cell r="B4466" t="str">
            <v>687001003</v>
          </cell>
          <cell r="C4466" t="str">
            <v>SOCSeMe SAS</v>
          </cell>
          <cell r="G4466">
            <v>14632.34</v>
          </cell>
          <cell r="H4466">
            <v>21883835.0572</v>
          </cell>
          <cell r="I4466" t="str">
            <v>687</v>
          </cell>
        </row>
        <row r="4467">
          <cell r="A4467" t="str">
            <v>USD</v>
          </cell>
          <cell r="B4467" t="str">
            <v>717002001</v>
          </cell>
          <cell r="C4467" t="str">
            <v>BARRILLI S.A.</v>
          </cell>
          <cell r="G4467">
            <v>225949.32</v>
          </cell>
          <cell r="H4467">
            <v>337925284.00559998</v>
          </cell>
          <cell r="I4467" t="str">
            <v>717</v>
          </cell>
        </row>
        <row r="4468">
          <cell r="A4468" t="str">
            <v>USD</v>
          </cell>
          <cell r="B4468" t="str">
            <v>717008565</v>
          </cell>
          <cell r="C4468" t="str">
            <v>ESCARRA FERNANDO</v>
          </cell>
          <cell r="G4468">
            <v>11001.41</v>
          </cell>
          <cell r="H4468">
            <v>16453488.7678</v>
          </cell>
          <cell r="I4468" t="str">
            <v>717</v>
          </cell>
        </row>
        <row r="4469">
          <cell r="A4469" t="str">
            <v>USD</v>
          </cell>
          <cell r="B4469" t="str">
            <v>717019643</v>
          </cell>
          <cell r="C4469" t="str">
            <v>GRUPO MARYMAR S.A.</v>
          </cell>
          <cell r="G4469">
            <v>13937.72</v>
          </cell>
          <cell r="H4469">
            <v>20844975.277599998</v>
          </cell>
          <cell r="I4469" t="str">
            <v>717</v>
          </cell>
        </row>
        <row r="4470">
          <cell r="A4470" t="str">
            <v>USD</v>
          </cell>
          <cell r="B4470" t="str">
            <v>717041369</v>
          </cell>
          <cell r="C4470" t="str">
            <v>FENOGLIO DARIEN DIEGO</v>
          </cell>
          <cell r="G4470">
            <v>760.27</v>
          </cell>
          <cell r="H4470">
            <v>1137044.6065999998</v>
          </cell>
          <cell r="I4470" t="str">
            <v>717</v>
          </cell>
        </row>
        <row r="4471">
          <cell r="A4471" t="str">
            <v>USD</v>
          </cell>
          <cell r="B4471" t="str">
            <v>717041993</v>
          </cell>
          <cell r="C4471" t="str">
            <v>DERVA HERNAN JORGE</v>
          </cell>
          <cell r="G4471">
            <v>993.68</v>
          </cell>
          <cell r="H4471">
            <v>1486127.9343999999</v>
          </cell>
          <cell r="I4471" t="str">
            <v>717</v>
          </cell>
        </row>
        <row r="4472">
          <cell r="A4472" t="str">
            <v>USD</v>
          </cell>
          <cell r="B4472" t="str">
            <v>717042968</v>
          </cell>
          <cell r="C4472" t="str">
            <v>TORRIANI HARDING MAXIMILIANO ALFONSO</v>
          </cell>
          <cell r="G4472">
            <v>4949</v>
          </cell>
          <cell r="H4472">
            <v>7401625.4199999999</v>
          </cell>
          <cell r="I4472" t="str">
            <v>717</v>
          </cell>
        </row>
        <row r="4473">
          <cell r="A4473" t="str">
            <v>USD</v>
          </cell>
          <cell r="B4473" t="str">
            <v>717055664</v>
          </cell>
          <cell r="C4473" t="str">
            <v>AGRO RIO SA</v>
          </cell>
          <cell r="G4473">
            <v>42401.5</v>
          </cell>
          <cell r="H4473">
            <v>63414835.369999997</v>
          </cell>
          <cell r="I4473" t="str">
            <v>717</v>
          </cell>
        </row>
        <row r="4474">
          <cell r="A4474" t="str">
            <v>USD</v>
          </cell>
          <cell r="B4474" t="str">
            <v>717058834</v>
          </cell>
          <cell r="C4474" t="str">
            <v>FILOCCO, VICTOR EDUARDO</v>
          </cell>
          <cell r="G4474">
            <v>7003</v>
          </cell>
          <cell r="H4474">
            <v>10473546.74</v>
          </cell>
          <cell r="I4474" t="str">
            <v>717</v>
          </cell>
        </row>
        <row r="4475">
          <cell r="A4475" t="str">
            <v>USD</v>
          </cell>
          <cell r="B4475" t="str">
            <v>717060041</v>
          </cell>
          <cell r="C4475" t="str">
            <v>CUATRO HOJAS S.A.</v>
          </cell>
          <cell r="G4475">
            <v>37320</v>
          </cell>
          <cell r="H4475">
            <v>55815045.599999994</v>
          </cell>
          <cell r="I4475" t="str">
            <v>717</v>
          </cell>
        </row>
        <row r="4476">
          <cell r="A4476" t="str">
            <v>USD</v>
          </cell>
          <cell r="B4476" t="str">
            <v>717100016</v>
          </cell>
          <cell r="C4476" t="str">
            <v>BORRI ALDO JOSE</v>
          </cell>
          <cell r="G4476">
            <v>18251.03</v>
          </cell>
          <cell r="H4476">
            <v>27295875.447399996</v>
          </cell>
          <cell r="I4476" t="str">
            <v>717</v>
          </cell>
        </row>
        <row r="4477">
          <cell r="A4477" t="str">
            <v>USD</v>
          </cell>
          <cell r="B4477" t="str">
            <v>717100091</v>
          </cell>
          <cell r="C4477" t="str">
            <v>LA PIRCA SRL</v>
          </cell>
          <cell r="G4477">
            <v>10471.84</v>
          </cell>
          <cell r="H4477">
            <v>15661474.4672</v>
          </cell>
          <cell r="I4477" t="str">
            <v>717</v>
          </cell>
        </row>
        <row r="4478">
          <cell r="A4478" t="str">
            <v>USD</v>
          </cell>
          <cell r="B4478" t="str">
            <v>717100132</v>
          </cell>
          <cell r="C4478" t="str">
            <v>POZZI, SANTIAGO</v>
          </cell>
          <cell r="G4478">
            <v>14708.54</v>
          </cell>
          <cell r="H4478">
            <v>21997798.253200002</v>
          </cell>
          <cell r="I4478" t="str">
            <v>717</v>
          </cell>
        </row>
        <row r="4479">
          <cell r="A4479" t="str">
            <v>USD</v>
          </cell>
          <cell r="B4479" t="str">
            <v>717100161</v>
          </cell>
          <cell r="C4479" t="str">
            <v>FUNDACION CIENCIAS AGRARIAS</v>
          </cell>
          <cell r="G4479">
            <v>44354.01</v>
          </cell>
          <cell r="H4479">
            <v>66334970.275799997</v>
          </cell>
          <cell r="I4479" t="str">
            <v>717</v>
          </cell>
        </row>
        <row r="4480">
          <cell r="A4480" t="str">
            <v>USD</v>
          </cell>
          <cell r="B4480" t="str">
            <v>717100179</v>
          </cell>
          <cell r="C4480" t="str">
            <v>SAN EMILIO SOCIEDAD ANONIMA</v>
          </cell>
          <cell r="G4480">
            <v>32435.95</v>
          </cell>
          <cell r="H4480">
            <v>48510558.100999996</v>
          </cell>
          <cell r="I4480" t="str">
            <v>717</v>
          </cell>
        </row>
        <row r="4481">
          <cell r="A4481" t="str">
            <v>USD</v>
          </cell>
          <cell r="B4481" t="str">
            <v>717100185</v>
          </cell>
          <cell r="C4481" t="str">
            <v>ZURCHER, DANIEL HORACIO</v>
          </cell>
          <cell r="G4481">
            <v>87790</v>
          </cell>
          <cell r="H4481">
            <v>131296968.19999999</v>
          </cell>
          <cell r="I4481" t="str">
            <v>717</v>
          </cell>
        </row>
        <row r="4482">
          <cell r="A4482" t="str">
            <v>USD</v>
          </cell>
          <cell r="B4482" t="str">
            <v>717100214</v>
          </cell>
          <cell r="C4482" t="str">
            <v>TRECCO, DANIEL DOMINGO</v>
          </cell>
          <cell r="G4482">
            <v>31277.13</v>
          </cell>
          <cell r="H4482">
            <v>46777450.0854</v>
          </cell>
          <cell r="I4482" t="str">
            <v>717</v>
          </cell>
        </row>
        <row r="4483">
          <cell r="A4483" t="str">
            <v>USD</v>
          </cell>
          <cell r="B4483" t="str">
            <v>717100226</v>
          </cell>
          <cell r="C4483" t="str">
            <v>HABEGGER LUIS ALFREDO Y HABEGGER GABRIEL ALFREDO SOC DE HECHO</v>
          </cell>
          <cell r="G4483">
            <v>110486.68</v>
          </cell>
          <cell r="H4483">
            <v>165241668.87439999</v>
          </cell>
          <cell r="I4483" t="str">
            <v>717</v>
          </cell>
        </row>
        <row r="4484">
          <cell r="A4484" t="str">
            <v>USD</v>
          </cell>
          <cell r="B4484" t="str">
            <v>717100273</v>
          </cell>
          <cell r="C4484" t="str">
            <v>BORTOLUTTI MARGARITA</v>
          </cell>
          <cell r="G4484">
            <v>197002.65</v>
          </cell>
          <cell r="H4484">
            <v>294633223.287</v>
          </cell>
          <cell r="I4484" t="str">
            <v>717</v>
          </cell>
        </row>
        <row r="4485">
          <cell r="A4485" t="str">
            <v>USD</v>
          </cell>
          <cell r="B4485" t="str">
            <v>717100276</v>
          </cell>
          <cell r="C4485" t="str">
            <v>BUCHAILLOT, GISELLE IVANA</v>
          </cell>
          <cell r="G4485">
            <v>10695.82</v>
          </cell>
          <cell r="H4485">
            <v>15996454.475599999</v>
          </cell>
          <cell r="I4485" t="str">
            <v>717</v>
          </cell>
        </row>
        <row r="4486">
          <cell r="A4486" t="str">
            <v>USD</v>
          </cell>
          <cell r="B4486" t="str">
            <v>717100282</v>
          </cell>
          <cell r="C4486" t="str">
            <v>MEMELEN SA</v>
          </cell>
          <cell r="G4486">
            <v>20149.28</v>
          </cell>
          <cell r="H4486">
            <v>30134860.182399996</v>
          </cell>
          <cell r="I4486" t="str">
            <v>717</v>
          </cell>
        </row>
        <row r="4487">
          <cell r="A4487" t="str">
            <v>USD</v>
          </cell>
          <cell r="B4487" t="str">
            <v>717100302</v>
          </cell>
          <cell r="C4487" t="str">
            <v>BALDELLOU, NELSON ROBERTO</v>
          </cell>
          <cell r="G4487">
            <v>15079.74</v>
          </cell>
          <cell r="H4487">
            <v>22552957.549199998</v>
          </cell>
          <cell r="I4487" t="str">
            <v>717</v>
          </cell>
        </row>
        <row r="4488">
          <cell r="A4488" t="str">
            <v>USD</v>
          </cell>
          <cell r="B4488" t="str">
            <v>717100309</v>
          </cell>
          <cell r="C4488" t="str">
            <v>INDUSOIL SERVICIOS S. R. L.</v>
          </cell>
          <cell r="G4488">
            <v>20646.86</v>
          </cell>
          <cell r="H4488">
            <v>30879030.878800001</v>
          </cell>
          <cell r="I4488" t="str">
            <v>717</v>
          </cell>
        </row>
        <row r="4489">
          <cell r="A4489" t="str">
            <v>USD</v>
          </cell>
          <cell r="B4489" t="str">
            <v>758001000</v>
          </cell>
          <cell r="C4489" t="str">
            <v>Gorostiaga Bursatil S.A.</v>
          </cell>
          <cell r="G4489">
            <v>11773.5</v>
          </cell>
          <cell r="H4489">
            <v>17608211.129999999</v>
          </cell>
          <cell r="I4489" t="str">
            <v>758</v>
          </cell>
        </row>
        <row r="4490">
          <cell r="A4490" t="str">
            <v>USD</v>
          </cell>
          <cell r="B4490" t="str">
            <v>758002002</v>
          </cell>
          <cell r="C4490" t="str">
            <v>Gilone, Patricia Monica</v>
          </cell>
          <cell r="G4490">
            <v>74.37</v>
          </cell>
          <cell r="H4490">
            <v>111226.2846</v>
          </cell>
          <cell r="I4490" t="str">
            <v>758</v>
          </cell>
        </row>
        <row r="4491">
          <cell r="A4491" t="str">
            <v>USD</v>
          </cell>
          <cell r="B4491" t="str">
            <v>758003020</v>
          </cell>
          <cell r="C4491" t="str">
            <v>Santucho, Julio Cesar de Jesús</v>
          </cell>
          <cell r="G4491">
            <v>2525.15</v>
          </cell>
          <cell r="H4491">
            <v>3776563.8369999998</v>
          </cell>
          <cell r="I4491" t="str">
            <v>758</v>
          </cell>
        </row>
        <row r="4492">
          <cell r="A4492" t="str">
            <v>USD</v>
          </cell>
          <cell r="B4492" t="str">
            <v>758003031</v>
          </cell>
          <cell r="C4492" t="str">
            <v>Paolin, Gabriel Antonio y/o Prenollio, Jorgelina Noemi</v>
          </cell>
          <cell r="G4492">
            <v>2456.85</v>
          </cell>
          <cell r="H4492">
            <v>3674415.7229999998</v>
          </cell>
          <cell r="I4492" t="str">
            <v>758</v>
          </cell>
        </row>
        <row r="4493">
          <cell r="A4493" t="str">
            <v>USD</v>
          </cell>
          <cell r="B4493" t="str">
            <v>758003040</v>
          </cell>
          <cell r="C4493" t="str">
            <v>Gawlik, Jose Ramon y/o Valdovino, Maria Cristina</v>
          </cell>
          <cell r="G4493">
            <v>487.8</v>
          </cell>
          <cell r="H4493">
            <v>729543.924</v>
          </cell>
          <cell r="I4493" t="str">
            <v>758</v>
          </cell>
        </row>
        <row r="4494">
          <cell r="A4494" t="str">
            <v>USD</v>
          </cell>
          <cell r="B4494" t="str">
            <v>758003047</v>
          </cell>
          <cell r="C4494" t="str">
            <v xml:space="preserve">Korell, Mario Ernesto </v>
          </cell>
          <cell r="G4494">
            <v>993.96</v>
          </cell>
          <cell r="H4494">
            <v>1486546.6968</v>
          </cell>
          <cell r="I4494" t="str">
            <v>758</v>
          </cell>
        </row>
        <row r="4495">
          <cell r="A4495" t="str">
            <v>USD</v>
          </cell>
          <cell r="B4495" t="str">
            <v>758003048</v>
          </cell>
          <cell r="C4495" t="str">
            <v>Rpg Latam S.R.L.</v>
          </cell>
          <cell r="G4495">
            <v>6962.54</v>
          </cell>
          <cell r="H4495">
            <v>10413035.573199999</v>
          </cell>
          <cell r="I4495" t="str">
            <v>758</v>
          </cell>
        </row>
        <row r="4496">
          <cell r="A4496" t="str">
            <v>USD</v>
          </cell>
          <cell r="B4496" t="str">
            <v>758003061</v>
          </cell>
          <cell r="C4496" t="str">
            <v>Psj Global Solution</v>
          </cell>
          <cell r="G4496">
            <v>13996.91</v>
          </cell>
          <cell r="H4496">
            <v>20933498.6578</v>
          </cell>
          <cell r="I4496" t="str">
            <v>758</v>
          </cell>
        </row>
        <row r="4497">
          <cell r="A4497" t="str">
            <v>USD</v>
          </cell>
          <cell r="B4497" t="str">
            <v>758003076</v>
          </cell>
          <cell r="C4497" t="str">
            <v>Bock, Carlos Walter</v>
          </cell>
          <cell r="G4497">
            <v>1006.4</v>
          </cell>
          <cell r="H4497">
            <v>1505151.7119999998</v>
          </cell>
          <cell r="I4497" t="str">
            <v>758</v>
          </cell>
        </row>
        <row r="4498">
          <cell r="A4498" t="str">
            <v>USD</v>
          </cell>
          <cell r="B4498" t="str">
            <v>758003080</v>
          </cell>
          <cell r="C4498" t="str">
            <v>Mutual de profesionales y tecnicos de la administacion publica y/o Juarez, Matías Ezequiel</v>
          </cell>
          <cell r="G4498">
            <v>13503.53</v>
          </cell>
          <cell r="H4498">
            <v>20195609.397399999</v>
          </cell>
          <cell r="I4498" t="str">
            <v>758</v>
          </cell>
        </row>
        <row r="4499">
          <cell r="A4499" t="str">
            <v>USD</v>
          </cell>
          <cell r="B4499" t="str">
            <v>758003162</v>
          </cell>
          <cell r="C4499" t="str">
            <v>Perugini, Eduardo Daniel y/o Perugini, Ana Paula y/o Perugini, Valentina</v>
          </cell>
          <cell r="G4499">
            <v>20762.259999999998</v>
          </cell>
          <cell r="H4499">
            <v>31051620.810799997</v>
          </cell>
          <cell r="I4499" t="str">
            <v>758</v>
          </cell>
        </row>
        <row r="4500">
          <cell r="A4500" t="str">
            <v>USD</v>
          </cell>
          <cell r="B4500" t="str">
            <v>758003166</v>
          </cell>
          <cell r="C4500" t="str">
            <v>Fretes, Luis Alberto</v>
          </cell>
          <cell r="G4500">
            <v>497.12</v>
          </cell>
          <cell r="H4500">
            <v>743482.72959999996</v>
          </cell>
          <cell r="I4500" t="str">
            <v>758</v>
          </cell>
        </row>
        <row r="4501">
          <cell r="A4501" t="str">
            <v>USD</v>
          </cell>
          <cell r="B4501" t="str">
            <v>758005028</v>
          </cell>
          <cell r="C4501" t="str">
            <v>JPH SA</v>
          </cell>
          <cell r="G4501">
            <v>332613.92</v>
          </cell>
          <cell r="H4501">
            <v>497450726.47359997</v>
          </cell>
          <cell r="I4501" t="str">
            <v>758</v>
          </cell>
        </row>
        <row r="4502">
          <cell r="A4502" t="str">
            <v>USD</v>
          </cell>
          <cell r="B4502" t="str">
            <v>758005029</v>
          </cell>
          <cell r="C4502" t="str">
            <v>SEALS TECNO S.A.</v>
          </cell>
          <cell r="G4502">
            <v>106541.43</v>
          </cell>
          <cell r="H4502">
            <v>159341231.87939999</v>
          </cell>
          <cell r="I4502" t="str">
            <v>758</v>
          </cell>
        </row>
        <row r="4503">
          <cell r="A4503" t="str">
            <v>USD</v>
          </cell>
          <cell r="B4503" t="str">
            <v>758005030</v>
          </cell>
          <cell r="C4503" t="str">
            <v>Spacematic General Services SA</v>
          </cell>
          <cell r="G4503">
            <v>393093.16</v>
          </cell>
          <cell r="H4503">
            <v>587902268.23279989</v>
          </cell>
          <cell r="I4503" t="str">
            <v>758</v>
          </cell>
        </row>
        <row r="4504">
          <cell r="A4504" t="str">
            <v>USD</v>
          </cell>
          <cell r="B4504" t="str">
            <v>758005041</v>
          </cell>
          <cell r="C4504" t="str">
            <v>SEALS TECH</v>
          </cell>
          <cell r="G4504">
            <v>269482.7</v>
          </cell>
          <cell r="H4504">
            <v>403032936.46600002</v>
          </cell>
          <cell r="I4504" t="str">
            <v>758</v>
          </cell>
        </row>
        <row r="4505">
          <cell r="A4505" t="str">
            <v>USD</v>
          </cell>
          <cell r="B4505" t="str">
            <v>758006001</v>
          </cell>
          <cell r="C4505" t="str">
            <v>Vela, Andres Santiago</v>
          </cell>
          <cell r="G4505">
            <v>899.37</v>
          </cell>
          <cell r="H4505">
            <v>1345079.7845999999</v>
          </cell>
          <cell r="I4505" t="str">
            <v>758</v>
          </cell>
        </row>
        <row r="4506">
          <cell r="A4506" t="str">
            <v>USD</v>
          </cell>
          <cell r="B4506" t="str">
            <v>758006010</v>
          </cell>
          <cell r="C4506" t="str">
            <v>Vera Diego</v>
          </cell>
          <cell r="G4506">
            <v>307.58</v>
          </cell>
          <cell r="H4506">
            <v>460010.49639999995</v>
          </cell>
          <cell r="I4506" t="str">
            <v>758</v>
          </cell>
        </row>
        <row r="4507">
          <cell r="A4507" t="str">
            <v>USD</v>
          </cell>
          <cell r="B4507" t="str">
            <v>758006014</v>
          </cell>
          <cell r="C4507" t="str">
            <v>Sarcuno Andres Sebastian</v>
          </cell>
          <cell r="G4507">
            <v>2594.6</v>
          </cell>
          <cell r="H4507">
            <v>3880431.8679999998</v>
          </cell>
          <cell r="I4507" t="str">
            <v>758</v>
          </cell>
        </row>
        <row r="4508">
          <cell r="A4508" t="str">
            <v>USD</v>
          </cell>
          <cell r="B4508" t="str">
            <v>758006018</v>
          </cell>
          <cell r="C4508" t="str">
            <v>Verdun Gaston Haroldo y/o Fermanelli Maria Carolina</v>
          </cell>
          <cell r="G4508">
            <v>114.46</v>
          </cell>
          <cell r="H4508">
            <v>171184.08679999999</v>
          </cell>
          <cell r="I4508" t="str">
            <v>758</v>
          </cell>
        </row>
        <row r="4509">
          <cell r="A4509" t="str">
            <v>USD</v>
          </cell>
          <cell r="B4509" t="str">
            <v>758006019</v>
          </cell>
          <cell r="C4509" t="str">
            <v xml:space="preserve">Elementik SRL </v>
          </cell>
          <cell r="G4509">
            <v>554.79</v>
          </cell>
          <cell r="H4509">
            <v>829732.82819999987</v>
          </cell>
          <cell r="I4509" t="str">
            <v>758</v>
          </cell>
        </row>
        <row r="4510">
          <cell r="A4510" t="str">
            <v>USD</v>
          </cell>
          <cell r="B4510" t="str">
            <v>758006023</v>
          </cell>
          <cell r="C4510" t="str">
            <v>Gogoodie SRL</v>
          </cell>
          <cell r="G4510">
            <v>421.84</v>
          </cell>
          <cell r="H4510">
            <v>630895.46719999996</v>
          </cell>
          <cell r="I4510" t="str">
            <v>758</v>
          </cell>
        </row>
        <row r="4511">
          <cell r="A4511" t="str">
            <v>USD</v>
          </cell>
          <cell r="B4511" t="str">
            <v>758006026</v>
          </cell>
          <cell r="C4511" t="str">
            <v>GAMONDI, HUGO ARIEL</v>
          </cell>
          <cell r="G4511">
            <v>268.69</v>
          </cell>
          <cell r="H4511">
            <v>401847.39019999997</v>
          </cell>
          <cell r="I4511" t="str">
            <v>758</v>
          </cell>
        </row>
        <row r="4512">
          <cell r="A4512" t="str">
            <v>USD</v>
          </cell>
          <cell r="B4512" t="str">
            <v>758006033</v>
          </cell>
          <cell r="C4512" t="str">
            <v>Cerdeira, Santiago Enrique y/o Artese, Daiana Gisele</v>
          </cell>
          <cell r="G4512">
            <v>43.56</v>
          </cell>
          <cell r="H4512">
            <v>65147.464800000002</v>
          </cell>
          <cell r="I4512" t="str">
            <v>758</v>
          </cell>
        </row>
        <row r="4513">
          <cell r="A4513" t="str">
            <v>USD</v>
          </cell>
          <cell r="B4513" t="str">
            <v>758006034</v>
          </cell>
          <cell r="C4513" t="str">
            <v xml:space="preserve">Brandon, Alejandro </v>
          </cell>
          <cell r="G4513">
            <v>333.38</v>
          </cell>
          <cell r="H4513">
            <v>498596.46039999998</v>
          </cell>
          <cell r="I4513" t="str">
            <v>758</v>
          </cell>
        </row>
        <row r="4514">
          <cell r="A4514" t="str">
            <v>USD</v>
          </cell>
          <cell r="B4514" t="str">
            <v>758006040</v>
          </cell>
          <cell r="C4514" t="str">
            <v>Collia Ignacio Jose</v>
          </cell>
          <cell r="G4514">
            <v>58.49</v>
          </cell>
          <cell r="H4514">
            <v>87476.474199999997</v>
          </cell>
          <cell r="I4514" t="str">
            <v>758</v>
          </cell>
        </row>
        <row r="4515">
          <cell r="A4515" t="str">
            <v>USD</v>
          </cell>
          <cell r="B4515" t="str">
            <v>758006056</v>
          </cell>
          <cell r="C4515" t="str">
            <v>Graziani Nilda Mary y/o Barreiro Ricardo Oreste y/o Barreiro Silvio Francisco y/o Gianandrea Javier</v>
          </cell>
          <cell r="G4515">
            <v>681.88</v>
          </cell>
          <cell r="H4515">
            <v>1019806.0904</v>
          </cell>
          <cell r="I4515" t="str">
            <v>758</v>
          </cell>
        </row>
        <row r="4516">
          <cell r="A4516" t="str">
            <v>USD</v>
          </cell>
          <cell r="B4516" t="str">
            <v>758006057</v>
          </cell>
          <cell r="C4516" t="str">
            <v>AYALA MAGGI, CÉSAR NAZARENO</v>
          </cell>
          <cell r="G4516">
            <v>5739.69</v>
          </cell>
          <cell r="H4516">
            <v>8584165.5701999981</v>
          </cell>
          <cell r="I4516" t="str">
            <v>758</v>
          </cell>
        </row>
        <row r="4517">
          <cell r="A4517" t="str">
            <v>USD</v>
          </cell>
          <cell r="B4517" t="str">
            <v>758006068</v>
          </cell>
          <cell r="C4517" t="str">
            <v>SOLANO, CLAUDIO RODOLFO</v>
          </cell>
          <cell r="G4517">
            <v>395.54</v>
          </cell>
          <cell r="H4517">
            <v>591561.7132</v>
          </cell>
          <cell r="I4517" t="str">
            <v>758</v>
          </cell>
        </row>
        <row r="4518">
          <cell r="A4518" t="str">
            <v>USD</v>
          </cell>
          <cell r="B4518" t="str">
            <v>758006069</v>
          </cell>
          <cell r="C4518" t="str">
            <v>LARROQUE, CARLOS MIGUEL</v>
          </cell>
          <cell r="G4518">
            <v>10696.03</v>
          </cell>
          <cell r="H4518">
            <v>15996768.5474</v>
          </cell>
          <cell r="I4518" t="str">
            <v>758</v>
          </cell>
        </row>
        <row r="4519">
          <cell r="A4519" t="str">
            <v>USD</v>
          </cell>
          <cell r="B4519" t="str">
            <v>758006073</v>
          </cell>
          <cell r="C4519" t="str">
            <v>RIVAS, VIVIANI MARIA Y/O CARLOS FEDERICO HINCKELMANN</v>
          </cell>
          <cell r="G4519">
            <v>80.760000000000005</v>
          </cell>
          <cell r="H4519">
            <v>120783.0408</v>
          </cell>
          <cell r="I4519" t="str">
            <v>758</v>
          </cell>
        </row>
        <row r="4520">
          <cell r="A4520" t="str">
            <v>USD</v>
          </cell>
          <cell r="B4520" t="str">
            <v>758006075</v>
          </cell>
          <cell r="C4520" t="str">
            <v>BLANCO LARA, MARTIN FERNANDO o POSITIERI, LAURA MARIELA</v>
          </cell>
          <cell r="G4520">
            <v>2069.5</v>
          </cell>
          <cell r="H4520">
            <v>3095102.81</v>
          </cell>
          <cell r="I4520" t="str">
            <v>758</v>
          </cell>
        </row>
        <row r="4521">
          <cell r="A4521" t="str">
            <v>USD</v>
          </cell>
          <cell r="B4521" t="str">
            <v>758006084</v>
          </cell>
          <cell r="C4521" t="str">
            <v>GALLO, GASTON JORGE o LÓPEZ, NATACHA VERONICA</v>
          </cell>
          <cell r="G4521">
            <v>190.59</v>
          </cell>
          <cell r="H4521">
            <v>285042.59220000001</v>
          </cell>
          <cell r="I4521" t="str">
            <v>758</v>
          </cell>
        </row>
        <row r="4522">
          <cell r="A4522" t="str">
            <v>USD</v>
          </cell>
          <cell r="B4522" t="str">
            <v>758006100</v>
          </cell>
          <cell r="C4522" t="str">
            <v>LA MENTA SA</v>
          </cell>
          <cell r="G4522">
            <v>203.93</v>
          </cell>
          <cell r="H4522">
            <v>304993.62939999998</v>
          </cell>
          <cell r="I4522" t="str">
            <v>758</v>
          </cell>
        </row>
        <row r="4523">
          <cell r="A4523" t="str">
            <v>USD</v>
          </cell>
          <cell r="B4523" t="str">
            <v>758006105</v>
          </cell>
          <cell r="C4523" t="str">
            <v>LE BAS, ANDRES ROBERTO</v>
          </cell>
          <cell r="G4523">
            <v>199.48</v>
          </cell>
          <cell r="H4523">
            <v>298338.29839999997</v>
          </cell>
          <cell r="I4523" t="str">
            <v>758</v>
          </cell>
        </row>
        <row r="4524">
          <cell r="A4524" t="str">
            <v>USD</v>
          </cell>
          <cell r="B4524" t="str">
            <v>758006106</v>
          </cell>
          <cell r="C4524" t="str">
            <v>Alvarez Gabriel y/o Alvarez Walter Sebastian</v>
          </cell>
          <cell r="G4524">
            <v>1207.71</v>
          </cell>
          <cell r="H4524">
            <v>1806226.9217999999</v>
          </cell>
          <cell r="I4524" t="str">
            <v>758</v>
          </cell>
        </row>
        <row r="4525">
          <cell r="A4525" t="str">
            <v>USD</v>
          </cell>
          <cell r="B4525" t="str">
            <v>758006107</v>
          </cell>
          <cell r="C4525" t="str">
            <v>Alvarez Walter Sebastian y/o Alvarez Gabriel</v>
          </cell>
          <cell r="G4525">
            <v>325.76</v>
          </cell>
          <cell r="H4525">
            <v>487200.14079999994</v>
          </cell>
          <cell r="I4525" t="str">
            <v>758</v>
          </cell>
        </row>
        <row r="4526">
          <cell r="A4526" t="str">
            <v>USD</v>
          </cell>
          <cell r="B4526" t="str">
            <v>758006108</v>
          </cell>
          <cell r="C4526" t="str">
            <v>Trovato, Agostina Claudia</v>
          </cell>
          <cell r="G4526">
            <v>865.23</v>
          </cell>
          <cell r="H4526">
            <v>1294020.6834</v>
          </cell>
          <cell r="I4526" t="str">
            <v>758</v>
          </cell>
        </row>
        <row r="4527">
          <cell r="A4527" t="str">
            <v>USD</v>
          </cell>
          <cell r="B4527" t="str">
            <v>758006110</v>
          </cell>
          <cell r="C4527" t="str">
            <v>Trovato, Agostina Claudia y/o Rivero, Gabriela Berta</v>
          </cell>
          <cell r="G4527">
            <v>16.54</v>
          </cell>
          <cell r="H4527">
            <v>24736.893199999999</v>
          </cell>
          <cell r="I4527" t="str">
            <v>758</v>
          </cell>
        </row>
        <row r="4528">
          <cell r="A4528" t="str">
            <v>USD</v>
          </cell>
          <cell r="B4528" t="str">
            <v>758009022</v>
          </cell>
          <cell r="C4528" t="str">
            <v>Orlando, Ricardo Antonio y/o Brennan, Patricia Teresita y/o Orlando Brennan, Tomás Manuel</v>
          </cell>
          <cell r="G4528">
            <v>876694.45</v>
          </cell>
          <cell r="H4528">
            <v>1311166685.5309999</v>
          </cell>
          <cell r="I4528" t="str">
            <v>758</v>
          </cell>
        </row>
        <row r="4529">
          <cell r="A4529" t="str">
            <v>USD</v>
          </cell>
          <cell r="B4529" t="str">
            <v>758009042</v>
          </cell>
          <cell r="C4529" t="str">
            <v>Betanzos García Néstor Hugo y/o Betanzos Ubilla María Belén</v>
          </cell>
          <cell r="G4529">
            <v>13439.66</v>
          </cell>
          <cell r="H4529">
            <v>20100086.702799998</v>
          </cell>
          <cell r="I4529" t="str">
            <v>758</v>
          </cell>
        </row>
        <row r="4530">
          <cell r="A4530" t="str">
            <v>USD</v>
          </cell>
          <cell r="B4530" t="str">
            <v>758009540</v>
          </cell>
          <cell r="C4530" t="str">
            <v>Rodriguez Gabriel Omar y/o Rodriguez Joaquin</v>
          </cell>
          <cell r="G4530">
            <v>1371.04</v>
          </cell>
          <cell r="H4530">
            <v>2050500.0031999999</v>
          </cell>
          <cell r="I4530" t="str">
            <v>758</v>
          </cell>
        </row>
        <row r="4531">
          <cell r="A4531" t="str">
            <v>USD</v>
          </cell>
          <cell r="B4531" t="str">
            <v>758009542</v>
          </cell>
          <cell r="C4531" t="str">
            <v>ASOCIACION CRISTIANA DE JOVENES DE LA REPÚBLICA ARGENTINA</v>
          </cell>
          <cell r="G4531">
            <v>1508.4</v>
          </cell>
          <cell r="H4531">
            <v>2255932.872</v>
          </cell>
          <cell r="I4531" t="str">
            <v>758</v>
          </cell>
        </row>
        <row r="4532">
          <cell r="A4532" t="str">
            <v>USD</v>
          </cell>
          <cell r="B4532" t="str">
            <v>758009553</v>
          </cell>
          <cell r="C4532" t="str">
            <v>Rivanera, Gustavo Miguel</v>
          </cell>
          <cell r="G4532">
            <v>99.78</v>
          </cell>
          <cell r="H4532">
            <v>149228.9724</v>
          </cell>
          <cell r="I4532" t="str">
            <v>758</v>
          </cell>
        </row>
        <row r="4533">
          <cell r="A4533" t="str">
            <v>USD</v>
          </cell>
          <cell r="B4533" t="str">
            <v>758009560</v>
          </cell>
          <cell r="C4533" t="str">
            <v>Poncia, Daniel y/o Toledo, Veronica</v>
          </cell>
          <cell r="G4533">
            <v>7.46</v>
          </cell>
          <cell r="H4533">
            <v>11157.0268</v>
          </cell>
          <cell r="I4533" t="str">
            <v>758</v>
          </cell>
        </row>
        <row r="4534">
          <cell r="A4534" t="str">
            <v>USD</v>
          </cell>
          <cell r="B4534" t="str">
            <v>758009653</v>
          </cell>
          <cell r="C4534" t="str">
            <v>Vargas Rocha Fructuoso</v>
          </cell>
          <cell r="G4534">
            <v>1300.29</v>
          </cell>
          <cell r="H4534">
            <v>1944687.7181999998</v>
          </cell>
          <cell r="I4534" t="str">
            <v>758</v>
          </cell>
        </row>
        <row r="4535">
          <cell r="A4535" t="str">
            <v>USD</v>
          </cell>
          <cell r="B4535" t="str">
            <v>758009666</v>
          </cell>
          <cell r="C4535" t="str">
            <v>MARESCA DANIEL NESTOR Y/O LAURA NELIDA LEVETTI</v>
          </cell>
          <cell r="G4535">
            <v>1007.58</v>
          </cell>
          <cell r="H4535">
            <v>1506916.4964000001</v>
          </cell>
          <cell r="I4535" t="str">
            <v>758</v>
          </cell>
        </row>
        <row r="4536">
          <cell r="A4536" t="str">
            <v>USD</v>
          </cell>
          <cell r="B4536" t="str">
            <v>758011002</v>
          </cell>
          <cell r="C4536" t="str">
            <v>Orlando Brennan Tomas Manuel</v>
          </cell>
          <cell r="G4536">
            <v>573391.57999999996</v>
          </cell>
          <cell r="H4536">
            <v>857552979.21639991</v>
          </cell>
          <cell r="I4536" t="str">
            <v>758</v>
          </cell>
        </row>
        <row r="4537">
          <cell r="A4537" t="str">
            <v>USD</v>
          </cell>
          <cell r="B4537" t="str">
            <v>758030006</v>
          </cell>
          <cell r="C4537" t="str">
            <v>ROMERO, JOSÉ ALBERTO Y/O  HUERTA, MARIA ELENA</v>
          </cell>
          <cell r="G4537">
            <v>464.65</v>
          </cell>
          <cell r="H4537">
            <v>694921.24699999997</v>
          </cell>
          <cell r="I4537" t="str">
            <v>758</v>
          </cell>
        </row>
        <row r="4538">
          <cell r="A4538" t="str">
            <v>USD</v>
          </cell>
          <cell r="B4538" t="str">
            <v>765000101</v>
          </cell>
          <cell r="C4538" t="str">
            <v>Hoss SA</v>
          </cell>
          <cell r="G4538">
            <v>4849.53</v>
          </cell>
          <cell r="H4538">
            <v>7252860.0773999989</v>
          </cell>
          <cell r="I4538" t="str">
            <v>765</v>
          </cell>
        </row>
        <row r="4539">
          <cell r="A4539" t="str">
            <v>USD</v>
          </cell>
          <cell r="B4539" t="str">
            <v>765000102</v>
          </cell>
          <cell r="C4539" t="str">
            <v>Ignacio Andres Rodriguez</v>
          </cell>
          <cell r="G4539">
            <v>2552.63</v>
          </cell>
          <cell r="H4539">
            <v>3817662.3753999998</v>
          </cell>
          <cell r="I4539" t="str">
            <v>765</v>
          </cell>
        </row>
        <row r="4540">
          <cell r="A4540" t="str">
            <v>USD</v>
          </cell>
          <cell r="B4540" t="str">
            <v>765000108</v>
          </cell>
          <cell r="C4540" t="str">
            <v>Caballero, Leandro Nicolas</v>
          </cell>
          <cell r="G4540">
            <v>121.84</v>
          </cell>
          <cell r="H4540">
            <v>182221.46719999998</v>
          </cell>
          <cell r="I4540" t="str">
            <v>765</v>
          </cell>
        </row>
        <row r="4541">
          <cell r="A4541" t="str">
            <v>USD</v>
          </cell>
          <cell r="B4541" t="str">
            <v>765000109</v>
          </cell>
          <cell r="C4541" t="str">
            <v>Juncos, Lucila Maria</v>
          </cell>
          <cell r="G4541">
            <v>811.11</v>
          </cell>
          <cell r="H4541">
            <v>1213079.8938</v>
          </cell>
          <cell r="I4541" t="str">
            <v>765</v>
          </cell>
        </row>
        <row r="4542">
          <cell r="A4542" t="str">
            <v>USD</v>
          </cell>
          <cell r="B4542" t="str">
            <v>765000111</v>
          </cell>
          <cell r="C4542" t="str">
            <v>Radulovich, Marcos Daniel</v>
          </cell>
          <cell r="G4542">
            <v>5.15</v>
          </cell>
          <cell r="H4542">
            <v>7702.2370000000001</v>
          </cell>
          <cell r="I4542" t="str">
            <v>765</v>
          </cell>
        </row>
        <row r="4543">
          <cell r="A4543" t="str">
            <v>USD</v>
          </cell>
          <cell r="B4543" t="str">
            <v>765000112</v>
          </cell>
          <cell r="C4543" t="str">
            <v>Menendez, Patricia Graciela</v>
          </cell>
          <cell r="G4543">
            <v>42164.66</v>
          </cell>
          <cell r="H4543">
            <v>63060622.202800006</v>
          </cell>
          <cell r="I4543" t="str">
            <v>765</v>
          </cell>
        </row>
        <row r="4544">
          <cell r="A4544" t="str">
            <v>USD</v>
          </cell>
          <cell r="B4544" t="str">
            <v>765000114</v>
          </cell>
          <cell r="C4544" t="str">
            <v>Ariel Bozikovich</v>
          </cell>
          <cell r="G4544">
            <v>17.510000000000002</v>
          </cell>
          <cell r="H4544">
            <v>26187.605800000001</v>
          </cell>
          <cell r="I4544" t="str">
            <v>765</v>
          </cell>
        </row>
        <row r="4545">
          <cell r="A4545" t="str">
            <v>USD</v>
          </cell>
          <cell r="B4545" t="str">
            <v>765000119</v>
          </cell>
          <cell r="C4545" t="str">
            <v>Gianluca Torrazza</v>
          </cell>
          <cell r="G4545">
            <v>215005.3</v>
          </cell>
          <cell r="H4545">
            <v>321557626.57399994</v>
          </cell>
          <cell r="I4545" t="str">
            <v>765</v>
          </cell>
        </row>
        <row r="4546">
          <cell r="A4546" t="str">
            <v>USD</v>
          </cell>
          <cell r="B4546" t="str">
            <v>765000128</v>
          </cell>
          <cell r="C4546" t="str">
            <v>Instituto de quemados y cirugía reparadora S.R.L.</v>
          </cell>
          <cell r="G4546">
            <v>6.18</v>
          </cell>
          <cell r="H4546">
            <v>9242.6843999999983</v>
          </cell>
          <cell r="I4546" t="str">
            <v>765</v>
          </cell>
        </row>
        <row r="4547">
          <cell r="A4547" t="str">
            <v>USD</v>
          </cell>
          <cell r="B4547" t="str">
            <v>765000141</v>
          </cell>
          <cell r="C4547" t="str">
            <v>Tesarik, Francisco René</v>
          </cell>
          <cell r="G4547">
            <v>47.38</v>
          </cell>
          <cell r="H4547">
            <v>70860.580400000006</v>
          </cell>
          <cell r="I4547" t="str">
            <v>765</v>
          </cell>
        </row>
        <row r="4548">
          <cell r="A4548" t="str">
            <v>USD</v>
          </cell>
          <cell r="B4548" t="str">
            <v>765000156</v>
          </cell>
          <cell r="C4548" t="str">
            <v>María Pamela Tonelli</v>
          </cell>
          <cell r="G4548">
            <v>5.15</v>
          </cell>
          <cell r="H4548">
            <v>7702.2370000000001</v>
          </cell>
          <cell r="I4548" t="str">
            <v>765</v>
          </cell>
        </row>
        <row r="4549">
          <cell r="A4549" t="str">
            <v>USD</v>
          </cell>
          <cell r="B4549" t="str">
            <v>765000170</v>
          </cell>
          <cell r="C4549" t="str">
            <v>ROMA MANAGEMENT S.R.L.</v>
          </cell>
          <cell r="G4549">
            <v>15740.04</v>
          </cell>
          <cell r="H4549">
            <v>23540489.023200002</v>
          </cell>
          <cell r="I4549" t="str">
            <v>765</v>
          </cell>
        </row>
        <row r="4550">
          <cell r="A4550" t="str">
            <v>USD</v>
          </cell>
          <cell r="B4550" t="str">
            <v>765000171</v>
          </cell>
          <cell r="C4550" t="str">
            <v>FIDEICOMISO DE ADMINISTRACIÓN Y DESARROLLO INMOBILIARIO TIERRA DE AUTORES</v>
          </cell>
          <cell r="G4550">
            <v>346.12</v>
          </cell>
          <cell r="H4550">
            <v>517650.1496</v>
          </cell>
          <cell r="I4550" t="str">
            <v>765</v>
          </cell>
        </row>
        <row r="4551">
          <cell r="A4551" t="str">
            <v>USD</v>
          </cell>
          <cell r="B4551" t="str">
            <v>765000174</v>
          </cell>
          <cell r="C4551" t="str">
            <v>FIDEICOMISO COMUNIDAD EVOLUTIVA PUEBLO ESTHER</v>
          </cell>
          <cell r="G4551">
            <v>2968.27</v>
          </cell>
          <cell r="H4551">
            <v>4439285.2466000002</v>
          </cell>
          <cell r="I4551" t="str">
            <v>765</v>
          </cell>
        </row>
        <row r="4552">
          <cell r="A4552" t="str">
            <v>USD</v>
          </cell>
          <cell r="B4552" t="str">
            <v>765000175</v>
          </cell>
          <cell r="C4552" t="str">
            <v>FIDEICOMISO DE ADM Y DES INMB BARRIO ABIERTO ORIGENES</v>
          </cell>
          <cell r="G4552">
            <v>494.47</v>
          </cell>
          <cell r="H4552">
            <v>739519.44259999995</v>
          </cell>
          <cell r="I4552" t="str">
            <v>765</v>
          </cell>
        </row>
        <row r="4553">
          <cell r="A4553" t="str">
            <v>USD</v>
          </cell>
          <cell r="B4553" t="str">
            <v>765000184</v>
          </cell>
          <cell r="C4553" t="str">
            <v>EL NARANJO II FIDEICOMISO</v>
          </cell>
          <cell r="G4553">
            <v>2967.2</v>
          </cell>
          <cell r="H4553">
            <v>4437684.9759999998</v>
          </cell>
          <cell r="I4553" t="str">
            <v>765</v>
          </cell>
        </row>
        <row r="4554">
          <cell r="A4554" t="str">
            <v>USD</v>
          </cell>
          <cell r="B4554" t="str">
            <v>765000192</v>
          </cell>
          <cell r="C4554" t="str">
            <v>Osia, Facundo Javier</v>
          </cell>
          <cell r="G4554">
            <v>160.68</v>
          </cell>
          <cell r="H4554">
            <v>240309.79439999998</v>
          </cell>
          <cell r="I4554" t="str">
            <v>765</v>
          </cell>
        </row>
        <row r="4555">
          <cell r="A4555" t="str">
            <v>USD</v>
          </cell>
          <cell r="B4555" t="str">
            <v>765000201</v>
          </cell>
          <cell r="C4555" t="str">
            <v>Helguera, María Celeste</v>
          </cell>
          <cell r="G4555">
            <v>1180.82</v>
          </cell>
          <cell r="H4555">
            <v>1766010.7755999998</v>
          </cell>
          <cell r="I4555" t="str">
            <v>765</v>
          </cell>
        </row>
        <row r="4556">
          <cell r="A4556" t="str">
            <v>USD</v>
          </cell>
          <cell r="B4556" t="str">
            <v>765000203</v>
          </cell>
          <cell r="C4556" t="str">
            <v>Santilli, Jorge Ignacio</v>
          </cell>
          <cell r="G4556">
            <v>10.3</v>
          </cell>
          <cell r="H4556">
            <v>15404.474</v>
          </cell>
          <cell r="I4556" t="str">
            <v>765</v>
          </cell>
        </row>
        <row r="4557">
          <cell r="A4557" t="str">
            <v>USD</v>
          </cell>
          <cell r="B4557" t="str">
            <v>765000209</v>
          </cell>
          <cell r="C4557" t="str">
            <v>Trivisonno, Marcela Alejandra</v>
          </cell>
          <cell r="G4557">
            <v>23.69</v>
          </cell>
          <cell r="H4557">
            <v>35430.290200000003</v>
          </cell>
          <cell r="I4557" t="str">
            <v>765</v>
          </cell>
        </row>
        <row r="4558">
          <cell r="A4558" t="str">
            <v>USD</v>
          </cell>
          <cell r="B4558" t="str">
            <v>765000210</v>
          </cell>
          <cell r="C4558" t="str">
            <v>Culasso, Ariel Carlos</v>
          </cell>
          <cell r="G4558">
            <v>182.22</v>
          </cell>
          <cell r="H4558">
            <v>272524.58759999997</v>
          </cell>
          <cell r="I4558" t="str">
            <v>765</v>
          </cell>
        </row>
        <row r="4559">
          <cell r="A4559" t="str">
            <v>USD</v>
          </cell>
          <cell r="B4559" t="str">
            <v>765000215</v>
          </cell>
          <cell r="C4559" t="str">
            <v>Lepore, Livio Oscar</v>
          </cell>
          <cell r="G4559">
            <v>57.68</v>
          </cell>
          <cell r="H4559">
            <v>86265.054399999994</v>
          </cell>
          <cell r="I4559" t="str">
            <v>765</v>
          </cell>
        </row>
        <row r="4560">
          <cell r="A4560" t="str">
            <v>USD</v>
          </cell>
          <cell r="B4560" t="str">
            <v>765000217</v>
          </cell>
          <cell r="C4560" t="str">
            <v>Manasseri, Hernán Gustavo</v>
          </cell>
          <cell r="G4560">
            <v>962.58</v>
          </cell>
          <cell r="H4560">
            <v>1439615.3964</v>
          </cell>
          <cell r="I4560" t="str">
            <v>765</v>
          </cell>
        </row>
        <row r="4561">
          <cell r="A4561" t="str">
            <v>USD</v>
          </cell>
          <cell r="B4561" t="str">
            <v>765000218</v>
          </cell>
          <cell r="C4561" t="str">
            <v>Cingolani, Adrián Alberto</v>
          </cell>
          <cell r="G4561">
            <v>30.9</v>
          </cell>
          <cell r="H4561">
            <v>46213.421999999999</v>
          </cell>
          <cell r="I4561" t="str">
            <v>765</v>
          </cell>
        </row>
        <row r="4562">
          <cell r="A4562" t="str">
            <v>USD</v>
          </cell>
          <cell r="B4562" t="str">
            <v>765000225</v>
          </cell>
          <cell r="C4562" t="str">
            <v>Silvana Alejandra Castillejos</v>
          </cell>
          <cell r="G4562">
            <v>20464.55</v>
          </cell>
          <cell r="H4562">
            <v>30606371.688999996</v>
          </cell>
          <cell r="I4562" t="str">
            <v>765</v>
          </cell>
        </row>
        <row r="4563">
          <cell r="A4563" t="str">
            <v>USD</v>
          </cell>
          <cell r="B4563" t="str">
            <v>765000228</v>
          </cell>
          <cell r="C4563" t="str">
            <v>Bruno Jorge Angel</v>
          </cell>
          <cell r="G4563">
            <v>24.72</v>
          </cell>
          <cell r="H4563">
            <v>36970.737599999993</v>
          </cell>
          <cell r="I4563" t="str">
            <v>765</v>
          </cell>
        </row>
        <row r="4564">
          <cell r="A4564" t="str">
            <v>USD</v>
          </cell>
          <cell r="B4564" t="str">
            <v>765000250</v>
          </cell>
          <cell r="C4564" t="str">
            <v>Borri, Mayra Alejandra</v>
          </cell>
          <cell r="G4564">
            <v>6.18</v>
          </cell>
          <cell r="H4564">
            <v>9242.6843999999983</v>
          </cell>
          <cell r="I4564" t="str">
            <v>765</v>
          </cell>
        </row>
        <row r="4565">
          <cell r="A4565" t="str">
            <v>USD</v>
          </cell>
          <cell r="B4565" t="str">
            <v>765000254</v>
          </cell>
          <cell r="C4565" t="str">
            <v>Mazzini, Rita Marta</v>
          </cell>
          <cell r="G4565">
            <v>47.38</v>
          </cell>
          <cell r="H4565">
            <v>70860.580400000006</v>
          </cell>
          <cell r="I4565" t="str">
            <v>765</v>
          </cell>
        </row>
        <row r="4566">
          <cell r="A4566" t="str">
            <v>USD</v>
          </cell>
          <cell r="B4566" t="str">
            <v>765000260</v>
          </cell>
          <cell r="C4566" t="str">
            <v xml:space="preserve"> CAMPO MADERO II FIDEICOMISO</v>
          </cell>
          <cell r="G4566">
            <v>296.55</v>
          </cell>
          <cell r="H4566">
            <v>443514.24900000001</v>
          </cell>
          <cell r="I4566" t="str">
            <v>765</v>
          </cell>
        </row>
        <row r="4567">
          <cell r="A4567" t="str">
            <v>USD</v>
          </cell>
          <cell r="B4567" t="str">
            <v>765000261</v>
          </cell>
          <cell r="C4567" t="str">
            <v>CLUB ATLETICO TREBOLENSE MUTUAL SOCIAL Y BIBLIOTECA</v>
          </cell>
          <cell r="G4567">
            <v>103845.62</v>
          </cell>
          <cell r="H4567">
            <v>155309432.35959998</v>
          </cell>
          <cell r="I4567" t="str">
            <v>765</v>
          </cell>
        </row>
        <row r="4568">
          <cell r="A4568" t="str">
            <v>USD</v>
          </cell>
          <cell r="B4568" t="str">
            <v>765000264</v>
          </cell>
          <cell r="C4568" t="str">
            <v>Manasseri, Franco</v>
          </cell>
          <cell r="G4568">
            <v>395940.72</v>
          </cell>
          <cell r="H4568">
            <v>592161022.01759994</v>
          </cell>
          <cell r="I4568" t="str">
            <v>765</v>
          </cell>
        </row>
        <row r="4569">
          <cell r="A4569" t="str">
            <v>USD</v>
          </cell>
          <cell r="B4569" t="str">
            <v>765000265</v>
          </cell>
          <cell r="C4569" t="str">
            <v>Pedraza, Franco Ramon</v>
          </cell>
          <cell r="G4569">
            <v>8.24</v>
          </cell>
          <cell r="H4569">
            <v>12323.5792</v>
          </cell>
          <cell r="I4569" t="str">
            <v>765</v>
          </cell>
        </row>
        <row r="4570">
          <cell r="A4570" t="str">
            <v>USD</v>
          </cell>
          <cell r="B4570" t="str">
            <v>765000276</v>
          </cell>
          <cell r="C4570" t="str">
            <v>Poire, Raul Jose</v>
          </cell>
          <cell r="G4570">
            <v>25.75</v>
          </cell>
          <cell r="H4570">
            <v>38511.184999999998</v>
          </cell>
          <cell r="I4570" t="str">
            <v>765</v>
          </cell>
        </row>
        <row r="4571">
          <cell r="A4571" t="str">
            <v>USD</v>
          </cell>
          <cell r="B4571" t="str">
            <v>765000280</v>
          </cell>
          <cell r="C4571" t="str">
            <v>SOCIEDAD ITALIANA DE SOCORROS MUTUOS "ESTRELLA DE ITALIA"</v>
          </cell>
          <cell r="G4571">
            <v>2898.04</v>
          </cell>
          <cell r="H4571">
            <v>4334250.6631999994</v>
          </cell>
          <cell r="I4571" t="str">
            <v>765</v>
          </cell>
        </row>
        <row r="4572">
          <cell r="A4572" t="str">
            <v>USD</v>
          </cell>
          <cell r="B4572" t="str">
            <v>765000290</v>
          </cell>
          <cell r="C4572" t="str">
            <v>Penhalvel, Alvaro</v>
          </cell>
          <cell r="G4572">
            <v>295.39</v>
          </cell>
          <cell r="H4572">
            <v>441779.37619999994</v>
          </cell>
          <cell r="I4572" t="str">
            <v>765</v>
          </cell>
        </row>
        <row r="4573">
          <cell r="A4573" t="str">
            <v>USD</v>
          </cell>
          <cell r="B4573" t="str">
            <v>765000296</v>
          </cell>
          <cell r="C4573" t="str">
            <v>Cegna Gerardo Marcelo</v>
          </cell>
          <cell r="G4573">
            <v>51.5</v>
          </cell>
          <cell r="H4573">
            <v>77022.37</v>
          </cell>
          <cell r="I4573" t="str">
            <v>765</v>
          </cell>
        </row>
        <row r="4574">
          <cell r="A4574" t="str">
            <v>USD</v>
          </cell>
          <cell r="B4574" t="str">
            <v>765000297</v>
          </cell>
          <cell r="C4574" t="str">
            <v>Rolando, Nelvis María</v>
          </cell>
          <cell r="G4574">
            <v>61.8</v>
          </cell>
          <cell r="H4574">
            <v>92426.843999999997</v>
          </cell>
          <cell r="I4574" t="str">
            <v>765</v>
          </cell>
        </row>
        <row r="4575">
          <cell r="A4575" t="str">
            <v>USD</v>
          </cell>
          <cell r="B4575" t="str">
            <v>765000301</v>
          </cell>
          <cell r="C4575" t="str">
            <v>Díaz, Mauricio Gabriel</v>
          </cell>
          <cell r="G4575">
            <v>31.93</v>
          </cell>
          <cell r="H4575">
            <v>47753.869399999996</v>
          </cell>
          <cell r="I4575" t="str">
            <v>765</v>
          </cell>
        </row>
        <row r="4576">
          <cell r="A4576" t="str">
            <v>USD</v>
          </cell>
          <cell r="B4576" t="str">
            <v>765000306</v>
          </cell>
          <cell r="C4576" t="str">
            <v>Cappello, Elio Alberto</v>
          </cell>
          <cell r="G4576">
            <v>93.12</v>
          </cell>
          <cell r="H4576">
            <v>139268.40960000001</v>
          </cell>
          <cell r="I4576" t="str">
            <v>765</v>
          </cell>
        </row>
        <row r="4577">
          <cell r="A4577" t="str">
            <v>USD</v>
          </cell>
          <cell r="B4577" t="str">
            <v>765000307</v>
          </cell>
          <cell r="C4577" t="str">
            <v>Etbul, Fabiana Alejandra</v>
          </cell>
          <cell r="G4577">
            <v>12.36</v>
          </cell>
          <cell r="H4577">
            <v>18485.368799999997</v>
          </cell>
          <cell r="I4577" t="str">
            <v>765</v>
          </cell>
        </row>
        <row r="4578">
          <cell r="A4578" t="str">
            <v>USD</v>
          </cell>
          <cell r="B4578" t="str">
            <v>765000309</v>
          </cell>
          <cell r="C4578" t="str">
            <v>Racca-Pistarelli</v>
          </cell>
          <cell r="G4578">
            <v>21.63</v>
          </cell>
          <cell r="H4578">
            <v>32349.395399999998</v>
          </cell>
          <cell r="I4578" t="str">
            <v>765</v>
          </cell>
        </row>
        <row r="4579">
          <cell r="A4579" t="str">
            <v>USD</v>
          </cell>
          <cell r="B4579" t="str">
            <v>765000311</v>
          </cell>
          <cell r="C4579" t="str">
            <v>Americano Mutual y Social</v>
          </cell>
          <cell r="G4579">
            <v>3291.55</v>
          </cell>
          <cell r="H4579">
            <v>4922776.3490000004</v>
          </cell>
          <cell r="I4579" t="str">
            <v>765</v>
          </cell>
        </row>
        <row r="4580">
          <cell r="A4580" t="str">
            <v>USD</v>
          </cell>
          <cell r="B4580" t="str">
            <v>765000312</v>
          </cell>
          <cell r="C4580" t="str">
            <v>Pistarelli, Gerardo Mario</v>
          </cell>
          <cell r="G4580">
            <v>7.21</v>
          </cell>
          <cell r="H4580">
            <v>10783.131799999999</v>
          </cell>
          <cell r="I4580" t="str">
            <v>765</v>
          </cell>
        </row>
        <row r="4581">
          <cell r="A4581" t="str">
            <v>USD</v>
          </cell>
          <cell r="B4581" t="str">
            <v>765000313</v>
          </cell>
          <cell r="C4581" t="str">
            <v xml:space="preserve">Piacentini, Carlos Dante </v>
          </cell>
          <cell r="G4581">
            <v>14.42</v>
          </cell>
          <cell r="H4581">
            <v>21566.263599999998</v>
          </cell>
          <cell r="I4581" t="str">
            <v>765</v>
          </cell>
        </row>
        <row r="4582">
          <cell r="A4582" t="str">
            <v>USD</v>
          </cell>
          <cell r="B4582" t="str">
            <v>765000320</v>
          </cell>
          <cell r="C4582" t="str">
            <v>Cooperativa Agropecuaria Federada Argentina Limitada</v>
          </cell>
          <cell r="G4582">
            <v>641.38</v>
          </cell>
          <cell r="H4582">
            <v>959235.1004</v>
          </cell>
          <cell r="I4582" t="str">
            <v>765</v>
          </cell>
        </row>
        <row r="4583">
          <cell r="A4583" t="str">
            <v>USD</v>
          </cell>
          <cell r="B4583" t="str">
            <v>765000321</v>
          </cell>
          <cell r="C4583" t="str">
            <v>Sociedad Italiana de Socorros Mutuos de Carcarañá</v>
          </cell>
          <cell r="G4583">
            <v>8098.27</v>
          </cell>
          <cell r="H4583">
            <v>12111610.646600001</v>
          </cell>
          <cell r="I4583" t="str">
            <v>765</v>
          </cell>
        </row>
        <row r="4584">
          <cell r="A4584" t="str">
            <v>USD</v>
          </cell>
          <cell r="B4584" t="str">
            <v>765000324</v>
          </cell>
          <cell r="C4584" t="str">
            <v>Libonatti, Andrés</v>
          </cell>
          <cell r="G4584">
            <v>355489.27</v>
          </cell>
          <cell r="H4584">
            <v>531662642.42659998</v>
          </cell>
          <cell r="I4584" t="str">
            <v>765</v>
          </cell>
        </row>
        <row r="4585">
          <cell r="A4585" t="str">
            <v>USD</v>
          </cell>
          <cell r="B4585" t="str">
            <v>765000326</v>
          </cell>
          <cell r="C4585" t="str">
            <v xml:space="preserve">Díaz, Luciano Fernando </v>
          </cell>
          <cell r="G4585">
            <v>11.87</v>
          </cell>
          <cell r="H4585">
            <v>17752.534599999999</v>
          </cell>
          <cell r="I4585" t="str">
            <v>765</v>
          </cell>
        </row>
        <row r="4586">
          <cell r="A4586" t="str">
            <v>USD</v>
          </cell>
          <cell r="B4586" t="str">
            <v>765000328</v>
          </cell>
          <cell r="C4586" t="str">
            <v>Racca, Alicia Mercedes</v>
          </cell>
          <cell r="G4586">
            <v>74.16</v>
          </cell>
          <cell r="H4586">
            <v>110912.21279999999</v>
          </cell>
          <cell r="I4586" t="str">
            <v>765</v>
          </cell>
        </row>
        <row r="4587">
          <cell r="A4587" t="str">
            <v>USD</v>
          </cell>
          <cell r="B4587" t="str">
            <v>765000332</v>
          </cell>
          <cell r="C4587" t="str">
            <v>Bosio, Mauricio Juan</v>
          </cell>
          <cell r="G4587">
            <v>8.24</v>
          </cell>
          <cell r="H4587">
            <v>12323.5792</v>
          </cell>
          <cell r="I4587" t="str">
            <v>765</v>
          </cell>
        </row>
        <row r="4588">
          <cell r="A4588" t="str">
            <v>USD</v>
          </cell>
          <cell r="B4588" t="str">
            <v>765000336</v>
          </cell>
          <cell r="C4588" t="str">
            <v>Deluca Martin, Trivisonno Gabriela</v>
          </cell>
          <cell r="G4588">
            <v>19.57</v>
          </cell>
          <cell r="H4588">
            <v>29268.500599999999</v>
          </cell>
          <cell r="I4588" t="str">
            <v>765</v>
          </cell>
        </row>
        <row r="4589">
          <cell r="A4589" t="str">
            <v>USD</v>
          </cell>
          <cell r="B4589" t="str">
            <v>765000343</v>
          </cell>
          <cell r="C4589" t="str">
            <v>Karina Verónica Bernardi</v>
          </cell>
          <cell r="G4589">
            <v>98.13</v>
          </cell>
          <cell r="H4589">
            <v>146761.26539999997</v>
          </cell>
          <cell r="I4589" t="str">
            <v>765</v>
          </cell>
        </row>
        <row r="4590">
          <cell r="A4590" t="str">
            <v>USD</v>
          </cell>
          <cell r="B4590" t="str">
            <v>765000345</v>
          </cell>
          <cell r="C4590" t="str">
            <v xml:space="preserve">Ciccocioppo, Ramiro </v>
          </cell>
          <cell r="G4590">
            <v>19.75</v>
          </cell>
          <cell r="H4590">
            <v>29537.704999999998</v>
          </cell>
          <cell r="I4590" t="str">
            <v>765</v>
          </cell>
        </row>
        <row r="4591">
          <cell r="A4591" t="str">
            <v>USD</v>
          </cell>
          <cell r="B4591" t="str">
            <v>765000348</v>
          </cell>
          <cell r="C4591" t="str">
            <v>Flores, Leilen Damila</v>
          </cell>
          <cell r="G4591">
            <v>11.27</v>
          </cell>
          <cell r="H4591">
            <v>16855.186599999997</v>
          </cell>
          <cell r="I4591" t="str">
            <v>765</v>
          </cell>
        </row>
        <row r="4592">
          <cell r="A4592" t="str">
            <v>USD</v>
          </cell>
          <cell r="B4592" t="str">
            <v>765000352</v>
          </cell>
          <cell r="C4592" t="str">
            <v xml:space="preserve">Girotti, Valentín </v>
          </cell>
          <cell r="G4592">
            <v>37.08</v>
          </cell>
          <cell r="H4592">
            <v>55456.106399999997</v>
          </cell>
          <cell r="I4592" t="str">
            <v>765</v>
          </cell>
        </row>
        <row r="4593">
          <cell r="A4593" t="str">
            <v>USD</v>
          </cell>
          <cell r="B4593" t="str">
            <v>765000357</v>
          </cell>
          <cell r="C4593" t="str">
            <v>Chiera, Ignacio Agustín</v>
          </cell>
          <cell r="G4593">
            <v>41.37</v>
          </cell>
          <cell r="H4593">
            <v>61872.144599999992</v>
          </cell>
          <cell r="I4593" t="str">
            <v>765</v>
          </cell>
        </row>
        <row r="4594">
          <cell r="A4594" t="str">
            <v>USD</v>
          </cell>
          <cell r="B4594" t="str">
            <v>765000360</v>
          </cell>
          <cell r="C4594" t="str">
            <v>Trossero, Silvia María</v>
          </cell>
          <cell r="G4594">
            <v>8.24</v>
          </cell>
          <cell r="H4594">
            <v>12323.5792</v>
          </cell>
          <cell r="I4594" t="str">
            <v>765</v>
          </cell>
        </row>
        <row r="4595">
          <cell r="A4595" t="str">
            <v>USD</v>
          </cell>
          <cell r="B4595" t="str">
            <v>765000365</v>
          </cell>
          <cell r="C4595" t="str">
            <v>Peña, Sebastían</v>
          </cell>
          <cell r="G4595">
            <v>851.3</v>
          </cell>
          <cell r="H4595">
            <v>1273187.254</v>
          </cell>
          <cell r="I4595" t="str">
            <v>765</v>
          </cell>
        </row>
        <row r="4596">
          <cell r="A4596" t="str">
            <v>USD</v>
          </cell>
          <cell r="B4596" t="str">
            <v>765000367</v>
          </cell>
          <cell r="C4596" t="str">
            <v>Martínez, Adrián Omar</v>
          </cell>
          <cell r="G4596">
            <v>293.41000000000003</v>
          </cell>
          <cell r="H4596">
            <v>438818.12780000002</v>
          </cell>
          <cell r="I4596" t="str">
            <v>765</v>
          </cell>
        </row>
        <row r="4597">
          <cell r="A4597" t="str">
            <v>USD</v>
          </cell>
          <cell r="B4597" t="str">
            <v>765000376</v>
          </cell>
          <cell r="C4597" t="str">
            <v>Deschamps, Sandra Roxana</v>
          </cell>
          <cell r="G4597">
            <v>42.4</v>
          </cell>
          <cell r="H4597">
            <v>63412.591999999997</v>
          </cell>
          <cell r="I4597" t="str">
            <v>765</v>
          </cell>
        </row>
        <row r="4598">
          <cell r="A4598" t="str">
            <v>USD</v>
          </cell>
          <cell r="B4598" t="str">
            <v>765000378</v>
          </cell>
          <cell r="C4598" t="str">
            <v>Beltrando, Javier Juan</v>
          </cell>
          <cell r="G4598">
            <v>110659.55</v>
          </cell>
          <cell r="H4598">
            <v>165500209.789</v>
          </cell>
          <cell r="I4598" t="str">
            <v>765</v>
          </cell>
        </row>
        <row r="4599">
          <cell r="A4599" t="str">
            <v>USD</v>
          </cell>
          <cell r="B4599" t="str">
            <v>765000382</v>
          </cell>
          <cell r="C4599" t="str">
            <v xml:space="preserve">Manasseri, Andrea de Pilar </v>
          </cell>
          <cell r="G4599">
            <v>9.27</v>
          </cell>
          <cell r="H4599">
            <v>13864.026599999999</v>
          </cell>
          <cell r="I4599" t="str">
            <v>765</v>
          </cell>
        </row>
        <row r="4600">
          <cell r="A4600" t="str">
            <v>USD</v>
          </cell>
          <cell r="B4600" t="str">
            <v>765000387</v>
          </cell>
          <cell r="C4600" t="str">
            <v>Romanow, María Gabriela</v>
          </cell>
          <cell r="G4600">
            <v>117.42</v>
          </cell>
          <cell r="H4600">
            <v>175611.0036</v>
          </cell>
          <cell r="I4600" t="str">
            <v>765</v>
          </cell>
        </row>
        <row r="4601">
          <cell r="A4601" t="str">
            <v>USD</v>
          </cell>
          <cell r="B4601" t="str">
            <v>765000388</v>
          </cell>
          <cell r="C4601" t="str">
            <v>Gerstner, Julio Ignacio</v>
          </cell>
          <cell r="G4601">
            <v>2.5499999999999998</v>
          </cell>
          <cell r="H4601">
            <v>3813.7289999999994</v>
          </cell>
          <cell r="I4601" t="str">
            <v>765</v>
          </cell>
        </row>
        <row r="4602">
          <cell r="A4602" t="str">
            <v>USD</v>
          </cell>
          <cell r="B4602" t="str">
            <v>765000393</v>
          </cell>
          <cell r="C4602" t="str">
            <v xml:space="preserve">Bergia, María Cristina </v>
          </cell>
          <cell r="G4602">
            <v>6.07</v>
          </cell>
          <cell r="H4602">
            <v>9078.1705999999995</v>
          </cell>
          <cell r="I4602" t="str">
            <v>765</v>
          </cell>
        </row>
        <row r="4603">
          <cell r="A4603" t="str">
            <v>USD</v>
          </cell>
          <cell r="B4603" t="str">
            <v>765000395</v>
          </cell>
          <cell r="C4603" t="str">
            <v>IMOBERDORF HNOS. S.A</v>
          </cell>
          <cell r="G4603">
            <v>34386.78</v>
          </cell>
          <cell r="H4603">
            <v>51428180.432399996</v>
          </cell>
          <cell r="I4603" t="str">
            <v>765</v>
          </cell>
        </row>
        <row r="4604">
          <cell r="A4604" t="str">
            <v>USD</v>
          </cell>
          <cell r="B4604" t="str">
            <v>765000396</v>
          </cell>
          <cell r="C4604" t="str">
            <v>Álvarez , Adriana Nelida</v>
          </cell>
          <cell r="G4604">
            <v>76.22</v>
          </cell>
          <cell r="H4604">
            <v>113993.10759999999</v>
          </cell>
          <cell r="I4604" t="str">
            <v>765</v>
          </cell>
        </row>
        <row r="4605">
          <cell r="A4605" t="str">
            <v>USD</v>
          </cell>
          <cell r="B4605" t="str">
            <v>765000404</v>
          </cell>
          <cell r="C4605" t="str">
            <v>Aguilar, Sergio Eduardo Alejandro</v>
          </cell>
          <cell r="G4605">
            <v>336.8</v>
          </cell>
          <cell r="H4605">
            <v>503711.34399999998</v>
          </cell>
          <cell r="I4605" t="str">
            <v>765</v>
          </cell>
        </row>
        <row r="4606">
          <cell r="A4606" t="str">
            <v>USD</v>
          </cell>
          <cell r="B4606" t="str">
            <v>765000408</v>
          </cell>
          <cell r="C4606" t="str">
            <v>Rico, Emilia Beatriz</v>
          </cell>
          <cell r="G4606">
            <v>30.9</v>
          </cell>
          <cell r="H4606">
            <v>46213.421999999999</v>
          </cell>
          <cell r="I4606" t="str">
            <v>765</v>
          </cell>
        </row>
        <row r="4607">
          <cell r="A4607" t="str">
            <v>USD</v>
          </cell>
          <cell r="B4607" t="str">
            <v>765000419</v>
          </cell>
          <cell r="C4607" t="str">
            <v>Caffaratti, Guillermo Cesar</v>
          </cell>
          <cell r="G4607">
            <v>117.42</v>
          </cell>
          <cell r="H4607">
            <v>175611.0036</v>
          </cell>
          <cell r="I4607" t="str">
            <v>765</v>
          </cell>
        </row>
        <row r="4608">
          <cell r="A4608" t="str">
            <v>USD</v>
          </cell>
          <cell r="B4608" t="str">
            <v>765000424</v>
          </cell>
          <cell r="C4608" t="str">
            <v>Cappello, Angelo</v>
          </cell>
          <cell r="G4608">
            <v>11.34</v>
          </cell>
          <cell r="H4608">
            <v>16959.877199999999</v>
          </cell>
          <cell r="I4608" t="str">
            <v>765</v>
          </cell>
        </row>
        <row r="4609">
          <cell r="A4609" t="str">
            <v>USD</v>
          </cell>
          <cell r="B4609" t="str">
            <v>765000427</v>
          </cell>
          <cell r="C4609" t="str">
            <v>Carranza, Juan Manuel</v>
          </cell>
          <cell r="G4609">
            <v>47.38</v>
          </cell>
          <cell r="H4609">
            <v>70860.580400000006</v>
          </cell>
          <cell r="I4609" t="str">
            <v>765</v>
          </cell>
        </row>
        <row r="4610">
          <cell r="A4610" t="str">
            <v>USD</v>
          </cell>
          <cell r="B4610" t="str">
            <v>765000433</v>
          </cell>
          <cell r="C4610" t="str">
            <v>Gudel, Franco Eduardo</v>
          </cell>
          <cell r="G4610">
            <v>1226783.51</v>
          </cell>
          <cell r="H4610">
            <v>1834752881.8857999</v>
          </cell>
          <cell r="I4610" t="str">
            <v>765</v>
          </cell>
        </row>
        <row r="4611">
          <cell r="A4611" t="str">
            <v>USD</v>
          </cell>
          <cell r="B4611" t="str">
            <v>765000437</v>
          </cell>
          <cell r="C4611" t="str">
            <v>Castellino, Marcos Jose</v>
          </cell>
          <cell r="G4611">
            <v>7.21</v>
          </cell>
          <cell r="H4611">
            <v>10783.131799999999</v>
          </cell>
          <cell r="I4611" t="str">
            <v>765</v>
          </cell>
        </row>
        <row r="4612">
          <cell r="A4612" t="str">
            <v>USD</v>
          </cell>
          <cell r="B4612" t="str">
            <v>765000443</v>
          </cell>
          <cell r="C4612" t="str">
            <v xml:space="preserve">Gozzi Pecci, Gaston Matias Jose </v>
          </cell>
          <cell r="G4612">
            <v>13.39</v>
          </cell>
          <cell r="H4612">
            <v>20025.816200000001</v>
          </cell>
          <cell r="I4612" t="str">
            <v>765</v>
          </cell>
        </row>
        <row r="4613">
          <cell r="A4613" t="str">
            <v>USD</v>
          </cell>
          <cell r="B4613" t="str">
            <v>765000448</v>
          </cell>
          <cell r="C4613" t="str">
            <v>Allegranza, Mauricio Alfredo</v>
          </cell>
          <cell r="G4613">
            <v>350.03</v>
          </cell>
          <cell r="H4613">
            <v>523497.86739999993</v>
          </cell>
          <cell r="I4613" t="str">
            <v>765</v>
          </cell>
        </row>
        <row r="4614">
          <cell r="A4614" t="str">
            <v>USD</v>
          </cell>
          <cell r="B4614" t="str">
            <v>765000457</v>
          </cell>
          <cell r="C4614" t="str">
            <v>Sibona, Enilda Margarita</v>
          </cell>
          <cell r="G4614">
            <v>85.49</v>
          </cell>
          <cell r="H4614">
            <v>127857.13419999999</v>
          </cell>
          <cell r="I4614" t="str">
            <v>765</v>
          </cell>
        </row>
        <row r="4615">
          <cell r="A4615" t="str">
            <v>USD</v>
          </cell>
          <cell r="B4615" t="str">
            <v>765000458</v>
          </cell>
          <cell r="C4615" t="str">
            <v>Piumetti, María Alejandra</v>
          </cell>
          <cell r="G4615">
            <v>110.21</v>
          </cell>
          <cell r="H4615">
            <v>164827.87179999999</v>
          </cell>
          <cell r="I4615" t="str">
            <v>765</v>
          </cell>
        </row>
        <row r="4616">
          <cell r="A4616" t="str">
            <v>USD</v>
          </cell>
          <cell r="B4616" t="str">
            <v>765000467</v>
          </cell>
          <cell r="C4616" t="str">
            <v>Alvarez, Diego Matias</v>
          </cell>
          <cell r="G4616">
            <v>65.92</v>
          </cell>
          <cell r="H4616">
            <v>98588.633600000001</v>
          </cell>
          <cell r="I4616" t="str">
            <v>765</v>
          </cell>
        </row>
        <row r="4617">
          <cell r="A4617" t="str">
            <v>USD</v>
          </cell>
          <cell r="B4617" t="str">
            <v>765000468</v>
          </cell>
          <cell r="C4617" t="str">
            <v xml:space="preserve">Quiroga, Hernán Darío </v>
          </cell>
          <cell r="G4617">
            <v>33.840000000000003</v>
          </cell>
          <cell r="H4617">
            <v>50610.427200000006</v>
          </cell>
          <cell r="I4617" t="str">
            <v>765</v>
          </cell>
        </row>
        <row r="4618">
          <cell r="A4618" t="str">
            <v>USD</v>
          </cell>
          <cell r="B4618" t="str">
            <v>765000469</v>
          </cell>
          <cell r="C4618" t="str">
            <v>Maccari, Lorena Silvia</v>
          </cell>
          <cell r="G4618">
            <v>29792.06</v>
          </cell>
          <cell r="H4618">
            <v>44556409.094800003</v>
          </cell>
          <cell r="I4618" t="str">
            <v>765</v>
          </cell>
        </row>
        <row r="4619">
          <cell r="A4619" t="str">
            <v>USD</v>
          </cell>
          <cell r="B4619" t="str">
            <v>765000476</v>
          </cell>
          <cell r="C4619" t="str">
            <v>Torné, Nicolas Martín</v>
          </cell>
          <cell r="G4619">
            <v>47.38</v>
          </cell>
          <cell r="H4619">
            <v>70860.580400000006</v>
          </cell>
          <cell r="I4619" t="str">
            <v>765</v>
          </cell>
        </row>
        <row r="4620">
          <cell r="A4620" t="str">
            <v>USD</v>
          </cell>
          <cell r="B4620" t="str">
            <v>765000478</v>
          </cell>
          <cell r="C4620" t="str">
            <v>Lopez, Gimena Mabel</v>
          </cell>
          <cell r="G4620">
            <v>8.24</v>
          </cell>
          <cell r="H4620">
            <v>12323.5792</v>
          </cell>
          <cell r="I4620" t="str">
            <v>765</v>
          </cell>
        </row>
        <row r="4621">
          <cell r="A4621" t="str">
            <v>USD</v>
          </cell>
          <cell r="B4621" t="str">
            <v>765000483</v>
          </cell>
          <cell r="C4621" t="str">
            <v>Perona, Sebastian Mauro</v>
          </cell>
          <cell r="G4621">
            <v>56.65</v>
          </cell>
          <cell r="H4621">
            <v>84724.606999999989</v>
          </cell>
          <cell r="I4621" t="str">
            <v>765</v>
          </cell>
        </row>
        <row r="4622">
          <cell r="A4622" t="str">
            <v>USD</v>
          </cell>
          <cell r="B4622" t="str">
            <v>765000486</v>
          </cell>
          <cell r="C4622" t="str">
            <v>Ebani, Emanuel Alejandro</v>
          </cell>
          <cell r="G4622">
            <v>44.29</v>
          </cell>
          <cell r="H4622">
            <v>66239.238199999993</v>
          </cell>
          <cell r="I4622" t="str">
            <v>765</v>
          </cell>
        </row>
        <row r="4623">
          <cell r="A4623" t="str">
            <v>USD</v>
          </cell>
          <cell r="B4623" t="str">
            <v>765000488</v>
          </cell>
          <cell r="C4623" t="str">
            <v>Franco, Mauro Emmanuel</v>
          </cell>
          <cell r="G4623">
            <v>28.84</v>
          </cell>
          <cell r="H4623">
            <v>43132.527199999997</v>
          </cell>
          <cell r="I4623" t="str">
            <v>765</v>
          </cell>
        </row>
        <row r="4624">
          <cell r="A4624" t="str">
            <v>USD</v>
          </cell>
          <cell r="B4624" t="str">
            <v>765000489</v>
          </cell>
          <cell r="C4624" t="str">
            <v>Torrazza, Stefano</v>
          </cell>
          <cell r="G4624">
            <v>29563.06</v>
          </cell>
          <cell r="H4624">
            <v>44213921.274800003</v>
          </cell>
          <cell r="I4624" t="str">
            <v>765</v>
          </cell>
        </row>
        <row r="4625">
          <cell r="A4625" t="str">
            <v>USD</v>
          </cell>
          <cell r="B4625" t="str">
            <v>765000491</v>
          </cell>
          <cell r="C4625" t="str">
            <v>Martina, Julian Andres</v>
          </cell>
          <cell r="G4625">
            <v>1.1599999999999999</v>
          </cell>
          <cell r="H4625">
            <v>1734.8727999999999</v>
          </cell>
          <cell r="I4625" t="str">
            <v>765</v>
          </cell>
        </row>
        <row r="4626">
          <cell r="A4626" t="str">
            <v>USD</v>
          </cell>
          <cell r="B4626" t="str">
            <v>765000492</v>
          </cell>
          <cell r="C4626" t="str">
            <v xml:space="preserve">Perlo, Gino Andres </v>
          </cell>
          <cell r="G4626">
            <v>20.6</v>
          </cell>
          <cell r="H4626">
            <v>30808.948</v>
          </cell>
          <cell r="I4626" t="str">
            <v>765</v>
          </cell>
        </row>
        <row r="4627">
          <cell r="A4627" t="str">
            <v>USD</v>
          </cell>
          <cell r="B4627" t="str">
            <v>765000494</v>
          </cell>
          <cell r="C4627" t="str">
            <v>Picabea, Juan Manuel</v>
          </cell>
          <cell r="G4627">
            <v>72.099999999999994</v>
          </cell>
          <cell r="H4627">
            <v>107831.31799999998</v>
          </cell>
          <cell r="I4627" t="str">
            <v>765</v>
          </cell>
        </row>
        <row r="4628">
          <cell r="A4628" t="str">
            <v>USD</v>
          </cell>
          <cell r="B4628" t="str">
            <v>765000496</v>
          </cell>
          <cell r="C4628" t="str">
            <v>BOASSO Y CIA SRL</v>
          </cell>
          <cell r="G4628">
            <v>8.24</v>
          </cell>
          <cell r="H4628">
            <v>12323.5792</v>
          </cell>
          <cell r="I4628" t="str">
            <v>765</v>
          </cell>
        </row>
        <row r="4629">
          <cell r="A4629" t="str">
            <v>USD</v>
          </cell>
          <cell r="B4629" t="str">
            <v>765000497</v>
          </cell>
          <cell r="C4629" t="str">
            <v>Rossi, Mariella Irene</v>
          </cell>
          <cell r="G4629">
            <v>442.26</v>
          </cell>
          <cell r="H4629">
            <v>661435.2108</v>
          </cell>
          <cell r="I4629" t="str">
            <v>765</v>
          </cell>
        </row>
        <row r="4630">
          <cell r="A4630" t="str">
            <v>USD</v>
          </cell>
          <cell r="B4630" t="str">
            <v>765000498</v>
          </cell>
          <cell r="C4630" t="str">
            <v>Celotti, Sofía</v>
          </cell>
          <cell r="G4630">
            <v>101.97</v>
          </cell>
          <cell r="H4630">
            <v>152504.29259999999</v>
          </cell>
          <cell r="I4630" t="str">
            <v>765</v>
          </cell>
        </row>
        <row r="4631">
          <cell r="A4631" t="str">
            <v>USD</v>
          </cell>
          <cell r="B4631" t="str">
            <v>765000499</v>
          </cell>
          <cell r="C4631" t="str">
            <v>Lapassini, Guillermo Raúl</v>
          </cell>
          <cell r="G4631">
            <v>6630.49</v>
          </cell>
          <cell r="H4631">
            <v>9916428.2341999989</v>
          </cell>
          <cell r="I4631" t="str">
            <v>765</v>
          </cell>
        </row>
        <row r="4632">
          <cell r="A4632" t="str">
            <v>USD</v>
          </cell>
          <cell r="B4632" t="str">
            <v>765000501</v>
          </cell>
          <cell r="C4632" t="str">
            <v>Ulla, Facundo</v>
          </cell>
          <cell r="G4632">
            <v>62.83</v>
          </cell>
          <cell r="H4632">
            <v>93967.291399999987</v>
          </cell>
          <cell r="I4632" t="str">
            <v>765</v>
          </cell>
        </row>
        <row r="4633">
          <cell r="A4633" t="str">
            <v>USD</v>
          </cell>
          <cell r="B4633" t="str">
            <v>765000502</v>
          </cell>
          <cell r="C4633" t="str">
            <v>Delgado, Fabiana Belén</v>
          </cell>
          <cell r="G4633">
            <v>2475.0300000000002</v>
          </cell>
          <cell r="H4633">
            <v>3701605.3674000003</v>
          </cell>
          <cell r="I4633" t="str">
            <v>765</v>
          </cell>
        </row>
        <row r="4634">
          <cell r="A4634" t="str">
            <v>USD</v>
          </cell>
          <cell r="B4634" t="str">
            <v>765000504</v>
          </cell>
          <cell r="C4634" t="str">
            <v>Coppari, Mirta Beatriz</v>
          </cell>
          <cell r="G4634">
            <v>25.75</v>
          </cell>
          <cell r="H4634">
            <v>38511.184999999998</v>
          </cell>
          <cell r="I4634" t="str">
            <v>765</v>
          </cell>
        </row>
        <row r="4635">
          <cell r="A4635" t="str">
            <v>USD</v>
          </cell>
          <cell r="B4635" t="str">
            <v>765000505</v>
          </cell>
          <cell r="C4635" t="str">
            <v>Ebani, Julio Cesar</v>
          </cell>
          <cell r="G4635">
            <v>18.54</v>
          </cell>
          <cell r="H4635">
            <v>27728.053199999998</v>
          </cell>
          <cell r="I4635" t="str">
            <v>765</v>
          </cell>
        </row>
        <row r="4636">
          <cell r="A4636" t="str">
            <v>USD</v>
          </cell>
          <cell r="B4636" t="str">
            <v>765000508</v>
          </cell>
          <cell r="C4636" t="str">
            <v>Fernandez, Lara</v>
          </cell>
          <cell r="G4636">
            <v>57.37</v>
          </cell>
          <cell r="H4636">
            <v>85801.424599999998</v>
          </cell>
          <cell r="I4636" t="str">
            <v>765</v>
          </cell>
        </row>
        <row r="4637">
          <cell r="A4637" t="str">
            <v>USD</v>
          </cell>
          <cell r="B4637" t="str">
            <v>765000509</v>
          </cell>
          <cell r="C4637" t="str">
            <v>Aresse, Adriana Raquel</v>
          </cell>
          <cell r="G4637">
            <v>4.12</v>
          </cell>
          <cell r="H4637">
            <v>6161.7896000000001</v>
          </cell>
          <cell r="I4637" t="str">
            <v>765</v>
          </cell>
        </row>
        <row r="4638">
          <cell r="A4638" t="str">
            <v>USD</v>
          </cell>
          <cell r="B4638" t="str">
            <v>765000511</v>
          </cell>
          <cell r="C4638" t="str">
            <v xml:space="preserve">Lombardo, Roció Belén </v>
          </cell>
          <cell r="G4638">
            <v>324.5</v>
          </cell>
          <cell r="H4638">
            <v>485315.70999999996</v>
          </cell>
          <cell r="I4638" t="str">
            <v>765</v>
          </cell>
        </row>
        <row r="4639">
          <cell r="A4639" t="str">
            <v>USD</v>
          </cell>
          <cell r="B4639" t="str">
            <v>765000513</v>
          </cell>
          <cell r="C4639" t="str">
            <v>Avalle, Luciana María</v>
          </cell>
          <cell r="G4639">
            <v>7.65</v>
          </cell>
          <cell r="H4639">
            <v>11441.187</v>
          </cell>
          <cell r="I4639" t="str">
            <v>765</v>
          </cell>
        </row>
        <row r="4640">
          <cell r="A4640" t="str">
            <v>USD</v>
          </cell>
          <cell r="B4640" t="str">
            <v>765000517</v>
          </cell>
          <cell r="C4640" t="str">
            <v xml:space="preserve">Celotti, Guillermo Federico </v>
          </cell>
          <cell r="G4640">
            <v>9.27</v>
          </cell>
          <cell r="H4640">
            <v>13864.026599999999</v>
          </cell>
          <cell r="I4640" t="str">
            <v>765</v>
          </cell>
        </row>
        <row r="4641">
          <cell r="A4641" t="str">
            <v>USD</v>
          </cell>
          <cell r="B4641" t="str">
            <v>765000521</v>
          </cell>
          <cell r="C4641" t="str">
            <v>Azeretzky, Gastón</v>
          </cell>
          <cell r="G4641">
            <v>52.53</v>
          </cell>
          <cell r="H4641">
            <v>78562.8174</v>
          </cell>
          <cell r="I4641" t="str">
            <v>765</v>
          </cell>
        </row>
        <row r="4642">
          <cell r="A4642" t="str">
            <v>USD</v>
          </cell>
          <cell r="B4642" t="str">
            <v>765000523</v>
          </cell>
          <cell r="C4642" t="str">
            <v xml:space="preserve">Mutual de Ayuda Entre Asociados y Adherentes del Club Atlético Def de Centeno </v>
          </cell>
          <cell r="G4642">
            <v>99006.54</v>
          </cell>
          <cell r="H4642">
            <v>148072201.09319997</v>
          </cell>
          <cell r="I4642" t="str">
            <v>765</v>
          </cell>
        </row>
        <row r="4643">
          <cell r="A4643" t="str">
            <v>USD</v>
          </cell>
          <cell r="B4643" t="str">
            <v>765000524</v>
          </cell>
          <cell r="C4643" t="str">
            <v>Bartolelli, Cristian Walter</v>
          </cell>
          <cell r="G4643">
            <v>5.15</v>
          </cell>
          <cell r="H4643">
            <v>7702.2370000000001</v>
          </cell>
          <cell r="I4643" t="str">
            <v>765</v>
          </cell>
        </row>
        <row r="4644">
          <cell r="A4644" t="str">
            <v>USD</v>
          </cell>
          <cell r="B4644" t="str">
            <v>765000527</v>
          </cell>
          <cell r="C4644" t="str">
            <v>Calzada, Ignacio Ariel</v>
          </cell>
          <cell r="G4644">
            <v>8.24</v>
          </cell>
          <cell r="H4644">
            <v>12323.5792</v>
          </cell>
          <cell r="I4644" t="str">
            <v>765</v>
          </cell>
        </row>
        <row r="4645">
          <cell r="A4645" t="str">
            <v>USD</v>
          </cell>
          <cell r="B4645" t="str">
            <v>765000529</v>
          </cell>
          <cell r="C4645" t="str">
            <v>Arias, Gustavo Daniel</v>
          </cell>
          <cell r="G4645">
            <v>9.27</v>
          </cell>
          <cell r="H4645">
            <v>13864.026599999999</v>
          </cell>
          <cell r="I4645" t="str">
            <v>765</v>
          </cell>
        </row>
        <row r="4646">
          <cell r="A4646" t="str">
            <v>USD</v>
          </cell>
          <cell r="B4646" t="str">
            <v>765000535</v>
          </cell>
          <cell r="C4646" t="str">
            <v>Soria, Omar Alberto</v>
          </cell>
          <cell r="G4646">
            <v>9.7799999999999994</v>
          </cell>
          <cell r="H4646">
            <v>14626.772399999998</v>
          </cell>
          <cell r="I4646" t="str">
            <v>765</v>
          </cell>
        </row>
        <row r="4647">
          <cell r="A4647" t="str">
            <v>USD</v>
          </cell>
          <cell r="B4647" t="str">
            <v>765000536</v>
          </cell>
          <cell r="C4647" t="str">
            <v>RAF EVENTOS SRL</v>
          </cell>
          <cell r="G4647">
            <v>40416.85</v>
          </cell>
          <cell r="H4647">
            <v>60446632.522999994</v>
          </cell>
          <cell r="I4647" t="str">
            <v>765</v>
          </cell>
        </row>
        <row r="4648">
          <cell r="A4648" t="str">
            <v>USD</v>
          </cell>
          <cell r="B4648" t="str">
            <v>765000540</v>
          </cell>
          <cell r="C4648" t="str">
            <v xml:space="preserve">Lombardo, Mariano Daniel </v>
          </cell>
          <cell r="G4648">
            <v>59.74</v>
          </cell>
          <cell r="H4648">
            <v>89345.949200000003</v>
          </cell>
          <cell r="I4648" t="str">
            <v>765</v>
          </cell>
        </row>
        <row r="4649">
          <cell r="A4649" t="str">
            <v>USD</v>
          </cell>
          <cell r="B4649" t="str">
            <v>765000542</v>
          </cell>
          <cell r="C4649" t="str">
            <v>Figueredo, Paul</v>
          </cell>
          <cell r="G4649">
            <v>9.27</v>
          </cell>
          <cell r="H4649">
            <v>13864.026599999999</v>
          </cell>
          <cell r="I4649" t="str">
            <v>765</v>
          </cell>
        </row>
        <row r="4650">
          <cell r="A4650" t="str">
            <v>USD</v>
          </cell>
          <cell r="B4650" t="str">
            <v>765000549</v>
          </cell>
          <cell r="C4650" t="str">
            <v>Surace, Nerina Flavia</v>
          </cell>
          <cell r="G4650">
            <v>11500.66</v>
          </cell>
          <cell r="H4650">
            <v>17200157.082799997</v>
          </cell>
          <cell r="I4650" t="str">
            <v>765</v>
          </cell>
        </row>
        <row r="4651">
          <cell r="A4651" t="str">
            <v>USD</v>
          </cell>
          <cell r="B4651" t="str">
            <v>765000553</v>
          </cell>
          <cell r="C4651" t="str">
            <v>Boasso, Maria Victoria</v>
          </cell>
          <cell r="G4651">
            <v>13.39</v>
          </cell>
          <cell r="H4651">
            <v>20025.816200000001</v>
          </cell>
          <cell r="I4651" t="str">
            <v>765</v>
          </cell>
        </row>
        <row r="4652">
          <cell r="A4652" t="str">
            <v>USD</v>
          </cell>
          <cell r="B4652" t="str">
            <v>765000557</v>
          </cell>
          <cell r="C4652" t="str">
            <v>Celotti, Ignacio</v>
          </cell>
          <cell r="G4652">
            <v>45.32</v>
          </cell>
          <cell r="H4652">
            <v>67779.685599999997</v>
          </cell>
          <cell r="I4652" t="str">
            <v>765</v>
          </cell>
        </row>
        <row r="4653">
          <cell r="A4653" t="str">
            <v>USD</v>
          </cell>
          <cell r="B4653" t="str">
            <v>765000561</v>
          </cell>
          <cell r="C4653" t="str">
            <v>Nonino, María Guadalupe</v>
          </cell>
          <cell r="G4653">
            <v>29.45</v>
          </cell>
          <cell r="H4653">
            <v>44044.830999999998</v>
          </cell>
          <cell r="I4653" t="str">
            <v>765</v>
          </cell>
        </row>
        <row r="4654">
          <cell r="A4654" t="str">
            <v>USD</v>
          </cell>
          <cell r="B4654" t="str">
            <v>765000564</v>
          </cell>
          <cell r="C4654" t="str">
            <v>Sequeira, Agustin Pablo</v>
          </cell>
          <cell r="G4654">
            <v>61348.95</v>
          </cell>
          <cell r="H4654">
            <v>91752262.640999988</v>
          </cell>
          <cell r="I4654" t="str">
            <v>765</v>
          </cell>
        </row>
        <row r="4655">
          <cell r="A4655" t="str">
            <v>USD</v>
          </cell>
          <cell r="B4655" t="str">
            <v>765000567</v>
          </cell>
          <cell r="C4655" t="str">
            <v>Ribecco, Maria Cecilia</v>
          </cell>
          <cell r="G4655">
            <v>7.21</v>
          </cell>
          <cell r="H4655">
            <v>10783.131799999999</v>
          </cell>
          <cell r="I4655" t="str">
            <v>765</v>
          </cell>
        </row>
        <row r="4656">
          <cell r="A4656" t="str">
            <v>USD</v>
          </cell>
          <cell r="B4656" t="str">
            <v>765000568</v>
          </cell>
          <cell r="C4656" t="str">
            <v>Cruz Joya, Luisina Araceli</v>
          </cell>
          <cell r="G4656">
            <v>24.72</v>
          </cell>
          <cell r="H4656">
            <v>36970.737599999993</v>
          </cell>
          <cell r="I4656" t="str">
            <v>765</v>
          </cell>
        </row>
        <row r="4657">
          <cell r="A4657" t="str">
            <v>USD</v>
          </cell>
          <cell r="B4657" t="str">
            <v>765000569</v>
          </cell>
          <cell r="C4657" t="str">
            <v>Morel Figueiras, Valentin</v>
          </cell>
          <cell r="G4657">
            <v>25.69</v>
          </cell>
          <cell r="H4657">
            <v>38421.450199999999</v>
          </cell>
          <cell r="I4657" t="str">
            <v>765</v>
          </cell>
        </row>
        <row r="4658">
          <cell r="A4658" t="str">
            <v>USD</v>
          </cell>
          <cell r="B4658" t="str">
            <v>765000572</v>
          </cell>
          <cell r="C4658" t="str">
            <v>Delorenzi, Martin Hector</v>
          </cell>
          <cell r="G4658">
            <v>257.38</v>
          </cell>
          <cell r="H4658">
            <v>384932.38039999997</v>
          </cell>
          <cell r="I4658" t="str">
            <v>765</v>
          </cell>
        </row>
        <row r="4659">
          <cell r="A4659" t="str">
            <v>USD</v>
          </cell>
          <cell r="B4659" t="str">
            <v>765000574</v>
          </cell>
          <cell r="C4659" t="str">
            <v>Tosetti, Fernando Luis</v>
          </cell>
          <cell r="G4659">
            <v>10.3</v>
          </cell>
          <cell r="H4659">
            <v>15404.474</v>
          </cell>
          <cell r="I4659" t="str">
            <v>765</v>
          </cell>
        </row>
        <row r="4660">
          <cell r="A4660" t="str">
            <v>USD</v>
          </cell>
          <cell r="B4660" t="str">
            <v>765000577</v>
          </cell>
          <cell r="C4660" t="str">
            <v>Giaime, Santiago Luis</v>
          </cell>
          <cell r="G4660">
            <v>88.58</v>
          </cell>
          <cell r="H4660">
            <v>132478.47639999999</v>
          </cell>
          <cell r="I4660" t="str">
            <v>765</v>
          </cell>
        </row>
        <row r="4661">
          <cell r="A4661" t="str">
            <v>USD</v>
          </cell>
          <cell r="B4661" t="str">
            <v>765000581</v>
          </cell>
          <cell r="C4661" t="str">
            <v>Manias, Juan Santiago</v>
          </cell>
          <cell r="G4661">
            <v>18.54</v>
          </cell>
          <cell r="H4661">
            <v>27728.053199999998</v>
          </cell>
          <cell r="I4661" t="str">
            <v>765</v>
          </cell>
        </row>
        <row r="4662">
          <cell r="A4662" t="str">
            <v>USD</v>
          </cell>
          <cell r="B4662" t="str">
            <v>765000582</v>
          </cell>
          <cell r="C4662" t="str">
            <v>MARIA BELEN, MANSILLA</v>
          </cell>
          <cell r="G4662">
            <v>15.45</v>
          </cell>
          <cell r="H4662">
            <v>23106.710999999999</v>
          </cell>
          <cell r="I4662" t="str">
            <v>765</v>
          </cell>
        </row>
        <row r="4663">
          <cell r="A4663" t="str">
            <v>USD</v>
          </cell>
          <cell r="B4663" t="str">
            <v>765000588</v>
          </cell>
          <cell r="C4663" t="str">
            <v>Bianco, Luciano Andres</v>
          </cell>
          <cell r="G4663">
            <v>12.36</v>
          </cell>
          <cell r="H4663">
            <v>18485.368799999997</v>
          </cell>
          <cell r="I4663" t="str">
            <v>765</v>
          </cell>
        </row>
        <row r="4664">
          <cell r="A4664" t="str">
            <v>USD</v>
          </cell>
          <cell r="B4664" t="str">
            <v>765000589</v>
          </cell>
          <cell r="C4664" t="str">
            <v>Celotti, Claudio Jose</v>
          </cell>
          <cell r="G4664">
            <v>9884.93</v>
          </cell>
          <cell r="H4664">
            <v>14783703.6094</v>
          </cell>
          <cell r="I4664" t="str">
            <v>765</v>
          </cell>
        </row>
        <row r="4665">
          <cell r="A4665" t="str">
            <v>USD</v>
          </cell>
          <cell r="B4665" t="str">
            <v>765000590</v>
          </cell>
          <cell r="C4665" t="str">
            <v>Demaria, Leonardo Orlando</v>
          </cell>
          <cell r="G4665">
            <v>14.42</v>
          </cell>
          <cell r="H4665">
            <v>21566.263599999998</v>
          </cell>
          <cell r="I4665" t="str">
            <v>765</v>
          </cell>
        </row>
        <row r="4666">
          <cell r="A4666" t="str">
            <v>USD</v>
          </cell>
          <cell r="B4666" t="str">
            <v>765000591</v>
          </cell>
          <cell r="C4666" t="str">
            <v>Prus, Maria Ines</v>
          </cell>
          <cell r="G4666">
            <v>399.45</v>
          </cell>
          <cell r="H4666">
            <v>597409.43099999998</v>
          </cell>
          <cell r="I4666" t="str">
            <v>765</v>
          </cell>
        </row>
        <row r="4667">
          <cell r="A4667" t="str">
            <v>USD</v>
          </cell>
          <cell r="B4667" t="str">
            <v>765000593</v>
          </cell>
          <cell r="C4667" t="str">
            <v>Melano, Ivan Luis</v>
          </cell>
          <cell r="G4667">
            <v>19.57</v>
          </cell>
          <cell r="H4667">
            <v>29268.500599999999</v>
          </cell>
          <cell r="I4667" t="str">
            <v>765</v>
          </cell>
        </row>
        <row r="4668">
          <cell r="A4668" t="str">
            <v>USD</v>
          </cell>
          <cell r="B4668" t="str">
            <v>765000594</v>
          </cell>
          <cell r="C4668" t="str">
            <v>Mayolini, Enzo Horacio</v>
          </cell>
          <cell r="G4668">
            <v>10.3</v>
          </cell>
          <cell r="H4668">
            <v>15404.474</v>
          </cell>
          <cell r="I4668" t="str">
            <v>765</v>
          </cell>
        </row>
        <row r="4669">
          <cell r="A4669" t="str">
            <v>USD</v>
          </cell>
          <cell r="B4669" t="str">
            <v>765000595</v>
          </cell>
          <cell r="C4669" t="str">
            <v>Galletta, Santo Gaudencio</v>
          </cell>
          <cell r="G4669">
            <v>487.98</v>
          </cell>
          <cell r="H4669">
            <v>729813.12840000005</v>
          </cell>
          <cell r="I4669" t="str">
            <v>765</v>
          </cell>
        </row>
        <row r="4670">
          <cell r="A4670" t="str">
            <v>USD</v>
          </cell>
          <cell r="B4670" t="str">
            <v>765000596</v>
          </cell>
          <cell r="C4670" t="str">
            <v>Ramello, Veronica Gabriela</v>
          </cell>
          <cell r="G4670">
            <v>6.18</v>
          </cell>
          <cell r="H4670">
            <v>9242.6843999999983</v>
          </cell>
          <cell r="I4670" t="str">
            <v>765</v>
          </cell>
        </row>
        <row r="4671">
          <cell r="A4671" t="str">
            <v>USD</v>
          </cell>
          <cell r="B4671" t="str">
            <v>765000605</v>
          </cell>
          <cell r="C4671" t="str">
            <v>Pizarro, Julian</v>
          </cell>
          <cell r="G4671">
            <v>27.81</v>
          </cell>
          <cell r="H4671">
            <v>41592.0798</v>
          </cell>
          <cell r="I4671" t="str">
            <v>765</v>
          </cell>
        </row>
        <row r="4672">
          <cell r="A4672" t="str">
            <v>USD</v>
          </cell>
          <cell r="B4672" t="str">
            <v>765000606</v>
          </cell>
          <cell r="C4672" t="str">
            <v>[C.E.R.A] Busso Fernando Javier</v>
          </cell>
          <cell r="G4672">
            <v>499.69</v>
          </cell>
          <cell r="H4672">
            <v>747326.3702</v>
          </cell>
          <cell r="I4672" t="str">
            <v>765</v>
          </cell>
        </row>
        <row r="4673">
          <cell r="A4673" t="str">
            <v>USD</v>
          </cell>
          <cell r="B4673" t="str">
            <v>765000609</v>
          </cell>
          <cell r="C4673" t="str">
            <v>Quevedo, Fernando Hector</v>
          </cell>
          <cell r="G4673">
            <v>1030.3</v>
          </cell>
          <cell r="H4673">
            <v>1540896.0739999998</v>
          </cell>
          <cell r="I4673" t="str">
            <v>765</v>
          </cell>
        </row>
        <row r="4674">
          <cell r="A4674" t="str">
            <v>USD</v>
          </cell>
          <cell r="B4674" t="str">
            <v>765000615</v>
          </cell>
          <cell r="C4674" t="str">
            <v>Suarez, Silvina Gabriela</v>
          </cell>
          <cell r="G4674">
            <v>106.97</v>
          </cell>
          <cell r="H4674">
            <v>159982.19259999998</v>
          </cell>
          <cell r="I4674" t="str">
            <v>765</v>
          </cell>
        </row>
        <row r="4675">
          <cell r="A4675" t="str">
            <v>USD</v>
          </cell>
          <cell r="B4675" t="str">
            <v>765000617</v>
          </cell>
          <cell r="C4675" t="str">
            <v>Marionsini, Alejo Humberto</v>
          </cell>
          <cell r="G4675">
            <v>194.58</v>
          </cell>
          <cell r="H4675">
            <v>291009.95640000002</v>
          </cell>
          <cell r="I4675" t="str">
            <v>765</v>
          </cell>
        </row>
        <row r="4676">
          <cell r="A4676" t="str">
            <v>USD</v>
          </cell>
          <cell r="B4676" t="str">
            <v>765000619</v>
          </cell>
          <cell r="C4676" t="str">
            <v>Bosio, Juan Augusto</v>
          </cell>
          <cell r="G4676">
            <v>100.94</v>
          </cell>
          <cell r="H4676">
            <v>150963.84519999998</v>
          </cell>
          <cell r="I4676" t="str">
            <v>765</v>
          </cell>
        </row>
        <row r="4677">
          <cell r="A4677" t="str">
            <v>USD</v>
          </cell>
          <cell r="B4677" t="str">
            <v>765000623</v>
          </cell>
          <cell r="C4677" t="str">
            <v>Rodriguez, Anabella Mariana</v>
          </cell>
          <cell r="G4677">
            <v>6.18</v>
          </cell>
          <cell r="H4677">
            <v>9242.6843999999983</v>
          </cell>
          <cell r="I4677" t="str">
            <v>765</v>
          </cell>
        </row>
        <row r="4678">
          <cell r="A4678" t="str">
            <v>USD</v>
          </cell>
          <cell r="B4678" t="str">
            <v>765000625</v>
          </cell>
          <cell r="C4678" t="str">
            <v>Antelo, Sergio Ruben</v>
          </cell>
          <cell r="G4678">
            <v>111.24</v>
          </cell>
          <cell r="H4678">
            <v>166368.3192</v>
          </cell>
          <cell r="I4678" t="str">
            <v>765</v>
          </cell>
        </row>
        <row r="4679">
          <cell r="A4679" t="str">
            <v>USD</v>
          </cell>
          <cell r="B4679" t="str">
            <v>765000626</v>
          </cell>
          <cell r="C4679" t="str">
            <v>Marigliano, Analia Veronica</v>
          </cell>
          <cell r="G4679">
            <v>226.49</v>
          </cell>
          <cell r="H4679">
            <v>338733.9142</v>
          </cell>
          <cell r="I4679" t="str">
            <v>765</v>
          </cell>
        </row>
        <row r="4680">
          <cell r="A4680" t="str">
            <v>USD</v>
          </cell>
          <cell r="B4680" t="str">
            <v>765000629</v>
          </cell>
          <cell r="C4680" t="str">
            <v>Sacovechi, Facundo Jose</v>
          </cell>
          <cell r="G4680">
            <v>20279.36</v>
          </cell>
          <cell r="H4680">
            <v>30329405.228799999</v>
          </cell>
          <cell r="I4680" t="str">
            <v>765</v>
          </cell>
        </row>
        <row r="4681">
          <cell r="A4681" t="str">
            <v>USD</v>
          </cell>
          <cell r="B4681" t="str">
            <v>765000630</v>
          </cell>
          <cell r="C4681" t="str">
            <v>Bearzotti, Sonia Bibiana</v>
          </cell>
          <cell r="G4681">
            <v>13.39</v>
          </cell>
          <cell r="H4681">
            <v>20025.816200000001</v>
          </cell>
          <cell r="I4681" t="str">
            <v>765</v>
          </cell>
        </row>
        <row r="4682">
          <cell r="A4682" t="str">
            <v>USD</v>
          </cell>
          <cell r="B4682" t="str">
            <v>765000632</v>
          </cell>
          <cell r="C4682" t="str">
            <v>Ruppen, Adrian Dario</v>
          </cell>
          <cell r="G4682">
            <v>25.75</v>
          </cell>
          <cell r="H4682">
            <v>38511.184999999998</v>
          </cell>
          <cell r="I4682" t="str">
            <v>765</v>
          </cell>
        </row>
        <row r="4683">
          <cell r="A4683" t="str">
            <v>USD</v>
          </cell>
          <cell r="B4683" t="str">
            <v>765000634</v>
          </cell>
          <cell r="C4683" t="str">
            <v>DE LORENZI, ESTEBAN IGNACIO</v>
          </cell>
          <cell r="G4683">
            <v>92.7</v>
          </cell>
          <cell r="H4683">
            <v>138640.266</v>
          </cell>
          <cell r="I4683" t="str">
            <v>765</v>
          </cell>
        </row>
        <row r="4684">
          <cell r="A4684" t="str">
            <v>USD</v>
          </cell>
          <cell r="B4684" t="str">
            <v>765000635</v>
          </cell>
          <cell r="C4684" t="str">
            <v>Chialvo, Alfonsina</v>
          </cell>
          <cell r="G4684">
            <v>17.510000000000002</v>
          </cell>
          <cell r="H4684">
            <v>26187.605800000001</v>
          </cell>
          <cell r="I4684" t="str">
            <v>765</v>
          </cell>
        </row>
        <row r="4685">
          <cell r="A4685" t="str">
            <v>USD</v>
          </cell>
          <cell r="B4685" t="str">
            <v>765000637</v>
          </cell>
          <cell r="C4685" t="str">
            <v>Schuhmacher, Martin Enrique</v>
          </cell>
          <cell r="G4685">
            <v>6.18</v>
          </cell>
          <cell r="H4685">
            <v>9242.6843999999983</v>
          </cell>
          <cell r="I4685" t="str">
            <v>765</v>
          </cell>
        </row>
        <row r="4686">
          <cell r="A4686" t="str">
            <v>USD</v>
          </cell>
          <cell r="B4686" t="str">
            <v>765000640</v>
          </cell>
          <cell r="C4686" t="str">
            <v>Bergamasco, Javier Jesus</v>
          </cell>
          <cell r="G4686">
            <v>8.24</v>
          </cell>
          <cell r="H4686">
            <v>12323.5792</v>
          </cell>
          <cell r="I4686" t="str">
            <v>765</v>
          </cell>
        </row>
        <row r="4687">
          <cell r="A4687" t="str">
            <v>USD</v>
          </cell>
          <cell r="B4687" t="str">
            <v>765000645</v>
          </cell>
          <cell r="C4687" t="str">
            <v>Provinciali, Nelci Lujan</v>
          </cell>
          <cell r="G4687">
            <v>916.23</v>
          </cell>
          <cell r="H4687">
            <v>1370295.2634000001</v>
          </cell>
          <cell r="I4687" t="str">
            <v>765</v>
          </cell>
        </row>
        <row r="4688">
          <cell r="A4688" t="str">
            <v>USD</v>
          </cell>
          <cell r="B4688" t="str">
            <v>765000646</v>
          </cell>
          <cell r="C4688" t="str">
            <v>Di Feo, Sandra del Valle</v>
          </cell>
          <cell r="G4688">
            <v>144.19999999999999</v>
          </cell>
          <cell r="H4688">
            <v>215662.63599999997</v>
          </cell>
          <cell r="I4688" t="str">
            <v>765</v>
          </cell>
        </row>
        <row r="4689">
          <cell r="A4689" t="str">
            <v>USD</v>
          </cell>
          <cell r="B4689" t="str">
            <v>765000647</v>
          </cell>
          <cell r="C4689" t="str">
            <v xml:space="preserve">Pedrana, Lucrecia </v>
          </cell>
          <cell r="G4689">
            <v>31.93</v>
          </cell>
          <cell r="H4689">
            <v>47753.869399999996</v>
          </cell>
          <cell r="I4689" t="str">
            <v>765</v>
          </cell>
        </row>
        <row r="4690">
          <cell r="A4690" t="str">
            <v>USD</v>
          </cell>
          <cell r="B4690" t="str">
            <v>765000650</v>
          </cell>
          <cell r="C4690" t="str">
            <v>Priolo, Ludmila Soledad</v>
          </cell>
          <cell r="G4690">
            <v>2277.06</v>
          </cell>
          <cell r="H4690">
            <v>3405525.3947999999</v>
          </cell>
          <cell r="I4690" t="str">
            <v>765</v>
          </cell>
        </row>
        <row r="4691">
          <cell r="A4691" t="str">
            <v>USD</v>
          </cell>
          <cell r="B4691" t="str">
            <v>765000652</v>
          </cell>
          <cell r="C4691" t="str">
            <v>Bovo,  Jorge Alberto</v>
          </cell>
          <cell r="G4691">
            <v>43.26</v>
          </cell>
          <cell r="H4691">
            <v>64698.790799999995</v>
          </cell>
          <cell r="I4691" t="str">
            <v>765</v>
          </cell>
        </row>
        <row r="4692">
          <cell r="A4692" t="str">
            <v>USD</v>
          </cell>
          <cell r="B4692" t="str">
            <v>765000656</v>
          </cell>
          <cell r="C4692" t="str">
            <v>Gapesa S.A</v>
          </cell>
          <cell r="G4692">
            <v>44.29</v>
          </cell>
          <cell r="H4692">
            <v>66239.238199999993</v>
          </cell>
          <cell r="I4692" t="str">
            <v>765</v>
          </cell>
        </row>
        <row r="4693">
          <cell r="A4693" t="str">
            <v>USD</v>
          </cell>
          <cell r="B4693" t="str">
            <v>765000657</v>
          </cell>
          <cell r="C4693" t="str">
            <v>Petrochi, Rodolfo Juan</v>
          </cell>
          <cell r="G4693">
            <v>19.57</v>
          </cell>
          <cell r="H4693">
            <v>29268.500599999999</v>
          </cell>
          <cell r="I4693" t="str">
            <v>765</v>
          </cell>
        </row>
        <row r="4694">
          <cell r="A4694" t="str">
            <v>USD</v>
          </cell>
          <cell r="B4694" t="str">
            <v>765000661</v>
          </cell>
          <cell r="C4694" t="str">
            <v>CREARQ SRL</v>
          </cell>
          <cell r="G4694">
            <v>389.32</v>
          </cell>
          <cell r="H4694">
            <v>582259.20559999999</v>
          </cell>
          <cell r="I4694" t="str">
            <v>765</v>
          </cell>
        </row>
        <row r="4695">
          <cell r="A4695" t="str">
            <v>USD</v>
          </cell>
          <cell r="B4695" t="str">
            <v>765000662</v>
          </cell>
          <cell r="C4695" t="str">
            <v>Martin, Horacio Gabriel</v>
          </cell>
          <cell r="G4695">
            <v>204.85</v>
          </cell>
          <cell r="H4695">
            <v>306369.56299999997</v>
          </cell>
          <cell r="I4695" t="str">
            <v>765</v>
          </cell>
        </row>
        <row r="4696">
          <cell r="A4696" t="str">
            <v>USD</v>
          </cell>
          <cell r="B4696" t="str">
            <v>765000666</v>
          </cell>
          <cell r="C4696" t="str">
            <v>Martinez, Debora Paola</v>
          </cell>
          <cell r="G4696">
            <v>29135.29</v>
          </cell>
          <cell r="H4696">
            <v>43574157.018200003</v>
          </cell>
          <cell r="I4696" t="str">
            <v>765</v>
          </cell>
        </row>
        <row r="4697">
          <cell r="A4697" t="str">
            <v>USD</v>
          </cell>
          <cell r="B4697" t="str">
            <v>765000667</v>
          </cell>
          <cell r="C4697" t="str">
            <v>Compagnucci, Luisina Maria Belen</v>
          </cell>
          <cell r="G4697">
            <v>164.76</v>
          </cell>
          <cell r="H4697">
            <v>246411.76079999996</v>
          </cell>
          <cell r="I4697" t="str">
            <v>765</v>
          </cell>
        </row>
        <row r="4698">
          <cell r="A4698" t="str">
            <v>USD</v>
          </cell>
          <cell r="B4698" t="str">
            <v>765000668</v>
          </cell>
          <cell r="C4698" t="str">
            <v>Piumetti, Gabriel Alejandro</v>
          </cell>
          <cell r="G4698">
            <v>44.29</v>
          </cell>
          <cell r="H4698">
            <v>66239.238199999993</v>
          </cell>
          <cell r="I4698" t="str">
            <v>765</v>
          </cell>
        </row>
        <row r="4699">
          <cell r="A4699" t="str">
            <v>USD</v>
          </cell>
          <cell r="B4699" t="str">
            <v>765000670</v>
          </cell>
          <cell r="C4699" t="str">
            <v>Zancocchia, Nelson Jose Luis</v>
          </cell>
          <cell r="G4699">
            <v>9857.0499999999993</v>
          </cell>
          <cell r="H4699">
            <v>14742006.838999998</v>
          </cell>
          <cell r="I4699" t="str">
            <v>765</v>
          </cell>
        </row>
        <row r="4700">
          <cell r="A4700" t="str">
            <v>USD</v>
          </cell>
          <cell r="B4700" t="str">
            <v>765000672</v>
          </cell>
          <cell r="C4700" t="str">
            <v>Galletta, Mauricio Gabriel</v>
          </cell>
          <cell r="G4700">
            <v>101.97</v>
          </cell>
          <cell r="H4700">
            <v>152504.29259999999</v>
          </cell>
          <cell r="I4700" t="str">
            <v>765</v>
          </cell>
        </row>
        <row r="4701">
          <cell r="A4701" t="str">
            <v>USD</v>
          </cell>
          <cell r="B4701" t="str">
            <v>765000673</v>
          </cell>
          <cell r="C4701" t="str">
            <v xml:space="preserve">Racca, Sonia Raquel </v>
          </cell>
          <cell r="G4701">
            <v>6.18</v>
          </cell>
          <cell r="H4701">
            <v>9242.6843999999983</v>
          </cell>
          <cell r="I4701" t="str">
            <v>765</v>
          </cell>
        </row>
        <row r="4702">
          <cell r="A4702" t="str">
            <v>USD</v>
          </cell>
          <cell r="B4702" t="str">
            <v>765000681</v>
          </cell>
          <cell r="C4702" t="str">
            <v>Bodini, Egidio Eduardo</v>
          </cell>
          <cell r="G4702">
            <v>462.3</v>
          </cell>
          <cell r="H4702">
            <v>691406.63399999996</v>
          </cell>
          <cell r="I4702" t="str">
            <v>765</v>
          </cell>
        </row>
        <row r="4703">
          <cell r="A4703" t="str">
            <v>USD</v>
          </cell>
          <cell r="B4703" t="str">
            <v>765000686</v>
          </cell>
          <cell r="C4703" t="str">
            <v xml:space="preserve">Marcucci, Roberto Hernan </v>
          </cell>
          <cell r="G4703">
            <v>21.63</v>
          </cell>
          <cell r="H4703">
            <v>32349.395399999998</v>
          </cell>
          <cell r="I4703" t="str">
            <v>765</v>
          </cell>
        </row>
        <row r="4704">
          <cell r="A4704" t="str">
            <v>USD</v>
          </cell>
          <cell r="B4704" t="str">
            <v>765000688</v>
          </cell>
          <cell r="C4704" t="str">
            <v>Alonso, Fabian Eduardo</v>
          </cell>
          <cell r="G4704">
            <v>39.14</v>
          </cell>
          <cell r="H4704">
            <v>58537.001199999999</v>
          </cell>
          <cell r="I4704" t="str">
            <v>765</v>
          </cell>
        </row>
        <row r="4705">
          <cell r="A4705" t="str">
            <v>USD</v>
          </cell>
          <cell r="B4705" t="str">
            <v>765000689</v>
          </cell>
          <cell r="C4705" t="str">
            <v>Kovacevich, Mirko</v>
          </cell>
          <cell r="G4705">
            <v>400.13</v>
          </cell>
          <cell r="H4705">
            <v>598426.42539999995</v>
          </cell>
          <cell r="I4705" t="str">
            <v>765</v>
          </cell>
        </row>
        <row r="4706">
          <cell r="A4706" t="str">
            <v>USD</v>
          </cell>
          <cell r="B4706" t="str">
            <v>765000696</v>
          </cell>
          <cell r="C4706" t="str">
            <v>Degano Moretti, Milagros</v>
          </cell>
          <cell r="G4706">
            <v>32.96</v>
          </cell>
          <cell r="H4706">
            <v>49294.316800000001</v>
          </cell>
          <cell r="I4706" t="str">
            <v>765</v>
          </cell>
        </row>
        <row r="4707">
          <cell r="A4707" t="str">
            <v>USD</v>
          </cell>
          <cell r="B4707" t="str">
            <v>765000698</v>
          </cell>
          <cell r="C4707" t="str">
            <v xml:space="preserve">Bosio, Bautista </v>
          </cell>
          <cell r="G4707">
            <v>40.17</v>
          </cell>
          <cell r="H4707">
            <v>60077.448599999996</v>
          </cell>
          <cell r="I4707" t="str">
            <v>765</v>
          </cell>
        </row>
        <row r="4708">
          <cell r="A4708" t="str">
            <v>USD</v>
          </cell>
          <cell r="B4708" t="str">
            <v>765000701</v>
          </cell>
          <cell r="C4708" t="str">
            <v>Saloj Muia, Julia</v>
          </cell>
          <cell r="G4708">
            <v>10.3</v>
          </cell>
          <cell r="H4708">
            <v>15404.474</v>
          </cell>
          <cell r="I4708" t="str">
            <v>765</v>
          </cell>
        </row>
        <row r="4709">
          <cell r="A4709" t="str">
            <v>USD</v>
          </cell>
          <cell r="B4709" t="str">
            <v>765000702</v>
          </cell>
          <cell r="C4709" t="str">
            <v>Surra, Martha Noemi</v>
          </cell>
          <cell r="G4709">
            <v>70.040000000000006</v>
          </cell>
          <cell r="H4709">
            <v>104750.4232</v>
          </cell>
          <cell r="I4709" t="str">
            <v>765</v>
          </cell>
        </row>
        <row r="4710">
          <cell r="A4710" t="str">
            <v>USD</v>
          </cell>
          <cell r="B4710" t="str">
            <v>765000703</v>
          </cell>
          <cell r="C4710" t="str">
            <v>Moretti, Mariela y Claudia</v>
          </cell>
          <cell r="G4710">
            <v>220.31</v>
          </cell>
          <cell r="H4710">
            <v>329491.22979999997</v>
          </cell>
          <cell r="I4710" t="str">
            <v>765</v>
          </cell>
        </row>
        <row r="4711">
          <cell r="A4711" t="str">
            <v>USD</v>
          </cell>
          <cell r="B4711" t="str">
            <v>765000704</v>
          </cell>
          <cell r="C4711" t="str">
            <v>Monti, Jesús María Santiago</v>
          </cell>
          <cell r="G4711">
            <v>50.47</v>
          </cell>
          <cell r="H4711">
            <v>75481.922599999991</v>
          </cell>
          <cell r="I4711" t="str">
            <v>765</v>
          </cell>
        </row>
        <row r="4712">
          <cell r="A4712" t="str">
            <v>USD</v>
          </cell>
          <cell r="B4712" t="str">
            <v>765000707</v>
          </cell>
          <cell r="C4712" t="str">
            <v>Feraboli, Cristian José</v>
          </cell>
          <cell r="G4712">
            <v>74.16</v>
          </cell>
          <cell r="H4712">
            <v>110912.21279999999</v>
          </cell>
          <cell r="I4712" t="str">
            <v>765</v>
          </cell>
        </row>
        <row r="4713">
          <cell r="A4713" t="str">
            <v>USD</v>
          </cell>
          <cell r="B4713" t="str">
            <v>765000709</v>
          </cell>
          <cell r="C4713" t="str">
            <v>Monti Celina Paula 2</v>
          </cell>
          <cell r="G4713">
            <v>2938.56</v>
          </cell>
          <cell r="H4713">
            <v>4394851.5647999998</v>
          </cell>
          <cell r="I4713" t="str">
            <v>765</v>
          </cell>
        </row>
        <row r="4714">
          <cell r="A4714" t="str">
            <v>USD</v>
          </cell>
          <cell r="B4714" t="str">
            <v>765000712</v>
          </cell>
          <cell r="C4714" t="str">
            <v>Margiotta, Fernando Gabriel</v>
          </cell>
          <cell r="G4714">
            <v>1173.76</v>
          </cell>
          <cell r="H4714">
            <v>1755451.9807999998</v>
          </cell>
          <cell r="I4714" t="str">
            <v>765</v>
          </cell>
        </row>
        <row r="4715">
          <cell r="A4715" t="str">
            <v>USD</v>
          </cell>
          <cell r="B4715" t="str">
            <v>765000713</v>
          </cell>
          <cell r="C4715" t="str">
            <v>Depetris, Mara Belén</v>
          </cell>
          <cell r="G4715">
            <v>74509.66</v>
          </cell>
          <cell r="H4715">
            <v>111435157.3028</v>
          </cell>
          <cell r="I4715" t="str">
            <v>765</v>
          </cell>
        </row>
        <row r="4716">
          <cell r="A4716" t="str">
            <v>USD</v>
          </cell>
          <cell r="B4716" t="str">
            <v>766000024</v>
          </cell>
          <cell r="C4716" t="str">
            <v>Gianni, Gabriela Paola</v>
          </cell>
          <cell r="G4716">
            <v>1354.73</v>
          </cell>
          <cell r="H4716">
            <v>2026107.0933999999</v>
          </cell>
          <cell r="I4716" t="str">
            <v>766</v>
          </cell>
        </row>
        <row r="4717">
          <cell r="A4717" t="str">
            <v>USD</v>
          </cell>
          <cell r="B4717" t="str">
            <v>766000026</v>
          </cell>
          <cell r="C4717" t="str">
            <v>Cuello Facundo</v>
          </cell>
          <cell r="G4717">
            <v>182.34</v>
          </cell>
          <cell r="H4717">
            <v>272704.05719999998</v>
          </cell>
          <cell r="I4717" t="str">
            <v>766</v>
          </cell>
        </row>
        <row r="4718">
          <cell r="A4718" t="str">
            <v>USD</v>
          </cell>
          <cell r="B4718" t="str">
            <v>766000033</v>
          </cell>
          <cell r="C4718" t="str">
            <v>Cuello, Emilio</v>
          </cell>
          <cell r="G4718">
            <v>1303.73</v>
          </cell>
          <cell r="H4718">
            <v>1949832.5133999998</v>
          </cell>
          <cell r="I4718" t="str">
            <v>766</v>
          </cell>
        </row>
        <row r="4719">
          <cell r="A4719" t="str">
            <v>USD</v>
          </cell>
          <cell r="B4719" t="str">
            <v>766000040</v>
          </cell>
          <cell r="C4719" t="str">
            <v>Pires, Miryam Susana</v>
          </cell>
          <cell r="G4719">
            <v>1115.4000000000001</v>
          </cell>
          <cell r="H4719">
            <v>1668169.932</v>
          </cell>
          <cell r="I4719" t="str">
            <v>766</v>
          </cell>
        </row>
        <row r="4720">
          <cell r="A4720" t="str">
            <v>USD</v>
          </cell>
          <cell r="B4720" t="str">
            <v>766000062</v>
          </cell>
          <cell r="C4720" t="str">
            <v>Salerno, Graciela Rita</v>
          </cell>
          <cell r="G4720">
            <v>3855.82</v>
          </cell>
          <cell r="H4720">
            <v>5766687.2756000003</v>
          </cell>
          <cell r="I4720" t="str">
            <v>766</v>
          </cell>
        </row>
        <row r="4721">
          <cell r="A4721" t="str">
            <v>USD</v>
          </cell>
          <cell r="B4721" t="str">
            <v>766000073</v>
          </cell>
          <cell r="C4721" t="str">
            <v xml:space="preserve">Quiles, Marta Beatriz </v>
          </cell>
          <cell r="G4721">
            <v>199.49</v>
          </cell>
          <cell r="H4721">
            <v>298353.25420000002</v>
          </cell>
          <cell r="I4721" t="str">
            <v>766</v>
          </cell>
        </row>
        <row r="4722">
          <cell r="A4722" t="str">
            <v>USD</v>
          </cell>
          <cell r="B4722" t="str">
            <v>766000078</v>
          </cell>
          <cell r="C4722" t="str">
            <v>Asociación Civil Agrupación Deportiva Infantil Unión Rosario</v>
          </cell>
          <cell r="G4722">
            <v>10805.97</v>
          </cell>
          <cell r="H4722">
            <v>16161192.612599999</v>
          </cell>
          <cell r="I4722" t="str">
            <v>766</v>
          </cell>
        </row>
        <row r="4723">
          <cell r="A4723" t="str">
            <v>USD</v>
          </cell>
          <cell r="B4723" t="str">
            <v>766000080</v>
          </cell>
          <cell r="C4723" t="str">
            <v>Milano, Luis José</v>
          </cell>
          <cell r="G4723">
            <v>697.86</v>
          </cell>
          <cell r="H4723">
            <v>1043705.4588</v>
          </cell>
          <cell r="I4723" t="str">
            <v>766</v>
          </cell>
        </row>
        <row r="4724">
          <cell r="A4724" t="str">
            <v>USD</v>
          </cell>
          <cell r="B4724" t="str">
            <v>766000104</v>
          </cell>
          <cell r="C4724" t="str">
            <v>Alfieri, Jose Maria</v>
          </cell>
          <cell r="G4724">
            <v>1009.43</v>
          </cell>
          <cell r="H4724">
            <v>1509683.3193999999</v>
          </cell>
          <cell r="I4724" t="str">
            <v>766</v>
          </cell>
        </row>
        <row r="4725">
          <cell r="A4725" t="str">
            <v>USD</v>
          </cell>
          <cell r="B4725" t="str">
            <v>766000137</v>
          </cell>
          <cell r="C4725" t="str">
            <v>Barrau , Guillermo</v>
          </cell>
          <cell r="G4725">
            <v>3003.35</v>
          </cell>
          <cell r="H4725">
            <v>4491750.193</v>
          </cell>
          <cell r="I4725" t="str">
            <v>766</v>
          </cell>
        </row>
        <row r="4726">
          <cell r="A4726" t="str">
            <v>USD</v>
          </cell>
          <cell r="B4726" t="str">
            <v>766000179</v>
          </cell>
          <cell r="C4726" t="str">
            <v>Roig, Pablo César</v>
          </cell>
          <cell r="G4726">
            <v>39.130000000000003</v>
          </cell>
          <cell r="H4726">
            <v>58522.045400000003</v>
          </cell>
          <cell r="I4726" t="str">
            <v>766</v>
          </cell>
        </row>
        <row r="4727">
          <cell r="A4727" t="str">
            <v>USD</v>
          </cell>
          <cell r="B4727" t="str">
            <v>766000202</v>
          </cell>
          <cell r="C4727" t="str">
            <v>Bussi, Sebastián</v>
          </cell>
          <cell r="G4727">
            <v>7023.49</v>
          </cell>
          <cell r="H4727">
            <v>10504191.174199998</v>
          </cell>
          <cell r="I4727" t="str">
            <v>766</v>
          </cell>
        </row>
        <row r="4728">
          <cell r="A4728" t="str">
            <v>USD</v>
          </cell>
          <cell r="B4728" t="str">
            <v>766000205</v>
          </cell>
          <cell r="C4728" t="str">
            <v xml:space="preserve">Blanch, Martin o Blanco, Lucrecia </v>
          </cell>
          <cell r="G4728">
            <v>881.43</v>
          </cell>
          <cell r="H4728">
            <v>1318249.0793999999</v>
          </cell>
          <cell r="I4728" t="str">
            <v>766</v>
          </cell>
        </row>
        <row r="4729">
          <cell r="A4729" t="str">
            <v>USD</v>
          </cell>
          <cell r="B4729" t="str">
            <v>766000228</v>
          </cell>
          <cell r="C4729" t="str">
            <v>AMOBLAMIENTOS RENO</v>
          </cell>
          <cell r="G4729">
            <v>31003.67</v>
          </cell>
          <cell r="H4729">
            <v>46368468.778599992</v>
          </cell>
          <cell r="I4729" t="str">
            <v>766</v>
          </cell>
        </row>
        <row r="4730">
          <cell r="A4730" t="str">
            <v>USD</v>
          </cell>
          <cell r="B4730" t="str">
            <v>766000250</v>
          </cell>
          <cell r="C4730" t="str">
            <v>CRABSA S.A.</v>
          </cell>
          <cell r="G4730">
            <v>3748.66</v>
          </cell>
          <cell r="H4730">
            <v>5606420.9227999998</v>
          </cell>
          <cell r="I4730" t="str">
            <v>766</v>
          </cell>
        </row>
        <row r="4731">
          <cell r="A4731" t="str">
            <v>USD</v>
          </cell>
          <cell r="B4731" t="str">
            <v>766000319</v>
          </cell>
          <cell r="C4731" t="str">
            <v>Tommasi, Javier Alejandro</v>
          </cell>
          <cell r="G4731">
            <v>1988.3</v>
          </cell>
          <cell r="H4731">
            <v>2973661.7139999997</v>
          </cell>
          <cell r="I4731" t="str">
            <v>766</v>
          </cell>
        </row>
        <row r="4732">
          <cell r="A4732" t="str">
            <v>USD</v>
          </cell>
          <cell r="B4732" t="str">
            <v>766000352</v>
          </cell>
          <cell r="C4732" t="str">
            <v>KAMCHATKA S.R.L.</v>
          </cell>
          <cell r="G4732">
            <v>41088.25</v>
          </cell>
          <cell r="H4732">
            <v>61450764.934999995</v>
          </cell>
          <cell r="I4732" t="str">
            <v>766</v>
          </cell>
        </row>
        <row r="4733">
          <cell r="A4733" t="str">
            <v>USD</v>
          </cell>
          <cell r="B4733" t="str">
            <v>766000367</v>
          </cell>
          <cell r="C4733" t="str">
            <v>Pico, Ramiro José</v>
          </cell>
          <cell r="G4733">
            <v>1850.87</v>
          </cell>
          <cell r="H4733">
            <v>2768124.1545999995</v>
          </cell>
          <cell r="I4733" t="str">
            <v>766</v>
          </cell>
        </row>
        <row r="4734">
          <cell r="A4734" t="str">
            <v>USD</v>
          </cell>
          <cell r="B4734" t="str">
            <v>766000432</v>
          </cell>
          <cell r="C4734" t="str">
            <v>Mariño, Raúl Eduardo</v>
          </cell>
          <cell r="G4734">
            <v>1020.72</v>
          </cell>
          <cell r="H4734">
            <v>1526568.4176</v>
          </cell>
          <cell r="I4734" t="str">
            <v>766</v>
          </cell>
        </row>
        <row r="4735">
          <cell r="A4735" t="str">
            <v>USD</v>
          </cell>
          <cell r="B4735" t="str">
            <v>766000441</v>
          </cell>
          <cell r="C4735" t="str">
            <v>Mayoraz, Gonzalo Javier</v>
          </cell>
          <cell r="G4735">
            <v>11898.63</v>
          </cell>
          <cell r="H4735">
            <v>17795353.055399999</v>
          </cell>
          <cell r="I4735" t="str">
            <v>766</v>
          </cell>
        </row>
        <row r="4736">
          <cell r="A4736" t="str">
            <v>USD</v>
          </cell>
          <cell r="B4736" t="str">
            <v>766000448</v>
          </cell>
          <cell r="C4736" t="str">
            <v>Livieri, Carlos Ruben o Ruiz, Maria Eugenia o Livieri, Maria Florencia</v>
          </cell>
          <cell r="G4736">
            <v>2862</v>
          </cell>
          <cell r="H4736">
            <v>4280349.96</v>
          </cell>
          <cell r="I4736" t="str">
            <v>766</v>
          </cell>
        </row>
        <row r="4737">
          <cell r="A4737" t="str">
            <v>USD</v>
          </cell>
          <cell r="B4737" t="str">
            <v>766000469</v>
          </cell>
          <cell r="C4737" t="str">
            <v>Mendez Amadei, Lisandro o Mendez Amadei, Guillermo</v>
          </cell>
          <cell r="G4737">
            <v>276</v>
          </cell>
          <cell r="H4737">
            <v>412780.07999999996</v>
          </cell>
          <cell r="I4737" t="str">
            <v>766</v>
          </cell>
        </row>
        <row r="4738">
          <cell r="A4738" t="str">
            <v>USD</v>
          </cell>
          <cell r="B4738" t="str">
            <v>766000509</v>
          </cell>
          <cell r="C4738" t="str">
            <v>Escalante, Pablo Julio</v>
          </cell>
          <cell r="G4738">
            <v>7900.31</v>
          </cell>
          <cell r="H4738">
            <v>11815545.629799999</v>
          </cell>
          <cell r="I4738" t="str">
            <v>766</v>
          </cell>
        </row>
        <row r="4739">
          <cell r="A4739" t="str">
            <v>USD</v>
          </cell>
          <cell r="B4739" t="str">
            <v>766000514</v>
          </cell>
          <cell r="C4739" t="str">
            <v>Barletta, Federica</v>
          </cell>
          <cell r="G4739">
            <v>177.5</v>
          </cell>
          <cell r="H4739">
            <v>265465.45</v>
          </cell>
          <cell r="I4739" t="str">
            <v>766</v>
          </cell>
        </row>
        <row r="4740">
          <cell r="A4740" t="str">
            <v>USD</v>
          </cell>
          <cell r="B4740" t="str">
            <v>766000517</v>
          </cell>
          <cell r="C4740" t="str">
            <v>Lattuca, Mateo</v>
          </cell>
          <cell r="G4740">
            <v>198.11</v>
          </cell>
          <cell r="H4740">
            <v>296289.35379999998</v>
          </cell>
          <cell r="I4740" t="str">
            <v>766</v>
          </cell>
        </row>
        <row r="4741">
          <cell r="A4741" t="str">
            <v>USD</v>
          </cell>
          <cell r="B4741" t="str">
            <v>766000525</v>
          </cell>
          <cell r="C4741" t="str">
            <v>Gonzalez Diez, Delfina</v>
          </cell>
          <cell r="G4741">
            <v>1394.81</v>
          </cell>
          <cell r="H4741">
            <v>2086049.9397999998</v>
          </cell>
          <cell r="I4741" t="str">
            <v>766</v>
          </cell>
        </row>
        <row r="4742">
          <cell r="A4742" t="str">
            <v>USD</v>
          </cell>
          <cell r="B4742" t="str">
            <v>788002147</v>
          </cell>
          <cell r="C4742" t="str">
            <v>Tarallo, Agustín</v>
          </cell>
          <cell r="G4742">
            <v>9926.44</v>
          </cell>
          <cell r="H4742">
            <v>14845785.135199999</v>
          </cell>
          <cell r="I4742" t="str">
            <v>788</v>
          </cell>
        </row>
        <row r="4743">
          <cell r="A4743" t="str">
            <v>USD</v>
          </cell>
          <cell r="B4743" t="str">
            <v>794000105</v>
          </cell>
          <cell r="C4743" t="str">
            <v>Carla Merlini</v>
          </cell>
          <cell r="G4743">
            <v>45096.99</v>
          </cell>
          <cell r="H4743">
            <v>67446156.304199994</v>
          </cell>
          <cell r="I4743" t="str">
            <v>794</v>
          </cell>
        </row>
        <row r="4744">
          <cell r="A4744" t="str">
            <v>USD</v>
          </cell>
          <cell r="B4744" t="str">
            <v>794000106</v>
          </cell>
          <cell r="C4744" t="str">
            <v>OLGA ISABEL GOMEZ</v>
          </cell>
          <cell r="G4744">
            <v>3227.25</v>
          </cell>
          <cell r="H4744">
            <v>4826610.5549999997</v>
          </cell>
          <cell r="I4744" t="str">
            <v>794</v>
          </cell>
        </row>
        <row r="4745">
          <cell r="A4745" t="str">
            <v>USD</v>
          </cell>
          <cell r="B4745" t="str">
            <v>802000999</v>
          </cell>
          <cell r="C4745" t="str">
            <v>META INVERSIONES SA</v>
          </cell>
          <cell r="G4745">
            <v>133306</v>
          </cell>
          <cell r="H4745">
            <v>199369787.47999999</v>
          </cell>
          <cell r="I4745" t="str">
            <v>802</v>
          </cell>
        </row>
        <row r="4746">
          <cell r="A4746" t="str">
            <v>USD</v>
          </cell>
          <cell r="B4746" t="str">
            <v>802001094</v>
          </cell>
          <cell r="C4746" t="str">
            <v>DE DONATO, ANTONIO JESUS</v>
          </cell>
          <cell r="G4746">
            <v>7996.14</v>
          </cell>
          <cell r="H4746">
            <v>11958867.0612</v>
          </cell>
          <cell r="I4746" t="str">
            <v>802</v>
          </cell>
        </row>
        <row r="4747">
          <cell r="A4747" t="str">
            <v>USD</v>
          </cell>
          <cell r="B4747" t="str">
            <v>802001481</v>
          </cell>
          <cell r="C4747" t="str">
            <v>PANASONIC DO BRASIL LIMITADA - SUCURSAL ARGENTINA</v>
          </cell>
          <cell r="G4747">
            <v>10195.83</v>
          </cell>
          <cell r="H4747">
            <v>15248679.431399999</v>
          </cell>
          <cell r="I4747" t="str">
            <v>802</v>
          </cell>
        </row>
        <row r="4748">
          <cell r="A4748" t="str">
            <v>USD</v>
          </cell>
          <cell r="B4748" t="str">
            <v>802001579</v>
          </cell>
          <cell r="C4748" t="str">
            <v>PEREIRA, MARIA CECILIA</v>
          </cell>
          <cell r="G4748">
            <v>7110.65</v>
          </cell>
          <cell r="H4748">
            <v>10634545.926999999</v>
          </cell>
          <cell r="I4748" t="str">
            <v>802</v>
          </cell>
        </row>
        <row r="4749">
          <cell r="A4749" t="str">
            <v>USD</v>
          </cell>
          <cell r="B4749" t="str">
            <v>802001640</v>
          </cell>
          <cell r="C4749" t="str">
            <v>FIORENZA, ANNERIS FLAVIA EVELYN</v>
          </cell>
          <cell r="G4749">
            <v>7999.85</v>
          </cell>
          <cell r="H4749">
            <v>11964415.663000001</v>
          </cell>
          <cell r="I4749" t="str">
            <v>802</v>
          </cell>
        </row>
        <row r="4750">
          <cell r="A4750" t="str">
            <v>USD</v>
          </cell>
          <cell r="B4750" t="str">
            <v>802001735</v>
          </cell>
          <cell r="C4750" t="str">
            <v>SRD PRODUCCIONES SRL</v>
          </cell>
          <cell r="G4750">
            <v>31578.6</v>
          </cell>
          <cell r="H4750">
            <v>47228322.587999992</v>
          </cell>
          <cell r="I4750" t="str">
            <v>802</v>
          </cell>
        </row>
        <row r="4751">
          <cell r="A4751" t="str">
            <v>USD</v>
          </cell>
          <cell r="B4751" t="str">
            <v>802001793</v>
          </cell>
          <cell r="C4751" t="str">
            <v>DISTRIBUIDORA AMERICANA DEL RELOJ SUIZO S.A.</v>
          </cell>
          <cell r="G4751">
            <v>42521.13</v>
          </cell>
          <cell r="H4751">
            <v>63593751.605399996</v>
          </cell>
          <cell r="I4751" t="str">
            <v>802</v>
          </cell>
        </row>
        <row r="4752">
          <cell r="A4752" t="str">
            <v>USD</v>
          </cell>
          <cell r="B4752" t="str">
            <v>802001885</v>
          </cell>
          <cell r="C4752" t="str">
            <v>LOS AUTENTICOS DECADENTES SRL</v>
          </cell>
          <cell r="G4752">
            <v>60000</v>
          </cell>
          <cell r="H4752">
            <v>89734800</v>
          </cell>
          <cell r="I4752" t="str">
            <v>802</v>
          </cell>
        </row>
        <row r="4753">
          <cell r="A4753" t="str">
            <v>USD</v>
          </cell>
          <cell r="B4753" t="str">
            <v>802001942</v>
          </cell>
          <cell r="C4753" t="str">
            <v>YAÑEZ, SANTIAGO MANUEL</v>
          </cell>
          <cell r="G4753">
            <v>4442.1499999999996</v>
          </cell>
          <cell r="H4753">
            <v>6643590.6969999988</v>
          </cell>
          <cell r="I4753" t="str">
            <v>802</v>
          </cell>
        </row>
        <row r="4754">
          <cell r="A4754" t="str">
            <v>USD</v>
          </cell>
          <cell r="B4754" t="str">
            <v>802001974</v>
          </cell>
          <cell r="C4754" t="str">
            <v>CHERVONKO, ROMINA VANESA</v>
          </cell>
          <cell r="G4754">
            <v>1994.71</v>
          </cell>
          <cell r="H4754">
            <v>2983248.3818000001</v>
          </cell>
          <cell r="I4754" t="str">
            <v>802</v>
          </cell>
        </row>
        <row r="4755">
          <cell r="A4755" t="str">
            <v>USD</v>
          </cell>
          <cell r="B4755" t="str">
            <v>802001989</v>
          </cell>
          <cell r="C4755" t="str">
            <v>[C.E.R.A.] ANDREATINI SERGIO ADRIAN</v>
          </cell>
          <cell r="G4755">
            <v>14.86</v>
          </cell>
          <cell r="H4755">
            <v>22224.318799999997</v>
          </cell>
          <cell r="I4755" t="str">
            <v>802</v>
          </cell>
        </row>
        <row r="4756">
          <cell r="A4756" t="str">
            <v>USD</v>
          </cell>
          <cell r="B4756" t="str">
            <v>802001990</v>
          </cell>
          <cell r="C4756" t="str">
            <v>[C.E.R.A.] TA PLASTIC S.A.</v>
          </cell>
          <cell r="G4756">
            <v>14.84</v>
          </cell>
          <cell r="H4756">
            <v>22194.407199999998</v>
          </cell>
          <cell r="I4756" t="str">
            <v>802</v>
          </cell>
        </row>
        <row r="4757">
          <cell r="A4757" t="str">
            <v>USD</v>
          </cell>
          <cell r="B4757" t="str">
            <v>802002076</v>
          </cell>
          <cell r="C4757" t="str">
            <v>[C.E.R.A.] ANDREATINI EMILIO</v>
          </cell>
          <cell r="G4757">
            <v>14.86</v>
          </cell>
          <cell r="H4757">
            <v>22224.318799999997</v>
          </cell>
          <cell r="I4757" t="str">
            <v>802</v>
          </cell>
        </row>
        <row r="4758">
          <cell r="A4758" t="str">
            <v>USD</v>
          </cell>
          <cell r="B4758" t="str">
            <v>806000010</v>
          </cell>
          <cell r="C4758" t="str">
            <v>INVERSIONES CUYANAS S.A.</v>
          </cell>
          <cell r="G4758">
            <v>4999.13</v>
          </cell>
          <cell r="H4758">
            <v>7476598.8454</v>
          </cell>
          <cell r="I4758" t="str">
            <v>806</v>
          </cell>
        </row>
        <row r="4759">
          <cell r="A4759" t="str">
            <v>USD</v>
          </cell>
          <cell r="B4759" t="str">
            <v>806000155</v>
          </cell>
          <cell r="C4759" t="str">
            <v>GUIDOLIN, Ariel Hector</v>
          </cell>
          <cell r="G4759">
            <v>117291.84</v>
          </cell>
          <cell r="H4759">
            <v>175419330.06719998</v>
          </cell>
          <cell r="I4759" t="str">
            <v>806</v>
          </cell>
        </row>
        <row r="4760">
          <cell r="A4760" t="str">
            <v>USD</v>
          </cell>
          <cell r="B4760" t="str">
            <v>806000158</v>
          </cell>
          <cell r="C4760" t="str">
            <v>BOERO, Gustavo y/o LAVIANO, Analia</v>
          </cell>
          <cell r="G4760">
            <v>19953.169999999998</v>
          </cell>
          <cell r="H4760">
            <v>29841561.988599997</v>
          </cell>
          <cell r="I4760" t="str">
            <v>806</v>
          </cell>
        </row>
        <row r="4761">
          <cell r="A4761" t="str">
            <v>USD</v>
          </cell>
          <cell r="B4761" t="str">
            <v>806000165</v>
          </cell>
          <cell r="C4761" t="str">
            <v>Franco Guidolin</v>
          </cell>
          <cell r="G4761">
            <v>40000</v>
          </cell>
          <cell r="H4761">
            <v>59823200</v>
          </cell>
          <cell r="I4761" t="str">
            <v>806</v>
          </cell>
        </row>
        <row r="4762">
          <cell r="A4762" t="str">
            <v>USD</v>
          </cell>
          <cell r="B4762" t="str">
            <v>806000166</v>
          </cell>
          <cell r="C4762" t="str">
            <v>OLMEDO, Alberto Rafael</v>
          </cell>
          <cell r="G4762">
            <v>531582.18000000005</v>
          </cell>
          <cell r="H4762">
            <v>795023676.76440001</v>
          </cell>
          <cell r="I4762" t="str">
            <v>806</v>
          </cell>
        </row>
        <row r="4763">
          <cell r="A4763" t="str">
            <v>USD</v>
          </cell>
          <cell r="B4763" t="str">
            <v>806000245</v>
          </cell>
          <cell r="C4763" t="str">
            <v>RIJKEBOER GWENDELINE</v>
          </cell>
          <cell r="G4763">
            <v>41799.86</v>
          </cell>
          <cell r="H4763">
            <v>62515034.618799999</v>
          </cell>
          <cell r="I4763" t="str">
            <v>806</v>
          </cell>
        </row>
        <row r="4764">
          <cell r="A4764" t="str">
            <v>USD</v>
          </cell>
          <cell r="B4764" t="str">
            <v>806000295</v>
          </cell>
          <cell r="C4764" t="str">
            <v>LIBONATTI, GUIDO EMILIANO</v>
          </cell>
          <cell r="G4764">
            <v>1399.48</v>
          </cell>
          <cell r="H4764">
            <v>2093034.2984</v>
          </cell>
          <cell r="I4764" t="str">
            <v>806</v>
          </cell>
        </row>
        <row r="4765">
          <cell r="A4765" t="str">
            <v>USD</v>
          </cell>
          <cell r="B4765" t="str">
            <v>806000301</v>
          </cell>
          <cell r="C4765" t="str">
            <v>DURIGAN ANA MARIA Y GARCIA VIRTUDES</v>
          </cell>
          <cell r="G4765">
            <v>12274.57</v>
          </cell>
          <cell r="H4765">
            <v>18357601.400599997</v>
          </cell>
          <cell r="I4765" t="str">
            <v>806</v>
          </cell>
        </row>
        <row r="4766">
          <cell r="A4766" t="str">
            <v>USD</v>
          </cell>
          <cell r="B4766" t="str">
            <v>806000323</v>
          </cell>
          <cell r="C4766" t="str">
            <v>Ramiro Olmedo</v>
          </cell>
          <cell r="G4766">
            <v>151057.79999999999</v>
          </cell>
          <cell r="H4766">
            <v>225919024.52399996</v>
          </cell>
          <cell r="I4766" t="str">
            <v>806</v>
          </cell>
        </row>
        <row r="4767">
          <cell r="A4767" t="str">
            <v>USD</v>
          </cell>
          <cell r="B4767" t="str">
            <v>806000325</v>
          </cell>
          <cell r="C4767" t="str">
            <v>CARLOS DENIS RAMOS</v>
          </cell>
          <cell r="G4767">
            <v>3014.58</v>
          </cell>
          <cell r="H4767">
            <v>4508545.5564000001</v>
          </cell>
          <cell r="I4767" t="str">
            <v>806</v>
          </cell>
        </row>
        <row r="4768">
          <cell r="A4768" t="str">
            <v>USD</v>
          </cell>
          <cell r="B4768" t="str">
            <v>806000365</v>
          </cell>
          <cell r="C4768" t="str">
            <v>FERNANDO BUSCIOLANO</v>
          </cell>
          <cell r="G4768">
            <v>99.64</v>
          </cell>
          <cell r="H4768">
            <v>149019.5912</v>
          </cell>
          <cell r="I4768" t="str">
            <v>806</v>
          </cell>
        </row>
        <row r="4769">
          <cell r="A4769" t="str">
            <v>USD</v>
          </cell>
          <cell r="B4769" t="str">
            <v>806000376</v>
          </cell>
          <cell r="C4769" t="str">
            <v>DARDO AGUILAR</v>
          </cell>
          <cell r="G4769">
            <v>4777.8900000000003</v>
          </cell>
          <cell r="H4769">
            <v>7145716.7262000004</v>
          </cell>
          <cell r="I4769" t="str">
            <v>806</v>
          </cell>
        </row>
        <row r="4770">
          <cell r="A4770" t="str">
            <v>USD</v>
          </cell>
          <cell r="B4770" t="str">
            <v>806000401</v>
          </cell>
          <cell r="C4770" t="str">
            <v>NICOLAS JAVIER NIGRO</v>
          </cell>
          <cell r="G4770">
            <v>2272.4</v>
          </cell>
          <cell r="H4770">
            <v>3398555.9920000001</v>
          </cell>
          <cell r="I4770" t="str">
            <v>806</v>
          </cell>
        </row>
        <row r="4771">
          <cell r="A4771" t="str">
            <v>USD</v>
          </cell>
          <cell r="B4771" t="str">
            <v>806000416</v>
          </cell>
          <cell r="C4771" t="str">
            <v>CARPES ALL S.A.</v>
          </cell>
          <cell r="G4771">
            <v>265582.08000000002</v>
          </cell>
          <cell r="H4771">
            <v>397199247.20639998</v>
          </cell>
          <cell r="I4771" t="str">
            <v>806</v>
          </cell>
        </row>
        <row r="4772">
          <cell r="A4772" t="str">
            <v>USD</v>
          </cell>
          <cell r="B4772" t="str">
            <v>806000912</v>
          </cell>
          <cell r="C4772" t="str">
            <v>MAURO PASCALI</v>
          </cell>
          <cell r="G4772">
            <v>176616.7</v>
          </cell>
          <cell r="H4772">
            <v>264144404.18600002</v>
          </cell>
          <cell r="I4772" t="str">
            <v>806</v>
          </cell>
        </row>
        <row r="4773">
          <cell r="A4773" t="str">
            <v>USD</v>
          </cell>
          <cell r="B4773" t="str">
            <v>811000005</v>
          </cell>
          <cell r="C4773" t="str">
            <v>[C.E.R.A .] Gustavo Adolfo Kohnen</v>
          </cell>
          <cell r="G4773">
            <v>103667.97</v>
          </cell>
          <cell r="H4773">
            <v>155043742.57260001</v>
          </cell>
          <cell r="I4773" t="str">
            <v>811</v>
          </cell>
        </row>
        <row r="4774">
          <cell r="A4774" t="str">
            <v>USD</v>
          </cell>
          <cell r="B4774" t="str">
            <v>811000016</v>
          </cell>
          <cell r="C4774" t="str">
            <v>Verlin Capital S.A</v>
          </cell>
          <cell r="G4774">
            <v>501.6</v>
          </cell>
          <cell r="H4774">
            <v>750182.92799999996</v>
          </cell>
          <cell r="I4774" t="str">
            <v>811</v>
          </cell>
        </row>
        <row r="4775">
          <cell r="A4775" t="str">
            <v>USD</v>
          </cell>
          <cell r="B4775" t="str">
            <v>812000015</v>
          </cell>
          <cell r="C4775" t="str">
            <v>Pelozo, Pablo Sebastian</v>
          </cell>
          <cell r="G4775">
            <v>60742.51</v>
          </cell>
          <cell r="H4775">
            <v>90845283.105800003</v>
          </cell>
          <cell r="I4775" t="str">
            <v>812</v>
          </cell>
        </row>
        <row r="4776">
          <cell r="A4776" t="str">
            <v>USD</v>
          </cell>
          <cell r="B4776" t="str">
            <v>812000024</v>
          </cell>
          <cell r="C4776" t="str">
            <v>Lanza, Cynthia</v>
          </cell>
          <cell r="G4776">
            <v>4807.3599999999997</v>
          </cell>
          <cell r="H4776">
            <v>7189791.468799999</v>
          </cell>
          <cell r="I4776" t="str">
            <v>812</v>
          </cell>
        </row>
        <row r="4777">
          <cell r="A4777" t="str">
            <v>USD</v>
          </cell>
          <cell r="B4777" t="str">
            <v>816000105</v>
          </cell>
          <cell r="C4777" t="str">
            <v>Ustariz, Cristian Alberto y Cardona, Maria Dolores y Ustariz, Segundo</v>
          </cell>
          <cell r="G4777">
            <v>1295274.1000000001</v>
          </cell>
          <cell r="H4777">
            <v>1937186038.4780002</v>
          </cell>
          <cell r="I4777" t="str">
            <v>816</v>
          </cell>
        </row>
        <row r="4778">
          <cell r="A4778" t="str">
            <v>USD</v>
          </cell>
          <cell r="B4778" t="str">
            <v>816000139</v>
          </cell>
          <cell r="C4778" t="str">
            <v>Boixart, Hugo Ramon y Montaña Corina V.</v>
          </cell>
          <cell r="G4778">
            <v>185594.35</v>
          </cell>
          <cell r="H4778">
            <v>277571197.97299999</v>
          </cell>
          <cell r="I4778" t="str">
            <v>816</v>
          </cell>
        </row>
        <row r="4779">
          <cell r="A4779" t="str">
            <v>USD</v>
          </cell>
          <cell r="B4779" t="str">
            <v>816000156</v>
          </cell>
          <cell r="C4779" t="str">
            <v>Moroni, Gustavo y Semino, Adriana</v>
          </cell>
          <cell r="G4779">
            <v>246367</v>
          </cell>
          <cell r="H4779">
            <v>368461557.85999995</v>
          </cell>
          <cell r="I4779" t="str">
            <v>816</v>
          </cell>
        </row>
        <row r="4780">
          <cell r="A4780" t="str">
            <v>USD</v>
          </cell>
          <cell r="B4780" t="str">
            <v>816000239</v>
          </cell>
          <cell r="C4780" t="str">
            <v>Kakoom SA</v>
          </cell>
          <cell r="G4780">
            <v>402775.37</v>
          </cell>
          <cell r="H4780">
            <v>602382787.86459994</v>
          </cell>
          <cell r="I4780" t="str">
            <v>816</v>
          </cell>
        </row>
        <row r="4781">
          <cell r="A4781" t="str">
            <v>USD</v>
          </cell>
          <cell r="B4781" t="str">
            <v>816000253</v>
          </cell>
          <cell r="C4781" t="str">
            <v>Sicro SA</v>
          </cell>
          <cell r="G4781">
            <v>31587.64</v>
          </cell>
          <cell r="H4781">
            <v>47241842.631199993</v>
          </cell>
          <cell r="I4781" t="str">
            <v>816</v>
          </cell>
        </row>
        <row r="4782">
          <cell r="A4782" t="str">
            <v>USD</v>
          </cell>
          <cell r="B4782" t="str">
            <v>816000294</v>
          </cell>
          <cell r="C4782" t="str">
            <v>Marchese, Lorenzo Luis</v>
          </cell>
          <cell r="G4782">
            <v>29369.360000000001</v>
          </cell>
          <cell r="H4782">
            <v>43924227.428800002</v>
          </cell>
          <cell r="I4782" t="str">
            <v>816</v>
          </cell>
        </row>
        <row r="4783">
          <cell r="A4783" t="str">
            <v>USD</v>
          </cell>
          <cell r="B4783" t="str">
            <v>816000395</v>
          </cell>
          <cell r="C4783" t="str">
            <v>Panelo, Rodolfo Mario y Nelson, Alejandra</v>
          </cell>
          <cell r="G4783">
            <v>3843.85</v>
          </cell>
          <cell r="H4783">
            <v>5748785.1829999993</v>
          </cell>
          <cell r="I4783" t="str">
            <v>816</v>
          </cell>
        </row>
        <row r="4784">
          <cell r="A4784" t="str">
            <v>USD</v>
          </cell>
          <cell r="B4784" t="str">
            <v>816000412</v>
          </cell>
          <cell r="C4784" t="str">
            <v>Dosisto, Fabian Eduardo y Medina, Graciela Beatriz</v>
          </cell>
          <cell r="G4784">
            <v>41980</v>
          </cell>
          <cell r="H4784">
            <v>62784448.399999999</v>
          </cell>
          <cell r="I4784" t="str">
            <v>816</v>
          </cell>
        </row>
        <row r="4785">
          <cell r="A4785" t="str">
            <v>USD</v>
          </cell>
          <cell r="B4785" t="str">
            <v>816000422</v>
          </cell>
          <cell r="C4785" t="str">
            <v>Logistica Rojas S.A.</v>
          </cell>
          <cell r="G4785">
            <v>403298.97</v>
          </cell>
          <cell r="H4785">
            <v>603165873.55259991</v>
          </cell>
          <cell r="I4785" t="str">
            <v>816</v>
          </cell>
        </row>
        <row r="4786">
          <cell r="A4786" t="str">
            <v>USD</v>
          </cell>
          <cell r="B4786" t="str">
            <v>816000430</v>
          </cell>
          <cell r="C4786" t="str">
            <v>Abalo, Eduardo Diego y Igarzabal, Maria Laura</v>
          </cell>
          <cell r="G4786">
            <v>49501.14</v>
          </cell>
          <cell r="H4786">
            <v>74032914.961199999</v>
          </cell>
          <cell r="I4786" t="str">
            <v>816</v>
          </cell>
        </row>
        <row r="4787">
          <cell r="A4787" t="str">
            <v>USD</v>
          </cell>
          <cell r="B4787" t="str">
            <v>816000435</v>
          </cell>
          <cell r="C4787" t="str">
            <v>Quesada Dionisio, Grandi Mariana</v>
          </cell>
          <cell r="G4787">
            <v>6234.7</v>
          </cell>
          <cell r="H4787">
            <v>9324492.6260000002</v>
          </cell>
          <cell r="I4787" t="str">
            <v>816</v>
          </cell>
        </row>
        <row r="4788">
          <cell r="A4788" t="str">
            <v>USD</v>
          </cell>
          <cell r="B4788" t="str">
            <v>816000521</v>
          </cell>
          <cell r="C4788" t="str">
            <v>Salgueiro, Juan Manuel y Salgueiro, Jose Luis</v>
          </cell>
          <cell r="G4788">
            <v>43101</v>
          </cell>
          <cell r="H4788">
            <v>64460993.579999998</v>
          </cell>
          <cell r="I4788" t="str">
            <v>816</v>
          </cell>
        </row>
        <row r="4789">
          <cell r="A4789" t="str">
            <v>USD</v>
          </cell>
          <cell r="B4789" t="str">
            <v>816000522</v>
          </cell>
          <cell r="C4789" t="str">
            <v>Coll, Esteban y Coll Fernando</v>
          </cell>
          <cell r="G4789">
            <v>25453.31</v>
          </cell>
          <cell r="H4789">
            <v>38067461.369800001</v>
          </cell>
          <cell r="I4789" t="str">
            <v>816</v>
          </cell>
        </row>
        <row r="4790">
          <cell r="A4790" t="str">
            <v>USD</v>
          </cell>
          <cell r="B4790" t="str">
            <v>816000538</v>
          </cell>
          <cell r="C4790" t="str">
            <v>Arias, Juan Manuel y Montenegro , Silvia Carol</v>
          </cell>
          <cell r="G4790">
            <v>694100</v>
          </cell>
          <cell r="H4790">
            <v>1038082078</v>
          </cell>
          <cell r="I4790" t="str">
            <v>816</v>
          </cell>
        </row>
        <row r="4791">
          <cell r="A4791" t="str">
            <v>USD</v>
          </cell>
          <cell r="B4791" t="str">
            <v>816000612</v>
          </cell>
          <cell r="C4791" t="str">
            <v>Lalor S.A.C.M. y F.</v>
          </cell>
          <cell r="G4791">
            <v>4487.45</v>
          </cell>
          <cell r="H4791">
            <v>6711340.470999999</v>
          </cell>
          <cell r="I4791" t="str">
            <v>816</v>
          </cell>
        </row>
        <row r="4792">
          <cell r="A4792" t="str">
            <v>USD</v>
          </cell>
          <cell r="B4792" t="str">
            <v>816000650</v>
          </cell>
          <cell r="C4792" t="str">
            <v>Fundación Universidad de Belgrano Doctor Avelino Porto</v>
          </cell>
          <cell r="G4792">
            <v>64776.79</v>
          </cell>
          <cell r="H4792">
            <v>96878871.588200003</v>
          </cell>
          <cell r="I4792" t="str">
            <v>816</v>
          </cell>
        </row>
        <row r="4793">
          <cell r="A4793" t="str">
            <v>USD</v>
          </cell>
          <cell r="B4793" t="str">
            <v>816000687</v>
          </cell>
          <cell r="C4793" t="str">
            <v>Cardenas Maria Pia - Riesenkamp Guillermo Constantino</v>
          </cell>
          <cell r="G4793">
            <v>4127.62</v>
          </cell>
          <cell r="H4793">
            <v>6173185.9195999997</v>
          </cell>
          <cell r="I4793" t="str">
            <v>816</v>
          </cell>
        </row>
        <row r="4794">
          <cell r="A4794" t="str">
            <v>USD</v>
          </cell>
          <cell r="B4794" t="str">
            <v>816000858</v>
          </cell>
          <cell r="C4794" t="str">
            <v>Gonzalez Garcia Fernandez, Eduardo Efrain</v>
          </cell>
          <cell r="G4794">
            <v>1987.14</v>
          </cell>
          <cell r="H4794">
            <v>2971926.8412000001</v>
          </cell>
          <cell r="I4794" t="str">
            <v>816</v>
          </cell>
        </row>
        <row r="4795">
          <cell r="A4795" t="str">
            <v>USD</v>
          </cell>
          <cell r="B4795" t="str">
            <v>816000979</v>
          </cell>
          <cell r="C4795" t="str">
            <v>Daverio Ana Maria y Sarrabayrouse Bargallo Jose Maria</v>
          </cell>
          <cell r="G4795">
            <v>4659.1000000000004</v>
          </cell>
          <cell r="H4795">
            <v>6968056.7779999999</v>
          </cell>
          <cell r="I4795" t="str">
            <v>816</v>
          </cell>
        </row>
        <row r="4796">
          <cell r="A4796" t="str">
            <v>USD</v>
          </cell>
          <cell r="B4796" t="str">
            <v>816001216</v>
          </cell>
          <cell r="C4796" t="str">
            <v>Arias, Carolina</v>
          </cell>
          <cell r="G4796">
            <v>156600</v>
          </cell>
          <cell r="H4796">
            <v>234207828</v>
          </cell>
          <cell r="I4796" t="str">
            <v>816</v>
          </cell>
        </row>
        <row r="4797">
          <cell r="A4797" t="str">
            <v>USD</v>
          </cell>
          <cell r="B4797" t="str">
            <v>816001287</v>
          </cell>
          <cell r="C4797" t="str">
            <v>Markovic  Esteban</v>
          </cell>
          <cell r="G4797">
            <v>548.69000000000005</v>
          </cell>
          <cell r="H4797">
            <v>820609.79020000005</v>
          </cell>
          <cell r="I4797" t="str">
            <v>816</v>
          </cell>
        </row>
        <row r="4798">
          <cell r="A4798" t="str">
            <v>USD</v>
          </cell>
          <cell r="B4798" t="str">
            <v>816001489</v>
          </cell>
          <cell r="C4798" t="str">
            <v>Borla, Juan Augusto</v>
          </cell>
          <cell r="G4798">
            <v>347982.83</v>
          </cell>
          <cell r="H4798">
            <v>520436160.89139998</v>
          </cell>
          <cell r="I4798" t="str">
            <v>816</v>
          </cell>
        </row>
        <row r="4799">
          <cell r="A4799" t="str">
            <v>USD</v>
          </cell>
          <cell r="B4799" t="str">
            <v>816001500</v>
          </cell>
          <cell r="C4799" t="str">
            <v>Nougues, Ambrosio y Virasoro, Mercedes</v>
          </cell>
          <cell r="G4799">
            <v>10069.719999999999</v>
          </cell>
          <cell r="H4799">
            <v>15060071.837599998</v>
          </cell>
          <cell r="I4799" t="str">
            <v>816</v>
          </cell>
        </row>
        <row r="4800">
          <cell r="A4800" t="str">
            <v>USD</v>
          </cell>
          <cell r="B4800" t="str">
            <v>816001589</v>
          </cell>
          <cell r="C4800" t="str">
            <v>Ferragamo Argentina SA</v>
          </cell>
          <cell r="G4800">
            <v>455.63</v>
          </cell>
          <cell r="H4800">
            <v>681431.11540000001</v>
          </cell>
          <cell r="I4800" t="str">
            <v>816</v>
          </cell>
        </row>
        <row r="4801">
          <cell r="A4801" t="str">
            <v>USD</v>
          </cell>
          <cell r="B4801" t="str">
            <v>816001709</v>
          </cell>
          <cell r="C4801" t="str">
            <v>Sterin Pensel, Lucas; Sterin Pensel, María Julia</v>
          </cell>
          <cell r="G4801">
            <v>99106.9</v>
          </cell>
          <cell r="H4801">
            <v>148222297.50199997</v>
          </cell>
          <cell r="I4801" t="str">
            <v>816</v>
          </cell>
        </row>
        <row r="4802">
          <cell r="A4802" t="str">
            <v>USD</v>
          </cell>
          <cell r="B4802" t="str">
            <v>816001747</v>
          </cell>
          <cell r="C4802" t="str">
            <v>Kancyper, Marcelo Andres</v>
          </cell>
          <cell r="G4802">
            <v>318571.96999999997</v>
          </cell>
          <cell r="H4802">
            <v>476449866.89259994</v>
          </cell>
          <cell r="I4802" t="str">
            <v>816</v>
          </cell>
        </row>
        <row r="4803">
          <cell r="A4803" t="str">
            <v>USD</v>
          </cell>
          <cell r="B4803" t="str">
            <v>816001755</v>
          </cell>
          <cell r="C4803" t="str">
            <v>[C.E.R.A.] - Bof, Ricardo Dario</v>
          </cell>
          <cell r="G4803">
            <v>5.66</v>
          </cell>
          <cell r="H4803">
            <v>8464.9827999999998</v>
          </cell>
          <cell r="I4803" t="str">
            <v>816</v>
          </cell>
        </row>
        <row r="4804">
          <cell r="A4804" t="str">
            <v>USD</v>
          </cell>
          <cell r="B4804" t="str">
            <v>816001792</v>
          </cell>
          <cell r="C4804" t="str">
            <v>Robles, Mateo</v>
          </cell>
          <cell r="G4804">
            <v>24772.02</v>
          </cell>
          <cell r="H4804">
            <v>37048537.671599999</v>
          </cell>
          <cell r="I4804" t="str">
            <v>816</v>
          </cell>
        </row>
        <row r="4805">
          <cell r="A4805" t="str">
            <v>USD</v>
          </cell>
          <cell r="B4805" t="str">
            <v>816001801</v>
          </cell>
          <cell r="C4805" t="str">
            <v>ROBFIN SA</v>
          </cell>
          <cell r="G4805">
            <v>9545.41</v>
          </cell>
          <cell r="H4805">
            <v>14275924.287799999</v>
          </cell>
          <cell r="I4805" t="str">
            <v>816</v>
          </cell>
        </row>
        <row r="4806">
          <cell r="A4806" t="str">
            <v>USD</v>
          </cell>
          <cell r="B4806" t="str">
            <v>816001806</v>
          </cell>
          <cell r="C4806" t="str">
            <v>Iglesias, Joaquin; Puiggari, Milagros María</v>
          </cell>
          <cell r="G4806">
            <v>896.44</v>
          </cell>
          <cell r="H4806">
            <v>1340697.7352</v>
          </cell>
          <cell r="I4806" t="str">
            <v>816</v>
          </cell>
        </row>
        <row r="4807">
          <cell r="A4807" t="str">
            <v>USD</v>
          </cell>
          <cell r="B4807" t="str">
            <v>816001807</v>
          </cell>
          <cell r="C4807" t="str">
            <v>Blaquier, Isabel</v>
          </cell>
          <cell r="G4807">
            <v>138747.51999999999</v>
          </cell>
          <cell r="H4807">
            <v>207508015.96159998</v>
          </cell>
          <cell r="I4807" t="str">
            <v>816</v>
          </cell>
        </row>
        <row r="4808">
          <cell r="A4808" t="str">
            <v>USD</v>
          </cell>
          <cell r="B4808" t="str">
            <v>816001809</v>
          </cell>
          <cell r="C4808" t="str">
            <v>Blaquier, Magdalena</v>
          </cell>
          <cell r="G4808">
            <v>139746.17000000001</v>
          </cell>
          <cell r="H4808">
            <v>209001576.92860001</v>
          </cell>
          <cell r="I4808" t="str">
            <v>816</v>
          </cell>
        </row>
        <row r="4809">
          <cell r="A4809" t="str">
            <v>USD</v>
          </cell>
          <cell r="B4809" t="str">
            <v>816001810</v>
          </cell>
          <cell r="C4809" t="str">
            <v>[C.E.R.A.] - Robles, Mariano</v>
          </cell>
          <cell r="G4809">
            <v>1119.5999999999999</v>
          </cell>
          <cell r="H4809">
            <v>1674451.3679999998</v>
          </cell>
          <cell r="I4809" t="str">
            <v>816</v>
          </cell>
        </row>
        <row r="4810">
          <cell r="A4810" t="str">
            <v>USD</v>
          </cell>
          <cell r="B4810" t="str">
            <v>816003096</v>
          </cell>
          <cell r="C4810" t="str">
            <v>Silva, Horacio Marcelo</v>
          </cell>
          <cell r="G4810">
            <v>24.58</v>
          </cell>
          <cell r="H4810">
            <v>36761.356399999997</v>
          </cell>
          <cell r="I4810" t="str">
            <v>816</v>
          </cell>
        </row>
        <row r="4811">
          <cell r="A4811" t="str">
            <v>USD</v>
          </cell>
          <cell r="B4811" t="str">
            <v>816102185</v>
          </cell>
          <cell r="C4811" t="str">
            <v>CZ WEALTH MANAGEMENT SA</v>
          </cell>
          <cell r="G4811">
            <v>1786027.67</v>
          </cell>
          <cell r="H4811">
            <v>2671147262.6985998</v>
          </cell>
          <cell r="I4811" t="str">
            <v>816</v>
          </cell>
        </row>
        <row r="4812">
          <cell r="A4812" t="str">
            <v>USD</v>
          </cell>
          <cell r="B4812" t="str">
            <v>817000882</v>
          </cell>
          <cell r="C4812" t="str">
            <v>White Cloud S.R.L.</v>
          </cell>
          <cell r="G4812">
            <v>570009.56999999995</v>
          </cell>
          <cell r="H4812">
            <v>852494912.70059991</v>
          </cell>
          <cell r="I4812" t="str">
            <v>817</v>
          </cell>
        </row>
        <row r="4813">
          <cell r="A4813" t="str">
            <v>USD</v>
          </cell>
          <cell r="B4813" t="str">
            <v>817001499</v>
          </cell>
          <cell r="C4813" t="str">
            <v xml:space="preserve">Benites, Agustín María </v>
          </cell>
          <cell r="G4813">
            <v>449918.15</v>
          </cell>
          <cell r="H4813">
            <v>672888586.77699995</v>
          </cell>
          <cell r="I4813" t="str">
            <v>817</v>
          </cell>
        </row>
        <row r="4814">
          <cell r="A4814" t="str">
            <v>USD</v>
          </cell>
          <cell r="B4814" t="str">
            <v>817001598</v>
          </cell>
          <cell r="C4814" t="str">
            <v>First Data Cono Sur S.R.L</v>
          </cell>
          <cell r="G4814">
            <v>8100000</v>
          </cell>
          <cell r="H4814">
            <v>12114198000</v>
          </cell>
          <cell r="I4814" t="str">
            <v>817</v>
          </cell>
        </row>
        <row r="4815">
          <cell r="A4815" t="str">
            <v>USD</v>
          </cell>
          <cell r="B4815" t="str">
            <v>817001791</v>
          </cell>
          <cell r="C4815" t="str">
            <v>BCSA SD ADCAP IOL Dolar Ahorro Plus (CNV 1516)</v>
          </cell>
          <cell r="G4815">
            <v>1466600</v>
          </cell>
          <cell r="H4815">
            <v>2193417628</v>
          </cell>
          <cell r="I4815" t="str">
            <v>817</v>
          </cell>
        </row>
        <row r="4816">
          <cell r="A4816" t="str">
            <v>USD</v>
          </cell>
          <cell r="B4816" t="str">
            <v>817001792</v>
          </cell>
          <cell r="C4816" t="str">
            <v>BCSA SD ADCAP RENTA DOLAR (CNV 944)</v>
          </cell>
          <cell r="G4816">
            <v>7024485.4400000004</v>
          </cell>
          <cell r="H4816">
            <v>10505679934.3552</v>
          </cell>
          <cell r="I4816" t="str">
            <v>817</v>
          </cell>
        </row>
        <row r="4817">
          <cell r="A4817" t="str">
            <v>USD</v>
          </cell>
          <cell r="B4817" t="str">
            <v>817003260</v>
          </cell>
          <cell r="C4817" t="str">
            <v>BVSA Allaria Renta Mixta Dolares (CNV 855)</v>
          </cell>
          <cell r="G4817">
            <v>310810</v>
          </cell>
          <cell r="H4817">
            <v>464841219.79999995</v>
          </cell>
          <cell r="I4817" t="str">
            <v>817</v>
          </cell>
        </row>
        <row r="4818">
          <cell r="A4818" t="str">
            <v>USD</v>
          </cell>
          <cell r="B4818" t="str">
            <v>817100015</v>
          </cell>
          <cell r="C4818" t="str">
            <v>VALO Securities SAU con intermediacion de ICG</v>
          </cell>
          <cell r="G4818">
            <v>112440663.63</v>
          </cell>
          <cell r="H4818">
            <v>168164007711.75537</v>
          </cell>
          <cell r="I4818" t="str">
            <v>817</v>
          </cell>
        </row>
        <row r="4819">
          <cell r="A4819" t="str">
            <v>USD</v>
          </cell>
          <cell r="B4819" t="str">
            <v>821000004</v>
          </cell>
          <cell r="C4819" t="str">
            <v>Porthé, Rosario</v>
          </cell>
          <cell r="G4819">
            <v>1983.93</v>
          </cell>
          <cell r="H4819">
            <v>2967126.0293999999</v>
          </cell>
          <cell r="I4819" t="str">
            <v>821</v>
          </cell>
        </row>
        <row r="4820">
          <cell r="A4820" t="str">
            <v>USD</v>
          </cell>
          <cell r="B4820" t="str">
            <v>821000007</v>
          </cell>
          <cell r="C4820" t="str">
            <v>Lanin Capital S.A</v>
          </cell>
          <cell r="G4820">
            <v>4961.88</v>
          </cell>
          <cell r="H4820">
            <v>7420888.4903999995</v>
          </cell>
          <cell r="I4820" t="str">
            <v>821</v>
          </cell>
        </row>
        <row r="4821">
          <cell r="A4821" t="str">
            <v>USD</v>
          </cell>
          <cell r="B4821" t="str">
            <v>821000008</v>
          </cell>
          <cell r="C4821" t="str">
            <v>Porthe, Juan Cruz</v>
          </cell>
          <cell r="G4821">
            <v>2517.85</v>
          </cell>
          <cell r="H4821">
            <v>3765646.1029999997</v>
          </cell>
          <cell r="I4821" t="str">
            <v>821</v>
          </cell>
        </row>
        <row r="4822">
          <cell r="A4822" t="str">
            <v>USD</v>
          </cell>
          <cell r="B4822" t="str">
            <v>821000010</v>
          </cell>
          <cell r="C4822" t="str">
            <v>Abal, Martina</v>
          </cell>
          <cell r="G4822">
            <v>4316.76</v>
          </cell>
          <cell r="H4822">
            <v>6456059.9208000004</v>
          </cell>
          <cell r="I4822" t="str">
            <v>821</v>
          </cell>
        </row>
        <row r="4823">
          <cell r="A4823" t="str">
            <v>USD</v>
          </cell>
          <cell r="B4823" t="str">
            <v>821000011</v>
          </cell>
          <cell r="C4823" t="str">
            <v>De La Rua, Delfina</v>
          </cell>
          <cell r="G4823">
            <v>1409.38</v>
          </cell>
          <cell r="H4823">
            <v>2107840.5404000003</v>
          </cell>
          <cell r="I4823" t="str">
            <v>821</v>
          </cell>
        </row>
        <row r="4824">
          <cell r="A4824" t="str">
            <v>USD</v>
          </cell>
          <cell r="B4824" t="str">
            <v>821000012</v>
          </cell>
          <cell r="C4824" t="str">
            <v>Iglesias, Sofia Maria</v>
          </cell>
          <cell r="G4824">
            <v>21644.29</v>
          </cell>
          <cell r="H4824">
            <v>32370767.238200001</v>
          </cell>
          <cell r="I4824" t="str">
            <v>821</v>
          </cell>
        </row>
        <row r="4825">
          <cell r="A4825" t="str">
            <v>USD</v>
          </cell>
          <cell r="B4825" t="str">
            <v>821000013</v>
          </cell>
          <cell r="C4825" t="str">
            <v>Calvo, Salvador</v>
          </cell>
          <cell r="G4825">
            <v>139.30000000000001</v>
          </cell>
          <cell r="H4825">
            <v>208334.29399999999</v>
          </cell>
          <cell r="I4825" t="str">
            <v>821</v>
          </cell>
        </row>
        <row r="4826">
          <cell r="A4826" t="str">
            <v>USD</v>
          </cell>
          <cell r="B4826" t="str">
            <v>821000014</v>
          </cell>
          <cell r="C4826" t="str">
            <v>Ragnoli, Pia Silvana</v>
          </cell>
          <cell r="G4826">
            <v>1798.43</v>
          </cell>
          <cell r="H4826">
            <v>2689695.9394</v>
          </cell>
          <cell r="I4826" t="str">
            <v>821</v>
          </cell>
        </row>
        <row r="4827">
          <cell r="A4827" t="str">
            <v>USD</v>
          </cell>
          <cell r="B4827" t="str">
            <v>821000016</v>
          </cell>
          <cell r="C4827" t="str">
            <v>Roura, Pamela Lucia</v>
          </cell>
          <cell r="G4827">
            <v>10565.35</v>
          </cell>
          <cell r="H4827">
            <v>15801326.152999999</v>
          </cell>
          <cell r="I4827" t="str">
            <v>821</v>
          </cell>
        </row>
        <row r="4828">
          <cell r="A4828" t="str">
            <v>USD</v>
          </cell>
          <cell r="B4828" t="str">
            <v>821000018</v>
          </cell>
          <cell r="C4828" t="str">
            <v>Ramos, Marcela Edith o Porthe, Gaston Enrique</v>
          </cell>
          <cell r="G4828">
            <v>5740.01</v>
          </cell>
          <cell r="H4828">
            <v>8584644.1557999998</v>
          </cell>
          <cell r="I4828" t="str">
            <v>821</v>
          </cell>
        </row>
        <row r="4829">
          <cell r="A4829" t="str">
            <v>USD</v>
          </cell>
          <cell r="B4829" t="str">
            <v>821000020</v>
          </cell>
          <cell r="C4829" t="str">
            <v>Frias Rocca, Maria Soledad</v>
          </cell>
          <cell r="G4829">
            <v>25425.7</v>
          </cell>
          <cell r="H4829">
            <v>38026168.405999996</v>
          </cell>
          <cell r="I4829" t="str">
            <v>821</v>
          </cell>
        </row>
        <row r="4830">
          <cell r="A4830" t="str">
            <v>USD</v>
          </cell>
          <cell r="B4830" t="str">
            <v>821000022</v>
          </cell>
          <cell r="C4830" t="str">
            <v>Incardona, Claudio Alejandro</v>
          </cell>
          <cell r="G4830">
            <v>195087.64</v>
          </cell>
          <cell r="H4830">
            <v>291769172.63120002</v>
          </cell>
          <cell r="I4830" t="str">
            <v>821</v>
          </cell>
        </row>
        <row r="4831">
          <cell r="A4831" t="str">
            <v>USD</v>
          </cell>
          <cell r="B4831" t="str">
            <v>821000023</v>
          </cell>
          <cell r="C4831" t="str">
            <v>Bruscantini, Federico Ariel</v>
          </cell>
          <cell r="G4831">
            <v>2570.08</v>
          </cell>
          <cell r="H4831">
            <v>3843760.2463999996</v>
          </cell>
          <cell r="I4831" t="str">
            <v>821</v>
          </cell>
        </row>
        <row r="4832">
          <cell r="A4832" t="str">
            <v>USD</v>
          </cell>
          <cell r="B4832" t="str">
            <v>821000025</v>
          </cell>
          <cell r="C4832" t="str">
            <v>Martin, Tomas</v>
          </cell>
          <cell r="G4832">
            <v>4071.35</v>
          </cell>
          <cell r="H4832">
            <v>6089029.6329999994</v>
          </cell>
          <cell r="I4832" t="str">
            <v>821</v>
          </cell>
        </row>
        <row r="4833">
          <cell r="A4833" t="str">
            <v>USD</v>
          </cell>
          <cell r="B4833" t="str">
            <v>821000026</v>
          </cell>
          <cell r="C4833" t="str">
            <v>Barillari, Gabriela Ana</v>
          </cell>
          <cell r="G4833">
            <v>1594.08</v>
          </cell>
          <cell r="H4833">
            <v>2384074.1664</v>
          </cell>
          <cell r="I4833" t="str">
            <v>821</v>
          </cell>
        </row>
        <row r="4834">
          <cell r="A4834" t="str">
            <v>USD</v>
          </cell>
          <cell r="B4834" t="str">
            <v>821000028</v>
          </cell>
          <cell r="C4834" t="str">
            <v>Martinez Etayo, Marcelo Augusto o Ruffa, Maria Gabriela</v>
          </cell>
          <cell r="G4834">
            <v>2487.41</v>
          </cell>
          <cell r="H4834">
            <v>3720120.6477999995</v>
          </cell>
          <cell r="I4834" t="str">
            <v>821</v>
          </cell>
        </row>
        <row r="4835">
          <cell r="A4835" t="str">
            <v>USD</v>
          </cell>
          <cell r="B4835" t="str">
            <v>821000029</v>
          </cell>
          <cell r="C4835" t="str">
            <v>Iacono, Paula Maria o Abal, Lucio</v>
          </cell>
          <cell r="G4835">
            <v>359.47</v>
          </cell>
          <cell r="H4835">
            <v>537616.14260000002</v>
          </cell>
          <cell r="I4835" t="str">
            <v>821</v>
          </cell>
        </row>
        <row r="4836">
          <cell r="A4836" t="str">
            <v>USD</v>
          </cell>
          <cell r="B4836" t="str">
            <v>821000034</v>
          </cell>
          <cell r="C4836" t="str">
            <v xml:space="preserve">Elias, Ignacio Martin </v>
          </cell>
          <cell r="G4836">
            <v>1967.85</v>
          </cell>
          <cell r="H4836">
            <v>2943077.1029999997</v>
          </cell>
          <cell r="I4836" t="str">
            <v>821</v>
          </cell>
        </row>
        <row r="4837">
          <cell r="A4837" t="str">
            <v>USD</v>
          </cell>
          <cell r="B4837" t="str">
            <v>834000007</v>
          </cell>
          <cell r="C4837" t="str">
            <v>INVERFIN S.A.</v>
          </cell>
          <cell r="G4837">
            <v>210507.08</v>
          </cell>
          <cell r="H4837">
            <v>314830178.70639998</v>
          </cell>
          <cell r="I4837" t="str">
            <v>834</v>
          </cell>
        </row>
        <row r="4838">
          <cell r="A4838" t="str">
            <v>USD</v>
          </cell>
          <cell r="B4838" t="str">
            <v>834005304</v>
          </cell>
          <cell r="C4838" t="str">
            <v>CORTEZ, ALEJANDRO JOSE o BALDASSO, ELSA OFELIA</v>
          </cell>
          <cell r="G4838">
            <v>227502.27</v>
          </cell>
          <cell r="H4838">
            <v>340247844.96659994</v>
          </cell>
          <cell r="I4838" t="str">
            <v>834</v>
          </cell>
        </row>
        <row r="4839">
          <cell r="A4839" t="str">
            <v>USD</v>
          </cell>
          <cell r="B4839" t="str">
            <v>834005585</v>
          </cell>
          <cell r="C4839" t="str">
            <v>CUELLO, ALBERTO GERMAN o CUELLO, MARIA LAURA o CUELLO, CARLOS GABRIEL</v>
          </cell>
          <cell r="G4839">
            <v>1475.51</v>
          </cell>
          <cell r="H4839">
            <v>2206743.2457999997</v>
          </cell>
          <cell r="I4839" t="str">
            <v>834</v>
          </cell>
        </row>
        <row r="4840">
          <cell r="A4840" t="str">
            <v>USD</v>
          </cell>
          <cell r="B4840" t="str">
            <v>834008887</v>
          </cell>
          <cell r="C4840" t="str">
            <v>CASE GRACIELA MARIA RAQUEL</v>
          </cell>
          <cell r="G4840">
            <v>2163.81</v>
          </cell>
          <cell r="H4840">
            <v>3236150.9597999998</v>
          </cell>
          <cell r="I4840" t="str">
            <v>834</v>
          </cell>
        </row>
        <row r="4841">
          <cell r="A4841" t="str">
            <v>USD</v>
          </cell>
          <cell r="B4841" t="str">
            <v>834009878</v>
          </cell>
          <cell r="C4841" t="str">
            <v>RIZZO, PABLO o VENTIN PONTE, ELBIA MARIANA o VALLE, VIRGINIA ESTELA</v>
          </cell>
          <cell r="G4841">
            <v>9985.81</v>
          </cell>
          <cell r="H4841">
            <v>14934577.719799999</v>
          </cell>
          <cell r="I4841" t="str">
            <v>834</v>
          </cell>
        </row>
        <row r="4842">
          <cell r="A4842" t="str">
            <v>USD</v>
          </cell>
          <cell r="B4842" t="str">
            <v>834010369</v>
          </cell>
          <cell r="C4842" t="str">
            <v>LUIS M. PAGLIARA S.A.</v>
          </cell>
          <cell r="G4842">
            <v>1444.77</v>
          </cell>
          <cell r="H4842">
            <v>2160769.1165999998</v>
          </cell>
          <cell r="I4842" t="str">
            <v>834</v>
          </cell>
        </row>
        <row r="4843">
          <cell r="A4843" t="str">
            <v>USD</v>
          </cell>
          <cell r="B4843" t="str">
            <v>834010392</v>
          </cell>
          <cell r="C4843" t="str">
            <v>BARTUCCIOTTO, JUAN PABLO VICTOR</v>
          </cell>
          <cell r="G4843">
            <v>2526.2600000000002</v>
          </cell>
          <cell r="H4843">
            <v>3778223.9308000002</v>
          </cell>
          <cell r="I4843" t="str">
            <v>834</v>
          </cell>
        </row>
        <row r="4844">
          <cell r="A4844" t="str">
            <v>USD</v>
          </cell>
          <cell r="B4844" t="str">
            <v>834010595</v>
          </cell>
          <cell r="C4844" t="str">
            <v>CEDRO, EDUARDO SANTOS  o CAVALLINI, MALCOM ILIA FIVALLER o CEDRO GUEVARA, MARÍA GABRIELA</v>
          </cell>
          <cell r="G4844">
            <v>7443.64</v>
          </cell>
          <cell r="H4844">
            <v>11132559.111199999</v>
          </cell>
          <cell r="I4844" t="str">
            <v>834</v>
          </cell>
        </row>
        <row r="4845">
          <cell r="A4845" t="str">
            <v>USD</v>
          </cell>
          <cell r="B4845" t="str">
            <v>834010665</v>
          </cell>
          <cell r="C4845" t="str">
            <v>CUNIETTI, CRISTINA BEATRIZ o MENDOZA, SANTIAGO NICOLAS</v>
          </cell>
          <cell r="G4845">
            <v>12.44</v>
          </cell>
          <cell r="H4845">
            <v>18605.015199999998</v>
          </cell>
          <cell r="I4845" t="str">
            <v>834</v>
          </cell>
        </row>
        <row r="4846">
          <cell r="A4846" t="str">
            <v>USD</v>
          </cell>
          <cell r="B4846" t="str">
            <v>834010752</v>
          </cell>
          <cell r="C4846" t="str">
            <v>CICCHITTI, JOSE ANTONIO</v>
          </cell>
          <cell r="G4846">
            <v>11966.26</v>
          </cell>
          <cell r="H4846">
            <v>17896499.130799998</v>
          </cell>
          <cell r="I4846" t="str">
            <v>834</v>
          </cell>
        </row>
        <row r="4847">
          <cell r="A4847" t="str">
            <v>USD</v>
          </cell>
          <cell r="B4847" t="str">
            <v>834010828</v>
          </cell>
          <cell r="C4847" t="str">
            <v>DI SANZO, GIOVANNI CARLO o DI SANZO, GIOVANNI PABLO o DI SANZO, FRANCO GABRIEL</v>
          </cell>
          <cell r="G4847">
            <v>26594.720000000001</v>
          </cell>
          <cell r="H4847">
            <v>39774531.3376</v>
          </cell>
          <cell r="I4847" t="str">
            <v>834</v>
          </cell>
        </row>
        <row r="4848">
          <cell r="A4848" t="str">
            <v>USD</v>
          </cell>
          <cell r="B4848" t="str">
            <v>834010836</v>
          </cell>
          <cell r="C4848" t="str">
            <v>DISSAN S.R.L.</v>
          </cell>
          <cell r="G4848">
            <v>86734.11</v>
          </cell>
          <cell r="H4848">
            <v>129717800.23379999</v>
          </cell>
          <cell r="I4848" t="str">
            <v>834</v>
          </cell>
        </row>
        <row r="4849">
          <cell r="A4849" t="str">
            <v>USD</v>
          </cell>
          <cell r="B4849" t="str">
            <v>834010903</v>
          </cell>
          <cell r="C4849" t="str">
            <v>BARRANCOS HERMANOS AUTOMOTORES S.R.L</v>
          </cell>
          <cell r="G4849">
            <v>174213.92</v>
          </cell>
          <cell r="H4849">
            <v>260550854.4736</v>
          </cell>
          <cell r="I4849" t="str">
            <v>834</v>
          </cell>
        </row>
        <row r="4850">
          <cell r="A4850" t="str">
            <v>USD</v>
          </cell>
          <cell r="B4850" t="str">
            <v>834010911</v>
          </cell>
          <cell r="C4850" t="str">
            <v>MOLINA GUERRA, MATIAS MAURICIO</v>
          </cell>
          <cell r="G4850">
            <v>2270.2399999999998</v>
          </cell>
          <cell r="H4850">
            <v>3395325.5391999995</v>
          </cell>
          <cell r="I4850" t="str">
            <v>834</v>
          </cell>
        </row>
        <row r="4851">
          <cell r="A4851" t="str">
            <v>USD</v>
          </cell>
          <cell r="B4851" t="str">
            <v>834010932</v>
          </cell>
          <cell r="C4851" t="str">
            <v>FIDEICOMISO COMPLEJO VILLA CARTAGENA</v>
          </cell>
          <cell r="G4851">
            <v>76000.070000000007</v>
          </cell>
          <cell r="H4851">
            <v>113664184.69060001</v>
          </cell>
          <cell r="I4851" t="str">
            <v>834</v>
          </cell>
        </row>
        <row r="4852">
          <cell r="A4852" t="str">
            <v>USD</v>
          </cell>
          <cell r="B4852" t="str">
            <v>834010963</v>
          </cell>
          <cell r="C4852" t="str">
            <v>MIRANDA, SEBASTIAN XAVIER</v>
          </cell>
          <cell r="G4852">
            <v>10145.379999999999</v>
          </cell>
          <cell r="H4852">
            <v>15173227.420399997</v>
          </cell>
          <cell r="I4852" t="str">
            <v>834</v>
          </cell>
        </row>
        <row r="4853">
          <cell r="A4853" t="str">
            <v>USD</v>
          </cell>
          <cell r="B4853" t="str">
            <v>834011007</v>
          </cell>
          <cell r="C4853" t="str">
            <v>TORRES GIOVANNINI, LUDMILA VALENTINA IRIS o DEL VECCHIO, CESAR MATIAS</v>
          </cell>
          <cell r="G4853">
            <v>1949.86</v>
          </cell>
          <cell r="H4853">
            <v>2916171.6187999998</v>
          </cell>
          <cell r="I4853" t="str">
            <v>834</v>
          </cell>
        </row>
        <row r="4854">
          <cell r="A4854" t="str">
            <v>USD</v>
          </cell>
          <cell r="B4854" t="str">
            <v>834011009</v>
          </cell>
          <cell r="C4854" t="str">
            <v>ARAUCO, MARIA LUCIANA o NANCLARES, MARIA CLAUDIA o ARAUCO, RUBEN CAMILO</v>
          </cell>
          <cell r="G4854">
            <v>9999.81</v>
          </cell>
          <cell r="H4854">
            <v>14955515.839799998</v>
          </cell>
          <cell r="I4854" t="str">
            <v>834</v>
          </cell>
        </row>
        <row r="4855">
          <cell r="A4855" t="str">
            <v>USD</v>
          </cell>
          <cell r="B4855" t="str">
            <v>852000004</v>
          </cell>
          <cell r="C4855" t="str">
            <v>MATIAS AIDENBAUM MENENDEZ</v>
          </cell>
          <cell r="G4855">
            <v>25847.57</v>
          </cell>
          <cell r="H4855">
            <v>38657108.740599997</v>
          </cell>
          <cell r="I4855" t="str">
            <v>852</v>
          </cell>
        </row>
        <row r="4856">
          <cell r="A4856" t="str">
            <v>USD</v>
          </cell>
          <cell r="B4856" t="str">
            <v>852000005</v>
          </cell>
          <cell r="C4856" t="str">
            <v>MG ALFA</v>
          </cell>
          <cell r="G4856">
            <v>39962.47</v>
          </cell>
          <cell r="H4856">
            <v>59767070.882600002</v>
          </cell>
          <cell r="I4856" t="str">
            <v>852</v>
          </cell>
        </row>
        <row r="4857">
          <cell r="A4857" t="str">
            <v>USD</v>
          </cell>
          <cell r="B4857" t="str">
            <v>852000025</v>
          </cell>
          <cell r="C4857" t="str">
            <v>Araoz, Agustina</v>
          </cell>
          <cell r="G4857">
            <v>80152.87</v>
          </cell>
          <cell r="H4857">
            <v>119875029.31459999</v>
          </cell>
          <cell r="I4857" t="str">
            <v>852</v>
          </cell>
        </row>
        <row r="4858">
          <cell r="A4858" t="str">
            <v>USD</v>
          </cell>
          <cell r="B4858" t="str">
            <v>852000035</v>
          </cell>
          <cell r="C4858" t="str">
            <v>Rovetto, Edgardo Daniel</v>
          </cell>
          <cell r="G4858">
            <v>2855.81</v>
          </cell>
          <cell r="H4858">
            <v>4271092.3197999997</v>
          </cell>
          <cell r="I4858" t="str">
            <v>852</v>
          </cell>
        </row>
        <row r="4859">
          <cell r="A4859" t="str">
            <v>USD</v>
          </cell>
          <cell r="B4859" t="str">
            <v>852000056</v>
          </cell>
          <cell r="C4859" t="str">
            <v>Urrizmendi, Mateo Nicolas o gimenez, maria isabel</v>
          </cell>
          <cell r="G4859">
            <v>144362.1</v>
          </cell>
          <cell r="H4859">
            <v>215905069.51800001</v>
          </cell>
          <cell r="I4859" t="str">
            <v>852</v>
          </cell>
        </row>
        <row r="4860">
          <cell r="A4860" t="str">
            <v>USD</v>
          </cell>
          <cell r="B4860" t="str">
            <v>852000057</v>
          </cell>
          <cell r="C4860" t="str">
            <v>INDUSTRIAS FRIGORIFICAS JG SA</v>
          </cell>
          <cell r="G4860">
            <v>50414.43</v>
          </cell>
          <cell r="H4860">
            <v>75398813.219400004</v>
          </cell>
          <cell r="I4860" t="str">
            <v>852</v>
          </cell>
        </row>
        <row r="4861">
          <cell r="A4861" t="str">
            <v>USD</v>
          </cell>
          <cell r="B4861" t="str">
            <v>852000065</v>
          </cell>
          <cell r="C4861" t="str">
            <v>MG ALFA OPERACIONES</v>
          </cell>
          <cell r="G4861">
            <v>72982</v>
          </cell>
          <cell r="H4861">
            <v>109150419.55999999</v>
          </cell>
          <cell r="I4861" t="str">
            <v>852</v>
          </cell>
        </row>
        <row r="4862">
          <cell r="A4862" t="str">
            <v>USD</v>
          </cell>
          <cell r="B4862" t="str">
            <v>865001277</v>
          </cell>
          <cell r="C4862" t="str">
            <v>SOLORZA VUANELLO, MARIA LAURA O PEÑA, JULIO JORGE</v>
          </cell>
          <cell r="G4862">
            <v>27440.99</v>
          </cell>
          <cell r="H4862">
            <v>41040195.824199997</v>
          </cell>
          <cell r="I4862" t="str">
            <v>865</v>
          </cell>
        </row>
        <row r="4863">
          <cell r="A4863" t="str">
            <v>USD</v>
          </cell>
          <cell r="B4863" t="str">
            <v>865001370</v>
          </cell>
          <cell r="C4863" t="str">
            <v>ZULIANI, RICARDO ARIEL Y/O CASTRO ELINA VANESA</v>
          </cell>
          <cell r="G4863">
            <v>44672.38</v>
          </cell>
          <cell r="H4863">
            <v>66811118.08039999</v>
          </cell>
          <cell r="I4863" t="str">
            <v>865</v>
          </cell>
        </row>
        <row r="4864">
          <cell r="A4864" t="str">
            <v>USD</v>
          </cell>
          <cell r="B4864" t="str">
            <v>868001004</v>
          </cell>
          <cell r="C4864" t="str">
            <v>OXXAL S.A.</v>
          </cell>
          <cell r="G4864">
            <v>68874.7</v>
          </cell>
          <cell r="H4864">
            <v>103007623.82599999</v>
          </cell>
          <cell r="I4864" t="str">
            <v>868</v>
          </cell>
        </row>
        <row r="4865">
          <cell r="A4865" t="str">
            <v>USD</v>
          </cell>
          <cell r="B4865" t="str">
            <v>868001012</v>
          </cell>
          <cell r="C4865" t="str">
            <v>Dosam Agropecuaria S.A.</v>
          </cell>
          <cell r="G4865">
            <v>18921.509999999998</v>
          </cell>
          <cell r="H4865">
            <v>28298631.925799996</v>
          </cell>
          <cell r="I4865" t="str">
            <v>868</v>
          </cell>
        </row>
        <row r="4866">
          <cell r="A4866" t="str">
            <v>USD</v>
          </cell>
          <cell r="B4866" t="str">
            <v>868001015</v>
          </cell>
          <cell r="C4866" t="str">
            <v>X LAS DUDAS S.A.S.</v>
          </cell>
          <cell r="G4866">
            <v>6690.36</v>
          </cell>
          <cell r="H4866">
            <v>10005968.6088</v>
          </cell>
          <cell r="I4866" t="str">
            <v>868</v>
          </cell>
        </row>
        <row r="4867">
          <cell r="A4867" t="str">
            <v>USD</v>
          </cell>
          <cell r="B4867" t="str">
            <v>868001025</v>
          </cell>
          <cell r="C4867" t="str">
            <v>Fedea S.A.</v>
          </cell>
          <cell r="G4867">
            <v>4721.0600000000004</v>
          </cell>
          <cell r="H4867">
            <v>7060722.9148000004</v>
          </cell>
          <cell r="I4867" t="str">
            <v>868</v>
          </cell>
        </row>
        <row r="4868">
          <cell r="A4868" t="str">
            <v>USD</v>
          </cell>
          <cell r="B4868" t="str">
            <v>875001131</v>
          </cell>
          <cell r="C4868" t="str">
            <v>Depietri Agustin</v>
          </cell>
          <cell r="G4868">
            <v>83.87</v>
          </cell>
          <cell r="H4868">
            <v>125434.29459999999</v>
          </cell>
          <cell r="I4868" t="str">
            <v>875</v>
          </cell>
        </row>
        <row r="4869">
          <cell r="A4869" t="str">
            <v>USD</v>
          </cell>
          <cell r="B4869" t="str">
            <v>875001148</v>
          </cell>
          <cell r="C4869" t="str">
            <v xml:space="preserve">De Maria , Marcos  o Curia , Martina </v>
          </cell>
          <cell r="G4869">
            <v>77.12</v>
          </cell>
          <cell r="H4869">
            <v>115339.1296</v>
          </cell>
          <cell r="I4869" t="str">
            <v>875</v>
          </cell>
        </row>
        <row r="4870">
          <cell r="A4870" t="str">
            <v>USD</v>
          </cell>
          <cell r="B4870" t="str">
            <v>875001189</v>
          </cell>
          <cell r="C4870" t="str">
            <v>Litmanovich, Alejandro Leonel</v>
          </cell>
          <cell r="G4870">
            <v>52346</v>
          </cell>
          <cell r="H4870">
            <v>78287630.679999992</v>
          </cell>
          <cell r="I4870" t="str">
            <v>875</v>
          </cell>
        </row>
        <row r="4871">
          <cell r="A4871" t="str">
            <v>USD</v>
          </cell>
          <cell r="B4871" t="str">
            <v>875001191</v>
          </cell>
          <cell r="C4871" t="str">
            <v>Litmanovich, Jonathan Ariel</v>
          </cell>
          <cell r="G4871">
            <v>18734</v>
          </cell>
          <cell r="H4871">
            <v>28018195.719999999</v>
          </cell>
          <cell r="I4871" t="str">
            <v>875</v>
          </cell>
        </row>
        <row r="4872">
          <cell r="A4872" t="str">
            <v>USD</v>
          </cell>
          <cell r="B4872" t="str">
            <v>875001306</v>
          </cell>
          <cell r="C4872" t="str">
            <v>Pettiti, Walter Luis Y/O Condorelli, Maria Irene</v>
          </cell>
          <cell r="G4872">
            <v>31832.13</v>
          </cell>
          <cell r="H4872">
            <v>47607496.985399999</v>
          </cell>
          <cell r="I4872" t="str">
            <v>875</v>
          </cell>
        </row>
        <row r="4873">
          <cell r="A4873" t="str">
            <v>USDC</v>
          </cell>
          <cell r="B4873" t="str">
            <v>114000119</v>
          </cell>
          <cell r="C4873" t="str">
            <v>MATBA ROFEX S.A.</v>
          </cell>
          <cell r="G4873">
            <v>2038998.75</v>
          </cell>
          <cell r="H4873">
            <v>3049485750.5249996</v>
          </cell>
          <cell r="I4873" t="str">
            <v>114</v>
          </cell>
        </row>
        <row r="4874">
          <cell r="A4874" t="str">
            <v>USDC</v>
          </cell>
          <cell r="B4874" t="str">
            <v>114114005</v>
          </cell>
          <cell r="C4874" t="str">
            <v>ROSVAL - Operaciones Mesa Trading</v>
          </cell>
          <cell r="G4874">
            <v>49214655.770000003</v>
          </cell>
          <cell r="H4874">
            <v>73604454876.496597</v>
          </cell>
          <cell r="I4874" t="str">
            <v>114</v>
          </cell>
        </row>
        <row r="4875">
          <cell r="A4875" t="str">
            <v>USDC</v>
          </cell>
          <cell r="B4875" t="str">
            <v>114114100</v>
          </cell>
          <cell r="C4875" t="str">
            <v>Ignacio Tillard</v>
          </cell>
          <cell r="G4875">
            <v>599999.93000000005</v>
          </cell>
          <cell r="H4875">
            <v>897347895.30940008</v>
          </cell>
          <cell r="I4875" t="str">
            <v>114</v>
          </cell>
        </row>
        <row r="4876">
          <cell r="A4876" t="str">
            <v>USDC</v>
          </cell>
          <cell r="B4876" t="str">
            <v>344000005</v>
          </cell>
          <cell r="C4876" t="str">
            <v>Bafomet SA</v>
          </cell>
          <cell r="G4876">
            <v>59999.95</v>
          </cell>
          <cell r="H4876">
            <v>89734725.220999986</v>
          </cell>
          <cell r="I4876" t="str">
            <v>344</v>
          </cell>
        </row>
        <row r="4877">
          <cell r="A4877" t="str">
            <v>USDC</v>
          </cell>
          <cell r="B4877" t="str">
            <v>344000201</v>
          </cell>
          <cell r="C4877" t="str">
            <v>Marianela García Rossell y R. Mariano García Rossell</v>
          </cell>
          <cell r="G4877">
            <v>19352.05</v>
          </cell>
          <cell r="H4877">
            <v>28942538.938999999</v>
          </cell>
          <cell r="I4877" t="str">
            <v>344</v>
          </cell>
        </row>
        <row r="4878">
          <cell r="A4878" t="str">
            <v>USDC</v>
          </cell>
          <cell r="B4878" t="str">
            <v>344000401</v>
          </cell>
          <cell r="C4878" t="str">
            <v>Ortner Andres Martin &amp; Schlenew Tatiana</v>
          </cell>
          <cell r="G4878">
            <v>5000.87</v>
          </cell>
          <cell r="H4878">
            <v>7479201.1545999991</v>
          </cell>
          <cell r="I4878" t="str">
            <v>344</v>
          </cell>
        </row>
        <row r="4879">
          <cell r="A4879" t="str">
            <v>USDC</v>
          </cell>
          <cell r="B4879" t="str">
            <v>344000683</v>
          </cell>
          <cell r="C4879" t="str">
            <v>Envíos-Digitales SA</v>
          </cell>
          <cell r="G4879">
            <v>30000.25</v>
          </cell>
          <cell r="H4879">
            <v>44867773.894999996</v>
          </cell>
          <cell r="I4879" t="str">
            <v>344</v>
          </cell>
        </row>
        <row r="4880">
          <cell r="A4880" t="str">
            <v>USDC</v>
          </cell>
          <cell r="B4880" t="str">
            <v>401000008</v>
          </cell>
          <cell r="C4880" t="str">
            <v>AVANTIA VALORES SA</v>
          </cell>
          <cell r="G4880">
            <v>4200000</v>
          </cell>
          <cell r="H4880">
            <v>6281436000</v>
          </cell>
          <cell r="I4880" t="str">
            <v>401</v>
          </cell>
        </row>
        <row r="4881">
          <cell r="A4881" t="str">
            <v>USDC</v>
          </cell>
          <cell r="B4881" t="str">
            <v>401000014</v>
          </cell>
          <cell r="C4881" t="str">
            <v>HERRERA VEGAS DE GAINZA SARA</v>
          </cell>
          <cell r="G4881">
            <v>1989.54</v>
          </cell>
          <cell r="H4881">
            <v>2975516.2331999997</v>
          </cell>
          <cell r="I4881" t="str">
            <v>401</v>
          </cell>
        </row>
        <row r="4882">
          <cell r="A4882" t="str">
            <v>USDC</v>
          </cell>
          <cell r="B4882" t="str">
            <v>401000020</v>
          </cell>
          <cell r="C4882" t="str">
            <v>VENTO CAPITAL S.A.</v>
          </cell>
          <cell r="G4882">
            <v>3403558.3</v>
          </cell>
          <cell r="H4882">
            <v>5090293722.3139992</v>
          </cell>
          <cell r="I4882" t="str">
            <v>401</v>
          </cell>
        </row>
        <row r="4883">
          <cell r="A4883" t="str">
            <v>USDC</v>
          </cell>
          <cell r="B4883" t="str">
            <v>401000050</v>
          </cell>
          <cell r="C4883" t="str">
            <v>FRIGORIFICO ALBERDI S.A.</v>
          </cell>
          <cell r="G4883">
            <v>350000</v>
          </cell>
          <cell r="H4883">
            <v>523453000</v>
          </cell>
          <cell r="I4883" t="str">
            <v>401</v>
          </cell>
        </row>
        <row r="4884">
          <cell r="A4884" t="str">
            <v>USDC</v>
          </cell>
          <cell r="B4884" t="str">
            <v>401000057</v>
          </cell>
          <cell r="C4884" t="str">
            <v xml:space="preserve">GL S.A </v>
          </cell>
          <cell r="G4884">
            <v>750000</v>
          </cell>
          <cell r="H4884">
            <v>1121685000</v>
          </cell>
          <cell r="I4884" t="str">
            <v>401</v>
          </cell>
        </row>
        <row r="4885">
          <cell r="A4885" t="str">
            <v>USDC</v>
          </cell>
          <cell r="B4885" t="str">
            <v>401000062</v>
          </cell>
          <cell r="C4885" t="str">
            <v>BLANCO ALICIA AMALIA</v>
          </cell>
          <cell r="G4885">
            <v>5968.49</v>
          </cell>
          <cell r="H4885">
            <v>8926354.2741999999</v>
          </cell>
          <cell r="I4885" t="str">
            <v>401</v>
          </cell>
        </row>
        <row r="4886">
          <cell r="A4886" t="str">
            <v>USDC</v>
          </cell>
          <cell r="B4886" t="str">
            <v>401000085</v>
          </cell>
          <cell r="C4886" t="str">
            <v>CORRALES PEDRO MANUEL</v>
          </cell>
          <cell r="G4886">
            <v>10062.07</v>
          </cell>
          <cell r="H4886">
            <v>15048630.650599999</v>
          </cell>
          <cell r="I4886" t="str">
            <v>401</v>
          </cell>
        </row>
        <row r="4887">
          <cell r="A4887" t="str">
            <v>USDC</v>
          </cell>
          <cell r="B4887" t="str">
            <v>401000089</v>
          </cell>
          <cell r="C4887" t="str">
            <v>BLANCO ELENA HERMINIA</v>
          </cell>
          <cell r="G4887">
            <v>4377.08</v>
          </cell>
          <cell r="H4887">
            <v>6546273.3063999992</v>
          </cell>
          <cell r="I4887" t="str">
            <v>401</v>
          </cell>
        </row>
        <row r="4888">
          <cell r="A4888" t="str">
            <v>USDC</v>
          </cell>
          <cell r="B4888" t="str">
            <v>401000192</v>
          </cell>
          <cell r="C4888" t="str">
            <v>SATUS AGER S. A</v>
          </cell>
          <cell r="G4888">
            <v>1000000</v>
          </cell>
          <cell r="H4888">
            <v>1495580000</v>
          </cell>
          <cell r="I4888" t="str">
            <v>401</v>
          </cell>
        </row>
        <row r="4889">
          <cell r="A4889" t="str">
            <v>USDC</v>
          </cell>
          <cell r="B4889" t="str">
            <v>401000261</v>
          </cell>
          <cell r="C4889" t="str">
            <v>TANCO CARLOS ARIEL</v>
          </cell>
          <cell r="G4889">
            <v>615.94000000000005</v>
          </cell>
          <cell r="H4889">
            <v>921187.54520000005</v>
          </cell>
          <cell r="I4889" t="str">
            <v>401</v>
          </cell>
        </row>
        <row r="4890">
          <cell r="A4890" t="str">
            <v>USDC</v>
          </cell>
          <cell r="B4890" t="str">
            <v>401000293</v>
          </cell>
          <cell r="C4890" t="str">
            <v>PENSANDO EN GRANDE S.A.S.</v>
          </cell>
          <cell r="G4890">
            <v>295.61</v>
          </cell>
          <cell r="H4890">
            <v>442108.40379999997</v>
          </cell>
          <cell r="I4890" t="str">
            <v>401</v>
          </cell>
        </row>
        <row r="4891">
          <cell r="A4891" t="str">
            <v>USDC</v>
          </cell>
          <cell r="B4891" t="str">
            <v>401000364</v>
          </cell>
          <cell r="C4891" t="str">
            <v>FREIJE MATIAS</v>
          </cell>
          <cell r="G4891">
            <v>18625.43</v>
          </cell>
          <cell r="H4891">
            <v>27855820.599399999</v>
          </cell>
          <cell r="I4891" t="str">
            <v>401</v>
          </cell>
        </row>
        <row r="4892">
          <cell r="A4892" t="str">
            <v>USDC</v>
          </cell>
          <cell r="B4892" t="str">
            <v>405000022</v>
          </cell>
          <cell r="C4892" t="str">
            <v>AINBINDER, JONATAN URIEL</v>
          </cell>
          <cell r="G4892">
            <v>111.62</v>
          </cell>
          <cell r="H4892">
            <v>166936.63959999999</v>
          </cell>
          <cell r="I4892" t="str">
            <v>405</v>
          </cell>
        </row>
        <row r="4893">
          <cell r="A4893" t="str">
            <v>USDC</v>
          </cell>
          <cell r="B4893" t="str">
            <v>424000074</v>
          </cell>
          <cell r="C4893" t="str">
            <v>Maria Dolores Sarobe</v>
          </cell>
          <cell r="G4893">
            <v>385.45</v>
          </cell>
          <cell r="H4893">
            <v>576471.31099999999</v>
          </cell>
          <cell r="I4893" t="str">
            <v>424</v>
          </cell>
        </row>
        <row r="4894">
          <cell r="A4894" t="str">
            <v>USDC</v>
          </cell>
          <cell r="B4894" t="str">
            <v>424000176</v>
          </cell>
          <cell r="C4894" t="str">
            <v>Aguilar, Fernando Martín</v>
          </cell>
          <cell r="G4894">
            <v>3400.04</v>
          </cell>
          <cell r="H4894">
            <v>5085031.8231999995</v>
          </cell>
          <cell r="I4894" t="str">
            <v>424</v>
          </cell>
        </row>
        <row r="4895">
          <cell r="A4895" t="str">
            <v>USDC</v>
          </cell>
          <cell r="B4895" t="str">
            <v>432000008</v>
          </cell>
          <cell r="C4895" t="str">
            <v>Arrigoni, Miguel Angel</v>
          </cell>
          <cell r="G4895">
            <v>120.1</v>
          </cell>
          <cell r="H4895">
            <v>179619.158</v>
          </cell>
          <cell r="I4895" t="str">
            <v>432</v>
          </cell>
        </row>
        <row r="4896">
          <cell r="A4896" t="str">
            <v>USDC</v>
          </cell>
          <cell r="B4896" t="str">
            <v>432000010</v>
          </cell>
          <cell r="C4896" t="str">
            <v>First Capital Markets SA</v>
          </cell>
          <cell r="G4896">
            <v>56592804.439999998</v>
          </cell>
          <cell r="H4896">
            <v>84639066464.375198</v>
          </cell>
          <cell r="I4896" t="str">
            <v>432</v>
          </cell>
        </row>
        <row r="4897">
          <cell r="A4897" t="str">
            <v>USDC</v>
          </cell>
          <cell r="B4897" t="str">
            <v>432000012</v>
          </cell>
          <cell r="C4897" t="str">
            <v>Barbero, Guillermo Alberto</v>
          </cell>
          <cell r="G4897">
            <v>90.03</v>
          </cell>
          <cell r="H4897">
            <v>134647.0674</v>
          </cell>
          <cell r="I4897" t="str">
            <v>432</v>
          </cell>
        </row>
        <row r="4898">
          <cell r="A4898" t="str">
            <v>USDC</v>
          </cell>
          <cell r="B4898" t="str">
            <v>432000034</v>
          </cell>
          <cell r="C4898" t="str">
            <v>Rodriguez, Alicia Diana</v>
          </cell>
          <cell r="G4898">
            <v>9779.17</v>
          </cell>
          <cell r="H4898">
            <v>14625531.068599999</v>
          </cell>
          <cell r="I4898" t="str">
            <v>432</v>
          </cell>
        </row>
        <row r="4899">
          <cell r="A4899" t="str">
            <v>USDC</v>
          </cell>
          <cell r="B4899" t="str">
            <v>432000259</v>
          </cell>
          <cell r="C4899" t="str">
            <v>Bustos, Javier Leonardo o Díaz, Marcela Adriana</v>
          </cell>
          <cell r="G4899">
            <v>9999.94</v>
          </cell>
          <cell r="H4899">
            <v>14955710.2652</v>
          </cell>
          <cell r="I4899" t="str">
            <v>432</v>
          </cell>
        </row>
        <row r="4900">
          <cell r="A4900" t="str">
            <v>USDC</v>
          </cell>
          <cell r="B4900" t="str">
            <v>432000368</v>
          </cell>
          <cell r="C4900" t="str">
            <v>Duscher, Aldo Pedro</v>
          </cell>
          <cell r="G4900">
            <v>15745.59</v>
          </cell>
          <cell r="H4900">
            <v>23548789.492199998</v>
          </cell>
          <cell r="I4900" t="str">
            <v>432</v>
          </cell>
        </row>
        <row r="4901">
          <cell r="A4901" t="str">
            <v>USDC</v>
          </cell>
          <cell r="B4901" t="str">
            <v>432000657</v>
          </cell>
          <cell r="C4901" t="str">
            <v>Córdoba, Sergio Luis</v>
          </cell>
          <cell r="G4901">
            <v>2299.73</v>
          </cell>
          <cell r="H4901">
            <v>3439430.1933999998</v>
          </cell>
          <cell r="I4901" t="str">
            <v>432</v>
          </cell>
        </row>
        <row r="4902">
          <cell r="A4902" t="str">
            <v>USDC</v>
          </cell>
          <cell r="B4902" t="str">
            <v>432000946</v>
          </cell>
          <cell r="C4902" t="str">
            <v>BUYATTI, GERARDO LUIS</v>
          </cell>
          <cell r="G4902">
            <v>67.709999999999994</v>
          </cell>
          <cell r="H4902">
            <v>101265.72179999998</v>
          </cell>
          <cell r="I4902" t="str">
            <v>432</v>
          </cell>
        </row>
        <row r="4903">
          <cell r="A4903" t="str">
            <v>USDC</v>
          </cell>
          <cell r="B4903" t="str">
            <v>432001242</v>
          </cell>
          <cell r="C4903" t="str">
            <v xml:space="preserve">MANSFIELD MINERA S A </v>
          </cell>
          <cell r="G4903">
            <v>28269998.460000001</v>
          </cell>
          <cell r="H4903">
            <v>42280044296.806801</v>
          </cell>
          <cell r="I4903" t="str">
            <v>432</v>
          </cell>
        </row>
        <row r="4904">
          <cell r="A4904" t="str">
            <v>USDC</v>
          </cell>
          <cell r="B4904" t="str">
            <v>435000006</v>
          </cell>
          <cell r="C4904" t="str">
            <v>Inverstart S.A.</v>
          </cell>
          <cell r="G4904">
            <v>1447.6</v>
          </cell>
          <cell r="H4904">
            <v>2165001.6079999995</v>
          </cell>
          <cell r="I4904" t="str">
            <v>435</v>
          </cell>
        </row>
        <row r="4905">
          <cell r="A4905" t="str">
            <v>USDC</v>
          </cell>
          <cell r="B4905" t="str">
            <v>435000015</v>
          </cell>
          <cell r="C4905" t="str">
            <v>Nieto, Lucio Edgardo</v>
          </cell>
          <cell r="G4905">
            <v>190.55</v>
          </cell>
          <cell r="H4905">
            <v>284982.76900000003</v>
          </cell>
          <cell r="I4905" t="str">
            <v>435</v>
          </cell>
        </row>
        <row r="4906">
          <cell r="A4906" t="str">
            <v>USDC</v>
          </cell>
          <cell r="B4906" t="str">
            <v>435000020</v>
          </cell>
          <cell r="C4906" t="str">
            <v>Bolognesi, Roberto Oscar o Massaro, Silvia Edith o Nieto, Lucio Edgardo</v>
          </cell>
          <cell r="G4906">
            <v>5.67</v>
          </cell>
          <cell r="H4906">
            <v>8479.9385999999995</v>
          </cell>
          <cell r="I4906" t="str">
            <v>435</v>
          </cell>
        </row>
        <row r="4907">
          <cell r="A4907" t="str">
            <v>USDC</v>
          </cell>
          <cell r="B4907" t="str">
            <v>435000272</v>
          </cell>
          <cell r="C4907" t="str">
            <v xml:space="preserve">Olagaray, Esther Patricia </v>
          </cell>
          <cell r="G4907">
            <v>782.1</v>
          </cell>
          <cell r="H4907">
            <v>1169693.118</v>
          </cell>
          <cell r="I4907" t="str">
            <v>435</v>
          </cell>
        </row>
        <row r="4908">
          <cell r="A4908" t="str">
            <v>USDC</v>
          </cell>
          <cell r="B4908" t="str">
            <v>435000276</v>
          </cell>
          <cell r="C4908" t="str">
            <v>Gibbs, Jose Guillermo o Gibbs Moreira, Guillermo Damian o Gibbs Moreira, Andres Enrique</v>
          </cell>
          <cell r="G4908">
            <v>496.75</v>
          </cell>
          <cell r="H4908">
            <v>742929.36499999999</v>
          </cell>
          <cell r="I4908" t="str">
            <v>435</v>
          </cell>
        </row>
        <row r="4909">
          <cell r="A4909" t="str">
            <v>USDC</v>
          </cell>
          <cell r="B4909" t="str">
            <v>435000291</v>
          </cell>
          <cell r="C4909" t="str">
            <v>Rutas del Sol S.A.</v>
          </cell>
          <cell r="G4909">
            <v>1602.12</v>
          </cell>
          <cell r="H4909">
            <v>2396098.6295999996</v>
          </cell>
          <cell r="I4909" t="str">
            <v>435</v>
          </cell>
        </row>
        <row r="4910">
          <cell r="A4910" t="str">
            <v>USDC</v>
          </cell>
          <cell r="B4910" t="str">
            <v>435000292</v>
          </cell>
          <cell r="C4910" t="str">
            <v>Vignoni, Susana Vicenta o Gonzalez, Juan Horacio</v>
          </cell>
          <cell r="G4910">
            <v>706.26</v>
          </cell>
          <cell r="H4910">
            <v>1056268.3307999999</v>
          </cell>
          <cell r="I4910" t="str">
            <v>435</v>
          </cell>
        </row>
        <row r="4911">
          <cell r="A4911" t="str">
            <v>USDC</v>
          </cell>
          <cell r="B4911" t="str">
            <v>435000311</v>
          </cell>
          <cell r="C4911" t="str">
            <v>Yanzon, Roberto Horacio</v>
          </cell>
          <cell r="G4911">
            <v>351.71</v>
          </cell>
          <cell r="H4911">
            <v>526010.44179999991</v>
          </cell>
          <cell r="I4911" t="str">
            <v>435</v>
          </cell>
        </row>
        <row r="4912">
          <cell r="A4912" t="str">
            <v>USDC</v>
          </cell>
          <cell r="B4912" t="str">
            <v>435000347</v>
          </cell>
          <cell r="C4912" t="str">
            <v>Tecno Service S.R.L.</v>
          </cell>
          <cell r="G4912">
            <v>191.5</v>
          </cell>
          <cell r="H4912">
            <v>286403.57</v>
          </cell>
          <cell r="I4912" t="str">
            <v>435</v>
          </cell>
        </row>
        <row r="4913">
          <cell r="A4913" t="str">
            <v>USDC</v>
          </cell>
          <cell r="B4913" t="str">
            <v>435000417</v>
          </cell>
          <cell r="C4913" t="str">
            <v xml:space="preserve">Aguilera, Natalia Carina </v>
          </cell>
          <cell r="G4913">
            <v>84.6</v>
          </cell>
          <cell r="H4913">
            <v>126526.06799999998</v>
          </cell>
          <cell r="I4913" t="str">
            <v>435</v>
          </cell>
        </row>
        <row r="4914">
          <cell r="A4914" t="str">
            <v>USDC</v>
          </cell>
          <cell r="B4914" t="str">
            <v>435000455</v>
          </cell>
          <cell r="C4914" t="str">
            <v>Berman, Julieta o Berman, Andres</v>
          </cell>
          <cell r="G4914">
            <v>406.69</v>
          </cell>
          <cell r="H4914">
            <v>608237.43019999994</v>
          </cell>
          <cell r="I4914" t="str">
            <v>435</v>
          </cell>
        </row>
        <row r="4915">
          <cell r="A4915" t="str">
            <v>USDC</v>
          </cell>
          <cell r="B4915" t="str">
            <v>435000456</v>
          </cell>
          <cell r="C4915" t="str">
            <v>Gibbs Moreira, Guillermo Damian o Gibbs Moreira, Andres Enrique</v>
          </cell>
          <cell r="G4915">
            <v>536.57000000000005</v>
          </cell>
          <cell r="H4915">
            <v>802483.36060000001</v>
          </cell>
          <cell r="I4915" t="str">
            <v>435</v>
          </cell>
        </row>
        <row r="4916">
          <cell r="A4916" t="str">
            <v>USDC</v>
          </cell>
          <cell r="B4916" t="str">
            <v>435000517</v>
          </cell>
          <cell r="C4916" t="str">
            <v xml:space="preserve">Muñoz, Karen Valeria o Muñoz, Leandro Adrián Evaristo </v>
          </cell>
          <cell r="G4916">
            <v>28.2</v>
          </cell>
          <cell r="H4916">
            <v>42175.356</v>
          </cell>
          <cell r="I4916" t="str">
            <v>435</v>
          </cell>
        </row>
        <row r="4917">
          <cell r="A4917" t="str">
            <v>USDC</v>
          </cell>
          <cell r="B4917" t="str">
            <v>479005465</v>
          </cell>
          <cell r="C4917" t="str">
            <v>ATRAPALO S.R.L.</v>
          </cell>
          <cell r="G4917">
            <v>208000</v>
          </cell>
          <cell r="H4917">
            <v>311080640</v>
          </cell>
          <cell r="I4917" t="str">
            <v>479</v>
          </cell>
        </row>
        <row r="4918">
          <cell r="A4918" t="str">
            <v>USDC</v>
          </cell>
          <cell r="B4918" t="str">
            <v>479005634</v>
          </cell>
          <cell r="C4918" t="str">
            <v>GRUPO EDITORIAL PLANETA SAIC S.A.</v>
          </cell>
          <cell r="G4918">
            <v>400000</v>
          </cell>
          <cell r="H4918">
            <v>598232000</v>
          </cell>
          <cell r="I4918" t="str">
            <v>479</v>
          </cell>
        </row>
        <row r="4919">
          <cell r="A4919" t="str">
            <v>USDC</v>
          </cell>
          <cell r="B4919" t="str">
            <v>479005645</v>
          </cell>
          <cell r="C4919" t="str">
            <v>INTERALMAR S.A.</v>
          </cell>
          <cell r="G4919">
            <v>100000</v>
          </cell>
          <cell r="H4919">
            <v>149558000</v>
          </cell>
          <cell r="I4919" t="str">
            <v>479</v>
          </cell>
        </row>
        <row r="4920">
          <cell r="A4920" t="str">
            <v>USDC</v>
          </cell>
          <cell r="B4920" t="str">
            <v>479040602</v>
          </cell>
          <cell r="C4920" t="str">
            <v>SUPERVIELLE AGENTE DE NEGOCIACION S.A.U.</v>
          </cell>
          <cell r="G4920">
            <v>27550509.989999998</v>
          </cell>
          <cell r="H4920">
            <v>41203991730.844193</v>
          </cell>
          <cell r="I4920" t="str">
            <v>479</v>
          </cell>
        </row>
        <row r="4921">
          <cell r="A4921" t="str">
            <v>USDC</v>
          </cell>
          <cell r="B4921" t="str">
            <v>483000004</v>
          </cell>
          <cell r="C4921" t="str">
            <v>COPPOLA INVERSIONES S.A.</v>
          </cell>
          <cell r="G4921">
            <v>554742.87</v>
          </cell>
          <cell r="H4921">
            <v>829662341.51459992</v>
          </cell>
          <cell r="I4921" t="str">
            <v>483</v>
          </cell>
        </row>
        <row r="4922">
          <cell r="A4922" t="str">
            <v>USDC</v>
          </cell>
          <cell r="B4922" t="str">
            <v>483000102</v>
          </cell>
          <cell r="C4922" t="str">
            <v>FUNDEMAP SA</v>
          </cell>
          <cell r="G4922">
            <v>5728.83</v>
          </cell>
          <cell r="H4922">
            <v>8567923.5713999998</v>
          </cell>
          <cell r="I4922" t="str">
            <v>483</v>
          </cell>
        </row>
        <row r="4923">
          <cell r="A4923" t="str">
            <v>USDC</v>
          </cell>
          <cell r="B4923" t="str">
            <v>483000105</v>
          </cell>
          <cell r="C4923" t="str">
            <v>TUTTO PORKY'S SRL</v>
          </cell>
          <cell r="G4923">
            <v>2329.44</v>
          </cell>
          <cell r="H4923">
            <v>3483863.8752000001</v>
          </cell>
          <cell r="I4923" t="str">
            <v>483</v>
          </cell>
        </row>
        <row r="4924">
          <cell r="A4924" t="str">
            <v>USDC</v>
          </cell>
          <cell r="B4924" t="str">
            <v>483000106</v>
          </cell>
          <cell r="C4924" t="str">
            <v>MURABITO MARIA CARMEN</v>
          </cell>
          <cell r="G4924">
            <v>67629.23</v>
          </cell>
          <cell r="H4924">
            <v>101144923.80339999</v>
          </cell>
          <cell r="I4924" t="str">
            <v>483</v>
          </cell>
        </row>
        <row r="4925">
          <cell r="A4925" t="str">
            <v>USDC</v>
          </cell>
          <cell r="B4925" t="str">
            <v>483000112</v>
          </cell>
          <cell r="C4925" t="str">
            <v>INSUGRAF SRL</v>
          </cell>
          <cell r="G4925">
            <v>181276.78</v>
          </cell>
          <cell r="H4925">
            <v>271113926.63239998</v>
          </cell>
          <cell r="I4925" t="str">
            <v>483</v>
          </cell>
        </row>
        <row r="4926">
          <cell r="A4926" t="str">
            <v>USDC</v>
          </cell>
          <cell r="B4926" t="str">
            <v>483000119</v>
          </cell>
          <cell r="C4926" t="str">
            <v>FIGUEROA LUCIANO GABRIEL</v>
          </cell>
          <cell r="G4926">
            <v>2967.93</v>
          </cell>
          <cell r="H4926">
            <v>4438776.7493999992</v>
          </cell>
          <cell r="I4926" t="str">
            <v>483</v>
          </cell>
        </row>
        <row r="4927">
          <cell r="A4927" t="str">
            <v>USDC</v>
          </cell>
          <cell r="B4927" t="str">
            <v>483000123</v>
          </cell>
          <cell r="C4927" t="str">
            <v>LOPEZ RAQUEL NELIDA EUGENIA</v>
          </cell>
          <cell r="G4927">
            <v>2012.25</v>
          </cell>
          <cell r="H4927">
            <v>3009480.855</v>
          </cell>
          <cell r="I4927" t="str">
            <v>483</v>
          </cell>
        </row>
        <row r="4928">
          <cell r="A4928" t="str">
            <v>USDC</v>
          </cell>
          <cell r="B4928" t="str">
            <v>483000124</v>
          </cell>
          <cell r="C4928" t="str">
            <v>BENVENUTO, CASANDRA</v>
          </cell>
          <cell r="G4928">
            <v>1959.38</v>
          </cell>
          <cell r="H4928">
            <v>2930409.5403999998</v>
          </cell>
          <cell r="I4928" t="str">
            <v>483</v>
          </cell>
        </row>
        <row r="4929">
          <cell r="A4929" t="str">
            <v>USDC</v>
          </cell>
          <cell r="B4929" t="str">
            <v>483000157</v>
          </cell>
          <cell r="C4929" t="str">
            <v>ACERMA SOCIEDAD ANÓNIMA</v>
          </cell>
          <cell r="G4929">
            <v>4583.1400000000003</v>
          </cell>
          <cell r="H4929">
            <v>6854452.5212000003</v>
          </cell>
          <cell r="I4929" t="str">
            <v>483</v>
          </cell>
        </row>
        <row r="4930">
          <cell r="A4930" t="str">
            <v>USDC</v>
          </cell>
          <cell r="B4930" t="str">
            <v>483000162</v>
          </cell>
          <cell r="C4930" t="str">
            <v>CERDOS SAN JUAN SA</v>
          </cell>
          <cell r="G4930">
            <v>2788.09</v>
          </cell>
          <cell r="H4930">
            <v>4169811.6422000001</v>
          </cell>
          <cell r="I4930" t="str">
            <v>483</v>
          </cell>
        </row>
        <row r="4931">
          <cell r="A4931" t="str">
            <v>USDC</v>
          </cell>
          <cell r="B4931" t="str">
            <v>486000026</v>
          </cell>
          <cell r="C4931" t="str">
            <v>Saenz, Alberto Alfonso</v>
          </cell>
          <cell r="G4931">
            <v>16997.919999999998</v>
          </cell>
          <cell r="H4931">
            <v>25421749.193599995</v>
          </cell>
          <cell r="I4931" t="str">
            <v>486</v>
          </cell>
        </row>
        <row r="4932">
          <cell r="A4932" t="str">
            <v>USDC</v>
          </cell>
          <cell r="B4932" t="str">
            <v>486000064</v>
          </cell>
          <cell r="C4932" t="str">
            <v>Sica Paravicini, Franco</v>
          </cell>
          <cell r="G4932">
            <v>9379.5</v>
          </cell>
          <cell r="H4932">
            <v>14027792.609999999</v>
          </cell>
          <cell r="I4932" t="str">
            <v>486</v>
          </cell>
        </row>
        <row r="4933">
          <cell r="A4933" t="str">
            <v>USDC</v>
          </cell>
          <cell r="B4933" t="str">
            <v>486000090</v>
          </cell>
          <cell r="C4933" t="str">
            <v>Siro, Luis Horacio</v>
          </cell>
          <cell r="G4933">
            <v>3445.31</v>
          </cell>
          <cell r="H4933">
            <v>5152736.7297999999</v>
          </cell>
          <cell r="I4933" t="str">
            <v>486</v>
          </cell>
        </row>
        <row r="4934">
          <cell r="A4934" t="str">
            <v>USDC</v>
          </cell>
          <cell r="B4934" t="str">
            <v>486000115</v>
          </cell>
          <cell r="C4934" t="str">
            <v>Vilariño, Federico Manuel</v>
          </cell>
          <cell r="G4934">
            <v>1.84</v>
          </cell>
          <cell r="H4934">
            <v>2751.8672000000001</v>
          </cell>
          <cell r="I4934" t="str">
            <v>486</v>
          </cell>
        </row>
        <row r="4935">
          <cell r="A4935" t="str">
            <v>USDC</v>
          </cell>
          <cell r="B4935" t="str">
            <v>486000124</v>
          </cell>
          <cell r="C4935" t="str">
            <v>Vilariño, Matias</v>
          </cell>
          <cell r="G4935">
            <v>2792.91</v>
          </cell>
          <cell r="H4935">
            <v>4177020.3377999994</v>
          </cell>
          <cell r="I4935" t="str">
            <v>486</v>
          </cell>
        </row>
        <row r="4936">
          <cell r="A4936" t="str">
            <v>USDC</v>
          </cell>
          <cell r="B4936" t="str">
            <v>486000185</v>
          </cell>
          <cell r="C4936" t="str">
            <v>Lopez Mañan, Jose Maria</v>
          </cell>
          <cell r="G4936">
            <v>11834.64</v>
          </cell>
          <cell r="H4936">
            <v>17699650.891199999</v>
          </cell>
          <cell r="I4936" t="str">
            <v>486</v>
          </cell>
        </row>
        <row r="4937">
          <cell r="A4937" t="str">
            <v>USDC</v>
          </cell>
          <cell r="B4937" t="str">
            <v>486000206</v>
          </cell>
          <cell r="C4937" t="str">
            <v xml:space="preserve">Schvartzman Jesica o Grehan Marcos Roman </v>
          </cell>
          <cell r="G4937">
            <v>4123.8500000000004</v>
          </cell>
          <cell r="H4937">
            <v>6167547.5830000006</v>
          </cell>
          <cell r="I4937" t="str">
            <v>486</v>
          </cell>
        </row>
        <row r="4938">
          <cell r="A4938" t="str">
            <v>USDC</v>
          </cell>
          <cell r="B4938" t="str">
            <v>486000248</v>
          </cell>
          <cell r="C4938" t="str">
            <v>Rossi, Daniel Hugo</v>
          </cell>
          <cell r="G4938">
            <v>18999.990000000002</v>
          </cell>
          <cell r="H4938">
            <v>28416005.044199999</v>
          </cell>
          <cell r="I4938" t="str">
            <v>486</v>
          </cell>
        </row>
        <row r="4939">
          <cell r="A4939" t="str">
            <v>USDC</v>
          </cell>
          <cell r="B4939" t="str">
            <v>486000369</v>
          </cell>
          <cell r="C4939" t="str">
            <v>SUCESIÓN ALBERTO S. ARECO S.A.</v>
          </cell>
          <cell r="G4939">
            <v>475939.74</v>
          </cell>
          <cell r="H4939">
            <v>711805956.34920001</v>
          </cell>
          <cell r="I4939" t="str">
            <v>486</v>
          </cell>
        </row>
        <row r="4940">
          <cell r="A4940" t="str">
            <v>USDC</v>
          </cell>
          <cell r="B4940" t="str">
            <v>486000375</v>
          </cell>
          <cell r="C4940" t="str">
            <v>ACUDIR S.A.</v>
          </cell>
          <cell r="G4940">
            <v>616340.18999999994</v>
          </cell>
          <cell r="H4940">
            <v>921786061.36019993</v>
          </cell>
          <cell r="I4940" t="str">
            <v>486</v>
          </cell>
        </row>
        <row r="4941">
          <cell r="A4941" t="str">
            <v>USDC</v>
          </cell>
          <cell r="B4941" t="str">
            <v>486000443</v>
          </cell>
          <cell r="C4941" t="str">
            <v>Gonzalez, Maria Cristina</v>
          </cell>
          <cell r="G4941">
            <v>40.39</v>
          </cell>
          <cell r="H4941">
            <v>60406.476199999997</v>
          </cell>
          <cell r="I4941" t="str">
            <v>486</v>
          </cell>
        </row>
        <row r="4942">
          <cell r="A4942" t="str">
            <v>USDC</v>
          </cell>
          <cell r="B4942" t="str">
            <v>486000469</v>
          </cell>
          <cell r="C4942" t="str">
            <v>Lavezzi, Ezequiel Ivan</v>
          </cell>
          <cell r="G4942">
            <v>500090.18</v>
          </cell>
          <cell r="H4942">
            <v>747924871.40439999</v>
          </cell>
          <cell r="I4942" t="str">
            <v>486</v>
          </cell>
        </row>
        <row r="4943">
          <cell r="A4943" t="str">
            <v>USDC</v>
          </cell>
          <cell r="B4943" t="str">
            <v>486000510</v>
          </cell>
          <cell r="C4943" t="str">
            <v>Waites, Nicole Samantha</v>
          </cell>
          <cell r="G4943">
            <v>14999.73</v>
          </cell>
          <cell r="H4943">
            <v>22433296.193399999</v>
          </cell>
          <cell r="I4943" t="str">
            <v>486</v>
          </cell>
        </row>
        <row r="4944">
          <cell r="A4944" t="str">
            <v>USDC</v>
          </cell>
          <cell r="B4944" t="str">
            <v>486000515</v>
          </cell>
          <cell r="C4944" t="str">
            <v>Boye, Lucas Ariel</v>
          </cell>
          <cell r="G4944">
            <v>9999.4699999999993</v>
          </cell>
          <cell r="H4944">
            <v>14955007.342599999</v>
          </cell>
          <cell r="I4944" t="str">
            <v>486</v>
          </cell>
        </row>
        <row r="4945">
          <cell r="A4945" t="str">
            <v>USDC</v>
          </cell>
          <cell r="B4945" t="str">
            <v>486000524</v>
          </cell>
          <cell r="C4945" t="str">
            <v>Luicina Alcorta</v>
          </cell>
          <cell r="G4945">
            <v>179999.73</v>
          </cell>
          <cell r="H4945">
            <v>269203996.19340003</v>
          </cell>
          <cell r="I4945" t="str">
            <v>486</v>
          </cell>
        </row>
        <row r="4946">
          <cell r="A4946" t="str">
            <v>USDC</v>
          </cell>
          <cell r="B4946" t="str">
            <v>486002121</v>
          </cell>
          <cell r="C4946" t="str">
            <v>UG VALORES SA (TRADING)</v>
          </cell>
          <cell r="G4946">
            <v>2686.32</v>
          </cell>
          <cell r="H4946">
            <v>4017606.4656000002</v>
          </cell>
          <cell r="I4946" t="str">
            <v>486</v>
          </cell>
        </row>
        <row r="4947">
          <cell r="A4947" t="str">
            <v>USDC</v>
          </cell>
          <cell r="B4947" t="str">
            <v>486004545</v>
          </cell>
          <cell r="C4947" t="str">
            <v>UG Valores SA (Trading2)</v>
          </cell>
          <cell r="G4947">
            <v>21108145.23</v>
          </cell>
          <cell r="H4947">
            <v>31568919843.083401</v>
          </cell>
          <cell r="I4947" t="str">
            <v>486</v>
          </cell>
        </row>
        <row r="4948">
          <cell r="A4948" t="str">
            <v>USDC</v>
          </cell>
          <cell r="B4948" t="str">
            <v>486005021</v>
          </cell>
          <cell r="C4948" t="str">
            <v>Cinco Yardas S.R.L</v>
          </cell>
          <cell r="G4948">
            <v>457759.4</v>
          </cell>
          <cell r="H4948">
            <v>684615803.45200002</v>
          </cell>
          <cell r="I4948" t="str">
            <v>486</v>
          </cell>
        </row>
        <row r="4949">
          <cell r="A4949" t="str">
            <v>USDC</v>
          </cell>
          <cell r="B4949" t="str">
            <v>486007373</v>
          </cell>
          <cell r="C4949" t="str">
            <v>Marque, Joaquín Enrique (BOT)</v>
          </cell>
          <cell r="G4949">
            <v>19612315.260000002</v>
          </cell>
          <cell r="H4949">
            <v>29331786456.5508</v>
          </cell>
          <cell r="I4949" t="str">
            <v>486</v>
          </cell>
        </row>
        <row r="4950">
          <cell r="A4950" t="str">
            <v>USDC</v>
          </cell>
          <cell r="B4950" t="str">
            <v>486100269</v>
          </cell>
          <cell r="C4950" t="str">
            <v>[C.E.R.A.] Vilariño, Agustin</v>
          </cell>
          <cell r="G4950">
            <v>6611.76</v>
          </cell>
          <cell r="H4950">
            <v>9888416.0208000001</v>
          </cell>
          <cell r="I4950" t="str">
            <v>486</v>
          </cell>
        </row>
        <row r="4951">
          <cell r="A4951" t="str">
            <v>USDC</v>
          </cell>
          <cell r="B4951" t="str">
            <v>492000029</v>
          </cell>
          <cell r="C4951" t="str">
            <v>RICSA</v>
          </cell>
          <cell r="G4951">
            <v>20000.16</v>
          </cell>
          <cell r="H4951">
            <v>29911839.292799998</v>
          </cell>
          <cell r="I4951" t="str">
            <v>492</v>
          </cell>
        </row>
        <row r="4952">
          <cell r="A4952" t="str">
            <v>USDC</v>
          </cell>
          <cell r="B4952" t="str">
            <v>492000313</v>
          </cell>
          <cell r="C4952" t="str">
            <v>SILICARO, REGINA MARTA</v>
          </cell>
          <cell r="G4952">
            <v>461.19</v>
          </cell>
          <cell r="H4952">
            <v>689746.54019999993</v>
          </cell>
          <cell r="I4952" t="str">
            <v>492</v>
          </cell>
        </row>
        <row r="4953">
          <cell r="A4953" t="str">
            <v>USDC</v>
          </cell>
          <cell r="B4953" t="str">
            <v>492000475</v>
          </cell>
          <cell r="C4953" t="str">
            <v>VITELLI, CLAUDIA BEATRIZ</v>
          </cell>
          <cell r="G4953">
            <v>52201.760000000002</v>
          </cell>
          <cell r="H4953">
            <v>78071908.220799997</v>
          </cell>
          <cell r="I4953" t="str">
            <v>492</v>
          </cell>
        </row>
        <row r="4954">
          <cell r="A4954" t="str">
            <v>USDC</v>
          </cell>
          <cell r="B4954" t="str">
            <v>492000476</v>
          </cell>
          <cell r="C4954" t="str">
            <v>TAGLIAFERRO, LEANDRO ARIEL</v>
          </cell>
          <cell r="G4954">
            <v>54824.63</v>
          </cell>
          <cell r="H4954">
            <v>81994620.135399997</v>
          </cell>
          <cell r="I4954" t="str">
            <v>492</v>
          </cell>
        </row>
        <row r="4955">
          <cell r="A4955" t="str">
            <v>USDC</v>
          </cell>
          <cell r="B4955" t="str">
            <v>534000136</v>
          </cell>
          <cell r="C4955" t="str">
            <v>Dantur, Gladys Josefina &amp; Dantur, Marcelo E.</v>
          </cell>
          <cell r="G4955">
            <v>2508</v>
          </cell>
          <cell r="H4955">
            <v>3750914.6399999997</v>
          </cell>
          <cell r="I4955" t="str">
            <v>534</v>
          </cell>
        </row>
        <row r="4956">
          <cell r="A4956" t="str">
            <v>USDC</v>
          </cell>
          <cell r="B4956" t="str">
            <v>554001010</v>
          </cell>
          <cell r="C4956" t="str">
            <v>Di Bari, Ignacio</v>
          </cell>
          <cell r="G4956">
            <v>0.55000000000000004</v>
          </cell>
          <cell r="H4956">
            <v>822.56900000000007</v>
          </cell>
          <cell r="I4956" t="str">
            <v>554</v>
          </cell>
        </row>
        <row r="4957">
          <cell r="A4957" t="str">
            <v>USDC</v>
          </cell>
          <cell r="B4957" t="str">
            <v>560636006</v>
          </cell>
          <cell r="C4957" t="str">
            <v>Gabriel Matias Indihar</v>
          </cell>
          <cell r="G4957">
            <v>1.06</v>
          </cell>
          <cell r="H4957">
            <v>1585.3148000000001</v>
          </cell>
          <cell r="I4957" t="str">
            <v>560</v>
          </cell>
        </row>
        <row r="4958">
          <cell r="A4958" t="str">
            <v>USDC</v>
          </cell>
          <cell r="B4958" t="str">
            <v>560636007</v>
          </cell>
          <cell r="C4958" t="str">
            <v>Omega Bursátil S.A.</v>
          </cell>
          <cell r="G4958">
            <v>108213.5</v>
          </cell>
          <cell r="H4958">
            <v>161841946.32999998</v>
          </cell>
          <cell r="I4958" t="str">
            <v>560</v>
          </cell>
        </row>
        <row r="4959">
          <cell r="A4959" t="str">
            <v>USDC</v>
          </cell>
          <cell r="B4959" t="str">
            <v>560636379</v>
          </cell>
          <cell r="C4959" t="str">
            <v>HERRERA , NESTOR ANTONIO</v>
          </cell>
          <cell r="G4959">
            <v>126.06</v>
          </cell>
          <cell r="H4959">
            <v>188532.81479999999</v>
          </cell>
          <cell r="I4959" t="str">
            <v>560</v>
          </cell>
        </row>
        <row r="4960">
          <cell r="A4960" t="str">
            <v>USDC</v>
          </cell>
          <cell r="B4960" t="str">
            <v>560636443</v>
          </cell>
          <cell r="C4960" t="str">
            <v>Gomez, Eustaquio Anastasio</v>
          </cell>
          <cell r="G4960">
            <v>24238.44</v>
          </cell>
          <cell r="H4960">
            <v>36250526.095199995</v>
          </cell>
          <cell r="I4960" t="str">
            <v>560</v>
          </cell>
        </row>
        <row r="4961">
          <cell r="A4961" t="str">
            <v>USDC</v>
          </cell>
          <cell r="B4961" t="str">
            <v>560636573</v>
          </cell>
          <cell r="C4961" t="str">
            <v>Gomez, Lucas Miguel</v>
          </cell>
          <cell r="G4961">
            <v>9611.35</v>
          </cell>
          <cell r="H4961">
            <v>14374542.833000001</v>
          </cell>
          <cell r="I4961" t="str">
            <v>560</v>
          </cell>
        </row>
        <row r="4962">
          <cell r="A4962" t="str">
            <v>USDC</v>
          </cell>
          <cell r="B4962" t="str">
            <v>560636647</v>
          </cell>
          <cell r="C4962" t="str">
            <v xml:space="preserve">Gomez, Eustaquio Ezequiel </v>
          </cell>
          <cell r="G4962">
            <v>3531.42</v>
          </cell>
          <cell r="H4962">
            <v>5281521.1235999996</v>
          </cell>
          <cell r="I4962" t="str">
            <v>560</v>
          </cell>
        </row>
        <row r="4963">
          <cell r="A4963" t="str">
            <v>USDC</v>
          </cell>
          <cell r="B4963" t="str">
            <v>560637178</v>
          </cell>
          <cell r="C4963" t="str">
            <v>Zuberbuhler, Ana Maria</v>
          </cell>
          <cell r="G4963">
            <v>18125.64</v>
          </cell>
          <cell r="H4963">
            <v>27108344.671199996</v>
          </cell>
          <cell r="I4963" t="str">
            <v>560</v>
          </cell>
        </row>
        <row r="4964">
          <cell r="A4964" t="str">
            <v>USDC</v>
          </cell>
          <cell r="B4964" t="str">
            <v>560637253</v>
          </cell>
          <cell r="C4964" t="str">
            <v>Saad, Mariana, Hector, Marcos &amp; Elvira Montermini</v>
          </cell>
          <cell r="G4964">
            <v>11538.88</v>
          </cell>
          <cell r="H4964">
            <v>17257318.150399998</v>
          </cell>
          <cell r="I4964" t="str">
            <v>560</v>
          </cell>
        </row>
        <row r="4965">
          <cell r="A4965" t="str">
            <v>USDC</v>
          </cell>
          <cell r="B4965" t="str">
            <v>560637453</v>
          </cell>
          <cell r="C4965" t="str">
            <v>Oblak, Gabriel y Klemencic, Lorena</v>
          </cell>
          <cell r="G4965">
            <v>25.18</v>
          </cell>
          <cell r="H4965">
            <v>37658.704399999995</v>
          </cell>
          <cell r="I4965" t="str">
            <v>560</v>
          </cell>
        </row>
        <row r="4966">
          <cell r="A4966" t="str">
            <v>USDC</v>
          </cell>
          <cell r="B4966" t="str">
            <v>560637577</v>
          </cell>
          <cell r="C4966" t="str">
            <v>Scherman, Ivan Hernando</v>
          </cell>
          <cell r="G4966">
            <v>21999.73</v>
          </cell>
          <cell r="H4966">
            <v>32902356.193399999</v>
          </cell>
          <cell r="I4966" t="str">
            <v>560</v>
          </cell>
        </row>
        <row r="4967">
          <cell r="A4967" t="str">
            <v>USDC</v>
          </cell>
          <cell r="B4967" t="str">
            <v>560637637</v>
          </cell>
          <cell r="C4967" t="str">
            <v>Ceschini, Juan Carlos</v>
          </cell>
          <cell r="G4967">
            <v>1124.01</v>
          </cell>
          <cell r="H4967">
            <v>1681046.8757999998</v>
          </cell>
          <cell r="I4967" t="str">
            <v>560</v>
          </cell>
        </row>
        <row r="4968">
          <cell r="A4968" t="str">
            <v>USDC</v>
          </cell>
          <cell r="B4968" t="str">
            <v>560637829</v>
          </cell>
          <cell r="C4968" t="str">
            <v>Levy, Luciano Nisim &amp; Falak, Olinda Noemi</v>
          </cell>
          <cell r="G4968">
            <v>0.6</v>
          </cell>
          <cell r="H4968">
            <v>897.34799999999996</v>
          </cell>
          <cell r="I4968" t="str">
            <v>560</v>
          </cell>
        </row>
        <row r="4969">
          <cell r="A4969" t="str">
            <v>USDC</v>
          </cell>
          <cell r="B4969" t="str">
            <v>568000004</v>
          </cell>
          <cell r="C4969" t="str">
            <v>AXON CAPITAL S.A</v>
          </cell>
          <cell r="G4969">
            <v>24800000.82</v>
          </cell>
          <cell r="H4969">
            <v>37090385226.375595</v>
          </cell>
          <cell r="I4969" t="str">
            <v>568</v>
          </cell>
        </row>
        <row r="4970">
          <cell r="A4970" t="str">
            <v>USDC</v>
          </cell>
          <cell r="B4970" t="str">
            <v>568000008</v>
          </cell>
          <cell r="C4970" t="str">
            <v>Leonardo Damian Piaggio Olivera</v>
          </cell>
          <cell r="G4970">
            <v>11012.01</v>
          </cell>
          <cell r="H4970">
            <v>16469341.9158</v>
          </cell>
          <cell r="I4970" t="str">
            <v>568</v>
          </cell>
        </row>
        <row r="4971">
          <cell r="A4971" t="str">
            <v>USDC</v>
          </cell>
          <cell r="B4971" t="str">
            <v>568000010</v>
          </cell>
          <cell r="C4971" t="str">
            <v>Costantini, Gonzalo</v>
          </cell>
          <cell r="G4971">
            <v>12400000.41</v>
          </cell>
          <cell r="H4971">
            <v>18545192613.187798</v>
          </cell>
          <cell r="I4971" t="str">
            <v>568</v>
          </cell>
        </row>
        <row r="4972">
          <cell r="A4972" t="str">
            <v>USDC</v>
          </cell>
          <cell r="B4972" t="str">
            <v>568000112</v>
          </cell>
          <cell r="C4972" t="str">
            <v xml:space="preserve">Potenciar S.G.R (FDR) 1 </v>
          </cell>
          <cell r="G4972">
            <v>23203.27</v>
          </cell>
          <cell r="H4972">
            <v>34702346.546599999</v>
          </cell>
          <cell r="I4972" t="str">
            <v>568</v>
          </cell>
        </row>
        <row r="4973">
          <cell r="A4973" t="str">
            <v>USDC</v>
          </cell>
          <cell r="B4973" t="str">
            <v>619009999</v>
          </cell>
          <cell r="C4973" t="str">
            <v>BRIO VALORES AGENTE DE LIQUIDACION Y COMPENSACION S.A.</v>
          </cell>
          <cell r="G4973">
            <v>1479557.32</v>
          </cell>
          <cell r="H4973">
            <v>2212796336.6455998</v>
          </cell>
          <cell r="I4973" t="str">
            <v>619</v>
          </cell>
        </row>
        <row r="4974">
          <cell r="A4974" t="str">
            <v>USDC</v>
          </cell>
          <cell r="B4974" t="str">
            <v>619031712</v>
          </cell>
          <cell r="C4974" t="str">
            <v>ORLANDI, ALFREDO GUILLERMO u ORLANDI, MARIA FLORENCIA u ORLANDI, SANTIAGO RUBEN u ORLANDI, Gisela Laura y MASETTI, Susana</v>
          </cell>
          <cell r="G4974">
            <v>544999.94999999995</v>
          </cell>
          <cell r="H4974">
            <v>815091025.22099984</v>
          </cell>
          <cell r="I4974" t="str">
            <v>619</v>
          </cell>
        </row>
        <row r="4975">
          <cell r="A4975" t="str">
            <v>USDC</v>
          </cell>
          <cell r="B4975" t="str">
            <v>619050429</v>
          </cell>
          <cell r="C4975" t="str">
            <v>YASCI, Adriana Del Lujan</v>
          </cell>
          <cell r="G4975">
            <v>203038.98</v>
          </cell>
          <cell r="H4975">
            <v>303661037.70840001</v>
          </cell>
          <cell r="I4975" t="str">
            <v>619</v>
          </cell>
        </row>
        <row r="4976">
          <cell r="A4976" t="str">
            <v>USDC</v>
          </cell>
          <cell r="B4976" t="str">
            <v>619050824</v>
          </cell>
          <cell r="C4976" t="str">
            <v>CHEMES, HECTOR DANIEL</v>
          </cell>
          <cell r="G4976">
            <v>194778.71</v>
          </cell>
          <cell r="H4976">
            <v>291307143.10179996</v>
          </cell>
          <cell r="I4976" t="str">
            <v>619</v>
          </cell>
        </row>
        <row r="4977">
          <cell r="A4977" t="str">
            <v>USDC</v>
          </cell>
          <cell r="B4977" t="str">
            <v>620303210</v>
          </cell>
          <cell r="C4977" t="str">
            <v>ROBERTO NANT S.R.L.</v>
          </cell>
          <cell r="G4977">
            <v>218735.51</v>
          </cell>
          <cell r="H4977">
            <v>327136454.04579997</v>
          </cell>
          <cell r="I4977" t="str">
            <v>620</v>
          </cell>
        </row>
        <row r="4978">
          <cell r="A4978" t="str">
            <v>USDC</v>
          </cell>
          <cell r="B4978" t="str">
            <v>624004072</v>
          </cell>
          <cell r="C4978" t="str">
            <v>GALEAZZI, JOSE LUIS o FISSORE, MARIA SOLEDAD o GALEAZZI, FRANCO</v>
          </cell>
          <cell r="G4978">
            <v>21608.57</v>
          </cell>
          <cell r="H4978">
            <v>32317345.120599996</v>
          </cell>
          <cell r="I4978" t="str">
            <v>624</v>
          </cell>
        </row>
        <row r="4979">
          <cell r="A4979" t="str">
            <v>USDC</v>
          </cell>
          <cell r="B4979" t="str">
            <v>687000928</v>
          </cell>
          <cell r="C4979" t="str">
            <v>CORDIVIOLA, ESTEBAN GABRIEL</v>
          </cell>
          <cell r="G4979">
            <v>118079.97</v>
          </cell>
          <cell r="H4979">
            <v>176598041.53259999</v>
          </cell>
          <cell r="I4979" t="str">
            <v>687</v>
          </cell>
        </row>
        <row r="4980">
          <cell r="A4980" t="str">
            <v>USDC</v>
          </cell>
          <cell r="B4980" t="str">
            <v>687000968</v>
          </cell>
          <cell r="C4980" t="str">
            <v>GARCIA, AGUSTIN GASTON</v>
          </cell>
          <cell r="G4980">
            <v>1.1599999999999999</v>
          </cell>
          <cell r="H4980">
            <v>1734.8727999999999</v>
          </cell>
          <cell r="I4980" t="str">
            <v>687</v>
          </cell>
        </row>
        <row r="4981">
          <cell r="A4981" t="str">
            <v>USDC</v>
          </cell>
          <cell r="B4981" t="str">
            <v>758011002</v>
          </cell>
          <cell r="C4981" t="str">
            <v>Orlando Brennan Tomas Manuel</v>
          </cell>
          <cell r="G4981">
            <v>1204.51</v>
          </cell>
          <cell r="H4981">
            <v>1801441.0658</v>
          </cell>
          <cell r="I4981" t="str">
            <v>758</v>
          </cell>
        </row>
        <row r="4982">
          <cell r="A4982" t="str">
            <v>USDC</v>
          </cell>
          <cell r="B4982" t="str">
            <v>761402830</v>
          </cell>
          <cell r="C4982" t="str">
            <v>SRAIER ANDREA EDITH</v>
          </cell>
          <cell r="G4982">
            <v>137721.68</v>
          </cell>
          <cell r="H4982">
            <v>205973790.17439997</v>
          </cell>
          <cell r="I4982" t="str">
            <v>761</v>
          </cell>
        </row>
        <row r="4983">
          <cell r="A4983" t="str">
            <v>USDC</v>
          </cell>
          <cell r="B4983" t="str">
            <v>765000643</v>
          </cell>
          <cell r="C4983" t="str">
            <v>Tapia Dubournais, Gonzalo Andres</v>
          </cell>
          <cell r="G4983">
            <v>17699.03</v>
          </cell>
          <cell r="H4983">
            <v>26470315.287399996</v>
          </cell>
          <cell r="I4983" t="str">
            <v>765</v>
          </cell>
        </row>
        <row r="4984">
          <cell r="A4984" t="str">
            <v>USDC</v>
          </cell>
          <cell r="B4984" t="str">
            <v>765000655</v>
          </cell>
          <cell r="C4984" t="str">
            <v>Baeza Baeza, Claudio Andrés</v>
          </cell>
          <cell r="G4984">
            <v>39794.78</v>
          </cell>
          <cell r="H4984">
            <v>59516277.072399996</v>
          </cell>
          <cell r="I4984" t="str">
            <v>765</v>
          </cell>
        </row>
        <row r="4985">
          <cell r="A4985" t="str">
            <v>USDC</v>
          </cell>
          <cell r="B4985" t="str">
            <v>765000660</v>
          </cell>
          <cell r="C4985" t="str">
            <v>Santos Rosadilla, Michael Nicolas</v>
          </cell>
          <cell r="G4985">
            <v>58904.13</v>
          </cell>
          <cell r="H4985">
            <v>88095838.745399997</v>
          </cell>
          <cell r="I4985" t="str">
            <v>765</v>
          </cell>
        </row>
        <row r="4986">
          <cell r="A4986" t="str">
            <v>USDC</v>
          </cell>
          <cell r="B4986" t="str">
            <v>765000710</v>
          </cell>
          <cell r="C4986" t="str">
            <v>Valdes Contreras, Diego Alfonso</v>
          </cell>
          <cell r="G4986">
            <v>70254.990000000005</v>
          </cell>
          <cell r="H4986">
            <v>105071957.94420001</v>
          </cell>
          <cell r="I4986" t="str">
            <v>765</v>
          </cell>
        </row>
        <row r="4987">
          <cell r="A4987" t="str">
            <v>USDC</v>
          </cell>
          <cell r="B4987" t="str">
            <v>765000713</v>
          </cell>
          <cell r="C4987" t="str">
            <v>Depetris, Mara Belén</v>
          </cell>
          <cell r="G4987">
            <v>72189.740000000005</v>
          </cell>
          <cell r="H4987">
            <v>107965531.3492</v>
          </cell>
          <cell r="I4987" t="str">
            <v>765</v>
          </cell>
        </row>
        <row r="4988">
          <cell r="A4988" t="str">
            <v>USDC</v>
          </cell>
          <cell r="B4988" t="str">
            <v>766000058</v>
          </cell>
          <cell r="C4988" t="str">
            <v>Boschi, Robertino Osvaldo</v>
          </cell>
          <cell r="G4988">
            <v>6451.9</v>
          </cell>
          <cell r="H4988">
            <v>9649332.6019999981</v>
          </cell>
          <cell r="I4988" t="str">
            <v>766</v>
          </cell>
        </row>
        <row r="4989">
          <cell r="A4989" t="str">
            <v>USDC</v>
          </cell>
          <cell r="B4989" t="str">
            <v>788001384</v>
          </cell>
          <cell r="C4989" t="str">
            <v>CICCONI JORGE ROBERTO</v>
          </cell>
          <cell r="G4989">
            <v>10159.41</v>
          </cell>
          <cell r="H4989">
            <v>15194210.407799998</v>
          </cell>
          <cell r="I4989" t="str">
            <v>788</v>
          </cell>
        </row>
        <row r="4990">
          <cell r="A4990" t="str">
            <v>USDC</v>
          </cell>
          <cell r="B4990" t="str">
            <v>788002147</v>
          </cell>
          <cell r="C4990" t="str">
            <v>Tarallo, Agustín</v>
          </cell>
          <cell r="G4990">
            <v>24781.4</v>
          </cell>
          <cell r="H4990">
            <v>37062566.211999997</v>
          </cell>
          <cell r="I4990" t="str">
            <v>788</v>
          </cell>
        </row>
        <row r="4991">
          <cell r="A4991" t="str">
            <v>USDC</v>
          </cell>
          <cell r="B4991" t="str">
            <v>788002958</v>
          </cell>
          <cell r="C4991" t="str">
            <v>DEL ALAMO, RAMIRO</v>
          </cell>
          <cell r="G4991">
            <v>991.89</v>
          </cell>
          <cell r="H4991">
            <v>1483450.8461999998</v>
          </cell>
          <cell r="I4991" t="str">
            <v>788</v>
          </cell>
        </row>
        <row r="4992">
          <cell r="A4992" t="str">
            <v>USDC</v>
          </cell>
          <cell r="B4992" t="str">
            <v>788003291</v>
          </cell>
          <cell r="C4992" t="str">
            <v>STRAUSS, DENISE</v>
          </cell>
          <cell r="G4992">
            <v>107.58</v>
          </cell>
          <cell r="H4992">
            <v>160894.4964</v>
          </cell>
          <cell r="I4992" t="str">
            <v>788</v>
          </cell>
        </row>
        <row r="4993">
          <cell r="A4993" t="str">
            <v>USDC</v>
          </cell>
          <cell r="B4993" t="str">
            <v>802000998</v>
          </cell>
          <cell r="C4993" t="str">
            <v>Meta Inversiones S.A.</v>
          </cell>
          <cell r="G4993">
            <v>1729443.45</v>
          </cell>
          <cell r="H4993">
            <v>2586521034.9509997</v>
          </cell>
          <cell r="I4993" t="str">
            <v>802</v>
          </cell>
        </row>
        <row r="4994">
          <cell r="A4994" t="str">
            <v>USDC</v>
          </cell>
          <cell r="B4994" t="str">
            <v>802000999</v>
          </cell>
          <cell r="C4994" t="str">
            <v>META INVERSIONES SA</v>
          </cell>
          <cell r="G4994">
            <v>8671452.8399999999</v>
          </cell>
          <cell r="H4994">
            <v>12968851438.447199</v>
          </cell>
          <cell r="I4994" t="str">
            <v>802</v>
          </cell>
        </row>
        <row r="4995">
          <cell r="A4995" t="str">
            <v>USDC</v>
          </cell>
          <cell r="B4995" t="str">
            <v>802001007</v>
          </cell>
          <cell r="C4995" t="str">
            <v>WILMAR COOPERATIVA DE VIVIENDA CREDITO Y CONSUMO LTDA</v>
          </cell>
          <cell r="G4995">
            <v>91945.05</v>
          </cell>
          <cell r="H4995">
            <v>137511177.87900001</v>
          </cell>
          <cell r="I4995" t="str">
            <v>802</v>
          </cell>
        </row>
        <row r="4996">
          <cell r="A4996" t="str">
            <v>USDC</v>
          </cell>
          <cell r="B4996" t="str">
            <v>802001452</v>
          </cell>
          <cell r="C4996" t="str">
            <v>KOSINER, HERNAN PATRICIO y KOSINER, JIMENA</v>
          </cell>
          <cell r="G4996">
            <v>3498.23</v>
          </cell>
          <cell r="H4996">
            <v>5231882.8234000001</v>
          </cell>
          <cell r="I4996" t="str">
            <v>802</v>
          </cell>
        </row>
        <row r="4997">
          <cell r="A4997" t="str">
            <v>USDC</v>
          </cell>
          <cell r="B4997" t="str">
            <v>802001770</v>
          </cell>
          <cell r="C4997" t="str">
            <v>CERAMICA SAN LORENZO I.C.S.A.</v>
          </cell>
          <cell r="G4997">
            <v>152215.82</v>
          </cell>
          <cell r="H4997">
            <v>227650936.0756</v>
          </cell>
          <cell r="I4997" t="str">
            <v>802</v>
          </cell>
        </row>
        <row r="4998">
          <cell r="A4998" t="str">
            <v>USDC</v>
          </cell>
          <cell r="B4998" t="str">
            <v>802001793</v>
          </cell>
          <cell r="C4998" t="str">
            <v>DISTRIBUIDORA AMERICANA DEL RELOJ SUIZO S.A.</v>
          </cell>
          <cell r="G4998">
            <v>240299.32</v>
          </cell>
          <cell r="H4998">
            <v>359386857.00559998</v>
          </cell>
          <cell r="I4998" t="str">
            <v>802</v>
          </cell>
        </row>
        <row r="4999">
          <cell r="A4999" t="str">
            <v>USDC</v>
          </cell>
          <cell r="B4999" t="str">
            <v>802001841</v>
          </cell>
          <cell r="C4999" t="str">
            <v>BONIFACIO, ANDRES</v>
          </cell>
          <cell r="G4999">
            <v>411256.46</v>
          </cell>
          <cell r="H4999">
            <v>615066936.44679999</v>
          </cell>
          <cell r="I4999" t="str">
            <v>802</v>
          </cell>
        </row>
        <row r="5000">
          <cell r="A5000" t="str">
            <v>USDC</v>
          </cell>
          <cell r="B5000" t="str">
            <v>802001935</v>
          </cell>
          <cell r="C5000" t="str">
            <v>SIKA AG</v>
          </cell>
          <cell r="G5000">
            <v>2727647.1</v>
          </cell>
          <cell r="H5000">
            <v>4079414449.8179998</v>
          </cell>
          <cell r="I5000" t="str">
            <v>802</v>
          </cell>
        </row>
        <row r="5001">
          <cell r="A5001" t="str">
            <v>USDC</v>
          </cell>
          <cell r="B5001" t="str">
            <v>802001944</v>
          </cell>
          <cell r="C5001" t="str">
            <v>MAHLE METAL LEVE S.A.</v>
          </cell>
          <cell r="G5001">
            <v>730990.82</v>
          </cell>
          <cell r="H5001">
            <v>1093255250.5755999</v>
          </cell>
          <cell r="I5001" t="str">
            <v>802</v>
          </cell>
        </row>
        <row r="5002">
          <cell r="A5002" t="str">
            <v>USDC</v>
          </cell>
          <cell r="B5002" t="str">
            <v>802001950</v>
          </cell>
          <cell r="C5002" t="str">
            <v>HILTI ARGENTINA SRL</v>
          </cell>
          <cell r="G5002">
            <v>528665.81999999995</v>
          </cell>
          <cell r="H5002">
            <v>790662027.07559991</v>
          </cell>
          <cell r="I5002" t="str">
            <v>802</v>
          </cell>
        </row>
        <row r="5003">
          <cell r="A5003" t="str">
            <v>USDC</v>
          </cell>
          <cell r="B5003" t="str">
            <v>806000367</v>
          </cell>
          <cell r="C5003" t="str">
            <v>ECS LATAM SAS</v>
          </cell>
          <cell r="G5003">
            <v>20184.84</v>
          </cell>
          <cell r="H5003">
            <v>30188043.007199999</v>
          </cell>
          <cell r="I5003" t="str">
            <v>806</v>
          </cell>
        </row>
        <row r="5004">
          <cell r="A5004" t="str">
            <v>USDC</v>
          </cell>
          <cell r="B5004" t="str">
            <v>816000105</v>
          </cell>
          <cell r="C5004" t="str">
            <v>Ustariz, Cristian Alberto y Cardona, Maria Dolores y Ustariz, Segundo</v>
          </cell>
          <cell r="G5004">
            <v>13878.27</v>
          </cell>
          <cell r="H5004">
            <v>20756063.046599999</v>
          </cell>
          <cell r="I5004" t="str">
            <v>816</v>
          </cell>
        </row>
        <row r="5005">
          <cell r="A5005" t="str">
            <v>USDC</v>
          </cell>
          <cell r="B5005" t="str">
            <v>816000132</v>
          </cell>
          <cell r="C5005" t="str">
            <v>Giardini, Jorge Raul</v>
          </cell>
          <cell r="G5005">
            <v>69335.199999999997</v>
          </cell>
          <cell r="H5005">
            <v>103696338.41599999</v>
          </cell>
          <cell r="I5005" t="str">
            <v>816</v>
          </cell>
        </row>
        <row r="5006">
          <cell r="A5006" t="str">
            <v>USDC</v>
          </cell>
          <cell r="B5006" t="str">
            <v>816000139</v>
          </cell>
          <cell r="C5006" t="str">
            <v>Boixart, Hugo Ramon y Montaña Corina V.</v>
          </cell>
          <cell r="G5006">
            <v>182929.07</v>
          </cell>
          <cell r="H5006">
            <v>273585058.51059997</v>
          </cell>
          <cell r="I5006" t="str">
            <v>816</v>
          </cell>
        </row>
        <row r="5007">
          <cell r="A5007" t="str">
            <v>USDC</v>
          </cell>
          <cell r="B5007" t="str">
            <v>816000307</v>
          </cell>
          <cell r="C5007" t="str">
            <v>Molinero, Carlos Danilo; Alvarez Nilda; Molinero Lautaro</v>
          </cell>
          <cell r="G5007">
            <v>2.2400000000000002</v>
          </cell>
          <cell r="H5007">
            <v>3350.0992000000001</v>
          </cell>
          <cell r="I5007" t="str">
            <v>816</v>
          </cell>
        </row>
        <row r="5008">
          <cell r="A5008" t="str">
            <v>USDC</v>
          </cell>
          <cell r="B5008" t="str">
            <v>816000308</v>
          </cell>
          <cell r="C5008" t="str">
            <v>Bercovich, Cecilia Adriana</v>
          </cell>
          <cell r="G5008">
            <v>2172.7800000000002</v>
          </cell>
          <cell r="H5008">
            <v>3249566.3124000002</v>
          </cell>
          <cell r="I5008" t="str">
            <v>816</v>
          </cell>
        </row>
        <row r="5009">
          <cell r="A5009" t="str">
            <v>USDC</v>
          </cell>
          <cell r="B5009" t="str">
            <v>816000420</v>
          </cell>
          <cell r="C5009" t="str">
            <v>Sterin Carmona, Ricardo R. y Pensel, Silvia E. y Sterin Pensel, Lucas</v>
          </cell>
          <cell r="G5009">
            <v>50077.64</v>
          </cell>
          <cell r="H5009">
            <v>74895116.831199989</v>
          </cell>
          <cell r="I5009" t="str">
            <v>816</v>
          </cell>
        </row>
        <row r="5010">
          <cell r="A5010" t="str">
            <v>USDC</v>
          </cell>
          <cell r="B5010" t="str">
            <v>816000422</v>
          </cell>
          <cell r="C5010" t="str">
            <v>Logistica Rojas S.A.</v>
          </cell>
          <cell r="G5010">
            <v>95514.19</v>
          </cell>
          <cell r="H5010">
            <v>142849112.2802</v>
          </cell>
          <cell r="I5010" t="str">
            <v>816</v>
          </cell>
        </row>
        <row r="5011">
          <cell r="A5011" t="str">
            <v>USDC</v>
          </cell>
          <cell r="B5011" t="str">
            <v>816000430</v>
          </cell>
          <cell r="C5011" t="str">
            <v>Abalo, Eduardo Diego y Igarzabal, Maria Laura</v>
          </cell>
          <cell r="G5011">
            <v>48782.15</v>
          </cell>
          <cell r="H5011">
            <v>72957607.897</v>
          </cell>
          <cell r="I5011" t="str">
            <v>816</v>
          </cell>
        </row>
        <row r="5012">
          <cell r="A5012" t="str">
            <v>USDC</v>
          </cell>
          <cell r="B5012" t="str">
            <v>816000612</v>
          </cell>
          <cell r="C5012" t="str">
            <v>Lalor S.A.C.M. y F.</v>
          </cell>
          <cell r="G5012">
            <v>2932.6</v>
          </cell>
          <cell r="H5012">
            <v>4385937.9079999998</v>
          </cell>
          <cell r="I5012" t="str">
            <v>816</v>
          </cell>
        </row>
        <row r="5013">
          <cell r="A5013" t="str">
            <v>USDC</v>
          </cell>
          <cell r="B5013" t="str">
            <v>816000650</v>
          </cell>
          <cell r="C5013" t="str">
            <v>Fundación Universidad de Belgrano Doctor Avelino Porto</v>
          </cell>
          <cell r="G5013">
            <v>1699687.66</v>
          </cell>
          <cell r="H5013">
            <v>2542018870.5427999</v>
          </cell>
          <cell r="I5013" t="str">
            <v>816</v>
          </cell>
        </row>
        <row r="5014">
          <cell r="A5014" t="str">
            <v>USDC</v>
          </cell>
          <cell r="B5014" t="str">
            <v>816000687</v>
          </cell>
          <cell r="C5014" t="str">
            <v>Cardenas Maria Pia - Riesenkamp Guillermo Constantino</v>
          </cell>
          <cell r="G5014">
            <v>6597.31</v>
          </cell>
          <cell r="H5014">
            <v>9866804.8898000009</v>
          </cell>
          <cell r="I5014" t="str">
            <v>816</v>
          </cell>
        </row>
        <row r="5015">
          <cell r="A5015" t="str">
            <v>USDC</v>
          </cell>
          <cell r="B5015" t="str">
            <v>816000829</v>
          </cell>
          <cell r="C5015" t="str">
            <v>Martinez Schuster, Elias Juan</v>
          </cell>
          <cell r="G5015">
            <v>599959.4</v>
          </cell>
          <cell r="H5015">
            <v>897287279.45200002</v>
          </cell>
          <cell r="I5015" t="str">
            <v>816</v>
          </cell>
        </row>
        <row r="5016">
          <cell r="A5016" t="str">
            <v>USDC</v>
          </cell>
          <cell r="B5016" t="str">
            <v>816000866</v>
          </cell>
          <cell r="C5016" t="str">
            <v>Bab Weinstein, Daniel Julio o Litman Schatz, Lucia Adriana</v>
          </cell>
          <cell r="G5016">
            <v>49027.71</v>
          </cell>
          <cell r="H5016">
            <v>73324862.521799996</v>
          </cell>
          <cell r="I5016" t="str">
            <v>816</v>
          </cell>
        </row>
        <row r="5017">
          <cell r="A5017" t="str">
            <v>USDC</v>
          </cell>
          <cell r="B5017" t="str">
            <v>816000907</v>
          </cell>
          <cell r="C5017" t="str">
            <v>Iacono, Eduardo Luis y Cioffi, Mirta</v>
          </cell>
          <cell r="G5017">
            <v>1987.18</v>
          </cell>
          <cell r="H5017">
            <v>2971986.6644000001</v>
          </cell>
          <cell r="I5017" t="str">
            <v>816</v>
          </cell>
        </row>
        <row r="5018">
          <cell r="A5018" t="str">
            <v>USDC</v>
          </cell>
          <cell r="B5018" t="str">
            <v>816001701</v>
          </cell>
          <cell r="C5018" t="str">
            <v>DEPLAMED S.R.L.</v>
          </cell>
          <cell r="G5018">
            <v>50341.87</v>
          </cell>
          <cell r="H5018">
            <v>75290293.934599996</v>
          </cell>
          <cell r="I5018" t="str">
            <v>816</v>
          </cell>
        </row>
        <row r="5019">
          <cell r="A5019" t="str">
            <v>USDC</v>
          </cell>
          <cell r="B5019" t="str">
            <v>816001807</v>
          </cell>
          <cell r="C5019" t="str">
            <v>Blaquier, Isabel</v>
          </cell>
          <cell r="G5019">
            <v>184812.03</v>
          </cell>
          <cell r="H5019">
            <v>276401175.82739997</v>
          </cell>
          <cell r="I5019" t="str">
            <v>816</v>
          </cell>
        </row>
        <row r="5020">
          <cell r="A5020" t="str">
            <v>USDC</v>
          </cell>
          <cell r="B5020" t="str">
            <v>816001809</v>
          </cell>
          <cell r="C5020" t="str">
            <v>Blaquier, Magdalena</v>
          </cell>
          <cell r="G5020">
            <v>184810.98</v>
          </cell>
          <cell r="H5020">
            <v>276399605.4684</v>
          </cell>
          <cell r="I5020" t="str">
            <v>816</v>
          </cell>
        </row>
        <row r="5021">
          <cell r="A5021" t="str">
            <v>USDC</v>
          </cell>
          <cell r="B5021" t="str">
            <v>816001821</v>
          </cell>
          <cell r="C5021" t="str">
            <v>Moroni, Lucia</v>
          </cell>
          <cell r="G5021">
            <v>1984.39</v>
          </cell>
          <cell r="H5021">
            <v>2967813.9961999999</v>
          </cell>
          <cell r="I5021" t="str">
            <v>816</v>
          </cell>
        </row>
        <row r="5022">
          <cell r="A5022" t="str">
            <v>USDC</v>
          </cell>
          <cell r="B5022" t="str">
            <v>816003014</v>
          </cell>
          <cell r="C5022" t="str">
            <v>Llorente Gonzalo Maria</v>
          </cell>
          <cell r="G5022">
            <v>16285.42</v>
          </cell>
          <cell r="H5022">
            <v>24356148.443599999</v>
          </cell>
          <cell r="I5022" t="str">
            <v>816</v>
          </cell>
        </row>
        <row r="5023">
          <cell r="A5023" t="str">
            <v>USDC</v>
          </cell>
          <cell r="B5023" t="str">
            <v>816003022</v>
          </cell>
          <cell r="C5023" t="str">
            <v xml:space="preserve">Secco Vivian, Secco Gabriela </v>
          </cell>
          <cell r="G5023">
            <v>3552.13</v>
          </cell>
          <cell r="H5023">
            <v>5312494.5854000002</v>
          </cell>
          <cell r="I5023" t="str">
            <v>816</v>
          </cell>
        </row>
        <row r="5024">
          <cell r="A5024" t="str">
            <v>USDC</v>
          </cell>
          <cell r="B5024" t="str">
            <v>816102185</v>
          </cell>
          <cell r="C5024" t="str">
            <v>CZ WEALTH MANAGEMENT SA</v>
          </cell>
          <cell r="G5024">
            <v>3314914.66</v>
          </cell>
          <cell r="H5024">
            <v>4957720067.2027998</v>
          </cell>
          <cell r="I5024" t="str">
            <v>816</v>
          </cell>
        </row>
        <row r="5025">
          <cell r="A5025" t="str">
            <v>USDC</v>
          </cell>
          <cell r="B5025" t="str">
            <v>817000240</v>
          </cell>
          <cell r="C5025" t="str">
            <v>Juan Pablo Bledel - Patricia Alejandra Cabot</v>
          </cell>
          <cell r="G5025">
            <v>159813</v>
          </cell>
          <cell r="H5025">
            <v>239013126.53999999</v>
          </cell>
          <cell r="I5025" t="str">
            <v>817</v>
          </cell>
        </row>
        <row r="5026">
          <cell r="A5026" t="str">
            <v>USDC</v>
          </cell>
          <cell r="B5026" t="str">
            <v>817000854</v>
          </cell>
          <cell r="C5026" t="str">
            <v>Inmueble Las Heras S.A.</v>
          </cell>
          <cell r="G5026">
            <v>800000.54</v>
          </cell>
          <cell r="H5026">
            <v>1196464807.6131999</v>
          </cell>
          <cell r="I5026" t="str">
            <v>817</v>
          </cell>
        </row>
        <row r="5027">
          <cell r="A5027" t="str">
            <v>USDC</v>
          </cell>
          <cell r="B5027" t="str">
            <v>817000878</v>
          </cell>
          <cell r="C5027" t="str">
            <v>Castresana, Patricio y Dopazo, Maria Soledad</v>
          </cell>
          <cell r="G5027">
            <v>249874.73</v>
          </cell>
          <cell r="H5027">
            <v>373707648.69340003</v>
          </cell>
          <cell r="I5027" t="str">
            <v>817</v>
          </cell>
        </row>
        <row r="5028">
          <cell r="A5028" t="str">
            <v>USDC</v>
          </cell>
          <cell r="B5028" t="str">
            <v>817000882</v>
          </cell>
          <cell r="C5028" t="str">
            <v>White Cloud S.R.L.</v>
          </cell>
          <cell r="G5028">
            <v>1436710.06</v>
          </cell>
          <cell r="H5028">
            <v>2148714831.5348001</v>
          </cell>
          <cell r="I5028" t="str">
            <v>817</v>
          </cell>
        </row>
        <row r="5029">
          <cell r="A5029" t="str">
            <v>USDC</v>
          </cell>
          <cell r="B5029" t="str">
            <v>817000909</v>
          </cell>
          <cell r="C5029" t="str">
            <v>Chacra la Isabel S.R.L.</v>
          </cell>
          <cell r="G5029">
            <v>3109.01</v>
          </cell>
          <cell r="H5029">
            <v>4649773.1758000003</v>
          </cell>
          <cell r="I5029" t="str">
            <v>817</v>
          </cell>
        </row>
        <row r="5030">
          <cell r="A5030" t="str">
            <v>USDC</v>
          </cell>
          <cell r="B5030" t="str">
            <v>817001372</v>
          </cell>
          <cell r="C5030" t="str">
            <v>Distribuidora de Gas Cuyana S.A</v>
          </cell>
          <cell r="G5030">
            <v>9788500.5899999999</v>
          </cell>
          <cell r="H5030">
            <v>14639485712.392199</v>
          </cell>
          <cell r="I5030" t="str">
            <v>817</v>
          </cell>
        </row>
        <row r="5031">
          <cell r="A5031" t="str">
            <v>USDC</v>
          </cell>
          <cell r="B5031" t="str">
            <v>817001373</v>
          </cell>
          <cell r="C5031" t="str">
            <v>DISTRIBUIDORA DE GAS DEL CENTRO S.A.</v>
          </cell>
          <cell r="G5031">
            <v>10822500.560000001</v>
          </cell>
          <cell r="H5031">
            <v>16185915387.524799</v>
          </cell>
          <cell r="I5031" t="str">
            <v>817</v>
          </cell>
        </row>
        <row r="5032">
          <cell r="A5032" t="str">
            <v>USDC</v>
          </cell>
          <cell r="B5032" t="str">
            <v>817001499</v>
          </cell>
          <cell r="C5032" t="str">
            <v xml:space="preserve">Benites, Agustín María </v>
          </cell>
          <cell r="G5032">
            <v>43540.01</v>
          </cell>
          <cell r="H5032">
            <v>65117568.1558</v>
          </cell>
          <cell r="I5032" t="str">
            <v>817</v>
          </cell>
        </row>
        <row r="5033">
          <cell r="A5033" t="str">
            <v>USDC</v>
          </cell>
          <cell r="B5033" t="str">
            <v>817001635</v>
          </cell>
          <cell r="C5033" t="str">
            <v>Mainver Soccer Corp SA</v>
          </cell>
          <cell r="G5033">
            <v>1640772.68</v>
          </cell>
          <cell r="H5033">
            <v>2453906804.7543998</v>
          </cell>
          <cell r="I5033" t="str">
            <v>817</v>
          </cell>
        </row>
        <row r="5034">
          <cell r="A5034" t="str">
            <v>USDC</v>
          </cell>
          <cell r="B5034" t="str">
            <v>817001797</v>
          </cell>
          <cell r="C5034" t="str">
            <v>BCSA SD ADCAP AHORRO DOLARES (CNV 869)</v>
          </cell>
          <cell r="G5034">
            <v>27702705.170000002</v>
          </cell>
          <cell r="H5034">
            <v>41431611798.148598</v>
          </cell>
          <cell r="I5034" t="str">
            <v>817</v>
          </cell>
        </row>
        <row r="5035">
          <cell r="A5035" t="str">
            <v>USDC</v>
          </cell>
          <cell r="B5035" t="str">
            <v>817003110</v>
          </cell>
          <cell r="C5035" t="str">
            <v>Swiss Medical SA</v>
          </cell>
          <cell r="G5035">
            <v>2303000</v>
          </cell>
          <cell r="H5035">
            <v>3444320740</v>
          </cell>
          <cell r="I5035" t="str">
            <v>817</v>
          </cell>
        </row>
        <row r="5036">
          <cell r="A5036" t="str">
            <v>USDC</v>
          </cell>
          <cell r="B5036" t="str">
            <v>817003285</v>
          </cell>
          <cell r="C5036" t="str">
            <v>Ecogas Inversiones S.A.</v>
          </cell>
          <cell r="G5036">
            <v>665000</v>
          </cell>
          <cell r="H5036">
            <v>994560700</v>
          </cell>
          <cell r="I5036" t="str">
            <v>817</v>
          </cell>
        </row>
        <row r="5037">
          <cell r="A5037" t="str">
            <v>USDC</v>
          </cell>
          <cell r="B5037" t="str">
            <v>817100015</v>
          </cell>
          <cell r="C5037" t="str">
            <v>VALO Securities SAU con intermediacion de ICG</v>
          </cell>
          <cell r="G5037">
            <v>353734341.23000002</v>
          </cell>
          <cell r="H5037">
            <v>529038006056.76343</v>
          </cell>
          <cell r="I5037" t="str">
            <v>817</v>
          </cell>
        </row>
        <row r="5038">
          <cell r="A5038" t="str">
            <v>USDC</v>
          </cell>
          <cell r="B5038" t="str">
            <v>834010786</v>
          </cell>
          <cell r="C5038" t="str">
            <v>PRODUCTS STA ARGENTINA S.A.S.</v>
          </cell>
          <cell r="G5038">
            <v>49937.04</v>
          </cell>
          <cell r="H5038">
            <v>74684838.283199996</v>
          </cell>
          <cell r="I5038" t="str">
            <v>834</v>
          </cell>
        </row>
        <row r="5039">
          <cell r="A5039" t="str">
            <v>USDC</v>
          </cell>
          <cell r="B5039" t="str">
            <v>852000005</v>
          </cell>
          <cell r="C5039" t="str">
            <v>MG ALFA</v>
          </cell>
          <cell r="G5039">
            <v>50794.879999999997</v>
          </cell>
          <cell r="H5039">
            <v>75967806.630399987</v>
          </cell>
          <cell r="I5039" t="str">
            <v>852</v>
          </cell>
        </row>
        <row r="5040">
          <cell r="A5040" t="str">
            <v>USDC</v>
          </cell>
          <cell r="B5040" t="str">
            <v>852000065</v>
          </cell>
          <cell r="C5040" t="str">
            <v>MG ALFA OPERACIONES</v>
          </cell>
          <cell r="G5040">
            <v>70210</v>
          </cell>
          <cell r="H5040">
            <v>105004671.8</v>
          </cell>
          <cell r="I5040" t="str">
            <v>852</v>
          </cell>
        </row>
        <row r="5041">
          <cell r="A5041" t="str">
            <v>USDC</v>
          </cell>
          <cell r="B5041" t="str">
            <v>875001148</v>
          </cell>
          <cell r="C5041" t="str">
            <v xml:space="preserve">De Maria , Marcos  o Curia , Martina </v>
          </cell>
          <cell r="G5041">
            <v>74.98</v>
          </cell>
          <cell r="H5041">
            <v>112138.58839999999</v>
          </cell>
          <cell r="I5041" t="str">
            <v>875</v>
          </cell>
        </row>
        <row r="5042">
          <cell r="A5042" t="str">
            <v>USDL</v>
          </cell>
          <cell r="B5042" t="str">
            <v>403008443</v>
          </cell>
          <cell r="C5042" t="str">
            <v>ESTABLECIMIENTO AVICOLA LA MOROCHA SA</v>
          </cell>
          <cell r="G5042">
            <v>3250</v>
          </cell>
          <cell r="H5042">
            <v>4860635</v>
          </cell>
          <cell r="I5042" t="str">
            <v>403</v>
          </cell>
        </row>
        <row r="5043">
          <cell r="A5043" t="str">
            <v>USDL</v>
          </cell>
          <cell r="B5043" t="str">
            <v>403009599</v>
          </cell>
          <cell r="C5043" t="str">
            <v>Mugica y Cia. SA</v>
          </cell>
          <cell r="G5043">
            <v>12850</v>
          </cell>
          <cell r="H5043">
            <v>19218203</v>
          </cell>
          <cell r="I5043" t="str">
            <v>403</v>
          </cell>
        </row>
        <row r="5044">
          <cell r="A5044" t="str">
            <v>USDL</v>
          </cell>
          <cell r="B5044" t="str">
            <v>405000076</v>
          </cell>
          <cell r="C5044" t="str">
            <v>PORCIMONTE SA</v>
          </cell>
          <cell r="G5044">
            <v>42150</v>
          </cell>
          <cell r="H5044">
            <v>63038697</v>
          </cell>
          <cell r="I5044" t="str">
            <v>405</v>
          </cell>
        </row>
        <row r="5045">
          <cell r="A5045" t="str">
            <v>USDL</v>
          </cell>
          <cell r="B5045" t="str">
            <v>414000022</v>
          </cell>
          <cell r="C5045" t="str">
            <v>LA RURAL S.R.L</v>
          </cell>
          <cell r="G5045">
            <v>6700</v>
          </cell>
          <cell r="H5045">
            <v>10020386</v>
          </cell>
          <cell r="I5045" t="str">
            <v>414</v>
          </cell>
        </row>
        <row r="5046">
          <cell r="A5046" t="str">
            <v>USDL</v>
          </cell>
          <cell r="B5046" t="str">
            <v>717003756</v>
          </cell>
          <cell r="C5046" t="str">
            <v>SERVIGRAIN S.A</v>
          </cell>
          <cell r="G5046">
            <v>17240</v>
          </cell>
          <cell r="H5046">
            <v>25783799.199999999</v>
          </cell>
          <cell r="I5046" t="str">
            <v>717</v>
          </cell>
        </row>
        <row r="5047">
          <cell r="A5047" t="str">
            <v>USDL</v>
          </cell>
          <cell r="B5047" t="str">
            <v>717045575</v>
          </cell>
          <cell r="C5047" t="str">
            <v>BIANCUCCI HUGO OSCAR</v>
          </cell>
          <cell r="G5047">
            <v>9300</v>
          </cell>
          <cell r="H5047">
            <v>13908894</v>
          </cell>
          <cell r="I5047" t="str">
            <v>717</v>
          </cell>
        </row>
        <row r="5048">
          <cell r="A5048" t="str">
            <v>USDL</v>
          </cell>
          <cell r="B5048" t="str">
            <v>811000007</v>
          </cell>
          <cell r="C5048" t="str">
            <v>Federico Guillermo Kohnen</v>
          </cell>
          <cell r="G5048">
            <v>10700</v>
          </cell>
          <cell r="H5048">
            <v>16002706</v>
          </cell>
          <cell r="I5048" t="str">
            <v>811</v>
          </cell>
        </row>
        <row r="5049">
          <cell r="A5049" t="str">
            <v>USDL</v>
          </cell>
          <cell r="B5049" t="str">
            <v>811000009</v>
          </cell>
          <cell r="C5049" t="str">
            <v xml:space="preserve"> Rafael Neil</v>
          </cell>
          <cell r="G5049">
            <v>7800</v>
          </cell>
          <cell r="H5049">
            <v>11665524</v>
          </cell>
          <cell r="I5049" t="str">
            <v>811</v>
          </cell>
        </row>
        <row r="5050">
          <cell r="A5050" t="str">
            <v>USDL</v>
          </cell>
          <cell r="B5050" t="str">
            <v>811000010</v>
          </cell>
          <cell r="C5050" t="str">
            <v>Martin Portas</v>
          </cell>
          <cell r="G5050">
            <v>6200</v>
          </cell>
          <cell r="H5050">
            <v>9272596</v>
          </cell>
          <cell r="I5050" t="str">
            <v>811</v>
          </cell>
        </row>
        <row r="5051">
          <cell r="A5051" t="str">
            <v>USDL</v>
          </cell>
          <cell r="B5051" t="str">
            <v>811000014</v>
          </cell>
          <cell r="C5051" t="str">
            <v>Juan Francisco Melendo</v>
          </cell>
          <cell r="G5051">
            <v>17500</v>
          </cell>
          <cell r="H5051">
            <v>26172650</v>
          </cell>
          <cell r="I5051" t="str">
            <v>811</v>
          </cell>
        </row>
        <row r="5052">
          <cell r="A5052" t="str">
            <v>USDL</v>
          </cell>
          <cell r="B5052" t="str">
            <v>811000016</v>
          </cell>
          <cell r="C5052" t="str">
            <v>Verlin Capital S.A</v>
          </cell>
          <cell r="G5052">
            <v>12800</v>
          </cell>
          <cell r="H5052">
            <v>19143424</v>
          </cell>
          <cell r="I5052" t="str">
            <v>811</v>
          </cell>
        </row>
        <row r="5053">
          <cell r="A5053" t="str">
            <v>USDL</v>
          </cell>
          <cell r="B5053" t="str">
            <v>811000017</v>
          </cell>
          <cell r="C5053" t="str">
            <v>Sol Armando</v>
          </cell>
          <cell r="G5053">
            <v>6650</v>
          </cell>
          <cell r="H5053">
            <v>9945607</v>
          </cell>
          <cell r="I5053" t="str">
            <v>811</v>
          </cell>
        </row>
        <row r="5054">
          <cell r="A5054" t="str">
            <v>USDL</v>
          </cell>
          <cell r="B5054" t="str">
            <v>811000020</v>
          </cell>
          <cell r="C5054" t="str">
            <v>Martin Campos</v>
          </cell>
          <cell r="G5054">
            <v>21400</v>
          </cell>
          <cell r="H5054">
            <v>32005412</v>
          </cell>
          <cell r="I5054" t="str">
            <v>811</v>
          </cell>
        </row>
        <row r="5055">
          <cell r="A5055" t="str">
            <v>USDL</v>
          </cell>
          <cell r="B5055" t="str">
            <v>811000022</v>
          </cell>
          <cell r="C5055" t="str">
            <v>Fernando Aldo Siciliano</v>
          </cell>
          <cell r="G5055">
            <v>28050</v>
          </cell>
          <cell r="H5055">
            <v>41951019</v>
          </cell>
          <cell r="I5055" t="str">
            <v>811</v>
          </cell>
        </row>
        <row r="5056">
          <cell r="A5056" t="str">
            <v>USDL</v>
          </cell>
          <cell r="B5056" t="str">
            <v>811000023</v>
          </cell>
          <cell r="C5056" t="str">
            <v>Gustavo Adolfo Kohnen</v>
          </cell>
          <cell r="G5056">
            <v>50850</v>
          </cell>
          <cell r="H5056">
            <v>76050243</v>
          </cell>
          <cell r="I5056" t="str">
            <v>811</v>
          </cell>
        </row>
        <row r="5057">
          <cell r="A5057" t="str">
            <v>USDL</v>
          </cell>
          <cell r="B5057" t="str">
            <v>811000024</v>
          </cell>
          <cell r="C5057" t="str">
            <v>Code Logistics S.A</v>
          </cell>
          <cell r="G5057">
            <v>37400</v>
          </cell>
          <cell r="H5057">
            <v>55934692</v>
          </cell>
          <cell r="I5057" t="str">
            <v>811</v>
          </cell>
        </row>
        <row r="5058">
          <cell r="A5058" t="str">
            <v>USDL</v>
          </cell>
          <cell r="B5058" t="str">
            <v>811000027</v>
          </cell>
          <cell r="C5058" t="str">
            <v>Christian Basile</v>
          </cell>
          <cell r="G5058">
            <v>5450</v>
          </cell>
          <cell r="H5058">
            <v>8150911</v>
          </cell>
          <cell r="I5058" t="str">
            <v>811</v>
          </cell>
        </row>
      </sheetData>
      <sheetData sheetId="1"/>
      <sheetData sheetId="2">
        <row r="1">
          <cell r="A1" t="str">
            <v>Moneda</v>
          </cell>
          <cell r="B1" t="str">
            <v>Mercado</v>
          </cell>
          <cell r="G1" t="str">
            <v>total</v>
          </cell>
          <cell r="H1" t="str">
            <v>TOT ARS</v>
          </cell>
        </row>
        <row r="2">
          <cell r="A2" t="str">
            <v>ARS</v>
          </cell>
          <cell r="B2" t="str">
            <v>[A3] A3 Mercados S.A.</v>
          </cell>
          <cell r="G2">
            <v>839512680612.95996</v>
          </cell>
          <cell r="H2">
            <v>839512680612.95996</v>
          </cell>
        </row>
        <row r="3">
          <cell r="A3" t="str">
            <v>ARS</v>
          </cell>
          <cell r="B3" t="str">
            <v>[XMEV] Bolsas y Mercados Argentinos S.A.</v>
          </cell>
          <cell r="G3">
            <v>10383834293827.27</v>
          </cell>
          <cell r="H3">
            <v>10383834293827.27</v>
          </cell>
        </row>
        <row r="4">
          <cell r="A4" t="str">
            <v>ARS</v>
          </cell>
          <cell r="B4" t="str">
            <v>[XROX] Mercado Argentino de Valores S.A.</v>
          </cell>
          <cell r="G4">
            <v>1804092898203.8201</v>
          </cell>
          <cell r="H4">
            <v>1804092898203.8201</v>
          </cell>
        </row>
        <row r="5">
          <cell r="A5" t="str">
            <v>USD</v>
          </cell>
          <cell r="B5" t="str">
            <v>[A3] A3 Mercados S.A.</v>
          </cell>
          <cell r="G5">
            <v>28928241.73</v>
          </cell>
          <cell r="H5">
            <v>43264499766.553398</v>
          </cell>
        </row>
        <row r="6">
          <cell r="A6" t="str">
            <v>USD</v>
          </cell>
          <cell r="B6" t="str">
            <v>[XMEV] Bolsas y Mercados Argentinos S.A.</v>
          </cell>
          <cell r="G6">
            <v>727975321.69000006</v>
          </cell>
          <cell r="H6">
            <v>1088745331613.1302</v>
          </cell>
        </row>
        <row r="7">
          <cell r="A7" t="str">
            <v>USD</v>
          </cell>
          <cell r="B7" t="str">
            <v>[XROX] Mercado Argentino de Valores S.A.</v>
          </cell>
          <cell r="G7">
            <v>25808677.41</v>
          </cell>
          <cell r="H7">
            <v>38598941760.847801</v>
          </cell>
        </row>
        <row r="8">
          <cell r="A8" t="str">
            <v>USDC</v>
          </cell>
          <cell r="B8" t="str">
            <v>[A3] A3 Mercados S.A.</v>
          </cell>
          <cell r="G8">
            <v>2500000</v>
          </cell>
          <cell r="H8">
            <v>3738950000</v>
          </cell>
        </row>
        <row r="9">
          <cell r="A9" t="str">
            <v>USDC</v>
          </cell>
          <cell r="B9" t="str">
            <v>[OTCM] OTC Markets Group Inc.</v>
          </cell>
          <cell r="G9">
            <v>76591711.540000007</v>
          </cell>
          <cell r="H9">
            <v>114549031944.99321</v>
          </cell>
        </row>
        <row r="10">
          <cell r="A10" t="str">
            <v>USDC</v>
          </cell>
          <cell r="B10" t="str">
            <v>[XMEV] Bolsas y Mercados Argentinos S.A.</v>
          </cell>
          <cell r="G10">
            <v>610220536.94000006</v>
          </cell>
          <cell r="H10">
            <v>912633630636.72522</v>
          </cell>
        </row>
        <row r="11">
          <cell r="A11" t="str">
            <v>USDC</v>
          </cell>
          <cell r="B11" t="str">
            <v>[XNYS] NEW YORK STOCK EXCHANGE, INC.</v>
          </cell>
          <cell r="G11">
            <v>1641794.43</v>
          </cell>
          <cell r="H11">
            <v>2455434913.6193995</v>
          </cell>
        </row>
        <row r="12">
          <cell r="A12" t="str">
            <v>USDL</v>
          </cell>
          <cell r="B12" t="str">
            <v>[A3] A3 Mercados S.A.</v>
          </cell>
          <cell r="G12">
            <v>296290</v>
          </cell>
          <cell r="H12">
            <v>443125398.19999999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 AUNE"/>
      <sheetName val="TD"/>
      <sheetName val="Consulta AUNE"/>
    </sheetNames>
    <sheetDataSet>
      <sheetData sheetId="0">
        <row r="4">
          <cell r="A4" t="str">
            <v>Administrador</v>
          </cell>
          <cell r="B4" t="str">
            <v>Cantidad</v>
          </cell>
          <cell r="C4" t="str">
            <v>Fecha cot.</v>
          </cell>
          <cell r="D4" t="str">
            <v>Precio (ARS)</v>
          </cell>
          <cell r="E4" t="str">
            <v>Valuación</v>
          </cell>
        </row>
        <row r="5">
          <cell r="B5">
            <v>-15455910178.858015</v>
          </cell>
          <cell r="C5">
            <v>45961</v>
          </cell>
          <cell r="E5">
            <v>-418176313781.54993</v>
          </cell>
        </row>
        <row r="6">
          <cell r="A6" t="str">
            <v>[0072] Avigliano y cia SRL</v>
          </cell>
          <cell r="B6">
            <v>-6853251.116777</v>
          </cell>
          <cell r="C6">
            <v>45961</v>
          </cell>
          <cell r="E6">
            <v>-118536118.636777</v>
          </cell>
        </row>
        <row r="7">
          <cell r="A7" t="str">
            <v>[0114] ROSARIO VALORES S.A.</v>
          </cell>
          <cell r="B7">
            <v>-8602455174.7532139</v>
          </cell>
          <cell r="C7">
            <v>45961</v>
          </cell>
          <cell r="E7">
            <v>-362209537327.16559</v>
          </cell>
        </row>
        <row r="8">
          <cell r="A8" t="str">
            <v>[0278] SHILLING CAPITAL MARKETS S.A.</v>
          </cell>
          <cell r="B8">
            <v>-29131612.710735999</v>
          </cell>
          <cell r="C8">
            <v>45961</v>
          </cell>
          <cell r="E8">
            <v>-55590009.934059411</v>
          </cell>
        </row>
        <row r="9">
          <cell r="A9" t="str">
            <v xml:space="preserve">[0312] AGRO CERES SRL </v>
          </cell>
          <cell r="B9">
            <v>1501.74</v>
          </cell>
          <cell r="C9">
            <v>45961</v>
          </cell>
          <cell r="E9">
            <v>-531483.26</v>
          </cell>
        </row>
        <row r="10">
          <cell r="A10" t="str">
            <v>[0344] Bafomet SA</v>
          </cell>
          <cell r="B10">
            <v>-885762711.86442006</v>
          </cell>
          <cell r="C10">
            <v>45961</v>
          </cell>
          <cell r="E10">
            <v>-7994306831.1195688</v>
          </cell>
        </row>
        <row r="11">
          <cell r="A11" t="str">
            <v>[0345] Beta Group Inversiones S.A.</v>
          </cell>
          <cell r="B11">
            <v>-6576994595.514946</v>
          </cell>
          <cell r="C11">
            <v>45961</v>
          </cell>
          <cell r="E11">
            <v>-48147631591.888519</v>
          </cell>
        </row>
        <row r="12">
          <cell r="A12" t="str">
            <v>[0346] CAFER CL</v>
          </cell>
          <cell r="B12">
            <v>-664803474.60000002</v>
          </cell>
          <cell r="C12">
            <v>45961</v>
          </cell>
          <cell r="E12">
            <v>-1497560852.33706</v>
          </cell>
        </row>
        <row r="13">
          <cell r="A13" t="str">
            <v>[0351]  Consultatio Investments S.A.</v>
          </cell>
          <cell r="B13">
            <v>-30285.61</v>
          </cell>
          <cell r="C13">
            <v>45961</v>
          </cell>
          <cell r="E13">
            <v>-14238834.91</v>
          </cell>
        </row>
        <row r="14">
          <cell r="A14" t="str">
            <v>[0401] AVANTIA VALORES S.A.</v>
          </cell>
          <cell r="B14">
            <v>-4186457750.2509937</v>
          </cell>
          <cell r="C14">
            <v>45961</v>
          </cell>
          <cell r="E14">
            <v>-50163671853.353645</v>
          </cell>
        </row>
        <row r="15">
          <cell r="A15" t="str">
            <v>[0403] SOLA CEREALES S.A.</v>
          </cell>
          <cell r="B15">
            <v>-561422.05305999995</v>
          </cell>
          <cell r="C15">
            <v>45961</v>
          </cell>
          <cell r="E15">
            <v>-1479771720.83306</v>
          </cell>
        </row>
        <row r="16">
          <cell r="A16" t="str">
            <v>[0405] PUERTOS SRL</v>
          </cell>
          <cell r="B16">
            <v>-1678604091.4889891</v>
          </cell>
          <cell r="C16">
            <v>45961</v>
          </cell>
          <cell r="E16">
            <v>-4148909484.3225856</v>
          </cell>
        </row>
        <row r="17">
          <cell r="A17" t="str">
            <v>[0409] Gafer Cereales</v>
          </cell>
          <cell r="B17">
            <v>-499608.83</v>
          </cell>
          <cell r="C17">
            <v>45961</v>
          </cell>
          <cell r="E17">
            <v>-27506498.129999999</v>
          </cell>
        </row>
        <row r="18">
          <cell r="A18" t="str">
            <v>[0410] AGROINVERSIONES PAMPEANAS SA</v>
          </cell>
          <cell r="B18">
            <v>-178765192.84</v>
          </cell>
          <cell r="C18">
            <v>45961</v>
          </cell>
          <cell r="E18">
            <v>-262025811.59599999</v>
          </cell>
        </row>
        <row r="19">
          <cell r="A19" t="str">
            <v>[0412] CENTRO CORREDORA S.A.</v>
          </cell>
          <cell r="B19">
            <v>-2582528.0692759999</v>
          </cell>
          <cell r="C19">
            <v>45961</v>
          </cell>
          <cell r="E19">
            <v>-157484238.29504615</v>
          </cell>
        </row>
        <row r="20">
          <cell r="A20" t="str">
            <v>[0417] Palm Inversiones S.A.</v>
          </cell>
          <cell r="B20">
            <v>-19820989.600000001</v>
          </cell>
          <cell r="C20">
            <v>45961</v>
          </cell>
          <cell r="E20">
            <v>-3293924048.6321998</v>
          </cell>
        </row>
        <row r="21">
          <cell r="A21" t="str">
            <v>[0420] AGROMAR  S.R.L.</v>
          </cell>
          <cell r="B21">
            <v>-4123636.50929</v>
          </cell>
          <cell r="C21">
            <v>45961</v>
          </cell>
          <cell r="E21">
            <v>-91044576.009289995</v>
          </cell>
        </row>
        <row r="22">
          <cell r="A22" t="str">
            <v>[0423] REAL MARKET S.A.</v>
          </cell>
          <cell r="B22">
            <v>-3241095603.311234</v>
          </cell>
          <cell r="C22">
            <v>45961</v>
          </cell>
          <cell r="E22">
            <v>-13669192018.758701</v>
          </cell>
        </row>
        <row r="23">
          <cell r="A23" t="str">
            <v>[0424] Vector Investments S.A.</v>
          </cell>
          <cell r="B23">
            <v>-221320039.31990001</v>
          </cell>
          <cell r="C23">
            <v>45961</v>
          </cell>
          <cell r="E23">
            <v>-3912175071.6502624</v>
          </cell>
        </row>
        <row r="24">
          <cell r="A24" t="str">
            <v>[0432] First Capital Markets S.A.</v>
          </cell>
          <cell r="B24">
            <v>-19691573194.572247</v>
          </cell>
          <cell r="C24">
            <v>45961</v>
          </cell>
          <cell r="E24">
            <v>-257777736735.88657</v>
          </cell>
        </row>
        <row r="25">
          <cell r="A25" t="str">
            <v>[0435] Inverstart SA</v>
          </cell>
          <cell r="B25">
            <v>-496843026.64399999</v>
          </cell>
          <cell r="C25">
            <v>45961</v>
          </cell>
          <cell r="E25">
            <v>-9743982990.0389996</v>
          </cell>
        </row>
        <row r="26">
          <cell r="A26" t="str">
            <v>[0447] BAMBA VALORES SA</v>
          </cell>
          <cell r="B26">
            <v>-1297049650.9340479</v>
          </cell>
          <cell r="C26">
            <v>45961</v>
          </cell>
          <cell r="E26">
            <v>-2774860399.3700004</v>
          </cell>
        </row>
        <row r="27">
          <cell r="A27" t="str">
            <v>[0463] DRACMA S.A.</v>
          </cell>
          <cell r="B27">
            <v>-3.38</v>
          </cell>
          <cell r="C27">
            <v>45961</v>
          </cell>
          <cell r="E27">
            <v>-4985.5</v>
          </cell>
        </row>
        <row r="28">
          <cell r="A28" t="str">
            <v>[0465] Industria Compañía Bursátil S.A.</v>
          </cell>
          <cell r="B28">
            <v>-3097123003.8038111</v>
          </cell>
          <cell r="C28">
            <v>45961</v>
          </cell>
          <cell r="E28">
            <v>-8504950703.9392548</v>
          </cell>
        </row>
        <row r="29">
          <cell r="A29" t="str">
            <v>[0475] Versátil Inversiones y Transacciones S.A.</v>
          </cell>
          <cell r="B29">
            <v>-0.01</v>
          </cell>
          <cell r="C29">
            <v>45961</v>
          </cell>
          <cell r="E29">
            <v>-0.01</v>
          </cell>
        </row>
        <row r="30">
          <cell r="A30" t="str">
            <v>[0479] SUPERVIELLE AGENTE DE NEGOCIACIÓN S.A.U</v>
          </cell>
          <cell r="B30">
            <v>-20077201897.191612</v>
          </cell>
          <cell r="C30">
            <v>45961</v>
          </cell>
          <cell r="E30">
            <v>-119694683744.0338</v>
          </cell>
        </row>
        <row r="31">
          <cell r="A31" t="str">
            <v>[0480] ALYNK S.A.</v>
          </cell>
          <cell r="B31">
            <v>-0.56999999999999995</v>
          </cell>
          <cell r="C31">
            <v>45961</v>
          </cell>
          <cell r="E31">
            <v>-0.56999999999999995</v>
          </cell>
        </row>
        <row r="32">
          <cell r="A32" t="str">
            <v>[0483] COPPOLA INVERSIONES S.A.</v>
          </cell>
          <cell r="B32">
            <v>904183237.48453021</v>
          </cell>
          <cell r="C32">
            <v>45961</v>
          </cell>
          <cell r="E32">
            <v>-117875004556.54306</v>
          </cell>
        </row>
        <row r="33">
          <cell r="A33" t="str">
            <v>[0486] UG VALORES S.A.</v>
          </cell>
          <cell r="B33">
            <v>-37723231813.210907</v>
          </cell>
          <cell r="C33">
            <v>45961</v>
          </cell>
          <cell r="E33">
            <v>-71190719746.223557</v>
          </cell>
        </row>
        <row r="34">
          <cell r="A34" t="str">
            <v>[0492] REGIONAL INVESTMENT CONSULTING S.A.</v>
          </cell>
          <cell r="B34">
            <v>-8743797094.6855793</v>
          </cell>
          <cell r="C34">
            <v>45961</v>
          </cell>
          <cell r="E34">
            <v>-20793071099.13253</v>
          </cell>
        </row>
        <row r="35">
          <cell r="A35" t="str">
            <v>[0493] CONECTAR BURSÁTIL S.A.</v>
          </cell>
          <cell r="B35">
            <v>-136202127.74981898</v>
          </cell>
          <cell r="C35">
            <v>45961</v>
          </cell>
          <cell r="E35">
            <v>-36494410852.543198</v>
          </cell>
        </row>
        <row r="36">
          <cell r="A36" t="str">
            <v>[0534] Múltiplo Bursátil S.A.</v>
          </cell>
          <cell r="B36">
            <v>-18709433354.380177</v>
          </cell>
          <cell r="C36">
            <v>45961</v>
          </cell>
          <cell r="E36">
            <v>-47092111865.436668</v>
          </cell>
        </row>
        <row r="37">
          <cell r="A37" t="str">
            <v>[0554] Zona Bursátil S.A.</v>
          </cell>
          <cell r="B37">
            <v>-2884190401.8630438</v>
          </cell>
          <cell r="C37">
            <v>45961</v>
          </cell>
          <cell r="E37">
            <v>-3836742662.9432445</v>
          </cell>
        </row>
        <row r="38">
          <cell r="A38" t="str">
            <v>[0560] Omega Bursátil S.A.</v>
          </cell>
          <cell r="B38">
            <v>-641134816.69646811</v>
          </cell>
          <cell r="C38">
            <v>45961</v>
          </cell>
          <cell r="E38">
            <v>-15028885520.844835</v>
          </cell>
        </row>
        <row r="39">
          <cell r="A39" t="str">
            <v>[0565] BUENOS AIRES CREDITOS Y VALORES SOCIEDAD ANONIMA</v>
          </cell>
          <cell r="B39">
            <v>1711991646.1949999</v>
          </cell>
          <cell r="C39">
            <v>45961</v>
          </cell>
          <cell r="E39">
            <v>-5438736466.9938831</v>
          </cell>
        </row>
        <row r="40">
          <cell r="A40" t="str">
            <v>[0568] AXON CAPITAL S.A.</v>
          </cell>
          <cell r="B40">
            <v>-3782716360.6636939</v>
          </cell>
          <cell r="C40">
            <v>45961</v>
          </cell>
          <cell r="E40">
            <v>-5740183781.3556213</v>
          </cell>
        </row>
        <row r="41">
          <cell r="A41" t="str">
            <v>[0592] América Valores S.A.</v>
          </cell>
          <cell r="B41">
            <v>-1078242.5481</v>
          </cell>
          <cell r="C41">
            <v>45961</v>
          </cell>
          <cell r="E41">
            <v>-245210673.22077182</v>
          </cell>
        </row>
        <row r="42">
          <cell r="A42" t="str">
            <v>[0599] PSA La California S.A.</v>
          </cell>
          <cell r="B42">
            <v>-26789486.442260001</v>
          </cell>
          <cell r="C42">
            <v>45961</v>
          </cell>
          <cell r="E42">
            <v>-580108380.93220031</v>
          </cell>
        </row>
        <row r="43">
          <cell r="A43" t="str">
            <v>[0602] Fernando Bibe e Hijos S.A.</v>
          </cell>
          <cell r="B43">
            <v>-107687681.90805</v>
          </cell>
          <cell r="C43">
            <v>45961</v>
          </cell>
          <cell r="E43">
            <v>-12103106154.6525</v>
          </cell>
        </row>
        <row r="44">
          <cell r="A44" t="str">
            <v>[0619] BRIO Valores Agente de Liq. y Comp. S.A.</v>
          </cell>
          <cell r="B44">
            <v>-1015021.59</v>
          </cell>
          <cell r="C44">
            <v>45961</v>
          </cell>
          <cell r="E44">
            <v>-20320043.809999999</v>
          </cell>
        </row>
        <row r="45">
          <cell r="A45" t="str">
            <v>[0620] STC INVERSIONES S.A.</v>
          </cell>
          <cell r="B45">
            <v>-93375.5</v>
          </cell>
          <cell r="C45">
            <v>45961</v>
          </cell>
          <cell r="E45">
            <v>-2795409.12</v>
          </cell>
        </row>
        <row r="46">
          <cell r="A46" t="str">
            <v>[0622] Stockbrokers S.A.</v>
          </cell>
          <cell r="B46">
            <v>-6851.0649999999996</v>
          </cell>
          <cell r="C46">
            <v>45961</v>
          </cell>
          <cell r="E46">
            <v>-2073354.845</v>
          </cell>
        </row>
        <row r="47">
          <cell r="A47" t="str">
            <v>[0623] NASINI S.B. S.A.</v>
          </cell>
          <cell r="B47">
            <v>-41042.805</v>
          </cell>
          <cell r="C47">
            <v>45961</v>
          </cell>
          <cell r="E47">
            <v>-6853791.0449999999</v>
          </cell>
        </row>
        <row r="48">
          <cell r="A48" t="str">
            <v>[0624] LISTRO Valores S.A.</v>
          </cell>
          <cell r="B48">
            <v>-1122179949.2535789</v>
          </cell>
          <cell r="C48">
            <v>45961</v>
          </cell>
          <cell r="E48">
            <v>-62987166429.890434</v>
          </cell>
        </row>
        <row r="49">
          <cell r="A49" t="str">
            <v>[0627] Guor Investments S.A.</v>
          </cell>
          <cell r="B49">
            <v>-21999.98</v>
          </cell>
          <cell r="C49">
            <v>45961</v>
          </cell>
          <cell r="E49">
            <v>-22383.22</v>
          </cell>
        </row>
        <row r="50">
          <cell r="A50" t="str">
            <v>[0634] SECURITIES CAF ARGENTINA SA</v>
          </cell>
          <cell r="B50">
            <v>-5.0000000000000001E-3</v>
          </cell>
          <cell r="C50">
            <v>45961</v>
          </cell>
          <cell r="E50">
            <v>-5.0000000000000001E-3</v>
          </cell>
        </row>
        <row r="51">
          <cell r="A51" t="str">
            <v>[0635] ABUT S.A.</v>
          </cell>
          <cell r="B51">
            <v>-148888.89000000001</v>
          </cell>
          <cell r="C51">
            <v>45961</v>
          </cell>
          <cell r="E51">
            <v>-148888.89000000001</v>
          </cell>
        </row>
        <row r="52">
          <cell r="A52" t="str">
            <v>[0647] GMA CAPITAL S.A</v>
          </cell>
          <cell r="B52">
            <v>-1.29</v>
          </cell>
          <cell r="C52">
            <v>45961</v>
          </cell>
          <cell r="E52">
            <v>-1.29</v>
          </cell>
        </row>
        <row r="53">
          <cell r="A53" t="str">
            <v>[0648] Cano Bursatil S.A.</v>
          </cell>
          <cell r="B53">
            <v>-230022.6</v>
          </cell>
          <cell r="C53">
            <v>45961</v>
          </cell>
          <cell r="E53">
            <v>-944956.82</v>
          </cell>
        </row>
        <row r="54">
          <cell r="A54" t="str">
            <v>[0649] Option Securities S.A.</v>
          </cell>
          <cell r="B54">
            <v>-41400.254999999997</v>
          </cell>
          <cell r="C54">
            <v>45961</v>
          </cell>
          <cell r="E54">
            <v>-59195363.914999999</v>
          </cell>
        </row>
        <row r="55">
          <cell r="A55" t="str">
            <v>[0668] FUTURO BURSATIL S.A.</v>
          </cell>
          <cell r="B55">
            <v>-26824.76</v>
          </cell>
          <cell r="C55">
            <v>45961</v>
          </cell>
          <cell r="E55">
            <v>-2731710.52</v>
          </cell>
        </row>
        <row r="56">
          <cell r="A56" t="str">
            <v>[0687] DFC Capital Management S.A.</v>
          </cell>
          <cell r="B56">
            <v>-989349493.85360003</v>
          </cell>
          <cell r="C56">
            <v>45961</v>
          </cell>
          <cell r="E56">
            <v>-22871066888.411697</v>
          </cell>
        </row>
        <row r="57">
          <cell r="A57" t="str">
            <v>[0717] Barrilli S.A.</v>
          </cell>
          <cell r="B57">
            <v>-6322939413.234705</v>
          </cell>
          <cell r="C57">
            <v>45961</v>
          </cell>
          <cell r="E57">
            <v>-23261178291.61068</v>
          </cell>
        </row>
        <row r="58">
          <cell r="A58" t="str">
            <v>[0721] ALYCBUR S.A.</v>
          </cell>
          <cell r="B58">
            <v>-6922.79</v>
          </cell>
          <cell r="C58">
            <v>45961</v>
          </cell>
          <cell r="E58">
            <v>-1454066.51</v>
          </cell>
        </row>
        <row r="59">
          <cell r="A59" t="str">
            <v>[0729] LAGUNA S.B. SA</v>
          </cell>
          <cell r="B59">
            <v>-46151.56</v>
          </cell>
          <cell r="C59">
            <v>45961</v>
          </cell>
          <cell r="E59">
            <v>-185282.42</v>
          </cell>
        </row>
        <row r="60">
          <cell r="A60" t="str">
            <v>[0735] Orion Capital S.A.</v>
          </cell>
          <cell r="B60">
            <v>-96142.29</v>
          </cell>
          <cell r="C60">
            <v>45961</v>
          </cell>
          <cell r="E60">
            <v>-761918.61</v>
          </cell>
        </row>
        <row r="61">
          <cell r="A61" t="str">
            <v>[0758] GOROSTIAGA BURSATIL S.A.</v>
          </cell>
          <cell r="B61">
            <v>-2451506464.4069009</v>
          </cell>
          <cell r="C61">
            <v>45961</v>
          </cell>
          <cell r="E61">
            <v>-16532388641.157776</v>
          </cell>
        </row>
        <row r="62">
          <cell r="A62" t="str">
            <v>[0761] INTEGRAR SA</v>
          </cell>
          <cell r="B62">
            <v>-58855.68</v>
          </cell>
          <cell r="C62">
            <v>45961</v>
          </cell>
          <cell r="E62">
            <v>-4291122.4000000004</v>
          </cell>
        </row>
        <row r="63">
          <cell r="A63" t="str">
            <v>[0765] Hoss S.A</v>
          </cell>
          <cell r="B63">
            <v>-162342598.1304</v>
          </cell>
          <cell r="C63">
            <v>45961</v>
          </cell>
          <cell r="E63">
            <v>-8797151893.340559</v>
          </cell>
        </row>
        <row r="64">
          <cell r="A64" t="str">
            <v>[0766] AWA GLOBAL S.A.</v>
          </cell>
          <cell r="B64">
            <v>-1982031731.6920149</v>
          </cell>
          <cell r="C64">
            <v>45961</v>
          </cell>
          <cell r="E64">
            <v>-11045100352.481306</v>
          </cell>
        </row>
        <row r="65">
          <cell r="A65" t="str">
            <v>[0776] DMA Broker S.A</v>
          </cell>
          <cell r="B65">
            <v>-64020.51</v>
          </cell>
          <cell r="C65">
            <v>45961</v>
          </cell>
          <cell r="E65">
            <v>-1630027.59</v>
          </cell>
        </row>
        <row r="66">
          <cell r="A66" t="str">
            <v>[0788] TARALLO S.A.</v>
          </cell>
          <cell r="B66">
            <v>-2672651.0299999998</v>
          </cell>
          <cell r="C66">
            <v>45961</v>
          </cell>
          <cell r="E66">
            <v>-31456293.25</v>
          </cell>
        </row>
        <row r="67">
          <cell r="A67" t="str">
            <v>[0789] A &amp; J NARI S.A.</v>
          </cell>
          <cell r="B67">
            <v>-497898141.20999998</v>
          </cell>
          <cell r="C67">
            <v>45961</v>
          </cell>
          <cell r="E67">
            <v>-582203907.46319997</v>
          </cell>
        </row>
        <row r="68">
          <cell r="A68" t="str">
            <v xml:space="preserve">[0794] ELYCA SERVICIOS GLOBALES S.A. </v>
          </cell>
          <cell r="B68">
            <v>-71128196.497600004</v>
          </cell>
          <cell r="C68">
            <v>45961</v>
          </cell>
          <cell r="E68">
            <v>-1246094152.2213869</v>
          </cell>
        </row>
        <row r="69">
          <cell r="A69" t="str">
            <v>[0802] META Inversiones S.A.</v>
          </cell>
          <cell r="B69">
            <v>476833825.69040865</v>
          </cell>
          <cell r="C69">
            <v>45961</v>
          </cell>
          <cell r="E69">
            <v>-151424754507.70242</v>
          </cell>
        </row>
        <row r="70">
          <cell r="A70" t="str">
            <v>[0803] MT CAPITAL S.A.</v>
          </cell>
          <cell r="B70">
            <v>-276343.05499999999</v>
          </cell>
          <cell r="C70">
            <v>45961</v>
          </cell>
          <cell r="E70">
            <v>-266147303.89500001</v>
          </cell>
        </row>
        <row r="71">
          <cell r="A71" t="str">
            <v>[0806] INVERSIONES CUYANAS S.A.</v>
          </cell>
          <cell r="B71">
            <v>-1529665578.919518</v>
          </cell>
          <cell r="C71">
            <v>45961</v>
          </cell>
          <cell r="E71">
            <v>-5603143437.6150732</v>
          </cell>
        </row>
        <row r="72">
          <cell r="A72" t="str">
            <v>[0811] VERLIN CAPITAL S.A.</v>
          </cell>
          <cell r="B72">
            <v>-490989479.17603898</v>
          </cell>
          <cell r="C72">
            <v>45961</v>
          </cell>
          <cell r="E72">
            <v>-2495269745.8270388</v>
          </cell>
        </row>
        <row r="73">
          <cell r="A73" t="str">
            <v>[0812] San Cristóbal Servicios Financieros S.A.</v>
          </cell>
          <cell r="B73">
            <v>3734233341.877049</v>
          </cell>
          <cell r="C73">
            <v>45961</v>
          </cell>
          <cell r="E73">
            <v>-7937347986.2717848</v>
          </cell>
        </row>
        <row r="74">
          <cell r="A74" t="str">
            <v>[0816] CZ WEALTH MANAGEMENT S.A.</v>
          </cell>
          <cell r="B74">
            <v>2965140777.3411002</v>
          </cell>
          <cell r="C74">
            <v>45961</v>
          </cell>
          <cell r="E74">
            <v>-41972397046.340469</v>
          </cell>
        </row>
        <row r="75">
          <cell r="A75" t="str">
            <v>[0817] VALO SECURITIES S.A.U.</v>
          </cell>
          <cell r="B75">
            <v>41215909241.120811</v>
          </cell>
          <cell r="C75">
            <v>45961</v>
          </cell>
          <cell r="E75">
            <v>-42556780812.444862</v>
          </cell>
        </row>
        <row r="76">
          <cell r="A76" t="str">
            <v>[0821] LANIN CAPITAL S.A.</v>
          </cell>
          <cell r="B76">
            <v>-14908153.51</v>
          </cell>
          <cell r="C76">
            <v>45961</v>
          </cell>
          <cell r="E76">
            <v>-661249024.74899995</v>
          </cell>
        </row>
        <row r="77">
          <cell r="A77" t="str">
            <v>[0834] INVERFIN S.A.</v>
          </cell>
          <cell r="B77">
            <v>-436723889.13846999</v>
          </cell>
          <cell r="C77">
            <v>45961</v>
          </cell>
          <cell r="E77">
            <v>-66019052983.468941</v>
          </cell>
        </row>
        <row r="78">
          <cell r="A78" t="str">
            <v>[0852] MG ALFA S.A.</v>
          </cell>
          <cell r="B78">
            <v>-650664792.91199994</v>
          </cell>
          <cell r="C78">
            <v>45961</v>
          </cell>
          <cell r="E78">
            <v>-1890357070.3496752</v>
          </cell>
        </row>
        <row r="79">
          <cell r="A79" t="str">
            <v>[0865] GLOBAL MARKET S.A.</v>
          </cell>
          <cell r="B79">
            <v>689284431.04400003</v>
          </cell>
          <cell r="C79">
            <v>45961</v>
          </cell>
          <cell r="E79">
            <v>-2927104536.9159999</v>
          </cell>
        </row>
        <row r="80">
          <cell r="A80" t="str">
            <v>[0868] WETPAMPEAN HDRR S.A.</v>
          </cell>
          <cell r="B80">
            <v>-751849364.32015049</v>
          </cell>
          <cell r="C80">
            <v>45961</v>
          </cell>
          <cell r="E80">
            <v>-2662896635.0304847</v>
          </cell>
        </row>
        <row r="81">
          <cell r="A81" t="str">
            <v>[0875] MANTA Cia. Inversora S.A.</v>
          </cell>
          <cell r="B81">
            <v>-935069.36005699995</v>
          </cell>
          <cell r="C81">
            <v>45961</v>
          </cell>
          <cell r="E81">
            <v>-1365172710.9790235</v>
          </cell>
        </row>
        <row r="82">
          <cell r="A82" t="str">
            <v>[1626] GYT S.A.</v>
          </cell>
          <cell r="B82">
            <v>-147138.32</v>
          </cell>
          <cell r="C82">
            <v>45961</v>
          </cell>
          <cell r="E82">
            <v>-147138.32</v>
          </cell>
        </row>
        <row r="83">
          <cell r="A83" t="str">
            <v>[1636] Alcorta Valores S.A.</v>
          </cell>
          <cell r="B83">
            <v>-8555883.6955999993</v>
          </cell>
          <cell r="C83">
            <v>45961</v>
          </cell>
          <cell r="E83">
            <v>-32068046.275600001</v>
          </cell>
        </row>
        <row r="84">
          <cell r="A84" t="str">
            <v>[638] ROAGRO S.A</v>
          </cell>
          <cell r="B84">
            <v>-0.08</v>
          </cell>
          <cell r="C84">
            <v>45961</v>
          </cell>
          <cell r="E84">
            <v>-0.08</v>
          </cell>
        </row>
        <row r="85">
          <cell r="A85" t="str">
            <v xml:space="preserve">[640] AD CAP SECURITIES ARGENTINA S.A. </v>
          </cell>
          <cell r="B85">
            <v>-508251.71</v>
          </cell>
          <cell r="C85">
            <v>45961</v>
          </cell>
          <cell r="E85">
            <v>-508251.71</v>
          </cell>
        </row>
        <row r="86">
          <cell r="A86" t="str">
            <v>[650] MAX CAPITAL SA</v>
          </cell>
          <cell r="B86">
            <v>-43694.54</v>
          </cell>
          <cell r="C86">
            <v>45961</v>
          </cell>
          <cell r="E86">
            <v>-43694.54</v>
          </cell>
        </row>
        <row r="87">
          <cell r="A87" t="str">
            <v>[655] FUTUROS Y OPCIONES.COM S.A</v>
          </cell>
          <cell r="B87">
            <v>-30730903</v>
          </cell>
          <cell r="C87">
            <v>45961</v>
          </cell>
          <cell r="E87">
            <v>-1091314066.2624974</v>
          </cell>
        </row>
        <row r="88">
          <cell r="A88" t="str">
            <v>[9107] ACER CEREALES S.R.L</v>
          </cell>
          <cell r="B88">
            <v>346887</v>
          </cell>
          <cell r="C88">
            <v>45961</v>
          </cell>
          <cell r="E88">
            <v>-2995074</v>
          </cell>
        </row>
        <row r="89">
          <cell r="A89" t="str">
            <v>[9413] Boero y CIA SA</v>
          </cell>
          <cell r="B89">
            <v>-212199.54209999999</v>
          </cell>
          <cell r="C89">
            <v>45961</v>
          </cell>
          <cell r="E89">
            <v>-299221123.54210001</v>
          </cell>
        </row>
        <row r="90">
          <cell r="A90" t="str">
            <v>[9414] MERCADO INTERNO SA</v>
          </cell>
          <cell r="B90">
            <v>439571.662694</v>
          </cell>
          <cell r="C90">
            <v>45961</v>
          </cell>
          <cell r="E90">
            <v>-246523096.71230599</v>
          </cell>
        </row>
        <row r="92">
          <cell r="D92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2969-982D-4070-ABE6-79C5CADF9454}">
  <dimension ref="A1:CK150"/>
  <sheetViews>
    <sheetView tabSelected="1" topLeftCell="A68" workbookViewId="0">
      <selection activeCell="A79" sqref="A79"/>
    </sheetView>
  </sheetViews>
  <sheetFormatPr baseColWidth="10" defaultColWidth="11.453125" defaultRowHeight="14.5" x14ac:dyDescent="0.35"/>
  <cols>
    <col min="1" max="1" width="53.453125" customWidth="1"/>
    <col min="2" max="20" width="17.453125" customWidth="1"/>
    <col min="21" max="21" width="13.453125" bestFit="1" customWidth="1"/>
    <col min="22" max="22" width="17.453125" customWidth="1"/>
    <col min="23" max="24" width="16.453125" bestFit="1" customWidth="1"/>
    <col min="25" max="25" width="17" bestFit="1" customWidth="1"/>
    <col min="26" max="26" width="16.453125" bestFit="1" customWidth="1"/>
    <col min="27" max="27" width="32.453125" bestFit="1" customWidth="1"/>
  </cols>
  <sheetData>
    <row r="1" spans="1:29" ht="15" thickBot="1" x14ac:dyDescent="0.4">
      <c r="A1" s="25">
        <v>45931</v>
      </c>
      <c r="B1" s="28" t="s">
        <v>10</v>
      </c>
      <c r="C1" s="28" t="s">
        <v>10</v>
      </c>
      <c r="D1" s="28" t="s">
        <v>10</v>
      </c>
      <c r="E1" s="28" t="s">
        <v>5</v>
      </c>
      <c r="F1" s="28" t="s">
        <v>5</v>
      </c>
      <c r="G1" s="28" t="s">
        <v>5</v>
      </c>
      <c r="H1" s="29" t="s">
        <v>1</v>
      </c>
      <c r="I1" s="29" t="s">
        <v>1</v>
      </c>
      <c r="J1" s="29" t="s">
        <v>1</v>
      </c>
      <c r="K1" s="30" t="s">
        <v>6</v>
      </c>
      <c r="L1" s="30" t="s">
        <v>6</v>
      </c>
      <c r="M1" s="30" t="s">
        <v>6</v>
      </c>
      <c r="N1" s="3" t="s">
        <v>7</v>
      </c>
      <c r="O1" s="31" t="s">
        <v>8</v>
      </c>
      <c r="P1" s="31" t="s">
        <v>8</v>
      </c>
      <c r="Q1" s="31" t="s">
        <v>8</v>
      </c>
      <c r="R1" s="31" t="s">
        <v>8</v>
      </c>
      <c r="S1" s="32" t="s">
        <v>9</v>
      </c>
      <c r="T1" s="32" t="s">
        <v>9</v>
      </c>
      <c r="U1" s="32" t="s">
        <v>9</v>
      </c>
      <c r="V1" s="32" t="s">
        <v>9</v>
      </c>
      <c r="W1" s="33" t="s">
        <v>0</v>
      </c>
      <c r="X1" s="33" t="s">
        <v>0</v>
      </c>
      <c r="Y1" s="33" t="s">
        <v>0</v>
      </c>
      <c r="Z1" s="33" t="s">
        <v>0</v>
      </c>
      <c r="AA1" s="2">
        <v>395500329.0641197</v>
      </c>
    </row>
    <row r="2" spans="1:29" s="4" customFormat="1" x14ac:dyDescent="0.35">
      <c r="A2" s="26" t="s">
        <v>2</v>
      </c>
      <c r="B2" s="24">
        <v>45870</v>
      </c>
      <c r="C2" s="24">
        <v>45901</v>
      </c>
      <c r="D2" s="27">
        <v>45931</v>
      </c>
      <c r="E2" s="24">
        <v>45870</v>
      </c>
      <c r="F2" s="24">
        <v>45901</v>
      </c>
      <c r="G2" s="24">
        <v>45931</v>
      </c>
      <c r="H2" s="24">
        <v>45870</v>
      </c>
      <c r="I2" s="24">
        <v>45901</v>
      </c>
      <c r="J2" s="24">
        <v>45931</v>
      </c>
      <c r="K2" s="24">
        <v>45870</v>
      </c>
      <c r="L2" s="24">
        <v>45901</v>
      </c>
      <c r="M2" s="24">
        <v>45931</v>
      </c>
      <c r="N2" s="24" t="s">
        <v>0</v>
      </c>
      <c r="O2" s="24">
        <v>45870</v>
      </c>
      <c r="P2" s="24">
        <v>45901</v>
      </c>
      <c r="Q2" s="24">
        <v>45931</v>
      </c>
      <c r="R2" s="24" t="s">
        <v>0</v>
      </c>
      <c r="S2" s="24">
        <v>45870</v>
      </c>
      <c r="T2" s="24">
        <v>45901</v>
      </c>
      <c r="U2" s="24">
        <v>45931</v>
      </c>
      <c r="V2" s="24" t="s">
        <v>0</v>
      </c>
      <c r="W2" s="24">
        <v>45870</v>
      </c>
      <c r="X2" s="24">
        <v>45901</v>
      </c>
      <c r="Y2" s="24">
        <v>45931</v>
      </c>
      <c r="Z2" s="24" t="s">
        <v>0</v>
      </c>
      <c r="AA2" s="4">
        <v>1</v>
      </c>
    </row>
    <row r="3" spans="1:29" ht="15.5" customHeight="1" x14ac:dyDescent="0.35">
      <c r="A3" s="5" t="s">
        <v>11</v>
      </c>
      <c r="B3" s="1">
        <v>29690171.099999998</v>
      </c>
      <c r="C3" s="1">
        <v>40873976.270000003</v>
      </c>
      <c r="D3" s="6">
        <v>45909342.460000001</v>
      </c>
      <c r="E3" s="1">
        <v>0</v>
      </c>
      <c r="F3" s="1">
        <v>0</v>
      </c>
      <c r="G3" s="1">
        <v>0</v>
      </c>
      <c r="H3" s="1">
        <v>1251377.8829422349</v>
      </c>
      <c r="I3" s="1">
        <v>3138081.2763224794</v>
      </c>
      <c r="J3" s="1">
        <v>3512061.711382736</v>
      </c>
      <c r="K3" s="1">
        <v>0</v>
      </c>
      <c r="L3" s="1">
        <v>0</v>
      </c>
      <c r="M3" s="1">
        <v>0</v>
      </c>
      <c r="N3" s="7">
        <v>124375010.70064746</v>
      </c>
      <c r="O3" s="1">
        <v>722252.39349624666</v>
      </c>
      <c r="P3" s="1">
        <v>54159</v>
      </c>
      <c r="Q3" s="1">
        <v>874386.78</v>
      </c>
      <c r="R3" s="7">
        <v>1650798.1734962468</v>
      </c>
      <c r="S3" s="1">
        <v>303840.26346222084</v>
      </c>
      <c r="T3" s="1">
        <v>419595.23804445</v>
      </c>
      <c r="U3" s="1">
        <v>354205.3757600009</v>
      </c>
      <c r="V3" s="7">
        <v>1077640.8772666717</v>
      </c>
      <c r="W3" s="8">
        <v>31967641.639900696</v>
      </c>
      <c r="X3" s="8">
        <v>44485811.784366928</v>
      </c>
      <c r="Y3" s="8">
        <v>50649996.327142745</v>
      </c>
      <c r="Z3" s="8">
        <v>127103449.75141037</v>
      </c>
      <c r="AA3" s="9">
        <v>0.1280656237303186</v>
      </c>
      <c r="AB3" s="10"/>
      <c r="AC3" s="10"/>
    </row>
    <row r="4" spans="1:29" ht="15.5" customHeight="1" x14ac:dyDescent="0.35">
      <c r="A4" s="5" t="s">
        <v>12</v>
      </c>
      <c r="B4" s="1">
        <v>1511691.84</v>
      </c>
      <c r="C4" s="1">
        <v>1157460.1299999999</v>
      </c>
      <c r="D4" s="6">
        <v>145000</v>
      </c>
      <c r="E4" s="1">
        <v>9584609.104999993</v>
      </c>
      <c r="F4" s="1">
        <v>14238583.459999997</v>
      </c>
      <c r="G4" s="1">
        <v>11021642.895000003</v>
      </c>
      <c r="H4" s="1">
        <v>5302808.0171940448</v>
      </c>
      <c r="I4" s="1">
        <v>4135007.0272248597</v>
      </c>
      <c r="J4" s="1">
        <v>14323207.317901108</v>
      </c>
      <c r="K4" s="1">
        <v>0</v>
      </c>
      <c r="L4" s="1">
        <v>0</v>
      </c>
      <c r="M4" s="1">
        <v>0</v>
      </c>
      <c r="N4" s="7">
        <v>61420009.792320013</v>
      </c>
      <c r="O4" s="1">
        <v>26092</v>
      </c>
      <c r="P4" s="1">
        <v>244373.86</v>
      </c>
      <c r="Q4" s="1">
        <v>852521.78</v>
      </c>
      <c r="R4" s="7">
        <v>1122987.6400000001</v>
      </c>
      <c r="S4" s="1">
        <v>718839.21692888869</v>
      </c>
      <c r="T4" s="1">
        <v>772404.08391111274</v>
      </c>
      <c r="U4" s="1">
        <v>972682.95926222205</v>
      </c>
      <c r="V4" s="7">
        <v>2463926.2601022236</v>
      </c>
      <c r="W4" s="8">
        <v>17144040.179122925</v>
      </c>
      <c r="X4" s="8">
        <v>20547828.56113597</v>
      </c>
      <c r="Y4" s="8">
        <v>27315054.952163331</v>
      </c>
      <c r="Z4" s="8">
        <v>65006923.692422226</v>
      </c>
      <c r="AA4" s="9">
        <v>6.9064556828054957E-2</v>
      </c>
      <c r="AB4" s="10"/>
      <c r="AC4" s="10"/>
    </row>
    <row r="5" spans="1:29" ht="15.5" customHeight="1" x14ac:dyDescent="0.35">
      <c r="A5" s="5" t="s">
        <v>13</v>
      </c>
      <c r="B5" s="1">
        <v>12718.01</v>
      </c>
      <c r="C5" s="1">
        <v>106180.66</v>
      </c>
      <c r="D5" s="6">
        <v>19430.870000000003</v>
      </c>
      <c r="E5" s="1">
        <v>4129470</v>
      </c>
      <c r="F5" s="1">
        <v>6856389.5399999954</v>
      </c>
      <c r="G5" s="1">
        <v>6616919.7050000038</v>
      </c>
      <c r="H5" s="1">
        <v>3131514.7499999972</v>
      </c>
      <c r="I5" s="1">
        <v>4272015</v>
      </c>
      <c r="J5" s="1">
        <v>5681626.8999999762</v>
      </c>
      <c r="K5" s="1">
        <v>0</v>
      </c>
      <c r="L5" s="1">
        <v>0</v>
      </c>
      <c r="M5" s="1">
        <v>0</v>
      </c>
      <c r="N5" s="1">
        <v>30826265.434999969</v>
      </c>
      <c r="O5" s="1">
        <v>1027170.5405857331</v>
      </c>
      <c r="P5" s="1">
        <v>197919.06</v>
      </c>
      <c r="Q5" s="1">
        <v>558901.72</v>
      </c>
      <c r="R5" s="1">
        <v>1783991.320585733</v>
      </c>
      <c r="S5" s="1">
        <v>1569504.6040355552</v>
      </c>
      <c r="T5" s="1">
        <v>1737256.1497777712</v>
      </c>
      <c r="U5" s="1">
        <v>1296399.3085422185</v>
      </c>
      <c r="V5" s="7">
        <v>4603160.0623555444</v>
      </c>
      <c r="W5" s="8">
        <v>9870377.9046212845</v>
      </c>
      <c r="X5" s="8">
        <v>13169760.409777766</v>
      </c>
      <c r="Y5" s="8">
        <v>14173278.503542198</v>
      </c>
      <c r="Z5" s="8">
        <v>37213416.817941248</v>
      </c>
      <c r="AA5" s="12">
        <v>3.5836325438921152E-2</v>
      </c>
      <c r="AB5" s="10"/>
      <c r="AC5" s="10"/>
    </row>
    <row r="6" spans="1:29" ht="15.5" customHeight="1" x14ac:dyDescent="0.35">
      <c r="A6" s="5" t="s">
        <v>14</v>
      </c>
      <c r="B6" s="1">
        <v>449928.14</v>
      </c>
      <c r="C6" s="1">
        <v>10594632.219999999</v>
      </c>
      <c r="D6" s="6">
        <v>2432106.1800000002</v>
      </c>
      <c r="E6" s="1">
        <v>6487611.8690700028</v>
      </c>
      <c r="F6" s="1">
        <v>4569000</v>
      </c>
      <c r="G6" s="1">
        <v>5054678.7652199985</v>
      </c>
      <c r="H6" s="1">
        <v>614644.44379276701</v>
      </c>
      <c r="I6" s="1">
        <v>1564432.3322877949</v>
      </c>
      <c r="J6" s="1">
        <v>1322434.2463686049</v>
      </c>
      <c r="K6" s="1">
        <v>0</v>
      </c>
      <c r="L6" s="1">
        <v>0</v>
      </c>
      <c r="M6" s="1">
        <v>0</v>
      </c>
      <c r="N6" s="7">
        <v>33089468.196739167</v>
      </c>
      <c r="O6" s="1">
        <v>1373360.431039474</v>
      </c>
      <c r="P6" s="1">
        <v>80303.259999999995</v>
      </c>
      <c r="Q6" s="1">
        <v>-893959.74</v>
      </c>
      <c r="R6" s="7">
        <v>559703.95103947399</v>
      </c>
      <c r="S6" s="1">
        <v>331360.66698222107</v>
      </c>
      <c r="T6" s="1">
        <v>381534.45688889001</v>
      </c>
      <c r="U6" s="1">
        <v>195127.24883555577</v>
      </c>
      <c r="V6" s="7">
        <v>908022.37270666682</v>
      </c>
      <c r="W6" s="8">
        <v>9256905.5508844648</v>
      </c>
      <c r="X6" s="8">
        <v>17189902.269176684</v>
      </c>
      <c r="Y6" s="8">
        <v>8110386.7004241599</v>
      </c>
      <c r="Z6" s="8">
        <v>34557194.520485304</v>
      </c>
      <c r="AA6" s="9">
        <v>2.0506649690067085E-2</v>
      </c>
      <c r="AB6" s="10"/>
      <c r="AC6" s="10"/>
    </row>
    <row r="7" spans="1:29" ht="15.5" customHeight="1" x14ac:dyDescent="0.35">
      <c r="A7" s="5" t="s">
        <v>15</v>
      </c>
      <c r="B7" s="1">
        <v>3191920.29</v>
      </c>
      <c r="C7" s="1">
        <v>7586840.3400000008</v>
      </c>
      <c r="D7" s="6">
        <v>6745349.1100000003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7">
        <v>17524109.740000002</v>
      </c>
      <c r="O7" s="1">
        <v>0</v>
      </c>
      <c r="P7" s="1">
        <v>42202.7</v>
      </c>
      <c r="Q7" s="1">
        <v>117711.71</v>
      </c>
      <c r="R7" s="7">
        <v>159914.41</v>
      </c>
      <c r="S7" s="1">
        <v>13507.660560000006</v>
      </c>
      <c r="T7" s="1">
        <v>12319.485777777805</v>
      </c>
      <c r="U7" s="1">
        <v>11650.853048888892</v>
      </c>
      <c r="V7" s="7">
        <v>37477.999386666706</v>
      </c>
      <c r="W7" s="8">
        <v>3205427.9505600003</v>
      </c>
      <c r="X7" s="8">
        <v>7641362.5257777786</v>
      </c>
      <c r="Y7" s="8">
        <v>6874711.6730488893</v>
      </c>
      <c r="Z7" s="8">
        <v>17721502.149386667</v>
      </c>
      <c r="AA7" s="9">
        <v>1.7382315937174202E-2</v>
      </c>
      <c r="AB7" s="10"/>
      <c r="AC7" s="10"/>
    </row>
    <row r="8" spans="1:29" ht="15.5" customHeight="1" x14ac:dyDescent="0.35">
      <c r="A8" s="5" t="s">
        <v>16</v>
      </c>
      <c r="B8" s="1">
        <v>248014.75</v>
      </c>
      <c r="C8" s="1">
        <v>767595</v>
      </c>
      <c r="D8" s="6">
        <v>467545.5</v>
      </c>
      <c r="E8" s="1">
        <v>4854838.214230001</v>
      </c>
      <c r="F8" s="1">
        <v>5698298.7899999991</v>
      </c>
      <c r="G8" s="1">
        <v>6807435.6191000035</v>
      </c>
      <c r="H8" s="1">
        <v>5979888.0750000002</v>
      </c>
      <c r="I8" s="1">
        <v>428642.0508599999</v>
      </c>
      <c r="J8" s="1">
        <v>3620824.932</v>
      </c>
      <c r="K8" s="1">
        <v>0</v>
      </c>
      <c r="L8" s="1">
        <v>0</v>
      </c>
      <c r="M8" s="1">
        <v>0</v>
      </c>
      <c r="N8" s="7">
        <v>28873082.931190003</v>
      </c>
      <c r="O8" s="1">
        <v>39150.799999999996</v>
      </c>
      <c r="P8" s="1">
        <v>13582.7</v>
      </c>
      <c r="Q8" s="1">
        <v>28209.4</v>
      </c>
      <c r="R8" s="7">
        <v>80942.899999999994</v>
      </c>
      <c r="S8" s="1">
        <v>61146.562697777772</v>
      </c>
      <c r="T8" s="1">
        <v>66127.113333333124</v>
      </c>
      <c r="U8" s="1">
        <v>60451.608106666579</v>
      </c>
      <c r="V8" s="7">
        <v>187725.28413777746</v>
      </c>
      <c r="W8" s="8">
        <v>11183038.401927778</v>
      </c>
      <c r="X8" s="8">
        <v>6974245.6541933324</v>
      </c>
      <c r="Y8" s="8">
        <v>10984467.05920667</v>
      </c>
      <c r="Z8" s="8">
        <v>29141751.115327783</v>
      </c>
      <c r="AA8" s="9">
        <v>2.7773597774746316E-2</v>
      </c>
      <c r="AB8" s="10"/>
      <c r="AC8" s="10"/>
    </row>
    <row r="9" spans="1:29" ht="15.5" customHeight="1" x14ac:dyDescent="0.35">
      <c r="A9" s="5" t="s">
        <v>17</v>
      </c>
      <c r="B9" s="1">
        <v>0</v>
      </c>
      <c r="C9" s="1">
        <v>288250</v>
      </c>
      <c r="D9" s="6">
        <v>8843100.4600000009</v>
      </c>
      <c r="E9" s="1">
        <v>4495063.613549999</v>
      </c>
      <c r="F9" s="1">
        <v>6807138.1601277879</v>
      </c>
      <c r="G9" s="1">
        <v>11704385.199039998</v>
      </c>
      <c r="H9" s="1">
        <v>317572.13169484737</v>
      </c>
      <c r="I9" s="1">
        <v>1364413.2951359479</v>
      </c>
      <c r="J9" s="1">
        <v>1767233.3674804748</v>
      </c>
      <c r="K9" s="1">
        <v>0</v>
      </c>
      <c r="L9" s="1">
        <v>0</v>
      </c>
      <c r="M9" s="1">
        <v>0</v>
      </c>
      <c r="N9" s="1">
        <v>35587156.227029048</v>
      </c>
      <c r="O9" s="1">
        <v>64724.850320553422</v>
      </c>
      <c r="P9" s="1">
        <v>2088182.42</v>
      </c>
      <c r="Q9" s="1">
        <v>-904332.21</v>
      </c>
      <c r="R9" s="1">
        <v>1248575.0603205534</v>
      </c>
      <c r="S9" s="1">
        <v>487685.41143999906</v>
      </c>
      <c r="T9" s="1">
        <v>848242.11866666726</v>
      </c>
      <c r="U9" s="1">
        <v>1092852.1130844431</v>
      </c>
      <c r="V9" s="7">
        <v>2428779.6431911094</v>
      </c>
      <c r="W9" s="8">
        <v>5365046.0070053991</v>
      </c>
      <c r="X9" s="8">
        <v>11396225.993930403</v>
      </c>
      <c r="Y9" s="8">
        <v>22503238.929604914</v>
      </c>
      <c r="Z9" s="8">
        <v>39264510.930540718</v>
      </c>
      <c r="AA9" s="12">
        <v>5.6898154757177515E-2</v>
      </c>
      <c r="AB9" s="10"/>
      <c r="AC9" s="10"/>
    </row>
    <row r="10" spans="1:29" ht="15.5" customHeight="1" x14ac:dyDescent="0.35">
      <c r="A10" s="5" t="s">
        <v>18</v>
      </c>
      <c r="B10" s="1">
        <v>32299.599999999999</v>
      </c>
      <c r="C10" s="1">
        <v>4142367.92</v>
      </c>
      <c r="D10" s="6">
        <v>190886</v>
      </c>
      <c r="E10" s="1">
        <v>4129470</v>
      </c>
      <c r="F10" s="1">
        <v>4569000</v>
      </c>
      <c r="G10" s="1">
        <v>4486740</v>
      </c>
      <c r="H10" s="1">
        <v>49469.21244607259</v>
      </c>
      <c r="I10" s="1">
        <v>28007.874215448304</v>
      </c>
      <c r="J10" s="1">
        <v>59365.157298327002</v>
      </c>
      <c r="K10" s="1">
        <v>0</v>
      </c>
      <c r="L10" s="1">
        <v>0</v>
      </c>
      <c r="M10" s="1">
        <v>0</v>
      </c>
      <c r="N10" s="7">
        <v>17687605.763959847</v>
      </c>
      <c r="O10" s="1">
        <v>52353.600000000006</v>
      </c>
      <c r="P10" s="1">
        <v>122692.52</v>
      </c>
      <c r="Q10" s="1">
        <v>58547.5</v>
      </c>
      <c r="R10" s="7">
        <v>233593.62</v>
      </c>
      <c r="S10" s="1">
        <v>44070.020217777717</v>
      </c>
      <c r="T10" s="1">
        <v>45361.441333333321</v>
      </c>
      <c r="U10" s="1">
        <v>19290.365226666683</v>
      </c>
      <c r="V10" s="7">
        <v>108721.82677777772</v>
      </c>
      <c r="W10" s="8">
        <v>4307662.4326638505</v>
      </c>
      <c r="X10" s="8">
        <v>8907429.7555487808</v>
      </c>
      <c r="Y10" s="8">
        <v>4814829.0225249939</v>
      </c>
      <c r="Z10" s="8">
        <v>18029921.210737623</v>
      </c>
      <c r="AA10" s="9">
        <v>1.2174020269258484E-2</v>
      </c>
      <c r="AB10" s="10"/>
      <c r="AC10" s="10"/>
    </row>
    <row r="11" spans="1:29" ht="15.5" customHeight="1" x14ac:dyDescent="0.35">
      <c r="A11" s="5" t="s">
        <v>19</v>
      </c>
      <c r="B11" s="1">
        <v>0</v>
      </c>
      <c r="C11" s="1">
        <v>0</v>
      </c>
      <c r="D11" s="6">
        <v>0</v>
      </c>
      <c r="E11" s="1">
        <v>4129470</v>
      </c>
      <c r="F11" s="1">
        <v>4569000</v>
      </c>
      <c r="G11" s="1">
        <v>4486740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7">
        <v>13185210</v>
      </c>
      <c r="O11" s="1">
        <v>0</v>
      </c>
      <c r="P11" s="1">
        <v>0</v>
      </c>
      <c r="Q11" s="1">
        <v>0</v>
      </c>
      <c r="R11" s="7">
        <v>0</v>
      </c>
      <c r="S11" s="1">
        <v>5484.4902222222208</v>
      </c>
      <c r="T11" s="1">
        <v>0</v>
      </c>
      <c r="U11" s="1">
        <v>96464.614666666661</v>
      </c>
      <c r="V11" s="7">
        <v>101949.10488888888</v>
      </c>
      <c r="W11" s="8">
        <v>4134954.4902222222</v>
      </c>
      <c r="X11" s="8">
        <v>4569000</v>
      </c>
      <c r="Y11" s="8">
        <v>4583204.6146666668</v>
      </c>
      <c r="Z11" s="8">
        <v>13287159.10488889</v>
      </c>
      <c r="AA11" s="9">
        <v>1.158837117913908E-2</v>
      </c>
      <c r="AB11" s="10"/>
      <c r="AC11" s="10"/>
    </row>
    <row r="12" spans="1:29" ht="15.5" customHeight="1" x14ac:dyDescent="0.35">
      <c r="A12" s="5" t="s">
        <v>20</v>
      </c>
      <c r="B12" s="1">
        <v>69585.490000000005</v>
      </c>
      <c r="C12" s="1">
        <v>0</v>
      </c>
      <c r="D12" s="6">
        <v>0</v>
      </c>
      <c r="E12" s="1">
        <v>4795720.0969999935</v>
      </c>
      <c r="F12" s="1">
        <v>4569000</v>
      </c>
      <c r="G12" s="1">
        <v>5990284.9765200056</v>
      </c>
      <c r="H12" s="1">
        <v>0</v>
      </c>
      <c r="I12" s="1">
        <v>2104.7249999999999</v>
      </c>
      <c r="J12" s="1">
        <v>50227.747336050001</v>
      </c>
      <c r="K12" s="1">
        <v>0</v>
      </c>
      <c r="L12" s="1">
        <v>0</v>
      </c>
      <c r="M12" s="1">
        <v>0</v>
      </c>
      <c r="N12" s="7">
        <v>15476923.03585605</v>
      </c>
      <c r="O12" s="1">
        <v>0</v>
      </c>
      <c r="P12" s="1">
        <v>14349.2</v>
      </c>
      <c r="Q12" s="1">
        <v>0</v>
      </c>
      <c r="R12" s="7">
        <v>14349.2</v>
      </c>
      <c r="S12" s="1">
        <v>4115.7743377777761</v>
      </c>
      <c r="T12" s="1">
        <v>69503.754666666631</v>
      </c>
      <c r="U12" s="1">
        <v>8039.2683911111162</v>
      </c>
      <c r="V12" s="7">
        <v>81658.797395555535</v>
      </c>
      <c r="W12" s="8">
        <v>4869421.3613377716</v>
      </c>
      <c r="X12" s="8">
        <v>4654957.6796666663</v>
      </c>
      <c r="Y12" s="8">
        <v>6048551.9922471661</v>
      </c>
      <c r="Z12" s="8">
        <v>15572931.033251604</v>
      </c>
      <c r="AA12" s="9">
        <v>1.5293418355832915E-2</v>
      </c>
      <c r="AB12" s="10"/>
      <c r="AC12" s="10"/>
    </row>
    <row r="13" spans="1:29" ht="15.5" customHeight="1" x14ac:dyDescent="0.35">
      <c r="A13" s="5" t="s">
        <v>21</v>
      </c>
      <c r="B13" s="1">
        <v>1845075.29</v>
      </c>
      <c r="C13" s="1">
        <v>3091058.2200000007</v>
      </c>
      <c r="D13" s="6">
        <v>2770489.42</v>
      </c>
      <c r="E13" s="1">
        <v>0</v>
      </c>
      <c r="F13" s="1">
        <v>0</v>
      </c>
      <c r="G13" s="1">
        <v>0</v>
      </c>
      <c r="H13" s="1">
        <v>554.36759999999992</v>
      </c>
      <c r="I13" s="1">
        <v>0</v>
      </c>
      <c r="J13" s="1">
        <v>289980.72671922494</v>
      </c>
      <c r="K13" s="1">
        <v>0</v>
      </c>
      <c r="L13" s="1">
        <v>0</v>
      </c>
      <c r="M13" s="1">
        <v>0</v>
      </c>
      <c r="N13" s="7">
        <v>7997158.0243192259</v>
      </c>
      <c r="O13" s="1">
        <v>0</v>
      </c>
      <c r="P13" s="1">
        <v>79493.78</v>
      </c>
      <c r="Q13" s="1">
        <v>14988.1</v>
      </c>
      <c r="R13" s="7">
        <v>94481.88</v>
      </c>
      <c r="S13" s="1">
        <v>0</v>
      </c>
      <c r="T13" s="1">
        <v>0</v>
      </c>
      <c r="U13" s="1">
        <v>0</v>
      </c>
      <c r="V13" s="7">
        <v>0</v>
      </c>
      <c r="W13" s="8">
        <v>1845629.6576</v>
      </c>
      <c r="X13" s="8">
        <v>3170552.0000000005</v>
      </c>
      <c r="Y13" s="8">
        <v>3075458.2467192248</v>
      </c>
      <c r="Z13" s="8">
        <v>8091639.9043192249</v>
      </c>
      <c r="AA13" s="9">
        <v>7.7761205761743436E-3</v>
      </c>
      <c r="AB13" s="10"/>
      <c r="AC13" s="10"/>
    </row>
    <row r="14" spans="1:29" ht="15.5" customHeight="1" x14ac:dyDescent="0.35">
      <c r="A14" s="5" t="s">
        <v>22</v>
      </c>
      <c r="B14" s="1">
        <v>3145507.33</v>
      </c>
      <c r="C14" s="1">
        <v>2756630.7999999993</v>
      </c>
      <c r="D14" s="6">
        <v>4374130.7399999993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7">
        <v>10276268.869999997</v>
      </c>
      <c r="O14" s="1">
        <v>0</v>
      </c>
      <c r="P14" s="1">
        <v>12970.2</v>
      </c>
      <c r="Q14" s="1">
        <v>78687.55</v>
      </c>
      <c r="R14" s="7">
        <v>91657.75</v>
      </c>
      <c r="S14" s="1">
        <v>0</v>
      </c>
      <c r="T14" s="1">
        <v>214.82577777777777</v>
      </c>
      <c r="U14" s="1">
        <v>0</v>
      </c>
      <c r="V14" s="7">
        <v>214.82577777777777</v>
      </c>
      <c r="W14" s="8">
        <v>3145507.33</v>
      </c>
      <c r="X14" s="8">
        <v>2769815.8257777775</v>
      </c>
      <c r="Y14" s="8">
        <v>4452818.2899999991</v>
      </c>
      <c r="Z14" s="8">
        <v>10368141.445777778</v>
      </c>
      <c r="AA14" s="9">
        <v>1.1258696801938931E-2</v>
      </c>
      <c r="AB14" s="10"/>
      <c r="AC14" s="10"/>
    </row>
    <row r="15" spans="1:29" ht="15.5" customHeight="1" x14ac:dyDescent="0.35">
      <c r="A15" s="5" t="s">
        <v>23</v>
      </c>
      <c r="B15" s="1">
        <v>2411874.5099999998</v>
      </c>
      <c r="C15" s="1">
        <v>2542124.5100000002</v>
      </c>
      <c r="D15" s="6">
        <v>2712794.05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7">
        <v>7666793.0699999994</v>
      </c>
      <c r="O15" s="1">
        <v>0</v>
      </c>
      <c r="P15" s="1">
        <v>0</v>
      </c>
      <c r="Q15" s="1">
        <v>0</v>
      </c>
      <c r="R15" s="7">
        <v>0</v>
      </c>
      <c r="S15" s="1">
        <v>0</v>
      </c>
      <c r="T15" s="1">
        <v>0</v>
      </c>
      <c r="U15" s="1">
        <v>0</v>
      </c>
      <c r="V15" s="7">
        <v>0</v>
      </c>
      <c r="W15" s="8">
        <v>2411874.5099999998</v>
      </c>
      <c r="X15" s="8">
        <v>2542124.5100000002</v>
      </c>
      <c r="Y15" s="8">
        <v>2712794.05</v>
      </c>
      <c r="Z15" s="8">
        <v>7666793.0699999994</v>
      </c>
      <c r="AA15" s="9">
        <v>6.8591448619507809E-3</v>
      </c>
      <c r="AB15" s="10"/>
      <c r="AC15" s="10"/>
    </row>
    <row r="16" spans="1:29" ht="15.5" customHeight="1" x14ac:dyDescent="0.35">
      <c r="A16" s="5" t="s">
        <v>24</v>
      </c>
      <c r="B16" s="1">
        <v>3965331.27</v>
      </c>
      <c r="C16" s="1">
        <v>7304855.1299999999</v>
      </c>
      <c r="D16" s="6">
        <v>5767952.5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7">
        <v>17038138.899999999</v>
      </c>
      <c r="O16" s="1">
        <v>218515.03816441644</v>
      </c>
      <c r="P16" s="1">
        <v>27156.1</v>
      </c>
      <c r="Q16" s="1">
        <v>58098.9</v>
      </c>
      <c r="R16" s="7">
        <v>303770.03816441644</v>
      </c>
      <c r="S16" s="1">
        <v>120656.328115554</v>
      </c>
      <c r="T16" s="1">
        <v>136110.2879999924</v>
      </c>
      <c r="U16" s="1">
        <v>138229.22536889484</v>
      </c>
      <c r="V16" s="7">
        <v>394995.84148444125</v>
      </c>
      <c r="W16" s="8">
        <v>4304502.6362799704</v>
      </c>
      <c r="X16" s="8">
        <v>7468121.5179999918</v>
      </c>
      <c r="Y16" s="8">
        <v>5964280.625368895</v>
      </c>
      <c r="Z16" s="8">
        <v>17736904.779648855</v>
      </c>
      <c r="AA16" s="9">
        <v>1.5080343016356752E-2</v>
      </c>
      <c r="AB16" s="10"/>
      <c r="AC16" s="10"/>
    </row>
    <row r="17" spans="1:89" ht="15.5" customHeight="1" x14ac:dyDescent="0.35">
      <c r="A17" s="5" t="s">
        <v>25</v>
      </c>
      <c r="B17" s="1">
        <v>1718509.05</v>
      </c>
      <c r="C17" s="1">
        <v>9207506.2400000002</v>
      </c>
      <c r="D17" s="6">
        <v>2280003.8499999996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7">
        <v>13206019.140000001</v>
      </c>
      <c r="O17" s="1">
        <v>38527.628819621918</v>
      </c>
      <c r="P17" s="1">
        <v>29398.54</v>
      </c>
      <c r="Q17" s="1">
        <v>113360.17</v>
      </c>
      <c r="R17" s="7">
        <v>181286.33881962192</v>
      </c>
      <c r="S17" s="1">
        <v>0</v>
      </c>
      <c r="T17" s="1">
        <v>0</v>
      </c>
      <c r="U17" s="1">
        <v>0</v>
      </c>
      <c r="V17" s="7">
        <v>0</v>
      </c>
      <c r="W17" s="8">
        <v>1757036.6788196219</v>
      </c>
      <c r="X17" s="8">
        <v>9236904.7799999993</v>
      </c>
      <c r="Y17" s="8">
        <v>2393364.0199999996</v>
      </c>
      <c r="Z17" s="8">
        <v>13387305.47881962</v>
      </c>
      <c r="AA17" s="9">
        <v>6.0514842697184717E-3</v>
      </c>
      <c r="AB17" s="10"/>
      <c r="AC17" s="10"/>
    </row>
    <row r="18" spans="1:89" s="13" customFormat="1" ht="15.5" customHeight="1" x14ac:dyDescent="0.35">
      <c r="A18" s="5" t="s">
        <v>26</v>
      </c>
      <c r="B18" s="1">
        <v>420656.90000000008</v>
      </c>
      <c r="C18" s="1">
        <v>530607.80000000005</v>
      </c>
      <c r="D18" s="6">
        <v>3645382.04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7">
        <v>4596646.74</v>
      </c>
      <c r="O18" s="1">
        <v>0</v>
      </c>
      <c r="P18" s="1">
        <v>0</v>
      </c>
      <c r="Q18" s="1">
        <v>0</v>
      </c>
      <c r="R18" s="7">
        <v>0</v>
      </c>
      <c r="S18" s="1">
        <v>0</v>
      </c>
      <c r="T18" s="1">
        <v>0</v>
      </c>
      <c r="U18" s="1">
        <v>0</v>
      </c>
      <c r="V18" s="7">
        <v>0</v>
      </c>
      <c r="W18" s="8">
        <v>420656.90000000008</v>
      </c>
      <c r="X18" s="8">
        <v>530607.80000000005</v>
      </c>
      <c r="Y18" s="8">
        <v>3645382.04</v>
      </c>
      <c r="Z18" s="8">
        <v>4596646.74</v>
      </c>
      <c r="AA18" s="9">
        <v>9.2171403463206722E-3</v>
      </c>
      <c r="AB18" s="10"/>
      <c r="AC18" s="10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ht="15.5" customHeight="1" x14ac:dyDescent="0.35">
      <c r="A19" s="5" t="s">
        <v>27</v>
      </c>
      <c r="B19" s="1">
        <v>1306630.93</v>
      </c>
      <c r="C19" s="1">
        <v>4601207.8699999992</v>
      </c>
      <c r="D19" s="6">
        <v>4430773.1900000004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7">
        <v>10338611.989999998</v>
      </c>
      <c r="O19" s="1">
        <v>0</v>
      </c>
      <c r="P19" s="1">
        <v>13783.1</v>
      </c>
      <c r="Q19" s="1">
        <v>15000</v>
      </c>
      <c r="R19" s="7">
        <v>28783.1</v>
      </c>
      <c r="S19" s="1">
        <v>0</v>
      </c>
      <c r="T19" s="1">
        <v>0</v>
      </c>
      <c r="U19" s="1">
        <v>0</v>
      </c>
      <c r="V19" s="7">
        <v>0</v>
      </c>
      <c r="W19" s="8">
        <v>1306630.93</v>
      </c>
      <c r="X19" s="8">
        <v>4614990.9699999988</v>
      </c>
      <c r="Y19" s="8">
        <v>4445773.1900000004</v>
      </c>
      <c r="Z19" s="8">
        <v>10367395.09</v>
      </c>
      <c r="AA19" s="9">
        <v>1.1240883668845793E-2</v>
      </c>
      <c r="AB19" s="10"/>
      <c r="AC19" s="10"/>
    </row>
    <row r="20" spans="1:89" ht="15.5" customHeight="1" x14ac:dyDescent="0.35">
      <c r="A20" s="5" t="s">
        <v>28</v>
      </c>
      <c r="B20" s="1">
        <v>0</v>
      </c>
      <c r="C20" s="1">
        <v>0</v>
      </c>
      <c r="D20" s="6">
        <v>0</v>
      </c>
      <c r="E20" s="1">
        <v>4129470</v>
      </c>
      <c r="F20" s="1">
        <v>10241347.228000002</v>
      </c>
      <c r="G20" s="1">
        <v>4486740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18857557.228</v>
      </c>
      <c r="O20" s="1">
        <v>0</v>
      </c>
      <c r="P20" s="1">
        <v>495459.34</v>
      </c>
      <c r="Q20" s="1">
        <v>0</v>
      </c>
      <c r="R20" s="1">
        <v>495459.34</v>
      </c>
      <c r="S20" s="1">
        <v>303.7266666666668</v>
      </c>
      <c r="T20" s="1">
        <v>253.82933333333335</v>
      </c>
      <c r="U20" s="1">
        <v>284.80488888888897</v>
      </c>
      <c r="V20" s="7">
        <v>842.36088888888912</v>
      </c>
      <c r="W20" s="8">
        <v>4129773.7266666666</v>
      </c>
      <c r="X20" s="8">
        <v>10737060.397333335</v>
      </c>
      <c r="Y20" s="8">
        <v>4487024.8048888892</v>
      </c>
      <c r="Z20" s="8">
        <v>19353858.928888891</v>
      </c>
      <c r="AA20" s="12">
        <v>1.1345186021732586E-2</v>
      </c>
      <c r="AB20" s="10"/>
      <c r="AC20" s="10"/>
    </row>
    <row r="21" spans="1:89" ht="15.5" customHeight="1" x14ac:dyDescent="0.35">
      <c r="A21" s="5" t="s">
        <v>29</v>
      </c>
      <c r="B21" s="1">
        <v>5991429.2300000004</v>
      </c>
      <c r="C21" s="1">
        <v>17987494.410000004</v>
      </c>
      <c r="D21" s="6">
        <v>22678456.579999998</v>
      </c>
      <c r="E21" s="1">
        <v>0</v>
      </c>
      <c r="F21" s="1">
        <v>0</v>
      </c>
      <c r="G21" s="1">
        <v>0</v>
      </c>
      <c r="H21" s="1">
        <v>1185390.3917709189</v>
      </c>
      <c r="I21" s="1">
        <v>16298985.959177641</v>
      </c>
      <c r="J21" s="1">
        <v>12826179.031615373</v>
      </c>
      <c r="K21" s="1">
        <v>0</v>
      </c>
      <c r="L21" s="1">
        <v>0</v>
      </c>
      <c r="M21" s="1">
        <v>0</v>
      </c>
      <c r="N21" s="1">
        <v>76967935.602563933</v>
      </c>
      <c r="O21" s="1">
        <v>0</v>
      </c>
      <c r="P21" s="1">
        <v>0</v>
      </c>
      <c r="Q21" s="1">
        <v>116701.84</v>
      </c>
      <c r="R21" s="1">
        <v>116701.84</v>
      </c>
      <c r="S21" s="1">
        <v>22063.837777777768</v>
      </c>
      <c r="T21" s="1">
        <v>46320.292000000001</v>
      </c>
      <c r="U21" s="1">
        <v>46949.774115555483</v>
      </c>
      <c r="V21" s="7">
        <v>115333.90389333325</v>
      </c>
      <c r="W21" s="8">
        <v>7198883.4595486969</v>
      </c>
      <c r="X21" s="8">
        <v>34332800.661177643</v>
      </c>
      <c r="Y21" s="8">
        <v>35668287.225730926</v>
      </c>
      <c r="Z21" s="8">
        <v>77199971.346457273</v>
      </c>
      <c r="AA21" s="12">
        <v>9.018522768396553E-2</v>
      </c>
      <c r="AB21" s="10"/>
      <c r="AC21" s="10"/>
    </row>
    <row r="22" spans="1:89" ht="15.5" customHeight="1" x14ac:dyDescent="0.35">
      <c r="A22" s="5" t="s">
        <v>30</v>
      </c>
      <c r="B22" s="1">
        <v>2705171.2399999998</v>
      </c>
      <c r="C22" s="1">
        <v>2092618.2000000002</v>
      </c>
      <c r="D22" s="6">
        <v>2559713.6100000003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7">
        <v>7357503.0499999998</v>
      </c>
      <c r="O22" s="1">
        <v>55305.553395731506</v>
      </c>
      <c r="P22" s="1">
        <v>101824.07</v>
      </c>
      <c r="Q22" s="1">
        <v>0</v>
      </c>
      <c r="R22" s="7">
        <v>157129.6233957315</v>
      </c>
      <c r="S22" s="1">
        <v>24.951640000000012</v>
      </c>
      <c r="T22" s="1">
        <v>0</v>
      </c>
      <c r="U22" s="1">
        <v>26</v>
      </c>
      <c r="V22" s="7">
        <v>50.951640000000012</v>
      </c>
      <c r="W22" s="8">
        <v>2760501.7450357312</v>
      </c>
      <c r="X22" s="8">
        <v>2194442.27</v>
      </c>
      <c r="Y22" s="8">
        <v>2559739.6100000003</v>
      </c>
      <c r="Z22" s="8">
        <v>7514683.6250357321</v>
      </c>
      <c r="AA22" s="9">
        <v>6.4721554494206442E-3</v>
      </c>
      <c r="AB22" s="10"/>
      <c r="AC22" s="10"/>
    </row>
    <row r="23" spans="1:89" ht="15.5" customHeight="1" x14ac:dyDescent="0.35">
      <c r="A23" s="5" t="s">
        <v>31</v>
      </c>
      <c r="B23" s="1">
        <v>2562316.65</v>
      </c>
      <c r="C23" s="1">
        <v>1160696.02</v>
      </c>
      <c r="D23" s="6">
        <v>2143060.79</v>
      </c>
      <c r="E23" s="1">
        <v>0</v>
      </c>
      <c r="F23" s="1">
        <v>0</v>
      </c>
      <c r="G23" s="1">
        <v>0</v>
      </c>
      <c r="H23" s="1">
        <v>0</v>
      </c>
      <c r="I23" s="1">
        <v>45335.772749999996</v>
      </c>
      <c r="J23" s="1">
        <v>0</v>
      </c>
      <c r="K23" s="1">
        <v>0</v>
      </c>
      <c r="L23" s="1">
        <v>0</v>
      </c>
      <c r="M23" s="1">
        <v>0</v>
      </c>
      <c r="N23" s="7">
        <v>5911409.2327499995</v>
      </c>
      <c r="O23" s="1">
        <v>0</v>
      </c>
      <c r="P23" s="1">
        <v>13524.6</v>
      </c>
      <c r="Q23" s="1">
        <v>0</v>
      </c>
      <c r="R23" s="7">
        <v>13524.6</v>
      </c>
      <c r="S23" s="1">
        <v>8149.5833288888953</v>
      </c>
      <c r="T23" s="1">
        <v>0</v>
      </c>
      <c r="U23" s="1">
        <v>10685.386364444441</v>
      </c>
      <c r="V23" s="7">
        <v>18834.969693333336</v>
      </c>
      <c r="W23" s="8">
        <v>2570466.2333288887</v>
      </c>
      <c r="X23" s="8">
        <v>1219556.3927500001</v>
      </c>
      <c r="Y23" s="8">
        <v>2153746.1763644447</v>
      </c>
      <c r="Z23" s="8">
        <v>5943768.802443333</v>
      </c>
      <c r="AA23" s="9">
        <v>5.4456242336407079E-3</v>
      </c>
      <c r="AB23" s="10"/>
      <c r="AC23" s="10"/>
    </row>
    <row r="24" spans="1:89" ht="15.5" customHeight="1" x14ac:dyDescent="0.35">
      <c r="A24" s="5" t="s">
        <v>32</v>
      </c>
      <c r="B24" s="1">
        <v>2814844.75</v>
      </c>
      <c r="C24" s="1">
        <v>3663317.68</v>
      </c>
      <c r="D24" s="6">
        <v>2798427.3600000003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7">
        <v>9276589.7899999991</v>
      </c>
      <c r="O24" s="1">
        <v>0</v>
      </c>
      <c r="P24" s="1">
        <v>0</v>
      </c>
      <c r="Q24" s="1">
        <v>0</v>
      </c>
      <c r="R24" s="7">
        <v>0</v>
      </c>
      <c r="S24" s="1">
        <v>86.388000000000005</v>
      </c>
      <c r="T24" s="1">
        <v>70.113333333333344</v>
      </c>
      <c r="U24" s="1">
        <v>81</v>
      </c>
      <c r="V24" s="7">
        <v>237.50133333333335</v>
      </c>
      <c r="W24" s="8">
        <v>2814931.1379999998</v>
      </c>
      <c r="X24" s="8">
        <v>3663387.7933333335</v>
      </c>
      <c r="Y24" s="8">
        <v>2798508.3600000003</v>
      </c>
      <c r="Z24" s="8">
        <v>9276827.2913333327</v>
      </c>
      <c r="AA24" s="9">
        <v>7.0758686007219426E-3</v>
      </c>
      <c r="AB24" s="10"/>
      <c r="AC24" s="10"/>
    </row>
    <row r="25" spans="1:89" ht="15.5" customHeight="1" x14ac:dyDescent="0.35">
      <c r="A25" s="5" t="s">
        <v>33</v>
      </c>
      <c r="B25" s="1">
        <v>530155.01</v>
      </c>
      <c r="C25" s="1">
        <v>672590.61</v>
      </c>
      <c r="D25" s="6">
        <v>2017701.11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7">
        <v>3220446.7300000004</v>
      </c>
      <c r="O25" s="1">
        <v>0</v>
      </c>
      <c r="P25" s="1">
        <v>0</v>
      </c>
      <c r="Q25" s="1">
        <v>0</v>
      </c>
      <c r="R25" s="7">
        <v>0</v>
      </c>
      <c r="S25" s="1">
        <v>0</v>
      </c>
      <c r="T25" s="1">
        <v>0</v>
      </c>
      <c r="U25" s="1">
        <v>0</v>
      </c>
      <c r="V25" s="7">
        <v>0</v>
      </c>
      <c r="W25" s="8">
        <v>530155.01</v>
      </c>
      <c r="X25" s="8">
        <v>672590.61</v>
      </c>
      <c r="Y25" s="8">
        <v>2017701.11</v>
      </c>
      <c r="Z25" s="8">
        <v>3220446.7300000004</v>
      </c>
      <c r="AA25" s="9">
        <v>5.1016420511571419E-3</v>
      </c>
      <c r="AB25" s="10"/>
      <c r="AC25" s="10"/>
    </row>
    <row r="26" spans="1:89" ht="15.5" customHeight="1" x14ac:dyDescent="0.35">
      <c r="A26" s="5" t="s">
        <v>34</v>
      </c>
      <c r="B26" s="1">
        <v>1258700.76</v>
      </c>
      <c r="C26" s="1">
        <v>1306861.0899999999</v>
      </c>
      <c r="D26" s="6">
        <v>827465.21</v>
      </c>
      <c r="E26" s="1">
        <v>0</v>
      </c>
      <c r="F26" s="1">
        <v>0</v>
      </c>
      <c r="G26" s="1">
        <v>0</v>
      </c>
      <c r="H26" s="1">
        <v>206142.76167986097</v>
      </c>
      <c r="I26" s="1">
        <v>103820.86414071001</v>
      </c>
      <c r="J26" s="1">
        <v>695917.53520249331</v>
      </c>
      <c r="K26" s="1">
        <v>0</v>
      </c>
      <c r="L26" s="1">
        <v>0</v>
      </c>
      <c r="M26" s="1">
        <v>0</v>
      </c>
      <c r="N26" s="7">
        <v>4398908.2210230632</v>
      </c>
      <c r="O26" s="1">
        <v>0</v>
      </c>
      <c r="P26" s="1">
        <v>27356.5</v>
      </c>
      <c r="Q26" s="1">
        <v>14050.2</v>
      </c>
      <c r="R26" s="7">
        <v>41406.699999999997</v>
      </c>
      <c r="S26" s="1">
        <v>10650.0831111111</v>
      </c>
      <c r="T26" s="1">
        <v>12195.11199999999</v>
      </c>
      <c r="U26" s="1">
        <v>11941.310319999991</v>
      </c>
      <c r="V26" s="7">
        <v>34786.50543111108</v>
      </c>
      <c r="W26" s="8">
        <v>1475493.6047909721</v>
      </c>
      <c r="X26" s="8">
        <v>1450233.5661407099</v>
      </c>
      <c r="Y26" s="8">
        <v>1549374.2555224933</v>
      </c>
      <c r="Z26" s="8">
        <v>4475101.4264541753</v>
      </c>
      <c r="AA26" s="9">
        <v>3.9175043398543014E-3</v>
      </c>
      <c r="AB26" s="10"/>
      <c r="AC26" s="10"/>
    </row>
    <row r="27" spans="1:89" ht="15.5" customHeight="1" x14ac:dyDescent="0.35">
      <c r="A27" s="5" t="s">
        <v>35</v>
      </c>
      <c r="B27" s="1">
        <v>751458.48</v>
      </c>
      <c r="C27" s="1">
        <v>966478.54</v>
      </c>
      <c r="D27" s="6">
        <v>1324051.29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7">
        <v>3041988.31</v>
      </c>
      <c r="O27" s="1">
        <v>47106.041561802733</v>
      </c>
      <c r="P27" s="1">
        <v>14880.6</v>
      </c>
      <c r="Q27" s="1">
        <v>0</v>
      </c>
      <c r="R27" s="7">
        <v>61986.641561802731</v>
      </c>
      <c r="S27" s="1">
        <v>0</v>
      </c>
      <c r="T27" s="1">
        <v>0</v>
      </c>
      <c r="U27" s="1">
        <v>0</v>
      </c>
      <c r="V27" s="7">
        <v>0</v>
      </c>
      <c r="W27" s="8">
        <v>798564.52156180271</v>
      </c>
      <c r="X27" s="8">
        <v>981359.14</v>
      </c>
      <c r="Y27" s="8">
        <v>1324051.29</v>
      </c>
      <c r="Z27" s="8">
        <v>3103974.951561803</v>
      </c>
      <c r="AA27" s="9">
        <v>3.347788086885108E-3</v>
      </c>
      <c r="AB27" s="10"/>
      <c r="AC27" s="10"/>
    </row>
    <row r="28" spans="1:89" ht="15.5" customHeight="1" x14ac:dyDescent="0.35">
      <c r="A28" s="5" t="s">
        <v>36</v>
      </c>
      <c r="B28" s="1">
        <v>330279.57</v>
      </c>
      <c r="C28" s="1">
        <v>212441.77</v>
      </c>
      <c r="D28" s="6">
        <v>303545.59000000003</v>
      </c>
      <c r="E28" s="1">
        <v>0</v>
      </c>
      <c r="F28" s="1">
        <v>0</v>
      </c>
      <c r="G28" s="1">
        <v>0</v>
      </c>
      <c r="H28" s="1">
        <v>0</v>
      </c>
      <c r="I28" s="1">
        <v>10717.9886204625</v>
      </c>
      <c r="J28" s="1">
        <v>486494.94124012487</v>
      </c>
      <c r="K28" s="1">
        <v>0</v>
      </c>
      <c r="L28" s="1">
        <v>0</v>
      </c>
      <c r="M28" s="1">
        <v>0</v>
      </c>
      <c r="N28" s="7">
        <v>1343479.8598605874</v>
      </c>
      <c r="O28" s="1">
        <v>0</v>
      </c>
      <c r="P28" s="1">
        <v>0</v>
      </c>
      <c r="Q28" s="1">
        <v>0</v>
      </c>
      <c r="R28" s="7">
        <v>0</v>
      </c>
      <c r="S28" s="1">
        <v>0</v>
      </c>
      <c r="T28" s="1">
        <v>0</v>
      </c>
      <c r="U28" s="1">
        <v>0</v>
      </c>
      <c r="V28" s="7">
        <v>0</v>
      </c>
      <c r="W28" s="8">
        <v>330279.57</v>
      </c>
      <c r="X28" s="8">
        <v>223159.7586204625</v>
      </c>
      <c r="Y28" s="8">
        <v>790040.53124012495</v>
      </c>
      <c r="Z28" s="8">
        <v>1343479.8598605874</v>
      </c>
      <c r="AA28" s="9">
        <v>1.997572373984147E-3</v>
      </c>
      <c r="AB28" s="10"/>
      <c r="AC28" s="10"/>
    </row>
    <row r="29" spans="1:89" ht="15.5" customHeight="1" x14ac:dyDescent="0.35">
      <c r="A29" s="5" t="s">
        <v>37</v>
      </c>
      <c r="B29" s="1">
        <v>556934.78</v>
      </c>
      <c r="C29" s="1">
        <v>783730.99</v>
      </c>
      <c r="D29" s="6">
        <v>663442.17000000004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7">
        <v>2004107.94</v>
      </c>
      <c r="O29" s="1">
        <v>0</v>
      </c>
      <c r="P29" s="1">
        <v>0</v>
      </c>
      <c r="Q29" s="1">
        <v>0</v>
      </c>
      <c r="R29" s="7">
        <v>0</v>
      </c>
      <c r="S29" s="1">
        <v>0</v>
      </c>
      <c r="T29" s="1">
        <v>0</v>
      </c>
      <c r="U29" s="1">
        <v>0</v>
      </c>
      <c r="V29" s="7">
        <v>0</v>
      </c>
      <c r="W29" s="8">
        <v>556934.78</v>
      </c>
      <c r="X29" s="8">
        <v>783730.99</v>
      </c>
      <c r="Y29" s="8">
        <v>663442.17000000004</v>
      </c>
      <c r="Z29" s="8">
        <v>2004107.94</v>
      </c>
      <c r="AA29" s="9">
        <v>1.6774756460251662E-3</v>
      </c>
      <c r="AB29" s="10"/>
      <c r="AC29" s="10"/>
    </row>
    <row r="30" spans="1:89" ht="15.5" customHeight="1" x14ac:dyDescent="0.35">
      <c r="A30" s="5" t="s">
        <v>38</v>
      </c>
      <c r="B30" s="1">
        <v>0</v>
      </c>
      <c r="C30" s="1">
        <v>0</v>
      </c>
      <c r="D30" s="6">
        <v>0</v>
      </c>
      <c r="E30" s="1">
        <v>7732811.1280700024</v>
      </c>
      <c r="F30" s="1">
        <v>14311175.429000001</v>
      </c>
      <c r="G30" s="1">
        <v>10258171.43904</v>
      </c>
      <c r="H30" s="1">
        <v>516977.01030038332</v>
      </c>
      <c r="I30" s="1">
        <v>7483701.2945344551</v>
      </c>
      <c r="J30" s="1">
        <v>2897468.3902766909</v>
      </c>
      <c r="K30" s="1">
        <v>0</v>
      </c>
      <c r="L30" s="1">
        <v>0</v>
      </c>
      <c r="M30" s="1">
        <v>0</v>
      </c>
      <c r="N30" s="7">
        <v>43200304.691221528</v>
      </c>
      <c r="O30" s="1">
        <v>40415.1</v>
      </c>
      <c r="P30" s="1">
        <v>43864.6</v>
      </c>
      <c r="Q30" s="1">
        <v>0</v>
      </c>
      <c r="R30" s="7">
        <v>84279.7</v>
      </c>
      <c r="S30" s="1">
        <v>36437.898808888807</v>
      </c>
      <c r="T30" s="1">
        <v>42265.876444444446</v>
      </c>
      <c r="U30" s="1">
        <v>48686.299173333246</v>
      </c>
      <c r="V30" s="7">
        <v>127390.0744266665</v>
      </c>
      <c r="W30" s="8">
        <v>8326641.1371792741</v>
      </c>
      <c r="X30" s="8">
        <v>21881007.199978899</v>
      </c>
      <c r="Y30" s="8">
        <v>13204326.128490023</v>
      </c>
      <c r="Z30" s="8">
        <v>43411974.465648197</v>
      </c>
      <c r="AA30" s="9">
        <v>3.3386384683258503E-2</v>
      </c>
      <c r="AB30" s="10"/>
      <c r="AC30" s="10"/>
    </row>
    <row r="31" spans="1:89" ht="15.5" customHeight="1" x14ac:dyDescent="0.35">
      <c r="A31" s="5" t="s">
        <v>39</v>
      </c>
      <c r="B31" s="1">
        <v>656963.89</v>
      </c>
      <c r="C31" s="1">
        <v>623712.28</v>
      </c>
      <c r="D31" s="6">
        <v>579141.49000000011</v>
      </c>
      <c r="E31" s="1">
        <v>0</v>
      </c>
      <c r="F31" s="1">
        <v>0</v>
      </c>
      <c r="G31" s="1">
        <v>0</v>
      </c>
      <c r="H31" s="1">
        <v>25713.009143369996</v>
      </c>
      <c r="I31" s="1">
        <v>18483.359180399999</v>
      </c>
      <c r="J31" s="1">
        <v>35408.530268039998</v>
      </c>
      <c r="K31" s="1">
        <v>0</v>
      </c>
      <c r="L31" s="1">
        <v>0</v>
      </c>
      <c r="M31" s="1">
        <v>0</v>
      </c>
      <c r="N31" s="7">
        <v>1939422.5585918101</v>
      </c>
      <c r="O31" s="1">
        <v>0</v>
      </c>
      <c r="P31" s="1">
        <v>51657.7</v>
      </c>
      <c r="Q31" s="1">
        <v>54115.1</v>
      </c>
      <c r="R31" s="7">
        <v>105772.79999999999</v>
      </c>
      <c r="S31" s="1">
        <v>25937.472795555484</v>
      </c>
      <c r="T31" s="1">
        <v>22486.66799999994</v>
      </c>
      <c r="U31" s="1">
        <v>24644.528071110988</v>
      </c>
      <c r="V31" s="7">
        <v>73068.668866666412</v>
      </c>
      <c r="W31" s="8">
        <v>708614.37193892547</v>
      </c>
      <c r="X31" s="8">
        <v>716340.00718039996</v>
      </c>
      <c r="Y31" s="8">
        <v>693309.64833915106</v>
      </c>
      <c r="Z31" s="8">
        <v>2118264.0274584764</v>
      </c>
      <c r="AA31" s="9">
        <v>1.7529938596504925E-3</v>
      </c>
      <c r="AB31" s="10"/>
      <c r="AC31" s="10"/>
    </row>
    <row r="32" spans="1:89" ht="15.5" customHeight="1" x14ac:dyDescent="0.35">
      <c r="A32" s="5" t="s">
        <v>40</v>
      </c>
      <c r="B32" s="1">
        <v>368868.51</v>
      </c>
      <c r="C32" s="1">
        <v>415427.51999999996</v>
      </c>
      <c r="D32" s="6">
        <v>1146241.4999999998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7">
        <v>1930537.5299999998</v>
      </c>
      <c r="O32" s="1">
        <v>0</v>
      </c>
      <c r="P32" s="1">
        <v>0</v>
      </c>
      <c r="Q32" s="1">
        <v>0</v>
      </c>
      <c r="R32" s="7">
        <v>0</v>
      </c>
      <c r="S32" s="1">
        <v>0</v>
      </c>
      <c r="T32" s="1">
        <v>0</v>
      </c>
      <c r="U32" s="1">
        <v>0</v>
      </c>
      <c r="V32" s="7">
        <v>0</v>
      </c>
      <c r="W32" s="8">
        <v>368868.51</v>
      </c>
      <c r="X32" s="8">
        <v>415427.51999999996</v>
      </c>
      <c r="Y32" s="8">
        <v>1146241.4999999998</v>
      </c>
      <c r="Z32" s="8">
        <v>1930537.5299999998</v>
      </c>
      <c r="AA32" s="9">
        <v>2.8982061853459738E-3</v>
      </c>
      <c r="AB32" s="10"/>
      <c r="AC32" s="10"/>
    </row>
    <row r="33" spans="1:89" ht="15.5" customHeight="1" x14ac:dyDescent="0.35">
      <c r="A33" s="5" t="s">
        <v>41</v>
      </c>
      <c r="B33" s="1">
        <v>0</v>
      </c>
      <c r="C33" s="1">
        <v>0</v>
      </c>
      <c r="D33" s="6">
        <v>656988.61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7">
        <v>656988.61</v>
      </c>
      <c r="O33" s="1">
        <v>0</v>
      </c>
      <c r="P33" s="1">
        <v>0</v>
      </c>
      <c r="Q33" s="1">
        <v>0</v>
      </c>
      <c r="R33" s="7">
        <v>0</v>
      </c>
      <c r="S33" s="1">
        <v>0</v>
      </c>
      <c r="T33" s="1">
        <v>0</v>
      </c>
      <c r="U33" s="1">
        <v>0</v>
      </c>
      <c r="V33" s="7">
        <v>0</v>
      </c>
      <c r="W33" s="8">
        <v>0</v>
      </c>
      <c r="X33" s="8">
        <v>0</v>
      </c>
      <c r="Y33" s="8">
        <v>656988.61</v>
      </c>
      <c r="Z33" s="8">
        <v>656988.61</v>
      </c>
      <c r="AA33" s="9">
        <v>1.6611581880466326E-3</v>
      </c>
      <c r="AB33" s="10"/>
      <c r="AC33" s="10"/>
    </row>
    <row r="34" spans="1:89" ht="15.5" customHeight="1" x14ac:dyDescent="0.35">
      <c r="A34" s="5" t="s">
        <v>42</v>
      </c>
      <c r="B34" s="1">
        <v>265891.48</v>
      </c>
      <c r="C34" s="1">
        <v>731417.09</v>
      </c>
      <c r="D34" s="6">
        <v>456905.58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1454214.15</v>
      </c>
      <c r="O34" s="1">
        <v>0</v>
      </c>
      <c r="P34" s="1">
        <v>169812.8</v>
      </c>
      <c r="Q34" s="1">
        <v>0</v>
      </c>
      <c r="R34" s="1">
        <v>169812.8</v>
      </c>
      <c r="S34" s="1">
        <v>2042.9124444444449</v>
      </c>
      <c r="T34" s="1">
        <v>1542.315111111111</v>
      </c>
      <c r="U34" s="1">
        <v>1751.7297777777776</v>
      </c>
      <c r="V34" s="7">
        <v>5336.9573333333337</v>
      </c>
      <c r="W34" s="8">
        <v>267934.39244444441</v>
      </c>
      <c r="X34" s="8">
        <v>902772.20511111105</v>
      </c>
      <c r="Y34" s="8">
        <v>458657.30977777782</v>
      </c>
      <c r="Z34" s="8">
        <v>1629363.9073333333</v>
      </c>
      <c r="AA34" s="12">
        <v>1.1596888196353913E-3</v>
      </c>
      <c r="AB34" s="10"/>
      <c r="AC34" s="10"/>
      <c r="AF34" s="1"/>
    </row>
    <row r="35" spans="1:89" ht="15.5" customHeight="1" x14ac:dyDescent="0.35">
      <c r="A35" s="5" t="s">
        <v>43</v>
      </c>
      <c r="B35" s="1">
        <v>35385.53</v>
      </c>
      <c r="C35" s="1">
        <v>516693.89999999997</v>
      </c>
      <c r="D35" s="6">
        <v>187765.55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7">
        <v>739844.98</v>
      </c>
      <c r="O35" s="1">
        <v>38255.5</v>
      </c>
      <c r="P35" s="1">
        <v>0</v>
      </c>
      <c r="Q35" s="1">
        <v>0</v>
      </c>
      <c r="R35" s="7">
        <v>38255.5</v>
      </c>
      <c r="S35" s="1">
        <v>25.265777777777771</v>
      </c>
      <c r="T35" s="1">
        <v>25.309777777777754</v>
      </c>
      <c r="U35" s="1">
        <v>26</v>
      </c>
      <c r="V35" s="7">
        <v>76.575555555555525</v>
      </c>
      <c r="W35" s="8">
        <v>73666.295777777777</v>
      </c>
      <c r="X35" s="8">
        <v>516719.20977777772</v>
      </c>
      <c r="Y35" s="8">
        <v>187791.55</v>
      </c>
      <c r="Z35" s="8">
        <v>778177.0555555555</v>
      </c>
      <c r="AA35" s="9">
        <v>4.7482021176663714E-4</v>
      </c>
      <c r="AB35" s="10"/>
      <c r="AC35" s="10"/>
    </row>
    <row r="36" spans="1:89" ht="15.5" customHeight="1" x14ac:dyDescent="0.35">
      <c r="A36" s="5" t="s">
        <v>44</v>
      </c>
      <c r="B36" s="1">
        <v>923098.31</v>
      </c>
      <c r="C36" s="1">
        <v>1455257.76</v>
      </c>
      <c r="D36" s="6">
        <v>500084.68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7">
        <v>2878440.7500000005</v>
      </c>
      <c r="O36" s="1">
        <v>0</v>
      </c>
      <c r="P36" s="1">
        <v>0</v>
      </c>
      <c r="Q36" s="1">
        <v>0</v>
      </c>
      <c r="R36" s="7">
        <v>0</v>
      </c>
      <c r="S36" s="1">
        <v>2396.6574222222221</v>
      </c>
      <c r="T36" s="1">
        <v>3279.4325333333331</v>
      </c>
      <c r="U36" s="1">
        <v>4765.7468444444467</v>
      </c>
      <c r="V36" s="7">
        <v>10441.836800000001</v>
      </c>
      <c r="W36" s="8">
        <v>925494.96742222225</v>
      </c>
      <c r="X36" s="8">
        <v>1458537.1925333333</v>
      </c>
      <c r="Y36" s="8">
        <v>504850.42684444442</v>
      </c>
      <c r="Z36" s="8">
        <v>2888882.5868000002</v>
      </c>
      <c r="AA36" s="9">
        <v>1.2764854786317928E-3</v>
      </c>
      <c r="AB36" s="10"/>
      <c r="AC36" s="10"/>
    </row>
    <row r="37" spans="1:89" ht="15.5" customHeight="1" x14ac:dyDescent="0.35">
      <c r="A37" s="5" t="s">
        <v>45</v>
      </c>
      <c r="B37" s="1">
        <v>71620.12</v>
      </c>
      <c r="C37" s="1">
        <v>733517.49</v>
      </c>
      <c r="D37" s="6">
        <v>67234.14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7">
        <v>872371.75</v>
      </c>
      <c r="O37" s="1">
        <v>0</v>
      </c>
      <c r="P37" s="1">
        <v>0</v>
      </c>
      <c r="Q37" s="1">
        <v>0</v>
      </c>
      <c r="R37" s="7">
        <v>0</v>
      </c>
      <c r="S37" s="1">
        <v>0</v>
      </c>
      <c r="T37" s="1">
        <v>0</v>
      </c>
      <c r="U37" s="1">
        <v>0</v>
      </c>
      <c r="V37" s="7">
        <v>0</v>
      </c>
      <c r="W37" s="8">
        <v>71620.12</v>
      </c>
      <c r="X37" s="8">
        <v>733517.49</v>
      </c>
      <c r="Y37" s="8">
        <v>67234.14</v>
      </c>
      <c r="Z37" s="8">
        <v>872371.75</v>
      </c>
      <c r="AA37" s="9">
        <v>1.6999768409573131E-4</v>
      </c>
      <c r="AB37" s="10"/>
      <c r="AC37" s="10"/>
    </row>
    <row r="38" spans="1:89" ht="15.5" customHeight="1" x14ac:dyDescent="0.35">
      <c r="A38" s="5" t="s">
        <v>46</v>
      </c>
      <c r="B38" s="1">
        <v>6446872.8300000001</v>
      </c>
      <c r="C38" s="1">
        <v>8069276.7400000012</v>
      </c>
      <c r="D38" s="6">
        <v>14426638.440000001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7">
        <v>28942788.010000002</v>
      </c>
      <c r="O38" s="1">
        <v>0</v>
      </c>
      <c r="P38" s="1">
        <v>0</v>
      </c>
      <c r="Q38" s="1">
        <v>0</v>
      </c>
      <c r="R38" s="7">
        <v>0</v>
      </c>
      <c r="S38" s="1">
        <v>8444.0294222222237</v>
      </c>
      <c r="T38" s="1">
        <v>6445.3422222222234</v>
      </c>
      <c r="U38" s="1">
        <v>3097.7952</v>
      </c>
      <c r="V38" s="7">
        <v>17987.166844444448</v>
      </c>
      <c r="W38" s="8">
        <v>6455316.8594222227</v>
      </c>
      <c r="X38" s="8">
        <v>8075722.0822222233</v>
      </c>
      <c r="Y38" s="8">
        <v>14429736.235200001</v>
      </c>
      <c r="Z38" s="8">
        <v>28960775.176844448</v>
      </c>
      <c r="AA38" s="9">
        <v>3.6484764170349425E-2</v>
      </c>
      <c r="AB38" s="10"/>
      <c r="AC38" s="10"/>
    </row>
    <row r="39" spans="1:89" ht="15.5" customHeight="1" x14ac:dyDescent="0.35">
      <c r="A39" s="5" t="s">
        <v>47</v>
      </c>
      <c r="B39" s="1">
        <v>0</v>
      </c>
      <c r="C39" s="1">
        <v>64424.15</v>
      </c>
      <c r="D39" s="6">
        <v>116744.2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7">
        <v>181168.35</v>
      </c>
      <c r="O39" s="1">
        <v>0</v>
      </c>
      <c r="P39" s="1">
        <v>0</v>
      </c>
      <c r="Q39" s="1">
        <v>0</v>
      </c>
      <c r="R39" s="7">
        <v>0</v>
      </c>
      <c r="S39" s="1">
        <v>0</v>
      </c>
      <c r="T39" s="1">
        <v>0</v>
      </c>
      <c r="U39" s="1">
        <v>0</v>
      </c>
      <c r="V39" s="7">
        <v>0</v>
      </c>
      <c r="W39" s="8">
        <v>0</v>
      </c>
      <c r="X39" s="8">
        <v>64424.15</v>
      </c>
      <c r="Y39" s="8">
        <v>116744.2</v>
      </c>
      <c r="Z39" s="8">
        <v>181168.35</v>
      </c>
      <c r="AA39" s="12"/>
      <c r="AB39" s="10"/>
      <c r="AC39" s="10"/>
    </row>
    <row r="40" spans="1:89" s="14" customFormat="1" ht="15.5" customHeight="1" x14ac:dyDescent="0.35">
      <c r="A40" s="5" t="s">
        <v>48</v>
      </c>
      <c r="B40" s="1">
        <v>178581.27000000002</v>
      </c>
      <c r="C40" s="1">
        <v>166769.34999999998</v>
      </c>
      <c r="D40" s="6">
        <v>206841.18999999997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7">
        <v>552191.80999999994</v>
      </c>
      <c r="O40" s="1">
        <v>0</v>
      </c>
      <c r="P40" s="1">
        <v>0</v>
      </c>
      <c r="Q40" s="1">
        <v>0</v>
      </c>
      <c r="R40" s="7">
        <v>0</v>
      </c>
      <c r="S40" s="1">
        <v>0</v>
      </c>
      <c r="T40" s="1">
        <v>0</v>
      </c>
      <c r="U40" s="1">
        <v>0</v>
      </c>
      <c r="V40" s="7">
        <v>0</v>
      </c>
      <c r="W40" s="8">
        <v>178581.27000000002</v>
      </c>
      <c r="X40" s="8">
        <v>166769.34999999998</v>
      </c>
      <c r="Y40" s="8">
        <v>206841.18999999997</v>
      </c>
      <c r="Z40" s="8">
        <v>552191.80999999994</v>
      </c>
      <c r="AA40" s="9">
        <v>5.2298613882181182E-4</v>
      </c>
      <c r="AB40" s="10"/>
      <c r="AC40" s="10"/>
      <c r="AD40"/>
      <c r="AE40"/>
      <c r="AF40" s="1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pans="1:89" x14ac:dyDescent="0.35">
      <c r="A41" s="5" t="s">
        <v>49</v>
      </c>
      <c r="B41" s="1">
        <v>119902.34</v>
      </c>
      <c r="C41" s="1">
        <v>76713.440000000002</v>
      </c>
      <c r="D41" s="6">
        <v>105384.58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7">
        <v>302000.36</v>
      </c>
      <c r="O41" s="1">
        <v>0</v>
      </c>
      <c r="P41" s="1">
        <v>0</v>
      </c>
      <c r="Q41" s="1">
        <v>0</v>
      </c>
      <c r="R41" s="7">
        <v>0</v>
      </c>
      <c r="S41" s="1">
        <v>705.15193777777881</v>
      </c>
      <c r="T41" s="1">
        <v>221.41200000000049</v>
      </c>
      <c r="U41" s="1">
        <v>65</v>
      </c>
      <c r="V41" s="7">
        <v>991.5639377777793</v>
      </c>
      <c r="W41" s="8">
        <v>120607.49193777777</v>
      </c>
      <c r="X41" s="8">
        <v>76934.851999999999</v>
      </c>
      <c r="Y41" s="8">
        <v>105449.58</v>
      </c>
      <c r="Z41" s="8">
        <v>302991.92393777776</v>
      </c>
      <c r="AA41" s="9">
        <v>2.666232421336474E-4</v>
      </c>
      <c r="AB41" s="10"/>
      <c r="AC41" s="10"/>
      <c r="AF41" s="1"/>
    </row>
    <row r="42" spans="1:89" ht="15.5" customHeight="1" x14ac:dyDescent="0.35">
      <c r="A42" s="5" t="s">
        <v>50</v>
      </c>
      <c r="B42" s="1">
        <v>0</v>
      </c>
      <c r="C42" s="1">
        <v>0</v>
      </c>
      <c r="D42" s="6">
        <v>0</v>
      </c>
      <c r="E42" s="1">
        <v>6733406.1596099865</v>
      </c>
      <c r="F42" s="1">
        <v>18271700.132000022</v>
      </c>
      <c r="G42" s="1">
        <v>10892997.506560011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7">
        <v>35898103.798170023</v>
      </c>
      <c r="O42" s="1">
        <v>0</v>
      </c>
      <c r="P42" s="1">
        <v>47761.64</v>
      </c>
      <c r="Q42" s="1">
        <v>0</v>
      </c>
      <c r="R42" s="7">
        <v>47761.64</v>
      </c>
      <c r="S42" s="1">
        <v>80515.11266666677</v>
      </c>
      <c r="T42" s="1">
        <v>85673.044355555554</v>
      </c>
      <c r="U42" s="1">
        <v>95852.971137777713</v>
      </c>
      <c r="V42" s="7">
        <v>262041.12816000002</v>
      </c>
      <c r="W42" s="8">
        <v>6813921.272276653</v>
      </c>
      <c r="X42" s="8">
        <v>18405134.816355579</v>
      </c>
      <c r="Y42" s="8">
        <v>10988850.477697788</v>
      </c>
      <c r="Z42" s="8">
        <v>36207906.566330023</v>
      </c>
      <c r="AA42" s="9">
        <v>2.7784680998119329E-2</v>
      </c>
      <c r="AB42" s="10"/>
      <c r="AC42" s="10"/>
    </row>
    <row r="43" spans="1:89" ht="15.5" customHeight="1" x14ac:dyDescent="0.35">
      <c r="A43" s="5" t="s">
        <v>51</v>
      </c>
      <c r="B43" s="1">
        <v>0</v>
      </c>
      <c r="C43" s="1">
        <v>0</v>
      </c>
      <c r="D43" s="6">
        <v>157681.35999999999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7">
        <v>157681.35999999999</v>
      </c>
      <c r="O43" s="1">
        <v>0</v>
      </c>
      <c r="P43" s="1">
        <v>0</v>
      </c>
      <c r="Q43" s="1">
        <v>0</v>
      </c>
      <c r="R43" s="7">
        <v>0</v>
      </c>
      <c r="S43" s="1">
        <v>0</v>
      </c>
      <c r="T43" s="1">
        <v>0</v>
      </c>
      <c r="U43" s="1">
        <v>0</v>
      </c>
      <c r="V43" s="7">
        <v>0</v>
      </c>
      <c r="W43" s="8">
        <v>0</v>
      </c>
      <c r="X43" s="8">
        <v>0</v>
      </c>
      <c r="Y43" s="8">
        <v>157681.35999999999</v>
      </c>
      <c r="Z43" s="8">
        <v>157681.35999999999</v>
      </c>
      <c r="AA43" s="9">
        <v>3.9868831556505788E-4</v>
      </c>
      <c r="AB43" s="10"/>
      <c r="AC43" s="10"/>
      <c r="AF43" s="1"/>
    </row>
    <row r="44" spans="1:89" ht="15.5" customHeight="1" x14ac:dyDescent="0.35">
      <c r="A44" s="5" t="s">
        <v>52</v>
      </c>
      <c r="B44" s="1">
        <v>260735.65</v>
      </c>
      <c r="C44" s="1">
        <v>7628.7</v>
      </c>
      <c r="D44" s="6">
        <v>49797.06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7">
        <v>318161.40999999997</v>
      </c>
      <c r="O44" s="1">
        <v>0</v>
      </c>
      <c r="P44" s="1">
        <v>0</v>
      </c>
      <c r="Q44" s="1">
        <v>0</v>
      </c>
      <c r="R44" s="7">
        <v>0</v>
      </c>
      <c r="S44" s="1">
        <v>0</v>
      </c>
      <c r="T44" s="1">
        <v>0</v>
      </c>
      <c r="U44" s="1">
        <v>0</v>
      </c>
      <c r="V44" s="7">
        <v>0</v>
      </c>
      <c r="W44" s="8">
        <v>260735.65</v>
      </c>
      <c r="X44" s="8">
        <v>7628.7</v>
      </c>
      <c r="Y44" s="8">
        <v>49797.06</v>
      </c>
      <c r="Z44" s="8">
        <v>318161.40999999997</v>
      </c>
      <c r="AA44" s="9">
        <v>1.2590902292758079E-4</v>
      </c>
      <c r="AB44" s="10"/>
      <c r="AC44" s="10"/>
      <c r="AF44" s="1"/>
    </row>
    <row r="45" spans="1:89" ht="15.5" customHeight="1" x14ac:dyDescent="0.35">
      <c r="A45" s="5" t="s">
        <v>53</v>
      </c>
      <c r="B45" s="1">
        <v>12416386.889999999</v>
      </c>
      <c r="C45" s="1">
        <v>13828954.130000001</v>
      </c>
      <c r="D45" s="6">
        <v>21356193.610000003</v>
      </c>
      <c r="E45" s="1">
        <v>0</v>
      </c>
      <c r="F45" s="1">
        <v>0</v>
      </c>
      <c r="G45" s="1">
        <v>0</v>
      </c>
      <c r="H45" s="1">
        <v>973117.70694367355</v>
      </c>
      <c r="I45" s="1">
        <v>1704199.2512328478</v>
      </c>
      <c r="J45" s="1">
        <v>7753472.6484504528</v>
      </c>
      <c r="K45" s="1">
        <v>0</v>
      </c>
      <c r="L45" s="1">
        <v>0</v>
      </c>
      <c r="M45" s="1">
        <v>0</v>
      </c>
      <c r="N45" s="7">
        <v>58032324.236626983</v>
      </c>
      <c r="O45" s="1">
        <v>26277.5</v>
      </c>
      <c r="P45" s="1">
        <v>28796.1</v>
      </c>
      <c r="Q45" s="1">
        <v>318453.32</v>
      </c>
      <c r="R45" s="7">
        <v>373526.92</v>
      </c>
      <c r="S45" s="1">
        <v>2128.0323688888857</v>
      </c>
      <c r="T45" s="1">
        <v>4776.2933333333267</v>
      </c>
      <c r="U45" s="1">
        <v>11811.667022222187</v>
      </c>
      <c r="V45" s="7">
        <v>18715.992724444401</v>
      </c>
      <c r="W45" s="8">
        <v>13417910.129312562</v>
      </c>
      <c r="X45" s="8">
        <v>15566725.774566181</v>
      </c>
      <c r="Y45" s="8">
        <v>29439931.245472677</v>
      </c>
      <c r="Z45" s="8">
        <v>58424567.149351418</v>
      </c>
      <c r="AA45" s="9">
        <v>7.4437185210785975E-2</v>
      </c>
      <c r="AB45" s="10"/>
      <c r="AC45" s="10"/>
    </row>
    <row r="46" spans="1:89" s="14" customFormat="1" x14ac:dyDescent="0.35">
      <c r="A46" s="5" t="s">
        <v>54</v>
      </c>
      <c r="B46" s="1">
        <v>2689017.9600000004</v>
      </c>
      <c r="C46" s="1">
        <v>2195794.3099999996</v>
      </c>
      <c r="D46" s="6">
        <v>5154994.7700000005</v>
      </c>
      <c r="E46" s="1">
        <v>0</v>
      </c>
      <c r="F46" s="1">
        <v>0</v>
      </c>
      <c r="G46" s="1">
        <v>0</v>
      </c>
      <c r="H46" s="1">
        <v>198637.33256009698</v>
      </c>
      <c r="I46" s="1">
        <v>59052.616054766993</v>
      </c>
      <c r="J46" s="1">
        <v>59126.11547070599</v>
      </c>
      <c r="K46" s="1">
        <v>0</v>
      </c>
      <c r="L46" s="1">
        <v>0</v>
      </c>
      <c r="M46" s="1">
        <v>0</v>
      </c>
      <c r="N46" s="7">
        <v>10356623.10408557</v>
      </c>
      <c r="O46" s="1">
        <v>0</v>
      </c>
      <c r="P46" s="1">
        <v>27890.1</v>
      </c>
      <c r="Q46" s="1">
        <v>33977.040000000001</v>
      </c>
      <c r="R46" s="7">
        <v>61867.14</v>
      </c>
      <c r="S46" s="1">
        <v>0</v>
      </c>
      <c r="T46" s="1">
        <v>0</v>
      </c>
      <c r="U46" s="1">
        <v>0</v>
      </c>
      <c r="V46" s="7">
        <v>0</v>
      </c>
      <c r="W46" s="8">
        <v>2887655.2925600973</v>
      </c>
      <c r="X46" s="8">
        <v>2282737.0260547665</v>
      </c>
      <c r="Y46" s="8">
        <v>5248097.9254707061</v>
      </c>
      <c r="Z46" s="8">
        <v>10418490.244085569</v>
      </c>
      <c r="AA46" s="9">
        <v>1.32695159518309E-2</v>
      </c>
      <c r="AB46" s="10"/>
      <c r="AC46" s="10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ht="15.5" customHeight="1" x14ac:dyDescent="0.35">
      <c r="A47" s="5" t="s">
        <v>55</v>
      </c>
      <c r="B47" s="1">
        <v>32316.9</v>
      </c>
      <c r="C47" s="1">
        <v>188125.66</v>
      </c>
      <c r="D47" s="6">
        <v>309589.03000000003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7">
        <v>530031.59000000008</v>
      </c>
      <c r="O47" s="1">
        <v>0</v>
      </c>
      <c r="P47" s="1">
        <v>0</v>
      </c>
      <c r="Q47" s="1">
        <v>0</v>
      </c>
      <c r="R47" s="7">
        <v>0</v>
      </c>
      <c r="S47" s="1">
        <v>0</v>
      </c>
      <c r="T47" s="1">
        <v>0</v>
      </c>
      <c r="U47" s="1">
        <v>0</v>
      </c>
      <c r="V47" s="7">
        <v>0</v>
      </c>
      <c r="W47" s="8">
        <v>32316.9</v>
      </c>
      <c r="X47" s="8">
        <v>188125.66</v>
      </c>
      <c r="Y47" s="8">
        <v>309589.03000000003</v>
      </c>
      <c r="Z47" s="8">
        <v>530031.59000000008</v>
      </c>
      <c r="AA47" s="9">
        <v>7.827781856277761E-4</v>
      </c>
      <c r="AB47" s="10"/>
      <c r="AC47" s="10"/>
    </row>
    <row r="48" spans="1:89" ht="15.5" customHeight="1" x14ac:dyDescent="0.35">
      <c r="A48" s="5" t="s">
        <v>56</v>
      </c>
      <c r="B48" s="1">
        <v>202808.12</v>
      </c>
      <c r="C48" s="1">
        <v>229671.41999999998</v>
      </c>
      <c r="D48" s="6">
        <v>214769.21000000002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7">
        <v>647248.75</v>
      </c>
      <c r="O48" s="1">
        <v>0</v>
      </c>
      <c r="P48" s="1">
        <v>0</v>
      </c>
      <c r="Q48" s="1">
        <v>0</v>
      </c>
      <c r="R48" s="7">
        <v>0</v>
      </c>
      <c r="S48" s="1">
        <v>0</v>
      </c>
      <c r="T48" s="1">
        <v>0</v>
      </c>
      <c r="U48" s="1">
        <v>0</v>
      </c>
      <c r="V48" s="7">
        <v>0</v>
      </c>
      <c r="W48" s="8">
        <v>202808.12</v>
      </c>
      <c r="X48" s="8">
        <v>229671.41999999998</v>
      </c>
      <c r="Y48" s="8">
        <v>214769.21000000002</v>
      </c>
      <c r="Z48" s="8">
        <v>647248.75</v>
      </c>
      <c r="AA48" s="9">
        <v>5.4303168472252014E-4</v>
      </c>
      <c r="AB48" s="10"/>
      <c r="AC48" s="10"/>
    </row>
    <row r="49" spans="1:32" ht="15.5" customHeight="1" x14ac:dyDescent="0.35">
      <c r="A49" s="5" t="s">
        <v>57</v>
      </c>
      <c r="B49" s="1">
        <v>396870.67</v>
      </c>
      <c r="C49" s="1">
        <v>426783.8</v>
      </c>
      <c r="D49" s="6">
        <v>252035.15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7">
        <v>1075689.6199999999</v>
      </c>
      <c r="O49" s="1">
        <v>0</v>
      </c>
      <c r="P49" s="1">
        <v>0</v>
      </c>
      <c r="Q49" s="1">
        <v>0</v>
      </c>
      <c r="R49" s="7">
        <v>0</v>
      </c>
      <c r="S49" s="1">
        <v>0</v>
      </c>
      <c r="T49" s="1">
        <v>0</v>
      </c>
      <c r="U49" s="1">
        <v>0</v>
      </c>
      <c r="V49" s="7">
        <v>0</v>
      </c>
      <c r="W49" s="8">
        <v>396870.67</v>
      </c>
      <c r="X49" s="8">
        <v>426783.8</v>
      </c>
      <c r="Y49" s="8">
        <v>252035.15</v>
      </c>
      <c r="Z49" s="8">
        <v>1075689.6199999999</v>
      </c>
      <c r="AA49" s="9">
        <v>6.3725648622441294E-4</v>
      </c>
      <c r="AB49" s="10"/>
      <c r="AC49" s="10"/>
    </row>
    <row r="50" spans="1:32" ht="17.5" customHeight="1" x14ac:dyDescent="0.35">
      <c r="A50" s="5" t="s">
        <v>58</v>
      </c>
      <c r="B50" s="1">
        <v>4581299.82</v>
      </c>
      <c r="C50" s="1">
        <v>5643192.1299999999</v>
      </c>
      <c r="D50" s="6">
        <v>6471053.6099999994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7">
        <v>16695545.559999999</v>
      </c>
      <c r="O50" s="1">
        <v>0</v>
      </c>
      <c r="P50" s="1">
        <v>40888</v>
      </c>
      <c r="Q50" s="1">
        <v>64911.22</v>
      </c>
      <c r="R50" s="7">
        <v>105799.22</v>
      </c>
      <c r="S50" s="1">
        <v>0</v>
      </c>
      <c r="T50" s="1">
        <v>0</v>
      </c>
      <c r="U50" s="1">
        <v>0</v>
      </c>
      <c r="V50" s="7">
        <v>0</v>
      </c>
      <c r="W50" s="8">
        <v>4581299.82</v>
      </c>
      <c r="X50" s="8">
        <v>5684080.1299999999</v>
      </c>
      <c r="Y50" s="8">
        <v>6535964.8299999991</v>
      </c>
      <c r="Z50" s="8">
        <v>16801344.779999997</v>
      </c>
      <c r="AA50" s="9">
        <v>1.6525813886087485E-2</v>
      </c>
      <c r="AB50" s="10"/>
      <c r="AC50" s="10"/>
    </row>
    <row r="51" spans="1:32" ht="14.5" customHeight="1" x14ac:dyDescent="0.35">
      <c r="A51" s="5" t="s">
        <v>59</v>
      </c>
      <c r="B51" s="1">
        <v>0</v>
      </c>
      <c r="C51" s="1">
        <v>0</v>
      </c>
      <c r="D51" s="6">
        <v>10738.75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7">
        <v>10738.75</v>
      </c>
      <c r="O51" s="1">
        <v>0</v>
      </c>
      <c r="P51" s="1">
        <v>0</v>
      </c>
      <c r="Q51" s="1">
        <v>0</v>
      </c>
      <c r="R51" s="7">
        <v>0</v>
      </c>
      <c r="S51" s="1">
        <v>0</v>
      </c>
      <c r="T51" s="1">
        <v>0</v>
      </c>
      <c r="U51" s="1">
        <v>0</v>
      </c>
      <c r="V51" s="7">
        <v>0</v>
      </c>
      <c r="W51" s="8">
        <v>0</v>
      </c>
      <c r="X51" s="8">
        <v>0</v>
      </c>
      <c r="Y51" s="8">
        <v>10738.75</v>
      </c>
      <c r="Z51" s="8">
        <v>10738.75</v>
      </c>
      <c r="AA51" s="9">
        <v>2.7152316220346309E-5</v>
      </c>
      <c r="AB51" s="10"/>
      <c r="AC51" s="10"/>
    </row>
    <row r="52" spans="1:32" ht="16" customHeight="1" x14ac:dyDescent="0.35">
      <c r="A52" s="5" t="s">
        <v>60</v>
      </c>
      <c r="B52" s="1">
        <v>0</v>
      </c>
      <c r="C52" s="1">
        <v>3.88</v>
      </c>
      <c r="D52" s="6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3.88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7">
        <v>0</v>
      </c>
      <c r="W52" s="8">
        <v>0</v>
      </c>
      <c r="X52" s="8">
        <v>3.88</v>
      </c>
      <c r="Y52" s="8">
        <v>0</v>
      </c>
      <c r="Z52" s="8">
        <v>3.88</v>
      </c>
      <c r="AA52" s="12">
        <v>0</v>
      </c>
      <c r="AB52" s="10"/>
      <c r="AC52" s="10"/>
    </row>
    <row r="53" spans="1:32" ht="15.5" customHeight="1" x14ac:dyDescent="0.35">
      <c r="A53" s="5" t="s">
        <v>61</v>
      </c>
      <c r="B53" s="1">
        <v>21335.45</v>
      </c>
      <c r="C53" s="1">
        <v>33920.53</v>
      </c>
      <c r="D53" s="6">
        <v>21716.57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7">
        <v>76972.549999999988</v>
      </c>
      <c r="O53" s="1">
        <v>0</v>
      </c>
      <c r="P53" s="1">
        <v>0</v>
      </c>
      <c r="Q53" s="1">
        <v>0</v>
      </c>
      <c r="R53" s="7">
        <v>0</v>
      </c>
      <c r="S53" s="1">
        <v>0</v>
      </c>
      <c r="T53" s="1">
        <v>0</v>
      </c>
      <c r="U53" s="1">
        <v>0</v>
      </c>
      <c r="V53" s="7">
        <v>0</v>
      </c>
      <c r="W53" s="8">
        <v>21335.45</v>
      </c>
      <c r="X53" s="8">
        <v>33920.53</v>
      </c>
      <c r="Y53" s="8">
        <v>21716.57</v>
      </c>
      <c r="Z53" s="8">
        <v>76972.549999999988</v>
      </c>
      <c r="AA53" s="9">
        <v>5.4909107285418328E-5</v>
      </c>
      <c r="AB53" s="10"/>
      <c r="AC53" s="10"/>
    </row>
    <row r="54" spans="1:32" ht="15.5" customHeight="1" x14ac:dyDescent="0.35">
      <c r="A54" s="5" t="s">
        <v>62</v>
      </c>
      <c r="B54" s="1">
        <v>6708659.2000000002</v>
      </c>
      <c r="C54" s="1">
        <v>9915559.9399999995</v>
      </c>
      <c r="D54" s="6">
        <v>13134888.6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7">
        <v>29759107.740000002</v>
      </c>
      <c r="O54" s="1">
        <v>0</v>
      </c>
      <c r="P54" s="1">
        <v>27284.1</v>
      </c>
      <c r="Q54" s="1">
        <v>15000</v>
      </c>
      <c r="R54" s="7">
        <v>42284.1</v>
      </c>
      <c r="S54" s="1">
        <v>3555.9638088888914</v>
      </c>
      <c r="T54" s="1">
        <v>3226.052444444445</v>
      </c>
      <c r="U54" s="1">
        <v>3799.032746666669</v>
      </c>
      <c r="V54" s="7">
        <v>10581.049000000006</v>
      </c>
      <c r="W54" s="8">
        <v>6712215.1638088888</v>
      </c>
      <c r="X54" s="8">
        <v>9946070.0924444441</v>
      </c>
      <c r="Y54" s="8">
        <v>13153687.632746667</v>
      </c>
      <c r="Z54" s="8">
        <v>29811972.888999999</v>
      </c>
      <c r="AA54" s="9">
        <v>3.3258348138097631E-2</v>
      </c>
      <c r="AB54" s="10"/>
      <c r="AC54" s="10"/>
    </row>
    <row r="55" spans="1:32" ht="15.5" customHeight="1" x14ac:dyDescent="0.35">
      <c r="A55" s="5" t="s">
        <v>63</v>
      </c>
      <c r="B55" s="1">
        <v>7914.2</v>
      </c>
      <c r="C55" s="1">
        <v>0</v>
      </c>
      <c r="D55" s="6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7914.2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7">
        <v>0</v>
      </c>
      <c r="W55" s="8">
        <v>7914.2</v>
      </c>
      <c r="X55" s="8">
        <v>0</v>
      </c>
      <c r="Y55" s="8">
        <v>0</v>
      </c>
      <c r="Z55" s="8">
        <v>7914.2</v>
      </c>
      <c r="AA55" s="12">
        <v>0</v>
      </c>
      <c r="AB55" s="10"/>
      <c r="AC55" s="10"/>
    </row>
    <row r="56" spans="1:32" ht="14" customHeight="1" x14ac:dyDescent="0.35">
      <c r="A56" s="5" t="s">
        <v>64</v>
      </c>
      <c r="B56" s="1">
        <v>12414969.349999998</v>
      </c>
      <c r="C56" s="1">
        <v>14809298.5</v>
      </c>
      <c r="D56" s="6">
        <v>18185870.34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7">
        <v>45410138.189999998</v>
      </c>
      <c r="O56" s="1">
        <v>63455.476059517809</v>
      </c>
      <c r="P56" s="1">
        <v>209238.39</v>
      </c>
      <c r="Q56" s="1">
        <v>60578.95</v>
      </c>
      <c r="R56" s="7">
        <v>333272.81605951785</v>
      </c>
      <c r="S56" s="1">
        <v>3848.0542666666661</v>
      </c>
      <c r="T56" s="1">
        <v>4127.6684444444445</v>
      </c>
      <c r="U56" s="1">
        <v>4252.7648177777801</v>
      </c>
      <c r="V56" s="7">
        <v>12228.487528888891</v>
      </c>
      <c r="W56" s="8">
        <v>12482272.880326182</v>
      </c>
      <c r="X56" s="8">
        <v>15022664.558444446</v>
      </c>
      <c r="Y56" s="8">
        <v>18250702.054817777</v>
      </c>
      <c r="Z56" s="8">
        <v>45755639.493588403</v>
      </c>
      <c r="AA56" s="9">
        <v>4.614585807805717E-2</v>
      </c>
      <c r="AB56" s="10"/>
      <c r="AC56" s="10"/>
    </row>
    <row r="57" spans="1:32" ht="18" customHeight="1" x14ac:dyDescent="0.35">
      <c r="A57" s="5" t="s">
        <v>65</v>
      </c>
      <c r="B57" s="1">
        <v>0</v>
      </c>
      <c r="C57" s="1">
        <v>0</v>
      </c>
      <c r="D57" s="6">
        <v>0</v>
      </c>
      <c r="E57" s="1">
        <v>13493682.517499985</v>
      </c>
      <c r="F57" s="1">
        <v>15526185.364000013</v>
      </c>
      <c r="G57" s="1">
        <v>16144903.16536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7">
        <v>45164771.046859995</v>
      </c>
      <c r="O57" s="1">
        <v>13246.5</v>
      </c>
      <c r="P57" s="1">
        <v>13694.7</v>
      </c>
      <c r="Q57" s="1">
        <v>13694.7</v>
      </c>
      <c r="R57" s="7">
        <v>40635.9</v>
      </c>
      <c r="S57" s="1">
        <v>3585.3688888888883</v>
      </c>
      <c r="T57" s="1">
        <v>4547.7808888888894</v>
      </c>
      <c r="U57" s="1">
        <v>2210.4226666666668</v>
      </c>
      <c r="V57" s="7">
        <v>10343.572444444444</v>
      </c>
      <c r="W57" s="8">
        <v>13510514.386388874</v>
      </c>
      <c r="X57" s="8">
        <v>15544427.844888901</v>
      </c>
      <c r="Y57" s="8">
        <v>16160808.288026666</v>
      </c>
      <c r="Z57" s="8">
        <v>45215750.519304439</v>
      </c>
      <c r="AA57" s="9">
        <v>4.0861681016216365E-2</v>
      </c>
      <c r="AB57" s="10"/>
      <c r="AC57" s="10"/>
    </row>
    <row r="58" spans="1:32" ht="20.5" customHeight="1" x14ac:dyDescent="0.35">
      <c r="A58" s="5" t="s">
        <v>66</v>
      </c>
      <c r="B58" s="1">
        <v>83153</v>
      </c>
      <c r="C58" s="1">
        <v>360903.5</v>
      </c>
      <c r="D58" s="6">
        <v>1490934.5</v>
      </c>
      <c r="E58" s="1">
        <v>7364221.5</v>
      </c>
      <c r="F58" s="1">
        <v>11392040</v>
      </c>
      <c r="G58" s="1">
        <v>9204535.3999999985</v>
      </c>
      <c r="H58" s="1">
        <v>4044408.4499999918</v>
      </c>
      <c r="I58" s="1">
        <v>4576615</v>
      </c>
      <c r="J58" s="1">
        <v>3980137.0500000068</v>
      </c>
      <c r="K58" s="1">
        <v>0</v>
      </c>
      <c r="L58" s="1">
        <v>0</v>
      </c>
      <c r="M58" s="1">
        <v>0</v>
      </c>
      <c r="N58" s="7">
        <v>42496948.399999999</v>
      </c>
      <c r="O58" s="1">
        <v>19175.7323736</v>
      </c>
      <c r="P58" s="1">
        <v>5867236.8600000003</v>
      </c>
      <c r="Q58" s="1">
        <v>0</v>
      </c>
      <c r="R58" s="7">
        <v>5886412.5923736002</v>
      </c>
      <c r="S58" s="1">
        <v>320559.19122666656</v>
      </c>
      <c r="T58" s="1">
        <v>442155.7715555561</v>
      </c>
      <c r="U58" s="1">
        <v>488927.40294222173</v>
      </c>
      <c r="V58" s="7">
        <v>1251642.3657244444</v>
      </c>
      <c r="W58" s="8">
        <v>11831517.873600259</v>
      </c>
      <c r="X58" s="8">
        <v>22638951.131555557</v>
      </c>
      <c r="Y58" s="8">
        <v>15164534.352942226</v>
      </c>
      <c r="Z58" s="8">
        <v>49635003.358098045</v>
      </c>
      <c r="AA58" s="9">
        <v>3.8342659256002054E-2</v>
      </c>
      <c r="AB58" s="10"/>
      <c r="AC58" s="10"/>
    </row>
    <row r="59" spans="1:32" ht="15.5" customHeight="1" x14ac:dyDescent="0.35">
      <c r="A59" s="5" t="s">
        <v>67</v>
      </c>
      <c r="B59" s="1">
        <v>0</v>
      </c>
      <c r="C59" s="1">
        <v>0</v>
      </c>
      <c r="D59" s="6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7">
        <v>0</v>
      </c>
      <c r="O59" s="1">
        <v>28581.687251446579</v>
      </c>
      <c r="P59" s="1">
        <v>13656.2</v>
      </c>
      <c r="Q59" s="1">
        <v>0</v>
      </c>
      <c r="R59" s="7">
        <v>42237.887251446577</v>
      </c>
      <c r="S59" s="1">
        <v>0</v>
      </c>
      <c r="T59" s="1">
        <v>0</v>
      </c>
      <c r="U59" s="1">
        <v>0</v>
      </c>
      <c r="V59" s="7">
        <v>0</v>
      </c>
      <c r="W59" s="8">
        <v>28581.687251446579</v>
      </c>
      <c r="X59" s="8">
        <v>13656.2</v>
      </c>
      <c r="Y59" s="8">
        <v>0</v>
      </c>
      <c r="Z59" s="8">
        <v>42237.887251446577</v>
      </c>
      <c r="AA59" s="9">
        <v>0</v>
      </c>
      <c r="AB59" s="10"/>
      <c r="AC59" s="10"/>
    </row>
    <row r="60" spans="1:32" ht="19" customHeight="1" x14ac:dyDescent="0.35">
      <c r="A60" s="5" t="s">
        <v>68</v>
      </c>
      <c r="B60" s="1">
        <v>7763192.8200000003</v>
      </c>
      <c r="C60" s="1">
        <v>9296752.4600000009</v>
      </c>
      <c r="D60" s="6">
        <v>6224243.9299999997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7">
        <v>23284189.210000001</v>
      </c>
      <c r="O60" s="1">
        <v>428943.10239025753</v>
      </c>
      <c r="P60" s="1">
        <v>232570.8</v>
      </c>
      <c r="Q60" s="1">
        <v>75203.08</v>
      </c>
      <c r="R60" s="7">
        <v>736716.98239025741</v>
      </c>
      <c r="S60" s="1">
        <v>18996.633600000005</v>
      </c>
      <c r="T60" s="1">
        <v>8114.7662222222225</v>
      </c>
      <c r="U60" s="1">
        <v>12686.562488888885</v>
      </c>
      <c r="V60" s="7">
        <v>39797.962311111114</v>
      </c>
      <c r="W60" s="8">
        <v>8211132.5559902582</v>
      </c>
      <c r="X60" s="8">
        <v>9537438.0262222234</v>
      </c>
      <c r="Y60" s="8">
        <v>6312133.5724888891</v>
      </c>
      <c r="Z60" s="8">
        <v>24060704.154701371</v>
      </c>
      <c r="AA60" s="9">
        <v>1.5959869331652433E-2</v>
      </c>
      <c r="AB60" s="10"/>
      <c r="AC60" s="10"/>
    </row>
    <row r="61" spans="1:32" ht="11.5" customHeight="1" x14ac:dyDescent="0.35">
      <c r="A61" s="5" t="s">
        <v>69</v>
      </c>
      <c r="B61" s="1">
        <v>1227216.3299999998</v>
      </c>
      <c r="C61" s="1">
        <v>3590994.08</v>
      </c>
      <c r="D61" s="6">
        <v>4032713.03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8850923.4399999995</v>
      </c>
      <c r="O61" s="1">
        <v>295900.23072821368</v>
      </c>
      <c r="P61" s="1">
        <v>14408.1</v>
      </c>
      <c r="Q61" s="1">
        <v>14408.1</v>
      </c>
      <c r="R61" s="1">
        <v>324716.43072821363</v>
      </c>
      <c r="S61" s="1">
        <v>14237.390955555569</v>
      </c>
      <c r="T61" s="1">
        <v>13965.793777777784</v>
      </c>
      <c r="U61" s="1">
        <v>14232.527004444444</v>
      </c>
      <c r="V61" s="7">
        <v>42435.711737777798</v>
      </c>
      <c r="W61" s="8">
        <v>1537353.951683769</v>
      </c>
      <c r="X61" s="8">
        <v>3619367.973777778</v>
      </c>
      <c r="Y61" s="8">
        <v>4061353.6570044444</v>
      </c>
      <c r="Z61" s="8">
        <v>9218075.5824659914</v>
      </c>
      <c r="AA61" s="12">
        <v>1.0268900829020563E-2</v>
      </c>
      <c r="AB61" s="10"/>
      <c r="AC61" s="10"/>
    </row>
    <row r="62" spans="1:32" ht="15.5" customHeight="1" x14ac:dyDescent="0.35">
      <c r="A62" s="5" t="s">
        <v>70</v>
      </c>
      <c r="B62" s="1">
        <v>190897.89</v>
      </c>
      <c r="C62" s="1">
        <v>0</v>
      </c>
      <c r="D62" s="6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7">
        <v>190897.89</v>
      </c>
      <c r="O62" s="1">
        <v>0</v>
      </c>
      <c r="P62" s="1">
        <v>0</v>
      </c>
      <c r="Q62" s="1">
        <v>0</v>
      </c>
      <c r="R62" s="7">
        <v>0</v>
      </c>
      <c r="S62" s="1">
        <v>0</v>
      </c>
      <c r="T62" s="1">
        <v>0</v>
      </c>
      <c r="U62" s="1">
        <v>0</v>
      </c>
      <c r="V62" s="7">
        <v>0</v>
      </c>
      <c r="W62" s="8">
        <v>190897.89</v>
      </c>
      <c r="X62" s="8">
        <v>0</v>
      </c>
      <c r="Y62" s="8">
        <v>0</v>
      </c>
      <c r="Z62" s="8">
        <v>190897.89</v>
      </c>
      <c r="AA62" s="9">
        <v>0</v>
      </c>
      <c r="AB62" s="10"/>
      <c r="AC62" s="10"/>
      <c r="AF62" s="1"/>
    </row>
    <row r="63" spans="1:32" ht="15.5" customHeight="1" x14ac:dyDescent="0.35">
      <c r="A63" s="5" t="s">
        <v>71</v>
      </c>
      <c r="B63" s="1">
        <v>376371.34</v>
      </c>
      <c r="C63" s="1">
        <v>1055669.45</v>
      </c>
      <c r="D63" s="6">
        <v>462279.17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7">
        <v>1894319.96</v>
      </c>
      <c r="O63" s="1">
        <v>0</v>
      </c>
      <c r="P63" s="1">
        <v>0</v>
      </c>
      <c r="Q63" s="1">
        <v>0</v>
      </c>
      <c r="R63" s="7">
        <v>0</v>
      </c>
      <c r="S63" s="1">
        <v>0</v>
      </c>
      <c r="T63" s="1">
        <v>0</v>
      </c>
      <c r="U63" s="1">
        <v>0</v>
      </c>
      <c r="V63" s="7">
        <v>0</v>
      </c>
      <c r="W63" s="8">
        <v>376371.34</v>
      </c>
      <c r="X63" s="8">
        <v>1055669.45</v>
      </c>
      <c r="Y63" s="8">
        <v>462279.17</v>
      </c>
      <c r="Z63" s="8">
        <v>1894319.96</v>
      </c>
      <c r="AA63" s="9">
        <v>1.1688464864084952E-3</v>
      </c>
      <c r="AB63" s="10"/>
      <c r="AC63" s="10"/>
    </row>
    <row r="64" spans="1:32" ht="15.5" customHeight="1" x14ac:dyDescent="0.35">
      <c r="A64" s="5" t="s">
        <v>72</v>
      </c>
      <c r="B64" s="1">
        <v>0</v>
      </c>
      <c r="C64" s="1">
        <v>0</v>
      </c>
      <c r="D64" s="6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7">
        <v>0</v>
      </c>
      <c r="O64" s="1">
        <v>0</v>
      </c>
      <c r="P64" s="1">
        <v>0</v>
      </c>
      <c r="Q64" s="1">
        <v>0</v>
      </c>
      <c r="R64" s="7">
        <v>0</v>
      </c>
      <c r="S64" s="1">
        <v>0</v>
      </c>
      <c r="T64" s="1">
        <v>0</v>
      </c>
      <c r="U64" s="1">
        <v>0</v>
      </c>
      <c r="V64" s="7">
        <v>0</v>
      </c>
      <c r="W64" s="8">
        <v>0</v>
      </c>
      <c r="X64" s="8">
        <v>0</v>
      </c>
      <c r="Y64" s="8">
        <v>0</v>
      </c>
      <c r="Z64" s="8">
        <v>0</v>
      </c>
      <c r="AA64" s="9">
        <v>0</v>
      </c>
      <c r="AB64" s="10"/>
      <c r="AC64" s="10"/>
    </row>
    <row r="65" spans="1:89" ht="15.5" customHeight="1" x14ac:dyDescent="0.35">
      <c r="A65" s="5" t="s">
        <v>73</v>
      </c>
      <c r="B65" s="1">
        <v>241979.18</v>
      </c>
      <c r="C65" s="1">
        <v>85234.510000000009</v>
      </c>
      <c r="D65" s="6">
        <v>105616.05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7">
        <v>432829.74</v>
      </c>
      <c r="O65" s="1">
        <v>0</v>
      </c>
      <c r="P65" s="1">
        <v>0</v>
      </c>
      <c r="Q65" s="1">
        <v>0</v>
      </c>
      <c r="R65" s="7">
        <v>0</v>
      </c>
      <c r="S65" s="1">
        <v>22403.435999999987</v>
      </c>
      <c r="T65" s="1">
        <v>18714.020000000004</v>
      </c>
      <c r="U65" s="1">
        <v>19757.450222222229</v>
      </c>
      <c r="V65" s="7">
        <v>60874.90622222222</v>
      </c>
      <c r="W65" s="8">
        <v>264382.61599999998</v>
      </c>
      <c r="X65" s="8">
        <v>103948.53000000001</v>
      </c>
      <c r="Y65" s="8">
        <v>125373.50022222224</v>
      </c>
      <c r="Z65" s="8">
        <v>493704.64622222225</v>
      </c>
      <c r="AA65" s="9">
        <v>3.1699973681158759E-4</v>
      </c>
      <c r="AB65" s="10"/>
      <c r="AC65" s="10"/>
    </row>
    <row r="66" spans="1:89" ht="15.5" customHeight="1" x14ac:dyDescent="0.35">
      <c r="A66" s="5" t="s">
        <v>74</v>
      </c>
      <c r="B66" s="1">
        <v>0</v>
      </c>
      <c r="C66" s="1">
        <v>0</v>
      </c>
      <c r="D66" s="6">
        <v>0</v>
      </c>
      <c r="E66" s="1">
        <v>0</v>
      </c>
      <c r="F66" s="1">
        <v>0</v>
      </c>
      <c r="G66" s="1">
        <v>0</v>
      </c>
      <c r="H66" s="1">
        <v>0</v>
      </c>
      <c r="I66" s="1">
        <v>4471.5787593749992</v>
      </c>
      <c r="J66" s="1">
        <v>22591.003175999998</v>
      </c>
      <c r="K66" s="1">
        <v>0</v>
      </c>
      <c r="L66" s="1">
        <v>0</v>
      </c>
      <c r="M66" s="1">
        <v>0</v>
      </c>
      <c r="N66" s="1">
        <v>27062.581935374998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7">
        <v>0</v>
      </c>
      <c r="W66" s="8">
        <v>0</v>
      </c>
      <c r="X66" s="8">
        <v>4471.5787593749992</v>
      </c>
      <c r="Y66" s="8">
        <v>22591.003175999998</v>
      </c>
      <c r="Z66" s="8">
        <v>27062.581935374998</v>
      </c>
      <c r="AA66" s="12">
        <v>5.7120061643077614E-5</v>
      </c>
      <c r="AB66" s="10"/>
      <c r="AC66" s="10"/>
    </row>
    <row r="67" spans="1:89" ht="15.5" customHeight="1" x14ac:dyDescent="0.35">
      <c r="A67" s="5" t="s">
        <v>75</v>
      </c>
      <c r="B67" s="1">
        <v>5602.72</v>
      </c>
      <c r="C67" s="1">
        <v>1592.66</v>
      </c>
      <c r="D67" s="6">
        <v>10098.65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7">
        <v>17294.03</v>
      </c>
      <c r="O67" s="1">
        <v>0</v>
      </c>
      <c r="P67" s="1">
        <v>0</v>
      </c>
      <c r="Q67" s="1">
        <v>0</v>
      </c>
      <c r="R67" s="7">
        <v>0</v>
      </c>
      <c r="S67" s="1">
        <v>0</v>
      </c>
      <c r="T67" s="1">
        <v>0</v>
      </c>
      <c r="U67" s="1">
        <v>0</v>
      </c>
      <c r="V67" s="7">
        <v>0</v>
      </c>
      <c r="W67" s="8">
        <v>5602.72</v>
      </c>
      <c r="X67" s="8">
        <v>1592.66</v>
      </c>
      <c r="Y67" s="8">
        <v>10098.65</v>
      </c>
      <c r="Z67" s="8">
        <v>17294.03</v>
      </c>
      <c r="AA67" s="9">
        <v>2.5533859918389033E-5</v>
      </c>
      <c r="AB67" s="10"/>
      <c r="AC67" s="10"/>
    </row>
    <row r="68" spans="1:89" ht="15.5" customHeight="1" x14ac:dyDescent="0.35">
      <c r="A68" s="5" t="s">
        <v>76</v>
      </c>
      <c r="B68" s="1">
        <v>0</v>
      </c>
      <c r="C68" s="1">
        <v>0</v>
      </c>
      <c r="D68" s="6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7">
        <v>0</v>
      </c>
      <c r="O68" s="1">
        <v>0</v>
      </c>
      <c r="P68" s="1">
        <v>0</v>
      </c>
      <c r="Q68" s="1">
        <v>0</v>
      </c>
      <c r="R68" s="7">
        <v>0</v>
      </c>
      <c r="S68" s="1">
        <v>1200.3186533333333</v>
      </c>
      <c r="T68" s="1">
        <v>1284.8822222222234</v>
      </c>
      <c r="U68" s="1">
        <v>9748.3349955555368</v>
      </c>
      <c r="V68" s="7">
        <v>12233.535871111093</v>
      </c>
      <c r="W68" s="8">
        <v>1200.3186533333333</v>
      </c>
      <c r="X68" s="8">
        <v>1284.8822222222234</v>
      </c>
      <c r="Y68" s="8">
        <v>9748.3349955555368</v>
      </c>
      <c r="Z68" s="8">
        <v>12233.535871111093</v>
      </c>
      <c r="AA68" s="9">
        <v>2.4648108431725494E-5</v>
      </c>
      <c r="AB68" s="10"/>
      <c r="AC68" s="10"/>
    </row>
    <row r="69" spans="1:89" s="5" customFormat="1" ht="15.5" customHeight="1" x14ac:dyDescent="0.35">
      <c r="A69" s="5" t="s">
        <v>77</v>
      </c>
      <c r="B69" s="1">
        <v>0</v>
      </c>
      <c r="C69" s="1">
        <v>0</v>
      </c>
      <c r="D69" s="6">
        <v>0</v>
      </c>
      <c r="E69" s="1">
        <v>0</v>
      </c>
      <c r="F69" s="1">
        <v>0</v>
      </c>
      <c r="G69" s="1">
        <v>0</v>
      </c>
      <c r="H69" s="1">
        <v>0</v>
      </c>
      <c r="I69" s="1">
        <v>102000.01733999999</v>
      </c>
      <c r="J69" s="1">
        <v>0</v>
      </c>
      <c r="K69" s="1">
        <v>0</v>
      </c>
      <c r="L69" s="1">
        <v>0</v>
      </c>
      <c r="M69" s="1">
        <v>0</v>
      </c>
      <c r="N69" s="7">
        <v>102000.01733999999</v>
      </c>
      <c r="O69" s="1">
        <v>0</v>
      </c>
      <c r="P69" s="1">
        <v>0</v>
      </c>
      <c r="Q69" s="1">
        <v>0</v>
      </c>
      <c r="R69" s="7">
        <v>0</v>
      </c>
      <c r="S69" s="1">
        <v>0</v>
      </c>
      <c r="T69" s="1">
        <v>0</v>
      </c>
      <c r="U69" s="1">
        <v>0</v>
      </c>
      <c r="V69" s="7">
        <v>0</v>
      </c>
      <c r="W69" s="8">
        <v>0</v>
      </c>
      <c r="X69" s="8">
        <v>102000.01733999999</v>
      </c>
      <c r="Y69" s="8">
        <v>0</v>
      </c>
      <c r="Z69" s="8">
        <v>102000.01733999999</v>
      </c>
      <c r="AA69" s="9">
        <v>0</v>
      </c>
      <c r="AB69" s="10"/>
      <c r="AC69" s="10"/>
      <c r="AD69"/>
      <c r="AE69"/>
      <c r="AF69" s="1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</row>
    <row r="70" spans="1:89" ht="15.5" customHeight="1" x14ac:dyDescent="0.35">
      <c r="A70" s="5" t="s">
        <v>78</v>
      </c>
      <c r="B70" s="1">
        <v>7.4</v>
      </c>
      <c r="C70" s="1">
        <v>19.95</v>
      </c>
      <c r="D70" s="6">
        <v>5.95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7">
        <v>33.300000000000004</v>
      </c>
      <c r="O70" s="1">
        <v>0</v>
      </c>
      <c r="P70" s="1">
        <v>0</v>
      </c>
      <c r="Q70" s="1">
        <v>0</v>
      </c>
      <c r="R70" s="7">
        <v>0</v>
      </c>
      <c r="S70" s="1">
        <v>151.71978666666675</v>
      </c>
      <c r="T70" s="1">
        <v>162.45333333333343</v>
      </c>
      <c r="U70" s="1">
        <v>165</v>
      </c>
      <c r="V70" s="7">
        <v>479.17312000000015</v>
      </c>
      <c r="W70" s="8">
        <v>159.11978666666676</v>
      </c>
      <c r="X70" s="8">
        <v>182.40333333333342</v>
      </c>
      <c r="Y70" s="8">
        <v>170.95</v>
      </c>
      <c r="Z70" s="8">
        <v>512.47312000000011</v>
      </c>
      <c r="AA70" s="9">
        <v>4.3223731420027481E-7</v>
      </c>
      <c r="AB70" s="10"/>
      <c r="AC70" s="10"/>
    </row>
    <row r="71" spans="1:89" ht="15.5" customHeight="1" x14ac:dyDescent="0.35">
      <c r="A71" s="5" t="s">
        <v>79</v>
      </c>
      <c r="B71" s="1">
        <v>0</v>
      </c>
      <c r="C71" s="1">
        <v>2569.87</v>
      </c>
      <c r="D71" s="6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7">
        <v>2569.87</v>
      </c>
      <c r="O71" s="1">
        <v>0</v>
      </c>
      <c r="P71" s="1">
        <v>0</v>
      </c>
      <c r="Q71" s="1">
        <v>0</v>
      </c>
      <c r="R71" s="7">
        <v>0</v>
      </c>
      <c r="S71" s="1">
        <v>0</v>
      </c>
      <c r="T71" s="1">
        <v>0</v>
      </c>
      <c r="U71" s="1">
        <v>0</v>
      </c>
      <c r="V71" s="7">
        <v>0</v>
      </c>
      <c r="W71" s="8">
        <v>0</v>
      </c>
      <c r="X71" s="8">
        <v>2569.87</v>
      </c>
      <c r="Y71" s="8">
        <v>0</v>
      </c>
      <c r="Z71" s="8">
        <v>2569.87</v>
      </c>
      <c r="AA71" s="9">
        <v>0</v>
      </c>
      <c r="AB71" s="10"/>
      <c r="AC71" s="10"/>
      <c r="AF71" s="1"/>
    </row>
    <row r="72" spans="1:89" ht="15.5" customHeight="1" x14ac:dyDescent="0.35">
      <c r="A72" s="5" t="s">
        <v>80</v>
      </c>
      <c r="B72" s="1">
        <v>0.7</v>
      </c>
      <c r="C72" s="1">
        <v>0</v>
      </c>
      <c r="D72" s="6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7">
        <v>0.7</v>
      </c>
      <c r="O72" s="1">
        <v>0</v>
      </c>
      <c r="P72" s="1">
        <v>0</v>
      </c>
      <c r="Q72" s="1">
        <v>0</v>
      </c>
      <c r="R72" s="7">
        <v>0</v>
      </c>
      <c r="S72" s="1">
        <v>0</v>
      </c>
      <c r="T72" s="1">
        <v>0</v>
      </c>
      <c r="U72" s="1">
        <v>0</v>
      </c>
      <c r="V72" s="7">
        <v>0</v>
      </c>
      <c r="W72" s="8">
        <v>0.7</v>
      </c>
      <c r="X72" s="8">
        <v>0</v>
      </c>
      <c r="Y72" s="8">
        <v>0</v>
      </c>
      <c r="Z72" s="8">
        <v>0.7</v>
      </c>
      <c r="AA72" s="9">
        <v>0</v>
      </c>
      <c r="AB72" s="10"/>
      <c r="AC72" s="10"/>
    </row>
    <row r="73" spans="1:89" ht="15.5" customHeight="1" x14ac:dyDescent="0.35">
      <c r="A73" s="5" t="s">
        <v>81</v>
      </c>
      <c r="B73" s="1">
        <v>0</v>
      </c>
      <c r="C73" s="1">
        <v>0</v>
      </c>
      <c r="D73" s="6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7">
        <v>0</v>
      </c>
      <c r="O73" s="1">
        <v>0</v>
      </c>
      <c r="P73" s="1">
        <v>0</v>
      </c>
      <c r="Q73" s="1">
        <v>0</v>
      </c>
      <c r="R73" s="7">
        <v>0</v>
      </c>
      <c r="S73" s="1">
        <v>0</v>
      </c>
      <c r="T73" s="1">
        <v>0</v>
      </c>
      <c r="U73" s="1">
        <v>0</v>
      </c>
      <c r="V73" s="7">
        <v>0</v>
      </c>
      <c r="W73" s="8">
        <v>0</v>
      </c>
      <c r="X73" s="8">
        <v>0</v>
      </c>
      <c r="Y73" s="8">
        <v>0</v>
      </c>
      <c r="Z73" s="8">
        <v>0</v>
      </c>
      <c r="AA73" s="9">
        <v>0</v>
      </c>
      <c r="AB73" s="10"/>
      <c r="AC73" s="10"/>
      <c r="AF73" s="1"/>
    </row>
    <row r="74" spans="1:89" ht="15.5" customHeight="1" x14ac:dyDescent="0.35">
      <c r="A74" s="5" t="s">
        <v>82</v>
      </c>
      <c r="B74" s="1">
        <v>0</v>
      </c>
      <c r="C74" s="1">
        <v>0</v>
      </c>
      <c r="D74" s="6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7">
        <v>0</v>
      </c>
      <c r="O74" s="1">
        <v>0</v>
      </c>
      <c r="P74" s="1">
        <v>0</v>
      </c>
      <c r="Q74" s="1">
        <v>0</v>
      </c>
      <c r="R74" s="7">
        <v>0</v>
      </c>
      <c r="S74" s="1">
        <v>0</v>
      </c>
      <c r="T74" s="1">
        <v>0</v>
      </c>
      <c r="U74" s="1">
        <v>0</v>
      </c>
      <c r="V74" s="7">
        <v>0</v>
      </c>
      <c r="W74" s="8">
        <v>0</v>
      </c>
      <c r="X74" s="8">
        <v>0</v>
      </c>
      <c r="Y74" s="8">
        <v>0</v>
      </c>
      <c r="Z74" s="8">
        <v>0</v>
      </c>
      <c r="AA74" s="9">
        <v>0</v>
      </c>
      <c r="AB74" s="10"/>
      <c r="AC74" s="10"/>
      <c r="AF74" s="1"/>
    </row>
    <row r="75" spans="1:89" ht="15.5" customHeight="1" x14ac:dyDescent="0.35">
      <c r="A75" s="5" t="s">
        <v>83</v>
      </c>
      <c r="B75" s="1">
        <v>0</v>
      </c>
      <c r="C75" s="1">
        <v>0</v>
      </c>
      <c r="D75" s="6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7">
        <v>0</v>
      </c>
      <c r="O75" s="1">
        <v>0</v>
      </c>
      <c r="P75" s="1">
        <v>0</v>
      </c>
      <c r="Q75" s="1">
        <v>0</v>
      </c>
      <c r="R75" s="7">
        <v>0</v>
      </c>
      <c r="S75" s="1">
        <v>0</v>
      </c>
      <c r="T75" s="1">
        <v>0</v>
      </c>
      <c r="U75" s="1">
        <v>0</v>
      </c>
      <c r="V75" s="7">
        <v>0</v>
      </c>
      <c r="W75" s="8">
        <v>0</v>
      </c>
      <c r="X75" s="8">
        <v>0</v>
      </c>
      <c r="Y75" s="8">
        <v>0</v>
      </c>
      <c r="Z75" s="8">
        <v>0</v>
      </c>
      <c r="AA75" s="9">
        <v>0</v>
      </c>
      <c r="AB75" s="10"/>
      <c r="AC75" s="10"/>
      <c r="AF75" s="1"/>
    </row>
    <row r="76" spans="1:89" ht="15.5" customHeight="1" x14ac:dyDescent="0.35">
      <c r="A76" s="5" t="s">
        <v>84</v>
      </c>
      <c r="B76" s="1">
        <v>0</v>
      </c>
      <c r="C76" s="1">
        <v>0</v>
      </c>
      <c r="D76" s="6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7">
        <v>0</v>
      </c>
      <c r="O76" s="1">
        <v>0</v>
      </c>
      <c r="P76" s="1">
        <v>0</v>
      </c>
      <c r="Q76" s="1">
        <v>0</v>
      </c>
      <c r="R76" s="7">
        <v>0</v>
      </c>
      <c r="S76" s="1">
        <v>0</v>
      </c>
      <c r="T76" s="1">
        <v>0</v>
      </c>
      <c r="U76" s="1">
        <v>0</v>
      </c>
      <c r="V76" s="7">
        <v>0</v>
      </c>
      <c r="W76" s="8">
        <v>0</v>
      </c>
      <c r="X76" s="8">
        <v>0</v>
      </c>
      <c r="Y76" s="8">
        <v>0</v>
      </c>
      <c r="Z76" s="8">
        <v>0</v>
      </c>
      <c r="AA76" s="9">
        <v>0</v>
      </c>
      <c r="AB76" s="10"/>
      <c r="AC76" s="10"/>
    </row>
    <row r="77" spans="1:89" ht="15.5" customHeight="1" x14ac:dyDescent="0.35">
      <c r="A77" s="5" t="s">
        <v>85</v>
      </c>
      <c r="B77" s="1">
        <v>0</v>
      </c>
      <c r="C77" s="1">
        <v>0</v>
      </c>
      <c r="D77" s="6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7">
        <v>0</v>
      </c>
      <c r="W77" s="8">
        <v>0</v>
      </c>
      <c r="X77" s="8">
        <v>0</v>
      </c>
      <c r="Y77" s="8">
        <v>0</v>
      </c>
      <c r="Z77" s="8">
        <v>0</v>
      </c>
      <c r="AA77" s="12">
        <v>0</v>
      </c>
      <c r="AB77" s="10"/>
      <c r="AC77" s="10"/>
    </row>
    <row r="78" spans="1:89" ht="15.5" customHeight="1" x14ac:dyDescent="0.35">
      <c r="A78" s="5" t="s">
        <v>87</v>
      </c>
      <c r="B78" s="1">
        <v>0</v>
      </c>
      <c r="C78" s="1">
        <v>0</v>
      </c>
      <c r="D78" s="6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7">
        <v>0</v>
      </c>
      <c r="O78" s="1">
        <v>0</v>
      </c>
      <c r="P78" s="1">
        <v>0</v>
      </c>
      <c r="Q78" s="1">
        <v>0</v>
      </c>
      <c r="R78" s="7">
        <v>0</v>
      </c>
      <c r="S78" s="1">
        <v>0</v>
      </c>
      <c r="T78" s="1">
        <v>0</v>
      </c>
      <c r="U78" s="1">
        <v>0</v>
      </c>
      <c r="V78" s="7">
        <v>0</v>
      </c>
      <c r="W78" s="8">
        <v>0</v>
      </c>
      <c r="X78" s="8">
        <v>0</v>
      </c>
      <c r="Y78" s="8">
        <v>0</v>
      </c>
      <c r="Z78" s="8">
        <v>0</v>
      </c>
      <c r="AA78" s="9">
        <v>0</v>
      </c>
      <c r="AB78" s="10"/>
      <c r="AC78" s="10"/>
      <c r="AF78" s="1"/>
    </row>
    <row r="79" spans="1:89" ht="15.5" customHeight="1" x14ac:dyDescent="0.35">
      <c r="A79" s="5" t="s">
        <v>86</v>
      </c>
      <c r="B79" s="1">
        <v>0</v>
      </c>
      <c r="C79" s="1">
        <v>0</v>
      </c>
      <c r="D79" s="6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7">
        <v>0</v>
      </c>
      <c r="O79" s="1">
        <v>0</v>
      </c>
      <c r="P79" s="1">
        <v>0</v>
      </c>
      <c r="Q79" s="1">
        <v>0</v>
      </c>
      <c r="R79" s="7">
        <v>0</v>
      </c>
      <c r="S79" s="1">
        <v>0</v>
      </c>
      <c r="T79" s="1">
        <v>0</v>
      </c>
      <c r="U79" s="1">
        <v>0</v>
      </c>
      <c r="V79" s="7">
        <v>0</v>
      </c>
      <c r="W79" s="8">
        <v>0</v>
      </c>
      <c r="X79" s="8">
        <v>0</v>
      </c>
      <c r="Y79" s="8">
        <v>0</v>
      </c>
      <c r="Z79" s="8">
        <v>0</v>
      </c>
      <c r="AA79" s="9">
        <v>0</v>
      </c>
      <c r="AB79" s="10"/>
      <c r="AC79" s="10"/>
    </row>
    <row r="80" spans="1:89" x14ac:dyDescent="0.35">
      <c r="A80" s="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1"/>
      <c r="X80" s="11"/>
      <c r="Y80" s="11"/>
      <c r="Z80" s="11"/>
      <c r="AA80" s="12"/>
      <c r="AB80" s="10"/>
      <c r="AC80" s="10"/>
    </row>
    <row r="81" spans="1:89" x14ac:dyDescent="0.35">
      <c r="A81" s="15" t="s">
        <v>0</v>
      </c>
      <c r="B81" s="2">
        <f t="shared" ref="B81:Z81" si="0">SUM(B3:B79)</f>
        <v>126209124.84000005</v>
      </c>
      <c r="C81" s="2">
        <f>SUM(C3:C79)</f>
        <v>198923401.61999997</v>
      </c>
      <c r="D81" s="2">
        <f>SUM(D3:D79)</f>
        <v>222145339.38000003</v>
      </c>
      <c r="E81" s="2">
        <f t="shared" si="0"/>
        <v>82059844.204029977</v>
      </c>
      <c r="F81" s="2">
        <f t="shared" si="0"/>
        <v>121618858.10312782</v>
      </c>
      <c r="G81" s="2">
        <f t="shared" si="0"/>
        <v>107156174.67084002</v>
      </c>
      <c r="H81" s="2">
        <f t="shared" si="0"/>
        <v>23798215.54306826</v>
      </c>
      <c r="I81" s="2">
        <f t="shared" si="0"/>
        <v>45340087.282837182</v>
      </c>
      <c r="J81" s="2">
        <f t="shared" si="0"/>
        <v>59383757.352186404</v>
      </c>
      <c r="K81" s="2">
        <f t="shared" si="0"/>
        <v>0</v>
      </c>
      <c r="L81" s="2">
        <f t="shared" si="0"/>
        <v>0</v>
      </c>
      <c r="M81" s="2">
        <f t="shared" si="0"/>
        <v>0</v>
      </c>
      <c r="N81" s="2">
        <f t="shared" si="0"/>
        <v>986634802.99608958</v>
      </c>
      <c r="O81" s="2">
        <f t="shared" si="0"/>
        <v>4618809.7061866159</v>
      </c>
      <c r="P81" s="2">
        <f t="shared" si="0"/>
        <v>10462371.640000001</v>
      </c>
      <c r="Q81" s="2">
        <f t="shared" si="0"/>
        <v>1753215.2100000004</v>
      </c>
      <c r="R81" s="2">
        <f t="shared" si="0"/>
        <v>16834396.556186616</v>
      </c>
      <c r="S81" s="2">
        <f t="shared" si="0"/>
        <v>4248660.1803555489</v>
      </c>
      <c r="T81" s="2">
        <f t="shared" si="0"/>
        <v>5210523.185511101</v>
      </c>
      <c r="U81" s="2">
        <f t="shared" si="0"/>
        <v>5061842.4510933366</v>
      </c>
      <c r="V81" s="2">
        <f t="shared" si="0"/>
        <v>14521025.816959988</v>
      </c>
      <c r="W81" s="2">
        <f t="shared" si="0"/>
        <v>240934654.47364035</v>
      </c>
      <c r="X81" s="2">
        <f t="shared" si="0"/>
        <v>381555241.83147597</v>
      </c>
      <c r="Y81" s="2">
        <f t="shared" si="0"/>
        <v>395500329.0641197</v>
      </c>
      <c r="Z81" s="2">
        <f t="shared" si="0"/>
        <v>1017990225.3692365</v>
      </c>
      <c r="AA81" s="9"/>
      <c r="AB81" s="10"/>
      <c r="AC81" s="10"/>
    </row>
    <row r="82" spans="1:89" ht="16.5" customHeight="1" x14ac:dyDescent="0.35">
      <c r="A82" s="16" t="s">
        <v>3</v>
      </c>
      <c r="B82" s="1">
        <f>+'[1]Convenio Estándar'!AS101</f>
        <v>126209124.84000006</v>
      </c>
      <c r="C82" s="1">
        <f>+'[1]Convenio Estándar'!AT101</f>
        <v>198923401.62</v>
      </c>
      <c r="D82" s="1">
        <f>+'[1]Convenio Estándar'!AU101</f>
        <v>222145339.38000008</v>
      </c>
      <c r="E82" s="1">
        <f>+'[1]Convenio 10%'!AS20</f>
        <v>82059844.204029962</v>
      </c>
      <c r="F82" s="1">
        <f>+'[1]Convenio 10%'!AT20</f>
        <v>121618858.10312781</v>
      </c>
      <c r="G82" s="1">
        <f>+'[1]Convenio 10%'!AU20</f>
        <v>107156174.67084002</v>
      </c>
      <c r="H82" s="1">
        <f>+[1]Bilateral!AT49</f>
        <v>-0.58217371090478909</v>
      </c>
      <c r="I82" s="1">
        <f>+[1]Bilateral!AU49</f>
        <v>0.90518852981997888</v>
      </c>
      <c r="J82" s="1">
        <f>+[1]Bilateral!AV49</f>
        <v>0.30974069330177989</v>
      </c>
      <c r="K82" s="1">
        <v>0</v>
      </c>
      <c r="L82" s="1">
        <v>0</v>
      </c>
      <c r="M82" s="1">
        <v>0</v>
      </c>
      <c r="N82" s="7"/>
      <c r="O82" s="1">
        <f>+'[1]Intereses por desc. cta. cte.'!AS81</f>
        <v>4618809.7061866159</v>
      </c>
      <c r="P82" s="1">
        <f>+'[1]Intereses por desc. cta. cte.'!AT81</f>
        <v>10462371.639999997</v>
      </c>
      <c r="Q82" s="1">
        <f>+'[1]Intereses por desc. cta. cte.'!AU81</f>
        <v>1753215.2100000009</v>
      </c>
      <c r="R82" s="7"/>
      <c r="S82" s="1">
        <f>+'[1]FCI - ACDI'!AS120</f>
        <v>4248660.1803555489</v>
      </c>
      <c r="T82" s="1">
        <f>+'[1]FCI - ACDI'!AT120</f>
        <v>5210523.185511101</v>
      </c>
      <c r="U82" s="1">
        <f>+'[1]FCI - ACDI'!AU120</f>
        <v>5061842.4510933356</v>
      </c>
      <c r="V82" s="7"/>
      <c r="W82" s="8"/>
      <c r="X82" s="8"/>
      <c r="Y82" s="8">
        <f>+'[1]Por Agente - Anual'!CJ96</f>
        <v>395500329.06411964</v>
      </c>
      <c r="Z82" s="8"/>
      <c r="AA82" s="9"/>
      <c r="AB82" s="10"/>
      <c r="AC82" s="10"/>
    </row>
    <row r="83" spans="1:89" s="4" customFormat="1" x14ac:dyDescent="0.35">
      <c r="A83" s="5"/>
      <c r="B83" s="1">
        <f t="shared" ref="B83:M83" si="1">+B81-B82</f>
        <v>0</v>
      </c>
      <c r="C83" s="1">
        <f t="shared" si="1"/>
        <v>0</v>
      </c>
      <c r="D83" s="1">
        <f t="shared" si="1"/>
        <v>0</v>
      </c>
      <c r="E83" s="1">
        <f t="shared" si="1"/>
        <v>0</v>
      </c>
      <c r="F83" s="1">
        <f t="shared" si="1"/>
        <v>0</v>
      </c>
      <c r="G83" s="1">
        <f t="shared" si="1"/>
        <v>0</v>
      </c>
      <c r="H83" s="1">
        <f t="shared" si="1"/>
        <v>23798216.125241973</v>
      </c>
      <c r="I83" s="1">
        <f t="shared" si="1"/>
        <v>45340086.377648652</v>
      </c>
      <c r="J83" s="1">
        <f t="shared" si="1"/>
        <v>59383757.042445712</v>
      </c>
      <c r="K83" s="1">
        <f t="shared" si="1"/>
        <v>0</v>
      </c>
      <c r="L83" s="1">
        <f t="shared" si="1"/>
        <v>0</v>
      </c>
      <c r="M83" s="1">
        <f t="shared" si="1"/>
        <v>0</v>
      </c>
      <c r="N83" s="1">
        <v>0</v>
      </c>
      <c r="O83" s="1">
        <f>+O81-O82</f>
        <v>0</v>
      </c>
      <c r="P83" s="1">
        <f>+P81-P82</f>
        <v>0</v>
      </c>
      <c r="Q83" s="1">
        <f>+Q81-Q82</f>
        <v>0</v>
      </c>
      <c r="R83" s="1">
        <v>0</v>
      </c>
      <c r="S83" s="1">
        <f>+S81-S82</f>
        <v>0</v>
      </c>
      <c r="T83" s="1">
        <f>+T81-T82</f>
        <v>0</v>
      </c>
      <c r="U83" s="1">
        <f>+U81-U82</f>
        <v>0</v>
      </c>
      <c r="V83" s="17">
        <f>+SUM(B83:U83)</f>
        <v>128522059.54533634</v>
      </c>
      <c r="W83" s="1"/>
      <c r="X83" s="1"/>
      <c r="Y83" s="18">
        <f>+Y82-Y81</f>
        <v>0</v>
      </c>
      <c r="Z83" s="1"/>
      <c r="AA83" s="9"/>
      <c r="AB83" s="10"/>
      <c r="AC83" s="10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</row>
    <row r="84" spans="1:89" x14ac:dyDescent="0.35">
      <c r="A84" s="5"/>
      <c r="B84" s="36"/>
      <c r="C84" s="36"/>
      <c r="D84" s="36"/>
      <c r="J84" s="1"/>
      <c r="M84" s="1"/>
      <c r="Q84" s="1"/>
      <c r="U84" s="1"/>
      <c r="V84" s="19" t="s">
        <v>4</v>
      </c>
      <c r="Y84" s="20" t="s">
        <v>4</v>
      </c>
    </row>
    <row r="85" spans="1:89" x14ac:dyDescent="0.35">
      <c r="A85" s="5"/>
      <c r="B85" s="36"/>
      <c r="C85" s="36"/>
      <c r="D85" s="36"/>
      <c r="J85" s="1"/>
      <c r="M85" s="1"/>
      <c r="Q85" s="1"/>
      <c r="U85" s="1"/>
    </row>
    <row r="86" spans="1:89" x14ac:dyDescent="0.35">
      <c r="A86" s="5"/>
    </row>
    <row r="87" spans="1:89" x14ac:dyDescent="0.35">
      <c r="A87" s="5"/>
      <c r="T87" s="1"/>
    </row>
    <row r="88" spans="1:89" x14ac:dyDescent="0.35">
      <c r="A88" s="5"/>
      <c r="D88" s="1"/>
      <c r="E88" s="5"/>
      <c r="F88" s="1"/>
      <c r="G88" s="1"/>
      <c r="J88" s="21"/>
    </row>
    <row r="89" spans="1:89" x14ac:dyDescent="0.35">
      <c r="A89" s="5"/>
      <c r="D89" s="1"/>
      <c r="E89" s="5"/>
      <c r="F89" s="1"/>
      <c r="G89" s="1"/>
    </row>
    <row r="90" spans="1:89" x14ac:dyDescent="0.35">
      <c r="A90" s="5"/>
      <c r="D90" s="22"/>
      <c r="E90" s="5"/>
      <c r="F90" s="1"/>
      <c r="J90" s="21"/>
    </row>
    <row r="91" spans="1:89" x14ac:dyDescent="0.35">
      <c r="A91" s="5"/>
      <c r="D91" s="23"/>
      <c r="E91" s="5"/>
      <c r="F91" s="1"/>
      <c r="J91" s="21"/>
    </row>
    <row r="92" spans="1:89" x14ac:dyDescent="0.35">
      <c r="A92" s="5"/>
      <c r="E92" s="5"/>
      <c r="F92" s="1"/>
      <c r="J92" s="21"/>
    </row>
    <row r="93" spans="1:89" ht="43.5" customHeight="1" x14ac:dyDescent="0.35">
      <c r="A93" s="5"/>
      <c r="E93" s="5"/>
      <c r="F93" s="1"/>
      <c r="J93" s="21"/>
    </row>
    <row r="94" spans="1:89" x14ac:dyDescent="0.35">
      <c r="A94" s="5"/>
      <c r="E94" s="5"/>
      <c r="F94" s="1"/>
      <c r="J94" s="21"/>
    </row>
    <row r="95" spans="1:89" x14ac:dyDescent="0.35">
      <c r="A95" s="5"/>
      <c r="E95" s="5"/>
      <c r="F95" s="1"/>
      <c r="J95" s="21"/>
    </row>
    <row r="96" spans="1:89" x14ac:dyDescent="0.35">
      <c r="A96" s="5"/>
      <c r="E96" s="5"/>
      <c r="F96" s="1"/>
      <c r="J96" s="21"/>
    </row>
    <row r="97" spans="1:10" x14ac:dyDescent="0.35">
      <c r="A97" s="5"/>
      <c r="E97" s="5"/>
      <c r="F97" s="1"/>
      <c r="J97" s="21"/>
    </row>
    <row r="98" spans="1:10" x14ac:dyDescent="0.35">
      <c r="A98" s="5"/>
      <c r="E98" s="5"/>
      <c r="F98" s="1"/>
      <c r="J98" s="21"/>
    </row>
    <row r="99" spans="1:10" x14ac:dyDescent="0.35">
      <c r="A99" s="5"/>
      <c r="E99" s="5"/>
      <c r="F99" s="1"/>
      <c r="J99" s="21"/>
    </row>
    <row r="100" spans="1:10" x14ac:dyDescent="0.35">
      <c r="A100" s="5"/>
      <c r="E100" s="5"/>
      <c r="F100" s="1"/>
      <c r="J100" s="21"/>
    </row>
    <row r="101" spans="1:10" x14ac:dyDescent="0.35">
      <c r="A101" s="5"/>
      <c r="E101" s="5"/>
      <c r="F101" s="1"/>
      <c r="I101" s="5"/>
      <c r="J101" s="21"/>
    </row>
    <row r="102" spans="1:10" x14ac:dyDescent="0.35">
      <c r="A102" s="5"/>
      <c r="E102" s="5"/>
      <c r="F102" s="1"/>
      <c r="I102" s="5"/>
      <c r="J102" s="21"/>
    </row>
    <row r="103" spans="1:10" x14ac:dyDescent="0.35">
      <c r="A103" s="5"/>
      <c r="E103" s="5"/>
      <c r="F103" s="1"/>
    </row>
    <row r="104" spans="1:10" x14ac:dyDescent="0.35">
      <c r="A104" s="5"/>
      <c r="E104" s="5"/>
      <c r="F104" s="1"/>
    </row>
    <row r="105" spans="1:10" x14ac:dyDescent="0.35">
      <c r="A105" s="5"/>
      <c r="E105" s="5"/>
      <c r="F105" s="1"/>
    </row>
    <row r="106" spans="1:10" x14ac:dyDescent="0.35">
      <c r="A106" s="5"/>
      <c r="E106" s="5"/>
      <c r="F106" s="1"/>
    </row>
    <row r="107" spans="1:10" x14ac:dyDescent="0.35">
      <c r="A107" s="5"/>
      <c r="E107" s="5"/>
      <c r="F107" s="1"/>
    </row>
    <row r="108" spans="1:10" x14ac:dyDescent="0.35">
      <c r="A108" s="5"/>
      <c r="E108" s="5"/>
      <c r="F108" s="1"/>
    </row>
    <row r="109" spans="1:10" x14ac:dyDescent="0.35">
      <c r="A109" s="5"/>
      <c r="E109" s="5"/>
      <c r="F109" s="1"/>
    </row>
    <row r="110" spans="1:10" x14ac:dyDescent="0.35">
      <c r="A110" s="5"/>
      <c r="E110" s="5"/>
      <c r="F110" s="1"/>
    </row>
    <row r="111" spans="1:10" x14ac:dyDescent="0.35">
      <c r="A111" s="5"/>
      <c r="E111" s="5"/>
      <c r="F111" s="1"/>
    </row>
    <row r="112" spans="1:10" x14ac:dyDescent="0.35">
      <c r="E112" s="5"/>
      <c r="F112" s="1"/>
    </row>
    <row r="113" spans="1:6" x14ac:dyDescent="0.35">
      <c r="A113" s="5"/>
      <c r="E113" s="5"/>
      <c r="F113" s="1"/>
    </row>
    <row r="114" spans="1:6" x14ac:dyDescent="0.35">
      <c r="A114" s="5"/>
      <c r="E114" s="5"/>
      <c r="F114" s="1"/>
    </row>
    <row r="115" spans="1:6" x14ac:dyDescent="0.35">
      <c r="E115" s="5"/>
      <c r="F115" s="1"/>
    </row>
    <row r="116" spans="1:6" x14ac:dyDescent="0.35">
      <c r="A116" s="5"/>
      <c r="E116" s="5"/>
      <c r="F116" s="1"/>
    </row>
    <row r="117" spans="1:6" x14ac:dyDescent="0.35">
      <c r="A117" s="5"/>
      <c r="E117" s="5"/>
      <c r="F117" s="1"/>
    </row>
    <row r="118" spans="1:6" x14ac:dyDescent="0.35">
      <c r="E118" s="5"/>
      <c r="F118" s="1"/>
    </row>
    <row r="119" spans="1:6" x14ac:dyDescent="0.35">
      <c r="E119" s="5"/>
      <c r="F119" s="1"/>
    </row>
    <row r="120" spans="1:6" x14ac:dyDescent="0.35">
      <c r="E120" s="5"/>
      <c r="F120" s="1"/>
    </row>
    <row r="121" spans="1:6" x14ac:dyDescent="0.35">
      <c r="E121" s="5"/>
      <c r="F121" s="1"/>
    </row>
    <row r="122" spans="1:6" x14ac:dyDescent="0.35">
      <c r="E122" s="5"/>
      <c r="F122" s="1"/>
    </row>
    <row r="123" spans="1:6" x14ac:dyDescent="0.35">
      <c r="E123" s="5"/>
      <c r="F123" s="1"/>
    </row>
    <row r="124" spans="1:6" x14ac:dyDescent="0.35">
      <c r="E124" s="5"/>
      <c r="F124" s="1"/>
    </row>
    <row r="125" spans="1:6" x14ac:dyDescent="0.35">
      <c r="E125" s="5"/>
      <c r="F125" s="1"/>
    </row>
    <row r="126" spans="1:6" x14ac:dyDescent="0.35">
      <c r="E126" s="5"/>
      <c r="F126" s="1"/>
    </row>
    <row r="127" spans="1:6" x14ac:dyDescent="0.35">
      <c r="E127" s="5"/>
      <c r="F127" s="1"/>
    </row>
    <row r="128" spans="1:6" x14ac:dyDescent="0.35">
      <c r="E128" s="5"/>
      <c r="F128" s="1"/>
    </row>
    <row r="129" spans="5:6" x14ac:dyDescent="0.35">
      <c r="E129" s="5"/>
      <c r="F129" s="1"/>
    </row>
    <row r="130" spans="5:6" x14ac:dyDescent="0.35">
      <c r="E130" s="5"/>
      <c r="F130" s="1"/>
    </row>
    <row r="131" spans="5:6" x14ac:dyDescent="0.35">
      <c r="E131" s="5"/>
      <c r="F131" s="1"/>
    </row>
    <row r="132" spans="5:6" x14ac:dyDescent="0.35">
      <c r="E132" s="5"/>
      <c r="F132" s="1"/>
    </row>
    <row r="133" spans="5:6" x14ac:dyDescent="0.35">
      <c r="E133" s="5"/>
      <c r="F133" s="1"/>
    </row>
    <row r="134" spans="5:6" x14ac:dyDescent="0.35">
      <c r="E134" s="5"/>
      <c r="F134" s="1"/>
    </row>
    <row r="135" spans="5:6" x14ac:dyDescent="0.35">
      <c r="E135" s="5"/>
      <c r="F135" s="1"/>
    </row>
    <row r="136" spans="5:6" x14ac:dyDescent="0.35">
      <c r="E136" s="5"/>
      <c r="F136" s="1"/>
    </row>
    <row r="137" spans="5:6" x14ac:dyDescent="0.35">
      <c r="E137" s="5"/>
      <c r="F137" s="1"/>
    </row>
    <row r="138" spans="5:6" x14ac:dyDescent="0.35">
      <c r="E138" s="5"/>
      <c r="F138" s="1"/>
    </row>
    <row r="139" spans="5:6" x14ac:dyDescent="0.35">
      <c r="E139" s="5"/>
      <c r="F139" s="1"/>
    </row>
    <row r="140" spans="5:6" x14ac:dyDescent="0.35">
      <c r="E140" s="5"/>
      <c r="F140" s="1"/>
    </row>
    <row r="141" spans="5:6" x14ac:dyDescent="0.35">
      <c r="E141" s="5"/>
      <c r="F141" s="1"/>
    </row>
    <row r="142" spans="5:6" x14ac:dyDescent="0.35">
      <c r="E142" s="5"/>
      <c r="F142" s="1"/>
    </row>
    <row r="143" spans="5:6" x14ac:dyDescent="0.35">
      <c r="E143" s="5"/>
      <c r="F143" s="1"/>
    </row>
    <row r="144" spans="5:6" x14ac:dyDescent="0.35">
      <c r="E144" s="5"/>
      <c r="F144" s="1"/>
    </row>
    <row r="145" spans="5:6" x14ac:dyDescent="0.35">
      <c r="E145" s="5"/>
      <c r="F145" s="1"/>
    </row>
    <row r="146" spans="5:6" x14ac:dyDescent="0.35">
      <c r="E146" s="5"/>
      <c r="F146" s="1"/>
    </row>
    <row r="147" spans="5:6" x14ac:dyDescent="0.35">
      <c r="E147" s="5"/>
      <c r="F147" s="1"/>
    </row>
    <row r="148" spans="5:6" x14ac:dyDescent="0.35">
      <c r="E148" s="5"/>
      <c r="F148" s="1"/>
    </row>
    <row r="149" spans="5:6" x14ac:dyDescent="0.35">
      <c r="E149" s="5"/>
      <c r="F149" s="1"/>
    </row>
    <row r="150" spans="5:6" x14ac:dyDescent="0.35">
      <c r="E150" s="5"/>
      <c r="F150" s="1"/>
    </row>
  </sheetData>
  <conditionalFormatting sqref="A1:A1048576">
    <cfRule type="duplicateValues" dxfId="66" priority="2"/>
  </conditionalFormatting>
  <conditionalFormatting sqref="A3:A70">
    <cfRule type="duplicateValues" dxfId="65" priority="1"/>
  </conditionalFormatting>
  <conditionalFormatting sqref="A3:A79">
    <cfRule type="duplicateValues" dxfId="64" priority="118"/>
  </conditionalFormatting>
  <conditionalFormatting sqref="A79:A80">
    <cfRule type="duplicateValues" dxfId="63" priority="127"/>
  </conditionalFormatting>
  <conditionalFormatting sqref="A81:A1048576 A1:A79">
    <cfRule type="duplicateValues" dxfId="62" priority="44"/>
  </conditionalFormatting>
  <conditionalFormatting sqref="A81:A1048576">
    <cfRule type="duplicateValues" dxfId="61" priority="22"/>
    <cfRule type="duplicateValues" dxfId="60" priority="23"/>
    <cfRule type="duplicateValues" dxfId="59" priority="52"/>
  </conditionalFormatting>
  <conditionalFormatting sqref="A82">
    <cfRule type="duplicateValues" dxfId="58" priority="50"/>
  </conditionalFormatting>
  <conditionalFormatting sqref="A84:A128">
    <cfRule type="duplicateValues" dxfId="57" priority="45"/>
  </conditionalFormatting>
  <conditionalFormatting sqref="A129:A1048576 A81:A83 A1:A79">
    <cfRule type="duplicateValues" dxfId="56" priority="51"/>
  </conditionalFormatting>
  <conditionalFormatting sqref="CS6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6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4622-1E6F-4528-B72D-D260777493E3}">
  <dimension ref="A1:D118"/>
  <sheetViews>
    <sheetView workbookViewId="0">
      <selection activeCell="C2" sqref="C2"/>
    </sheetView>
  </sheetViews>
  <sheetFormatPr baseColWidth="10" defaultRowHeight="14.5" x14ac:dyDescent="0.35"/>
  <cols>
    <col min="1" max="1" width="53.453125" customWidth="1"/>
    <col min="2" max="4" width="13.7265625" bestFit="1" customWidth="1"/>
  </cols>
  <sheetData>
    <row r="1" spans="1:4" x14ac:dyDescent="0.35">
      <c r="A1" s="26" t="s">
        <v>2</v>
      </c>
      <c r="B1" s="34">
        <f>+General!B2</f>
        <v>45870</v>
      </c>
      <c r="C1" s="34">
        <f>+General!C2</f>
        <v>45901</v>
      </c>
      <c r="D1" s="34">
        <f>+General!D2</f>
        <v>45931</v>
      </c>
    </row>
    <row r="2" spans="1:4" ht="15" customHeight="1" x14ac:dyDescent="0.35">
      <c r="A2" s="5" t="str">
        <f>+General!A3</f>
        <v>ARGENTINA</v>
      </c>
      <c r="B2" s="36">
        <f>+IFERROR(VLOOKUP(A2,General!$A$3:$D$79,2,FALSE),0)</f>
        <v>29690171.099999998</v>
      </c>
      <c r="C2" s="36">
        <f>IFERROR(VLOOKUP(A2,General!$A$3:$C$79,3,FALSE),0)</f>
        <v>40873976.270000003</v>
      </c>
      <c r="D2" s="36">
        <f>IFERROR(VLOOKUP(A2,General!$A$3:$D$79,4,FALSE),0)</f>
        <v>45909342.460000001</v>
      </c>
    </row>
    <row r="3" spans="1:4" ht="15" customHeight="1" x14ac:dyDescent="0.35">
      <c r="A3" s="5" t="str">
        <f>+General!A4</f>
        <v>BRASIL</v>
      </c>
      <c r="B3" s="36">
        <f>+IFERROR(VLOOKUP(A3,General!$A$3:$D$79,2,FALSE),0)</f>
        <v>1511691.84</v>
      </c>
      <c r="C3" s="36">
        <f>IFERROR(VLOOKUP(A3,General!$A$3:$C$79,3,FALSE),0)</f>
        <v>1157460.1299999999</v>
      </c>
      <c r="D3" s="36">
        <f>IFERROR(VLOOKUP(A3,General!$A$3:$D$79,4,FALSE),0)</f>
        <v>145000</v>
      </c>
    </row>
    <row r="4" spans="1:4" ht="15" customHeight="1" x14ac:dyDescent="0.35">
      <c r="A4" s="5" t="str">
        <f>+General!A5</f>
        <v>PALMEIRAS</v>
      </c>
      <c r="B4" s="36">
        <f>+IFERROR(VLOOKUP(A4,General!$A$3:$D$79,2,FALSE),0)</f>
        <v>12718.01</v>
      </c>
      <c r="C4" s="36">
        <f>IFERROR(VLOOKUP(A4,General!$A$3:$C$79,3,FALSE),0)</f>
        <v>106180.66</v>
      </c>
      <c r="D4" s="36">
        <f>IFERROR(VLOOKUP(A4,General!$A$3:$D$79,4,FALSE),0)</f>
        <v>19430.870000000003</v>
      </c>
    </row>
    <row r="5" spans="1:4" ht="15" customHeight="1" x14ac:dyDescent="0.35">
      <c r="A5" s="5" t="str">
        <f>+General!A6</f>
        <v>FLAMENGO</v>
      </c>
      <c r="B5" s="36">
        <f>+IFERROR(VLOOKUP(A5,General!$A$3:$D$79,2,FALSE),0)</f>
        <v>449928.14</v>
      </c>
      <c r="C5" s="36">
        <f>IFERROR(VLOOKUP(A5,General!$A$3:$C$79,3,FALSE),0)</f>
        <v>10594632.219999999</v>
      </c>
      <c r="D5" s="36">
        <f>IFERROR(VLOOKUP(A5,General!$A$3:$D$79,4,FALSE),0)</f>
        <v>2432106.1800000002</v>
      </c>
    </row>
    <row r="6" spans="1:4" ht="15" customHeight="1" x14ac:dyDescent="0.35">
      <c r="A6" s="5" t="str">
        <f>+General!A7</f>
        <v>LIMA</v>
      </c>
      <c r="B6" s="36">
        <f>+IFERROR(VLOOKUP(A6,General!$A$3:$D$79,2,FALSE),0)</f>
        <v>3191920.29</v>
      </c>
      <c r="C6" s="36">
        <f>IFERROR(VLOOKUP(A6,General!$A$3:$C$79,3,FALSE),0)</f>
        <v>7586840.3400000008</v>
      </c>
      <c r="D6" s="36">
        <f>IFERROR(VLOOKUP(A6,General!$A$3:$D$79,4,FALSE),0)</f>
        <v>6745349.1100000003</v>
      </c>
    </row>
    <row r="7" spans="1:4" ht="24" customHeight="1" x14ac:dyDescent="0.35">
      <c r="A7" s="5" t="str">
        <f>+General!A8</f>
        <v>PERU</v>
      </c>
      <c r="B7" s="36">
        <f>+IFERROR(VLOOKUP(A7,General!$A$3:$D$79,2,FALSE),0)</f>
        <v>248014.75</v>
      </c>
      <c r="C7" s="36">
        <f>IFERROR(VLOOKUP(A7,General!$A$3:$C$79,3,FALSE),0)</f>
        <v>767595</v>
      </c>
      <c r="D7" s="36">
        <f>IFERROR(VLOOKUP(A7,General!$A$3:$D$79,4,FALSE),0)</f>
        <v>467545.5</v>
      </c>
    </row>
    <row r="8" spans="1:4" ht="16.5" customHeight="1" x14ac:dyDescent="0.35">
      <c r="A8" s="5" t="str">
        <f>+General!A9</f>
        <v>VITOR ROQUE</v>
      </c>
      <c r="B8" s="36">
        <f>+IFERROR(VLOOKUP(A8,General!$A$3:$D$79,2,FALSE),0)</f>
        <v>0</v>
      </c>
      <c r="C8" s="36">
        <f>IFERROR(VLOOKUP(A8,General!$A$3:$C$79,3,FALSE),0)</f>
        <v>288250</v>
      </c>
      <c r="D8" s="36">
        <f>IFERROR(VLOOKUP(A8,General!$A$3:$D$79,4,FALSE),0)</f>
        <v>8843100.4600000009</v>
      </c>
    </row>
    <row r="9" spans="1:4" ht="20.5" customHeight="1" x14ac:dyDescent="0.35">
      <c r="A9" s="5" t="str">
        <f>+General!A10</f>
        <v>MENGAO</v>
      </c>
      <c r="B9" s="36">
        <f>+IFERROR(VLOOKUP(A9,General!$A$3:$D$79,2,FALSE),0)</f>
        <v>32299.599999999999</v>
      </c>
      <c r="C9" s="36">
        <f>IFERROR(VLOOKUP(A9,General!$A$3:$C$79,3,FALSE),0)</f>
        <v>4142367.92</v>
      </c>
      <c r="D9" s="36">
        <f>IFERROR(VLOOKUP(A9,General!$A$3:$D$79,4,FALSE),0)</f>
        <v>190886</v>
      </c>
    </row>
    <row r="10" spans="1:4" ht="15" customHeight="1" x14ac:dyDescent="0.35">
      <c r="A10" s="5" t="str">
        <f>+General!A11</f>
        <v>PAULISTA</v>
      </c>
      <c r="B10" s="36">
        <f>+IFERROR(VLOOKUP(A10,General!$A$3:$D$79,2,FALSE),0)</f>
        <v>0</v>
      </c>
      <c r="C10" s="36">
        <f>IFERROR(VLOOKUP(A10,General!$A$3:$C$79,3,FALSE),0)</f>
        <v>0</v>
      </c>
      <c r="D10" s="36">
        <f>IFERROR(VLOOKUP(A10,General!$A$3:$D$79,4,FALSE),0)</f>
        <v>0</v>
      </c>
    </row>
    <row r="11" spans="1:4" ht="15" customHeight="1" x14ac:dyDescent="0.35">
      <c r="A11" s="5" t="str">
        <f>+General!A12</f>
        <v>CARIOCAS</v>
      </c>
      <c r="B11" s="36">
        <f>+IFERROR(VLOOKUP(A11,General!$A$3:$D$79,2,FALSE),0)</f>
        <v>69585.490000000005</v>
      </c>
      <c r="C11" s="36">
        <f>IFERROR(VLOOKUP(A11,General!$A$3:$C$79,3,FALSE),0)</f>
        <v>0</v>
      </c>
      <c r="D11" s="36">
        <f>IFERROR(VLOOKUP(A11,General!$A$3:$D$79,4,FALSE),0)</f>
        <v>0</v>
      </c>
    </row>
    <row r="12" spans="1:4" ht="15" customHeight="1" x14ac:dyDescent="0.35">
      <c r="A12" s="5" t="str">
        <f>+General!A13</f>
        <v>BRUNO ENRIQUE</v>
      </c>
      <c r="B12" s="36">
        <f>+IFERROR(VLOOKUP(A12,General!$A$3:$D$79,2,FALSE),0)</f>
        <v>1845075.29</v>
      </c>
      <c r="C12" s="36">
        <f>IFERROR(VLOOKUP(A12,General!$A$3:$C$79,3,FALSE),0)</f>
        <v>3091058.2200000007</v>
      </c>
      <c r="D12" s="36">
        <f>IFERROR(VLOOKUP(A12,General!$A$3:$D$79,4,FALSE),0)</f>
        <v>2770489.42</v>
      </c>
    </row>
    <row r="13" spans="1:4" ht="15" customHeight="1" x14ac:dyDescent="0.35">
      <c r="A13" s="5" t="str">
        <f>+General!A14</f>
        <v>FLACO LOPEZ</v>
      </c>
      <c r="B13" s="36">
        <f>+IFERROR(VLOOKUP(A13,General!$A$3:$D$79,2,FALSE),0)</f>
        <v>3145507.33</v>
      </c>
      <c r="C13" s="36">
        <f>IFERROR(VLOOKUP(A13,General!$A$3:$C$79,3,FALSE),0)</f>
        <v>2756630.7999999993</v>
      </c>
      <c r="D13" s="36">
        <f>IFERROR(VLOOKUP(A13,General!$A$3:$D$79,4,FALSE),0)</f>
        <v>4374130.7399999993</v>
      </c>
    </row>
    <row r="14" spans="1:4" ht="15" customHeight="1" x14ac:dyDescent="0.35">
      <c r="A14" s="5" t="str">
        <f>+General!A15</f>
        <v>DE ARRASCAETA</v>
      </c>
      <c r="B14" s="36">
        <f>+IFERROR(VLOOKUP(A14,General!$A$3:$D$79,2,FALSE),0)</f>
        <v>2411874.5099999998</v>
      </c>
      <c r="C14" s="36">
        <f>IFERROR(VLOOKUP(A14,General!$A$3:$C$79,3,FALSE),0)</f>
        <v>2542124.5100000002</v>
      </c>
      <c r="D14" s="36">
        <f>IFERROR(VLOOKUP(A14,General!$A$3:$D$79,4,FALSE),0)</f>
        <v>2712794.05</v>
      </c>
    </row>
    <row r="15" spans="1:4" ht="15" customHeight="1" x14ac:dyDescent="0.35">
      <c r="A15" s="5" t="str">
        <f>+General!A16</f>
        <v>GUSTAVO GOMEZ</v>
      </c>
      <c r="B15" s="36">
        <f>+IFERROR(VLOOKUP(A15,General!$A$3:$D$79,2,FALSE),0)</f>
        <v>3965331.27</v>
      </c>
      <c r="C15" s="36">
        <f>IFERROR(VLOOKUP(A15,General!$A$3:$C$79,3,FALSE),0)</f>
        <v>7304855.1299999999</v>
      </c>
      <c r="D15" s="36">
        <f>IFERROR(VLOOKUP(A15,General!$A$3:$D$79,4,FALSE),0)</f>
        <v>5767952.5</v>
      </c>
    </row>
    <row r="16" spans="1:4" ht="15" customHeight="1" x14ac:dyDescent="0.35">
      <c r="A16" s="5" t="str">
        <f>+General!A17</f>
        <v>MUNILO</v>
      </c>
      <c r="B16" s="36">
        <f>+IFERROR(VLOOKUP(A16,General!$A$3:$D$79,2,FALSE),0)</f>
        <v>1718509.05</v>
      </c>
      <c r="C16" s="36">
        <f>IFERROR(VLOOKUP(A16,General!$A$3:$C$79,3,FALSE),0)</f>
        <v>9207506.2400000002</v>
      </c>
      <c r="D16" s="36">
        <f>IFERROR(VLOOKUP(A16,General!$A$3:$D$79,4,FALSE),0)</f>
        <v>2280003.8499999996</v>
      </c>
    </row>
    <row r="17" spans="1:4" ht="15" customHeight="1" x14ac:dyDescent="0.35">
      <c r="A17" s="5" t="str">
        <f>+General!A18</f>
        <v>CARLOS MIGUEL</v>
      </c>
      <c r="B17" s="36">
        <f>+IFERROR(VLOOKUP(A17,General!$A$3:$D$79,2,FALSE),0)</f>
        <v>420656.90000000008</v>
      </c>
      <c r="C17" s="36">
        <f>IFERROR(VLOOKUP(A17,General!$A$3:$C$79,3,FALSE),0)</f>
        <v>530607.80000000005</v>
      </c>
      <c r="D17" s="36">
        <f>IFERROR(VLOOKUP(A17,General!$A$3:$D$79,4,FALSE),0)</f>
        <v>3645382.04</v>
      </c>
    </row>
    <row r="18" spans="1:4" ht="15" customHeight="1" x14ac:dyDescent="0.35">
      <c r="A18" s="5" t="str">
        <f>+General!A19</f>
        <v>FELIPE MELO</v>
      </c>
      <c r="B18" s="36">
        <f>+IFERROR(VLOOKUP(A18,General!$A$3:$D$79,2,FALSE),0)</f>
        <v>1306630.93</v>
      </c>
      <c r="C18" s="36">
        <f>IFERROR(VLOOKUP(A18,General!$A$3:$C$79,3,FALSE),0)</f>
        <v>4601207.8699999992</v>
      </c>
      <c r="D18" s="36">
        <f>IFERROR(VLOOKUP(A18,General!$A$3:$D$79,4,FALSE),0)</f>
        <v>4430773.1900000004</v>
      </c>
    </row>
    <row r="19" spans="1:4" ht="20.5" customHeight="1" x14ac:dyDescent="0.35">
      <c r="A19" s="5" t="str">
        <f>+General!A20</f>
        <v>CARLES PUYOL</v>
      </c>
      <c r="B19" s="36">
        <f>+IFERROR(VLOOKUP(A19,General!$A$3:$D$79,2,FALSE),0)</f>
        <v>0</v>
      </c>
      <c r="C19" s="36">
        <f>IFERROR(VLOOKUP(A19,General!$A$3:$C$79,3,FALSE),0)</f>
        <v>0</v>
      </c>
      <c r="D19" s="36">
        <f>IFERROR(VLOOKUP(A19,General!$A$3:$D$79,4,FALSE),0)</f>
        <v>0</v>
      </c>
    </row>
    <row r="20" spans="1:4" ht="15" customHeight="1" x14ac:dyDescent="0.35">
      <c r="A20" s="5" t="str">
        <f>+General!A21</f>
        <v>CARRASCAL</v>
      </c>
      <c r="B20" s="36">
        <f>+IFERROR(VLOOKUP(A20,General!$A$3:$D$79,2,FALSE),0)</f>
        <v>5991429.2300000004</v>
      </c>
      <c r="C20" s="36">
        <f>IFERROR(VLOOKUP(A20,General!$A$3:$C$79,3,FALSE),0)</f>
        <v>17987494.410000004</v>
      </c>
      <c r="D20" s="36">
        <f>IFERROR(VLOOKUP(A20,General!$A$3:$D$79,4,FALSE),0)</f>
        <v>22678456.579999998</v>
      </c>
    </row>
    <row r="21" spans="1:4" ht="15" customHeight="1" x14ac:dyDescent="0.35">
      <c r="A21" s="5" t="str">
        <f>+General!A22</f>
        <v>PULGAR</v>
      </c>
      <c r="B21" s="36">
        <f>+IFERROR(VLOOKUP(A21,General!$A$3:$D$79,2,FALSE),0)</f>
        <v>2705171.2399999998</v>
      </c>
      <c r="C21" s="36">
        <f>IFERROR(VLOOKUP(A21,General!$A$3:$C$79,3,FALSE),0)</f>
        <v>2092618.2000000002</v>
      </c>
      <c r="D21" s="36">
        <f>IFERROR(VLOOKUP(A21,General!$A$3:$D$79,4,FALSE),0)</f>
        <v>2559713.6100000003</v>
      </c>
    </row>
    <row r="22" spans="1:4" ht="25.5" customHeight="1" x14ac:dyDescent="0.35">
      <c r="A22" s="5" t="str">
        <f>+General!A23</f>
        <v>PEREIRA</v>
      </c>
      <c r="B22" s="36">
        <f>+IFERROR(VLOOKUP(A22,General!$A$3:$D$79,2,FALSE),0)</f>
        <v>2562316.65</v>
      </c>
      <c r="C22" s="36">
        <f>IFERROR(VLOOKUP(A22,General!$A$3:$C$79,3,FALSE),0)</f>
        <v>1160696.02</v>
      </c>
      <c r="D22" s="36">
        <f>IFERROR(VLOOKUP(A22,General!$A$3:$D$79,4,FALSE),0)</f>
        <v>2143060.79</v>
      </c>
    </row>
    <row r="23" spans="1:4" ht="15" customHeight="1" x14ac:dyDescent="0.35">
      <c r="A23" s="5" t="str">
        <f>+General!A24</f>
        <v>RAMON SOSA</v>
      </c>
      <c r="B23" s="36">
        <f>+IFERROR(VLOOKUP(A23,General!$A$3:$D$79,2,FALSE),0)</f>
        <v>2814844.75</v>
      </c>
      <c r="C23" s="36">
        <f>IFERROR(VLOOKUP(A23,General!$A$3:$C$79,3,FALSE),0)</f>
        <v>3663317.68</v>
      </c>
      <c r="D23" s="36">
        <f>IFERROR(VLOOKUP(A23,General!$A$3:$D$79,4,FALSE),0)</f>
        <v>2798427.3600000003</v>
      </c>
    </row>
    <row r="24" spans="1:4" ht="15" customHeight="1" x14ac:dyDescent="0.35">
      <c r="A24" s="5" t="str">
        <f>+General!A25</f>
        <v>DANILO</v>
      </c>
      <c r="B24" s="36">
        <f>+IFERROR(VLOOKUP(A24,General!$A$3:$D$79,2,FALSE),0)</f>
        <v>530155.01</v>
      </c>
      <c r="C24" s="36">
        <f>IFERROR(VLOOKUP(A24,General!$A$3:$C$79,3,FALSE),0)</f>
        <v>672590.61</v>
      </c>
      <c r="D24" s="36">
        <f>IFERROR(VLOOKUP(A24,General!$A$3:$D$79,4,FALSE),0)</f>
        <v>2017701.11</v>
      </c>
    </row>
    <row r="25" spans="1:4" ht="15" customHeight="1" x14ac:dyDescent="0.35">
      <c r="A25" s="5" t="str">
        <f>+General!A26</f>
        <v>ROSSI</v>
      </c>
      <c r="B25" s="36">
        <f>+IFERROR(VLOOKUP(A25,General!$A$3:$D$79,2,FALSE),0)</f>
        <v>1258700.76</v>
      </c>
      <c r="C25" s="36">
        <f>IFERROR(VLOOKUP(A25,General!$A$3:$C$79,3,FALSE),0)</f>
        <v>1306861.0899999999</v>
      </c>
      <c r="D25" s="36">
        <f>IFERROR(VLOOKUP(A25,General!$A$3:$D$79,4,FALSE),0)</f>
        <v>827465.21</v>
      </c>
    </row>
    <row r="26" spans="1:4" ht="15" customHeight="1" x14ac:dyDescent="0.35">
      <c r="A26" s="5" t="str">
        <f>+General!A27</f>
        <v>VARELA</v>
      </c>
      <c r="B26" s="36">
        <f>+IFERROR(VLOOKUP(A26,General!$A$3:$D$79,2,FALSE),0)</f>
        <v>751458.48</v>
      </c>
      <c r="C26" s="36">
        <f>IFERROR(VLOOKUP(A26,General!$A$3:$C$79,3,FALSE),0)</f>
        <v>966478.54</v>
      </c>
      <c r="D26" s="36">
        <f>IFERROR(VLOOKUP(A26,General!$A$3:$D$79,4,FALSE),0)</f>
        <v>1324051.29</v>
      </c>
    </row>
    <row r="27" spans="1:4" ht="15" customHeight="1" x14ac:dyDescent="0.35">
      <c r="A27" s="5" t="str">
        <f>+General!A28</f>
        <v>LINO</v>
      </c>
      <c r="B27" s="36">
        <f>+IFERROR(VLOOKUP(A27,General!$A$3:$D$79,2,FALSE),0)</f>
        <v>330279.57</v>
      </c>
      <c r="C27" s="36">
        <f>IFERROR(VLOOKUP(A27,General!$A$3:$C$79,3,FALSE),0)</f>
        <v>212441.77</v>
      </c>
      <c r="D27" s="36">
        <f>IFERROR(VLOOKUP(A27,General!$A$3:$D$79,4,FALSE),0)</f>
        <v>303545.59000000003</v>
      </c>
    </row>
    <row r="28" spans="1:4" ht="24" customHeight="1" x14ac:dyDescent="0.35">
      <c r="A28" s="5" t="str">
        <f>+General!A29</f>
        <v>ALAN</v>
      </c>
      <c r="B28" s="36">
        <f>+IFERROR(VLOOKUP(A28,General!$A$3:$D$79,2,FALSE),0)</f>
        <v>556934.78</v>
      </c>
      <c r="C28" s="36">
        <f>IFERROR(VLOOKUP(A28,General!$A$3:$C$79,3,FALSE),0)</f>
        <v>783730.99</v>
      </c>
      <c r="D28" s="36">
        <f>IFERROR(VLOOKUP(A28,General!$A$3:$D$79,4,FALSE),0)</f>
        <v>663442.17000000004</v>
      </c>
    </row>
    <row r="29" spans="1:4" ht="15" customHeight="1" x14ac:dyDescent="0.35">
      <c r="A29" s="5" t="str">
        <f>+General!A30</f>
        <v>ALEXANDRO</v>
      </c>
      <c r="B29" s="36">
        <f>+IFERROR(VLOOKUP(A29,General!$A$3:$D$79,2,FALSE),0)</f>
        <v>0</v>
      </c>
      <c r="C29" s="36">
        <f>IFERROR(VLOOKUP(A29,General!$A$3:$C$79,3,FALSE),0)</f>
        <v>0</v>
      </c>
      <c r="D29" s="36">
        <f>IFERROR(VLOOKUP(A29,General!$A$3:$D$79,4,FALSE),0)</f>
        <v>0</v>
      </c>
    </row>
    <row r="30" spans="1:4" ht="15" customHeight="1" x14ac:dyDescent="0.35">
      <c r="A30" s="5" t="str">
        <f>+General!A31</f>
        <v>FUX</v>
      </c>
      <c r="B30" s="36">
        <f>+IFERROR(VLOOKUP(A30,General!$A$3:$D$79,2,FALSE),0)</f>
        <v>656963.89</v>
      </c>
      <c r="C30" s="36">
        <f>IFERROR(VLOOKUP(A30,General!$A$3:$C$79,3,FALSE),0)</f>
        <v>623712.28</v>
      </c>
      <c r="D30" s="36">
        <f>IFERROR(VLOOKUP(A30,General!$A$3:$D$79,4,FALSE),0)</f>
        <v>579141.49000000011</v>
      </c>
    </row>
    <row r="31" spans="1:4" ht="15" customHeight="1" x14ac:dyDescent="0.35">
      <c r="A31" s="5" t="str">
        <f>+General!A32</f>
        <v>JORGINHO</v>
      </c>
      <c r="B31" s="36">
        <f>+IFERROR(VLOOKUP(A31,General!$A$3:$D$79,2,FALSE),0)</f>
        <v>368868.51</v>
      </c>
      <c r="C31" s="36">
        <f>IFERROR(VLOOKUP(A31,General!$A$3:$C$79,3,FALSE),0)</f>
        <v>415427.51999999996</v>
      </c>
      <c r="D31" s="36">
        <f>IFERROR(VLOOKUP(A31,General!$A$3:$D$79,4,FALSE),0)</f>
        <v>1146241.4999999998</v>
      </c>
    </row>
    <row r="32" spans="1:4" ht="15" customHeight="1" x14ac:dyDescent="0.35">
      <c r="A32" s="5" t="str">
        <f>+General!A33</f>
        <v>PIQUEREZ</v>
      </c>
      <c r="B32" s="36">
        <f>+IFERROR(VLOOKUP(A32,General!$A$3:$D$79,2,FALSE),0)</f>
        <v>0</v>
      </c>
      <c r="C32" s="36">
        <f>IFERROR(VLOOKUP(A32,General!$A$3:$C$79,3,FALSE),0)</f>
        <v>0</v>
      </c>
      <c r="D32" s="36">
        <f>IFERROR(VLOOKUP(A32,General!$A$3:$D$79,4,FALSE),0)</f>
        <v>656988.61</v>
      </c>
    </row>
    <row r="33" spans="1:4" ht="15" customHeight="1" x14ac:dyDescent="0.35">
      <c r="A33" s="5" t="str">
        <f>+General!A34</f>
        <v>HERRERA</v>
      </c>
      <c r="B33" s="36">
        <f>+IFERROR(VLOOKUP(A33,General!$A$3:$D$79,2,FALSE),0)</f>
        <v>265891.48</v>
      </c>
      <c r="C33" s="36">
        <f>IFERROR(VLOOKUP(A33,General!$A$3:$C$79,3,FALSE),0)</f>
        <v>731417.09</v>
      </c>
      <c r="D33" s="36">
        <f>IFERROR(VLOOKUP(A33,General!$A$3:$D$79,4,FALSE),0)</f>
        <v>456905.58</v>
      </c>
    </row>
    <row r="34" spans="1:4" ht="15" customHeight="1" x14ac:dyDescent="0.35">
      <c r="A34" s="5" t="str">
        <f>+General!A35</f>
        <v>FILIPE LUIS</v>
      </c>
      <c r="B34" s="36">
        <f>+IFERROR(VLOOKUP(A34,General!$A$3:$D$79,2,FALSE),0)</f>
        <v>35385.53</v>
      </c>
      <c r="C34" s="36">
        <f>IFERROR(VLOOKUP(A34,General!$A$3:$C$79,3,FALSE),0)</f>
        <v>516693.89999999997</v>
      </c>
      <c r="D34" s="36">
        <f>IFERROR(VLOOKUP(A34,General!$A$3:$D$79,4,FALSE),0)</f>
        <v>187765.55</v>
      </c>
    </row>
    <row r="35" spans="1:4" ht="15" customHeight="1" x14ac:dyDescent="0.35">
      <c r="A35" s="5" t="str">
        <f>+General!A36</f>
        <v>DONALD TRUMP</v>
      </c>
      <c r="B35" s="36">
        <f>+IFERROR(VLOOKUP(A35,General!$A$3:$D$79,2,FALSE),0)</f>
        <v>923098.31</v>
      </c>
      <c r="C35" s="36">
        <f>IFERROR(VLOOKUP(A35,General!$A$3:$C$79,3,FALSE),0)</f>
        <v>1455257.76</v>
      </c>
      <c r="D35" s="36">
        <f>IFERROR(VLOOKUP(A35,General!$A$3:$D$79,4,FALSE),0)</f>
        <v>500084.68</v>
      </c>
    </row>
    <row r="36" spans="1:4" ht="15" customHeight="1" x14ac:dyDescent="0.35">
      <c r="A36" s="5" t="str">
        <f>+General!A37</f>
        <v>OBAMA</v>
      </c>
      <c r="B36" s="36">
        <f>+IFERROR(VLOOKUP(A36,General!$A$3:$D$79,2,FALSE),0)</f>
        <v>71620.12</v>
      </c>
      <c r="C36" s="36">
        <f>IFERROR(VLOOKUP(A36,General!$A$3:$C$79,3,FALSE),0)</f>
        <v>733517.49</v>
      </c>
      <c r="D36" s="36">
        <f>IFERROR(VLOOKUP(A36,General!$A$3:$D$79,4,FALSE),0)</f>
        <v>67234.14</v>
      </c>
    </row>
    <row r="37" spans="1:4" ht="15" customHeight="1" x14ac:dyDescent="0.35">
      <c r="A37" s="5" t="str">
        <f>+General!A38</f>
        <v>GALLARDO</v>
      </c>
      <c r="B37" s="36">
        <f>+IFERROR(VLOOKUP(A37,General!$A$3:$D$79,2,FALSE),0)</f>
        <v>6446872.8300000001</v>
      </c>
      <c r="C37" s="36">
        <f>IFERROR(VLOOKUP(A37,General!$A$3:$C$79,3,FALSE),0)</f>
        <v>8069276.7400000012</v>
      </c>
      <c r="D37" s="36">
        <f>IFERROR(VLOOKUP(A37,General!$A$3:$D$79,4,FALSE),0)</f>
        <v>14426638.440000001</v>
      </c>
    </row>
    <row r="38" spans="1:4" ht="15" customHeight="1" x14ac:dyDescent="0.35">
      <c r="A38" s="5" t="str">
        <f>+General!A39</f>
        <v>CRESPO</v>
      </c>
      <c r="B38" s="36">
        <f>+IFERROR(VLOOKUP(A38,General!$A$3:$D$79,2,FALSE),0)</f>
        <v>0</v>
      </c>
      <c r="C38" s="36">
        <f>IFERROR(VLOOKUP(A38,General!$A$3:$C$79,3,FALSE),0)</f>
        <v>64424.15</v>
      </c>
      <c r="D38" s="36">
        <f>IFERROR(VLOOKUP(A38,General!$A$3:$D$79,4,FALSE),0)</f>
        <v>116744.2</v>
      </c>
    </row>
    <row r="39" spans="1:4" ht="15" customHeight="1" x14ac:dyDescent="0.35">
      <c r="A39" s="5" t="str">
        <f>+General!A40</f>
        <v>RONALDINHO</v>
      </c>
      <c r="B39" s="36">
        <f>+IFERROR(VLOOKUP(A39,General!$A$3:$D$79,2,FALSE),0)</f>
        <v>178581.27000000002</v>
      </c>
      <c r="C39" s="36">
        <f>IFERROR(VLOOKUP(A39,General!$A$3:$C$79,3,FALSE),0)</f>
        <v>166769.34999999998</v>
      </c>
      <c r="D39" s="36">
        <f>IFERROR(VLOOKUP(A39,General!$A$3:$D$79,4,FALSE),0)</f>
        <v>206841.18999999997</v>
      </c>
    </row>
    <row r="40" spans="1:4" ht="15" customHeight="1" x14ac:dyDescent="0.35">
      <c r="A40" s="5" t="str">
        <f>+General!A41</f>
        <v>NEYMAR</v>
      </c>
      <c r="B40" s="36">
        <f>+IFERROR(VLOOKUP(A40,General!$A$3:$D$79,2,FALSE),0)</f>
        <v>119902.34</v>
      </c>
      <c r="C40" s="36">
        <f>IFERROR(VLOOKUP(A40,General!$A$3:$C$79,3,FALSE),0)</f>
        <v>76713.440000000002</v>
      </c>
      <c r="D40" s="36">
        <f>IFERROR(VLOOKUP(A40,General!$A$3:$D$79,4,FALSE),0)</f>
        <v>105384.58</v>
      </c>
    </row>
    <row r="41" spans="1:4" ht="15" customHeight="1" x14ac:dyDescent="0.35">
      <c r="A41" s="5" t="str">
        <f>+General!A42</f>
        <v>LEONEL MESSI</v>
      </c>
      <c r="B41" s="36">
        <f>+IFERROR(VLOOKUP(A41,General!$A$3:$D$79,2,FALSE),0)</f>
        <v>0</v>
      </c>
      <c r="C41" s="36">
        <f>IFERROR(VLOOKUP(A41,General!$A$3:$C$79,3,FALSE),0)</f>
        <v>0</v>
      </c>
      <c r="D41" s="36">
        <f>IFERROR(VLOOKUP(A41,General!$A$3:$D$79,4,FALSE),0)</f>
        <v>0</v>
      </c>
    </row>
    <row r="42" spans="1:4" ht="15" customHeight="1" x14ac:dyDescent="0.35">
      <c r="A42" s="5" t="str">
        <f>+General!A43</f>
        <v>CRISTIANO RONALDO</v>
      </c>
      <c r="B42" s="36">
        <f>+IFERROR(VLOOKUP(A42,General!$A$3:$D$79,2,FALSE),0)</f>
        <v>0</v>
      </c>
      <c r="C42" s="36">
        <f>IFERROR(VLOOKUP(A42,General!$A$3:$C$79,3,FALSE),0)</f>
        <v>0</v>
      </c>
      <c r="D42" s="36">
        <f>IFERROR(VLOOKUP(A42,General!$A$3:$D$79,4,FALSE),0)</f>
        <v>157681.35999999999</v>
      </c>
    </row>
    <row r="43" spans="1:4" ht="15" customHeight="1" x14ac:dyDescent="0.35">
      <c r="A43" s="5" t="str">
        <f>+General!A44</f>
        <v>RODRIGO DE PAUL</v>
      </c>
      <c r="B43" s="36">
        <f>+IFERROR(VLOOKUP(A43,General!$A$3:$D$79,2,FALSE),0)</f>
        <v>260735.65</v>
      </c>
      <c r="C43" s="36">
        <f>IFERROR(VLOOKUP(A43,General!$A$3:$C$79,3,FALSE),0)</f>
        <v>7628.7</v>
      </c>
      <c r="D43" s="36">
        <f>IFERROR(VLOOKUP(A43,General!$A$3:$D$79,4,FALSE),0)</f>
        <v>49797.06</v>
      </c>
    </row>
    <row r="44" spans="1:4" ht="15" customHeight="1" x14ac:dyDescent="0.35">
      <c r="A44" s="5" t="str">
        <f>+General!A45</f>
        <v>CHIQUI TAPIA</v>
      </c>
      <c r="B44" s="36">
        <f>+IFERROR(VLOOKUP(A44,General!$A$3:$D$79,2,FALSE),0)</f>
        <v>12416386.889999999</v>
      </c>
      <c r="C44" s="36">
        <f>IFERROR(VLOOKUP(A44,General!$A$3:$C$79,3,FALSE),0)</f>
        <v>13828954.130000001</v>
      </c>
      <c r="D44" s="36">
        <f>IFERROR(VLOOKUP(A44,General!$A$3:$D$79,4,FALSE),0)</f>
        <v>21356193.610000003</v>
      </c>
    </row>
    <row r="45" spans="1:4" x14ac:dyDescent="0.35">
      <c r="A45" s="5" t="str">
        <f>+General!A46</f>
        <v>DIBU MARTINEZ</v>
      </c>
      <c r="B45" s="36">
        <f>+IFERROR(VLOOKUP(A45,General!$A$3:$D$79,2,FALSE),0)</f>
        <v>2689017.9600000004</v>
      </c>
      <c r="C45" s="36">
        <f>IFERROR(VLOOKUP(A45,General!$A$3:$C$79,3,FALSE),0)</f>
        <v>2195794.3099999996</v>
      </c>
      <c r="D45" s="36">
        <f>IFERROR(VLOOKUP(A45,General!$A$3:$D$79,4,FALSE),0)</f>
        <v>5154994.7700000005</v>
      </c>
    </row>
    <row r="46" spans="1:4" ht="15" customHeight="1" x14ac:dyDescent="0.35">
      <c r="A46" s="5" t="str">
        <f>+General!A47</f>
        <v>CUTI ROMERO</v>
      </c>
      <c r="B46" s="36">
        <f>+IFERROR(VLOOKUP(A46,General!$A$3:$D$79,2,FALSE),0)</f>
        <v>32316.9</v>
      </c>
      <c r="C46" s="36">
        <f>IFERROR(VLOOKUP(A46,General!$A$3:$C$79,3,FALSE),0)</f>
        <v>188125.66</v>
      </c>
      <c r="D46" s="36">
        <f>IFERROR(VLOOKUP(A46,General!$A$3:$D$79,4,FALSE),0)</f>
        <v>309589.03000000003</v>
      </c>
    </row>
    <row r="47" spans="1:4" ht="15" customHeight="1" x14ac:dyDescent="0.35">
      <c r="A47" s="5" t="str">
        <f>+General!A48</f>
        <v>PEPI ZAPATA</v>
      </c>
      <c r="B47" s="36">
        <f>+IFERROR(VLOOKUP(A47,General!$A$3:$D$79,2,FALSE),0)</f>
        <v>202808.12</v>
      </c>
      <c r="C47" s="36">
        <f>IFERROR(VLOOKUP(A47,General!$A$3:$C$79,3,FALSE),0)</f>
        <v>229671.41999999998</v>
      </c>
      <c r="D47" s="36">
        <f>IFERROR(VLOOKUP(A47,General!$A$3:$D$79,4,FALSE),0)</f>
        <v>214769.21000000002</v>
      </c>
    </row>
    <row r="48" spans="1:4" ht="15" customHeight="1" x14ac:dyDescent="0.35">
      <c r="A48" s="5" t="str">
        <f>+General!A49</f>
        <v>TANO VELA</v>
      </c>
      <c r="B48" s="36">
        <f>+IFERROR(VLOOKUP(A48,General!$A$3:$D$79,2,FALSE),0)</f>
        <v>396870.67</v>
      </c>
      <c r="C48" s="36">
        <f>IFERROR(VLOOKUP(A48,General!$A$3:$C$79,3,FALSE),0)</f>
        <v>426783.8</v>
      </c>
      <c r="D48" s="36">
        <f>IFERROR(VLOOKUP(A48,General!$A$3:$D$79,4,FALSE),0)</f>
        <v>252035.15</v>
      </c>
    </row>
    <row r="49" spans="1:4" ht="15" customHeight="1" x14ac:dyDescent="0.35">
      <c r="A49" s="5" t="str">
        <f>+General!A50</f>
        <v>JULIAN MAIDANA</v>
      </c>
      <c r="B49" s="36">
        <f>+IFERROR(VLOOKUP(A49,General!$A$3:$D$79,2,FALSE),0)</f>
        <v>4581299.82</v>
      </c>
      <c r="C49" s="36">
        <f>IFERROR(VLOOKUP(A49,General!$A$3:$C$79,3,FALSE),0)</f>
        <v>5643192.1299999999</v>
      </c>
      <c r="D49" s="36">
        <f>IFERROR(VLOOKUP(A49,General!$A$3:$D$79,4,FALSE),0)</f>
        <v>6471053.6099999994</v>
      </c>
    </row>
    <row r="50" spans="1:4" ht="15" customHeight="1" x14ac:dyDescent="0.35">
      <c r="A50" s="5" t="str">
        <f>+General!A51</f>
        <v>FERNANDO BELLUSCHI</v>
      </c>
      <c r="B50" s="36">
        <f>+IFERROR(VLOOKUP(A50,General!$A$3:$D$79,2,FALSE),0)</f>
        <v>0</v>
      </c>
      <c r="C50" s="36">
        <f>IFERROR(VLOOKUP(A50,General!$A$3:$C$79,3,FALSE),0)</f>
        <v>0</v>
      </c>
      <c r="D50" s="36">
        <f>IFERROR(VLOOKUP(A50,General!$A$3:$D$79,4,FALSE),0)</f>
        <v>10738.75</v>
      </c>
    </row>
    <row r="51" spans="1:4" ht="15" customHeight="1" x14ac:dyDescent="0.35">
      <c r="A51" s="5" t="str">
        <f>+General!A53</f>
        <v>RUBEN CAPRIA</v>
      </c>
      <c r="B51" s="36">
        <f>+IFERROR(VLOOKUP(A51,General!$A$3:$D$79,2,FALSE),0)</f>
        <v>21335.45</v>
      </c>
      <c r="C51" s="36">
        <f>IFERROR(VLOOKUP(A51,General!$A$3:$C$79,3,FALSE),0)</f>
        <v>33920.53</v>
      </c>
      <c r="D51" s="36">
        <f>IFERROR(VLOOKUP(A51,General!$A$3:$D$79,4,FALSE),0)</f>
        <v>21716.57</v>
      </c>
    </row>
    <row r="52" spans="1:4" ht="15" customHeight="1" x14ac:dyDescent="0.35">
      <c r="A52" s="5" t="str">
        <f>+General!A52</f>
        <v>BOMBON ROSADA</v>
      </c>
      <c r="B52" s="36">
        <f>+IFERROR(VLOOKUP(A52,General!$A$3:$D$79,2,FALSE),0)</f>
        <v>0</v>
      </c>
      <c r="C52" s="36">
        <f>IFERROR(VLOOKUP(A52,General!$A$3:$C$79,3,FALSE),0)</f>
        <v>3.88</v>
      </c>
      <c r="D52" s="36">
        <f>IFERROR(VLOOKUP(A52,General!$A$3:$D$79,4,FALSE),0)</f>
        <v>0</v>
      </c>
    </row>
    <row r="53" spans="1:4" x14ac:dyDescent="0.35">
      <c r="A53" s="5" t="str">
        <f>+General!A54</f>
        <v>IGNACIO SCOCCO</v>
      </c>
      <c r="B53" s="36">
        <f>+IFERROR(VLOOKUP(A53,General!$A$3:$D$79,2,FALSE),0)</f>
        <v>6708659.2000000002</v>
      </c>
      <c r="C53" s="36">
        <f>IFERROR(VLOOKUP(A53,General!$A$3:$C$79,3,FALSE),0)</f>
        <v>9915559.9399999995</v>
      </c>
      <c r="D53" s="36">
        <f>IFERROR(VLOOKUP(A53,General!$A$3:$D$79,4,FALSE),0)</f>
        <v>13134888.6</v>
      </c>
    </row>
    <row r="54" spans="1:4" ht="15" customHeight="1" x14ac:dyDescent="0.35">
      <c r="A54" s="5" t="str">
        <f>+General!A55</f>
        <v>MEMO BORGUELO</v>
      </c>
      <c r="B54" s="36">
        <f>+IFERROR(VLOOKUP(A54,General!$A$3:$D$79,2,FALSE),0)</f>
        <v>7914.2</v>
      </c>
      <c r="C54" s="36">
        <f>IFERROR(VLOOKUP(A54,General!$A$3:$C$79,3,FALSE),0)</f>
        <v>0</v>
      </c>
      <c r="D54" s="36">
        <f>IFERROR(VLOOKUP(A54,General!$A$3:$D$79,4,FALSE),0)</f>
        <v>0</v>
      </c>
    </row>
    <row r="55" spans="1:4" x14ac:dyDescent="0.35">
      <c r="A55" s="5" t="str">
        <f>+General!A56</f>
        <v>JUSTO VILLAR</v>
      </c>
      <c r="B55" s="36">
        <f>+IFERROR(VLOOKUP(A55,General!$A$3:$D$79,2,FALSE),0)</f>
        <v>12414969.349999998</v>
      </c>
      <c r="C55" s="36">
        <f>IFERROR(VLOOKUP(A55,General!$A$3:$C$79,3,FALSE),0)</f>
        <v>14809298.5</v>
      </c>
      <c r="D55" s="36">
        <f>IFERROR(VLOOKUP(A55,General!$A$3:$D$79,4,FALSE),0)</f>
        <v>18185870.34</v>
      </c>
    </row>
    <row r="56" spans="1:4" ht="15" customHeight="1" x14ac:dyDescent="0.35">
      <c r="A56" s="5" t="str">
        <f>+General!A57</f>
        <v>GERMAN RE</v>
      </c>
      <c r="B56" s="36">
        <f>+IFERROR(VLOOKUP(A56,General!$A$3:$D$79,2,FALSE),0)</f>
        <v>0</v>
      </c>
      <c r="C56" s="36">
        <f>IFERROR(VLOOKUP(A56,General!$A$3:$C$79,3,FALSE),0)</f>
        <v>0</v>
      </c>
      <c r="D56" s="36">
        <f>IFERROR(VLOOKUP(A56,General!$A$3:$D$79,4,FALSE),0)</f>
        <v>0</v>
      </c>
    </row>
    <row r="57" spans="1:4" ht="15" customHeight="1" x14ac:dyDescent="0.35">
      <c r="A57" s="5" t="str">
        <f>+General!A58</f>
        <v>GUILLERMO MARINO</v>
      </c>
      <c r="B57" s="36">
        <f>+IFERROR(VLOOKUP(A57,General!$A$3:$D$79,2,FALSE),0)</f>
        <v>83153</v>
      </c>
      <c r="C57" s="36">
        <f>IFERROR(VLOOKUP(A57,General!$A$3:$C$79,3,FALSE),0)</f>
        <v>360903.5</v>
      </c>
      <c r="D57" s="36">
        <f>IFERROR(VLOOKUP(A57,General!$A$3:$D$79,4,FALSE),0)</f>
        <v>1490934.5</v>
      </c>
    </row>
    <row r="58" spans="1:4" ht="15" customHeight="1" x14ac:dyDescent="0.35">
      <c r="A58" s="5" t="str">
        <f>+General!A59</f>
        <v>SANTIAGO SALCEDO</v>
      </c>
      <c r="B58" s="36">
        <f>+IFERROR(VLOOKUP(A58,General!$A$3:$D$79,2,FALSE),0)</f>
        <v>0</v>
      </c>
      <c r="C58" s="36">
        <f>IFERROR(VLOOKUP(A58,General!$A$3:$C$79,3,FALSE),0)</f>
        <v>0</v>
      </c>
      <c r="D58" s="36">
        <f>IFERROR(VLOOKUP(A58,General!$A$3:$D$79,4,FALSE),0)</f>
        <v>0</v>
      </c>
    </row>
    <row r="59" spans="1:4" ht="15" customHeight="1" x14ac:dyDescent="0.35">
      <c r="A59" s="5" t="str">
        <f>+General!A60</f>
        <v>TACUARA CARDOZO</v>
      </c>
      <c r="B59" s="36">
        <f>+IFERROR(VLOOKUP(A59,General!$A$3:$D$79,2,FALSE),0)</f>
        <v>7763192.8200000003</v>
      </c>
      <c r="C59" s="36">
        <f>IFERROR(VLOOKUP(A59,General!$A$3:$C$79,3,FALSE),0)</f>
        <v>9296752.4600000009</v>
      </c>
      <c r="D59" s="36">
        <f>IFERROR(VLOOKUP(A59,General!$A$3:$D$79,4,FALSE),0)</f>
        <v>6224243.9299999997</v>
      </c>
    </row>
    <row r="60" spans="1:4" ht="15" customHeight="1" x14ac:dyDescent="0.35">
      <c r="A60" s="5" t="str">
        <f>+General!A61</f>
        <v>ESCOPETA BOGHOSSIAN</v>
      </c>
      <c r="B60" s="36">
        <f>+IFERROR(VLOOKUP(A60,General!$A$3:$D$79,2,FALSE),0)</f>
        <v>1227216.3299999998</v>
      </c>
      <c r="C60" s="36">
        <f>IFERROR(VLOOKUP(A60,General!$A$3:$C$79,3,FALSE),0)</f>
        <v>3590994.08</v>
      </c>
      <c r="D60" s="36">
        <f>IFERROR(VLOOKUP(A60,General!$A$3:$D$79,4,FALSE),0)</f>
        <v>4032713.03</v>
      </c>
    </row>
    <row r="61" spans="1:4" ht="15" customHeight="1" x14ac:dyDescent="0.35">
      <c r="A61" s="5" t="str">
        <f>+General!A62</f>
        <v>DAMIAN MANSO</v>
      </c>
      <c r="B61" s="36">
        <f>+IFERROR(VLOOKUP(A61,General!$A$3:$D$79,2,FALSE),0)</f>
        <v>190897.89</v>
      </c>
      <c r="C61" s="36">
        <f>IFERROR(VLOOKUP(A61,General!$A$3:$C$79,3,FALSE),0)</f>
        <v>0</v>
      </c>
      <c r="D61" s="36">
        <f>IFERROR(VLOOKUP(A61,General!$A$3:$D$79,4,FALSE),0)</f>
        <v>0</v>
      </c>
    </row>
    <row r="62" spans="1:4" ht="15" customHeight="1" x14ac:dyDescent="0.35">
      <c r="A62" s="5" t="str">
        <f>+General!A63</f>
        <v>MAURO ROSALES</v>
      </c>
      <c r="B62" s="36">
        <f>+IFERROR(VLOOKUP(A62,General!$A$3:$D$79,2,FALSE),0)</f>
        <v>376371.34</v>
      </c>
      <c r="C62" s="36">
        <f>IFERROR(VLOOKUP(A62,General!$A$3:$C$79,3,FALSE),0)</f>
        <v>1055669.45</v>
      </c>
      <c r="D62" s="36">
        <f>IFERROR(VLOOKUP(A62,General!$A$3:$D$79,4,FALSE),0)</f>
        <v>462279.17</v>
      </c>
    </row>
    <row r="63" spans="1:4" ht="15" customHeight="1" x14ac:dyDescent="0.35">
      <c r="A63" s="5" t="str">
        <f>+General!A64</f>
        <v>TURCO HUSAIN</v>
      </c>
      <c r="B63" s="36">
        <f>+IFERROR(VLOOKUP(A63,General!$A$3:$D$79,2,FALSE),0)</f>
        <v>0</v>
      </c>
      <c r="C63" s="36">
        <f>IFERROR(VLOOKUP(A63,General!$A$3:$C$79,3,FALSE),0)</f>
        <v>0</v>
      </c>
      <c r="D63" s="36">
        <f>IFERROR(VLOOKUP(A63,General!$A$3:$D$79,4,FALSE),0)</f>
        <v>0</v>
      </c>
    </row>
    <row r="64" spans="1:4" ht="15" customHeight="1" x14ac:dyDescent="0.35">
      <c r="A64" s="5" t="str">
        <f>+General!A65</f>
        <v>LUCAS BERNARDI</v>
      </c>
      <c r="B64" s="36">
        <f>+IFERROR(VLOOKUP(A64,General!$A$3:$D$79,2,FALSE),0)</f>
        <v>241979.18</v>
      </c>
      <c r="C64" s="36">
        <f>IFERROR(VLOOKUP(A64,General!$A$3:$C$79,3,FALSE),0)</f>
        <v>85234.510000000009</v>
      </c>
      <c r="D64" s="36">
        <f>IFERROR(VLOOKUP(A64,General!$A$3:$D$79,4,FALSE),0)</f>
        <v>105616.05</v>
      </c>
    </row>
    <row r="65" spans="1:4" ht="15" customHeight="1" x14ac:dyDescent="0.35">
      <c r="A65" s="5" t="str">
        <f>+General!A66</f>
        <v>POMELO MATEO</v>
      </c>
      <c r="B65" s="36">
        <f>+IFERROR(VLOOKUP(A65,General!$A$3:$D$79,2,FALSE),0)</f>
        <v>0</v>
      </c>
      <c r="C65" s="36">
        <f>IFERROR(VLOOKUP(A65,General!$A$3:$C$79,3,FALSE),0)</f>
        <v>0</v>
      </c>
      <c r="D65" s="36">
        <f>IFERROR(VLOOKUP(A65,General!$A$3:$D$79,4,FALSE),0)</f>
        <v>0</v>
      </c>
    </row>
    <row r="66" spans="1:4" ht="15" customHeight="1" x14ac:dyDescent="0.35">
      <c r="A66" s="5" t="str">
        <f>+General!A67</f>
        <v>BURRITO ORTEGA</v>
      </c>
      <c r="B66" s="36">
        <f>+IFERROR(VLOOKUP(A66,General!$A$3:$D$79,2,FALSE),0)</f>
        <v>5602.72</v>
      </c>
      <c r="C66" s="36">
        <f>IFERROR(VLOOKUP(A66,General!$A$3:$C$79,3,FALSE),0)</f>
        <v>1592.66</v>
      </c>
      <c r="D66" s="36">
        <f>IFERROR(VLOOKUP(A66,General!$A$3:$D$79,4,FALSE),0)</f>
        <v>10098.65</v>
      </c>
    </row>
    <row r="67" spans="1:4" ht="15" customHeight="1" x14ac:dyDescent="0.35">
      <c r="A67" s="5" t="str">
        <f>+General!A68</f>
        <v>MAXI RODRIGUEZ</v>
      </c>
      <c r="B67" s="36">
        <f>+IFERROR(VLOOKUP(A67,General!$A$3:$D$79,2,FALSE),0)</f>
        <v>0</v>
      </c>
      <c r="C67" s="36">
        <f>IFERROR(VLOOKUP(A67,General!$A$3:$C$79,3,FALSE),0)</f>
        <v>0</v>
      </c>
      <c r="D67" s="36">
        <f>IFERROR(VLOOKUP(A67,General!$A$3:$D$79,4,FALSE),0)</f>
        <v>0</v>
      </c>
    </row>
    <row r="68" spans="1:4" ht="15" customHeight="1" x14ac:dyDescent="0.35">
      <c r="A68" s="5" t="str">
        <f>+General!A69</f>
        <v>MILTON CASCO</v>
      </c>
      <c r="B68" s="36">
        <f>+IFERROR(VLOOKUP(A68,General!$A$3:$D$79,2,FALSE),0)</f>
        <v>0</v>
      </c>
      <c r="C68" s="36">
        <f>IFERROR(VLOOKUP(A68,General!$A$3:$C$79,3,FALSE),0)</f>
        <v>0</v>
      </c>
      <c r="D68" s="36">
        <f>IFERROR(VLOOKUP(A68,General!$A$3:$D$79,4,FALSE),0)</f>
        <v>0</v>
      </c>
    </row>
    <row r="69" spans="1:4" ht="15" customHeight="1" x14ac:dyDescent="0.35">
      <c r="A69" s="5" t="str">
        <f>+General!A70</f>
        <v>PATON GUZMAN</v>
      </c>
      <c r="B69" s="36">
        <f>+IFERROR(VLOOKUP(A69,General!$A$3:$D$79,2,FALSE),0)</f>
        <v>7.4</v>
      </c>
      <c r="C69" s="36">
        <f>IFERROR(VLOOKUP(A69,General!$A$3:$C$79,3,FALSE),0)</f>
        <v>19.95</v>
      </c>
      <c r="D69" s="36">
        <f>IFERROR(VLOOKUP(A69,General!$A$3:$D$79,4,FALSE),0)</f>
        <v>5.95</v>
      </c>
    </row>
    <row r="70" spans="1:4" ht="15" customHeight="1" x14ac:dyDescent="0.35">
      <c r="A70" s="5" t="str">
        <f>+General!A71</f>
        <v>PIRI VANGIONI</v>
      </c>
      <c r="B70" s="36">
        <f>+IFERROR(VLOOKUP(A70,General!$A$3:$D$79,2,FALSE),0)</f>
        <v>0</v>
      </c>
      <c r="C70" s="36">
        <f>IFERROR(VLOOKUP(A70,General!$A$3:$C$79,3,FALSE),0)</f>
        <v>2569.87</v>
      </c>
      <c r="D70" s="36">
        <f>IFERROR(VLOOKUP(A70,General!$A$3:$D$79,4,FALSE),0)</f>
        <v>0</v>
      </c>
    </row>
    <row r="71" spans="1:4" ht="15" customHeight="1" x14ac:dyDescent="0.35">
      <c r="A71" s="5" t="str">
        <f>+General!A72</f>
        <v>TATA MARTINO</v>
      </c>
      <c r="B71" s="36">
        <f>+IFERROR(VLOOKUP(A71,General!$A$3:$D$79,2,FALSE),0)</f>
        <v>0.7</v>
      </c>
      <c r="C71" s="36">
        <f>IFERROR(VLOOKUP(A71,General!$A$3:$C$79,3,FALSE),0)</f>
        <v>0</v>
      </c>
      <c r="D71" s="36">
        <f>IFERROR(VLOOKUP(A71,General!$A$3:$D$79,4,FALSE),0)</f>
        <v>0</v>
      </c>
    </row>
    <row r="72" spans="1:4" ht="15" customHeight="1" x14ac:dyDescent="0.35">
      <c r="A72" s="5" t="str">
        <f>+General!A73</f>
        <v>MARCELO BIELSA</v>
      </c>
      <c r="B72" s="36">
        <f>+IFERROR(VLOOKUP(A72,General!$A$3:$D$79,2,FALSE),0)</f>
        <v>0</v>
      </c>
      <c r="C72" s="36">
        <f>IFERROR(VLOOKUP(A72,General!$A$3:$C$79,3,FALSE),0)</f>
        <v>0</v>
      </c>
      <c r="D72" s="36">
        <f>IFERROR(VLOOKUP(A72,General!$A$3:$D$79,4,FALSE),0)</f>
        <v>0</v>
      </c>
    </row>
    <row r="73" spans="1:4" ht="15" customHeight="1" x14ac:dyDescent="0.35">
      <c r="A73" s="5" t="str">
        <f>+General!A74</f>
        <v>DIEGO ARMANDO MARADONA</v>
      </c>
      <c r="B73" s="36">
        <f>+IFERROR(VLOOKUP(A73,General!$A$3:$D$79,2,FALSE),0)</f>
        <v>0</v>
      </c>
      <c r="C73" s="36">
        <f>IFERROR(VLOOKUP(A73,General!$A$3:$C$79,3,FALSE),0)</f>
        <v>0</v>
      </c>
      <c r="D73" s="36">
        <f>IFERROR(VLOOKUP(A73,General!$A$3:$D$79,4,FALSE),0)</f>
        <v>0</v>
      </c>
    </row>
    <row r="74" spans="1:4" ht="15" customHeight="1" x14ac:dyDescent="0.35">
      <c r="A74" s="5" t="str">
        <f>+General!A75</f>
        <v>COLOSO DEL PARQUE</v>
      </c>
      <c r="B74" s="36">
        <f>+IFERROR(VLOOKUP(A74,General!$A$3:$D$79,2,FALSE),0)</f>
        <v>0</v>
      </c>
      <c r="C74" s="36">
        <f>IFERROR(VLOOKUP(A74,General!$A$3:$C$79,3,FALSE),0)</f>
        <v>0</v>
      </c>
      <c r="D74" s="36">
        <f>IFERROR(VLOOKUP(A74,General!$A$3:$D$79,4,FALSE),0)</f>
        <v>0</v>
      </c>
    </row>
    <row r="75" spans="1:4" ht="15" customHeight="1" x14ac:dyDescent="0.35">
      <c r="A75" s="5" t="str">
        <f>+General!A76</f>
        <v>QATAR</v>
      </c>
      <c r="B75" s="36">
        <f>+IFERROR(VLOOKUP(A75,General!$A$3:$D$79,2,FALSE),0)</f>
        <v>0</v>
      </c>
      <c r="C75" s="36">
        <f>IFERROR(VLOOKUP(A75,General!$A$3:$C$79,3,FALSE),0)</f>
        <v>0</v>
      </c>
      <c r="D75" s="36">
        <f>IFERROR(VLOOKUP(A75,General!$A$3:$D$79,4,FALSE),0)</f>
        <v>0</v>
      </c>
    </row>
    <row r="76" spans="1:4" ht="15" customHeight="1" x14ac:dyDescent="0.35">
      <c r="A76" s="5" t="str">
        <f>+General!A77</f>
        <v>CAMPEONES DEL MUNDO</v>
      </c>
      <c r="B76" s="36">
        <f>+IFERROR(VLOOKUP(A76,General!$A$3:$D$79,2,FALSE),0)</f>
        <v>0</v>
      </c>
      <c r="C76" s="36">
        <f>IFERROR(VLOOKUP(A76,General!$A$3:$C$79,3,FALSE),0)</f>
        <v>0</v>
      </c>
      <c r="D76" s="36">
        <f>IFERROR(VLOOKUP(A76,General!$A$3:$D$79,4,FALSE),0)</f>
        <v>0</v>
      </c>
    </row>
    <row r="77" spans="1:4" ht="15" customHeight="1" x14ac:dyDescent="0.35">
      <c r="A77" s="5" t="str">
        <f>+General!A78</f>
        <v>KUOLO MUANI</v>
      </c>
      <c r="B77" s="36">
        <f>+IFERROR(VLOOKUP(A77,General!$A$3:$D$79,2,FALSE),0)</f>
        <v>0</v>
      </c>
      <c r="C77" s="36">
        <f>IFERROR(VLOOKUP(A77,General!$A$3:$C$79,3,FALSE),0)</f>
        <v>0</v>
      </c>
      <c r="D77" s="36">
        <f>IFERROR(VLOOKUP(A77,General!$A$3:$D$79,4,FALSE),0)</f>
        <v>0</v>
      </c>
    </row>
    <row r="78" spans="1:4" ht="15" customHeight="1" x14ac:dyDescent="0.35">
      <c r="A78" s="5" t="str">
        <f>+General!A79</f>
        <v>SHEVSHENKO</v>
      </c>
      <c r="B78" s="36">
        <f>+IFERROR(VLOOKUP(A78,General!$A$3:$D$79,2,FALSE),0)</f>
        <v>0</v>
      </c>
      <c r="C78" s="36">
        <f>IFERROR(VLOOKUP(A78,General!$A$3:$C$79,3,FALSE),0)</f>
        <v>0</v>
      </c>
      <c r="D78" s="36">
        <f>IFERROR(VLOOKUP(A78,General!$A$3:$D$79,4,FALSE),0)</f>
        <v>0</v>
      </c>
    </row>
    <row r="79" spans="1:4" x14ac:dyDescent="0.35">
      <c r="A79" s="5"/>
      <c r="B79" s="36"/>
      <c r="C79" s="36"/>
      <c r="D79" s="36"/>
    </row>
    <row r="80" spans="1:4" x14ac:dyDescent="0.35">
      <c r="A80" s="5"/>
      <c r="B80" s="36"/>
      <c r="C80" s="36"/>
      <c r="D80" s="36"/>
    </row>
    <row r="81" spans="1:4" x14ac:dyDescent="0.35">
      <c r="A81" s="5"/>
      <c r="D81" s="1"/>
    </row>
    <row r="82" spans="1:4" x14ac:dyDescent="0.35">
      <c r="A82" s="15" t="s">
        <v>0</v>
      </c>
      <c r="D82" s="37"/>
    </row>
    <row r="83" spans="1:4" x14ac:dyDescent="0.35">
      <c r="A83" s="16" t="s">
        <v>3</v>
      </c>
    </row>
    <row r="84" spans="1:4" x14ac:dyDescent="0.35">
      <c r="A84" s="5"/>
    </row>
    <row r="85" spans="1:4" x14ac:dyDescent="0.35">
      <c r="A85" s="5"/>
    </row>
    <row r="86" spans="1:4" x14ac:dyDescent="0.35">
      <c r="A86" s="5"/>
    </row>
    <row r="87" spans="1:4" x14ac:dyDescent="0.35">
      <c r="A87" s="5"/>
    </row>
    <row r="88" spans="1:4" x14ac:dyDescent="0.35">
      <c r="A88" s="5"/>
    </row>
    <row r="89" spans="1:4" x14ac:dyDescent="0.35">
      <c r="A89" s="5"/>
    </row>
    <row r="90" spans="1:4" x14ac:dyDescent="0.35">
      <c r="A90" s="5"/>
    </row>
    <row r="91" spans="1:4" x14ac:dyDescent="0.35">
      <c r="A91" s="5"/>
    </row>
    <row r="92" spans="1:4" x14ac:dyDescent="0.35">
      <c r="A92" s="5"/>
    </row>
    <row r="93" spans="1:4" x14ac:dyDescent="0.35">
      <c r="A93" s="5"/>
    </row>
    <row r="94" spans="1:4" x14ac:dyDescent="0.35">
      <c r="A94" s="5"/>
    </row>
    <row r="95" spans="1:4" x14ac:dyDescent="0.35">
      <c r="A95" s="5"/>
    </row>
    <row r="96" spans="1:4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4" spans="1:1" x14ac:dyDescent="0.35">
      <c r="A114" s="5"/>
    </row>
    <row r="115" spans="1:1" x14ac:dyDescent="0.35">
      <c r="A115" s="5"/>
    </row>
    <row r="117" spans="1:1" x14ac:dyDescent="0.35">
      <c r="A117" s="5"/>
    </row>
    <row r="118" spans="1:1" x14ac:dyDescent="0.35">
      <c r="A118" s="5"/>
    </row>
  </sheetData>
  <conditionalFormatting sqref="A2:A80">
    <cfRule type="duplicateValues" dxfId="55" priority="94"/>
  </conditionalFormatting>
  <conditionalFormatting sqref="A81">
    <cfRule type="duplicateValues" dxfId="54" priority="6"/>
    <cfRule type="duplicateValues" dxfId="53" priority="7"/>
  </conditionalFormatting>
  <conditionalFormatting sqref="A82:A1048576 A1:A80">
    <cfRule type="duplicateValues" dxfId="52" priority="41"/>
  </conditionalFormatting>
  <conditionalFormatting sqref="A82:A1048576">
    <cfRule type="duplicateValues" dxfId="51" priority="19"/>
    <cfRule type="duplicateValues" dxfId="50" priority="20"/>
    <cfRule type="duplicateValues" dxfId="49" priority="47"/>
  </conditionalFormatting>
  <conditionalFormatting sqref="A83">
    <cfRule type="duplicateValues" dxfId="48" priority="45"/>
  </conditionalFormatting>
  <conditionalFormatting sqref="A85:A129">
    <cfRule type="duplicateValues" dxfId="47" priority="42"/>
  </conditionalFormatting>
  <conditionalFormatting sqref="A130:A1048576 A82:A84 A1:A80">
    <cfRule type="duplicateValues" dxfId="46" priority="4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616D-33AB-4F16-890F-80F3440AD1CC}">
  <dimension ref="A1:D116"/>
  <sheetViews>
    <sheetView topLeftCell="A2" workbookViewId="0">
      <selection activeCell="A26" sqref="A25:A26"/>
    </sheetView>
  </sheetViews>
  <sheetFormatPr baseColWidth="10" defaultRowHeight="14.5" x14ac:dyDescent="0.35"/>
  <cols>
    <col min="1" max="1" width="53.453125" customWidth="1"/>
    <col min="2" max="4" width="13.7265625" bestFit="1" customWidth="1"/>
  </cols>
  <sheetData>
    <row r="1" spans="1:4" x14ac:dyDescent="0.35">
      <c r="A1" s="26" t="s">
        <v>2</v>
      </c>
      <c r="B1" s="34">
        <f>+General!E2</f>
        <v>45870</v>
      </c>
      <c r="C1" s="34">
        <f>+General!F2</f>
        <v>45901</v>
      </c>
      <c r="D1" s="34">
        <f>+General!G2</f>
        <v>45931</v>
      </c>
    </row>
    <row r="2" spans="1:4" x14ac:dyDescent="0.35">
      <c r="A2" s="5" t="str">
        <f>+General!A3</f>
        <v>ARGENTINA</v>
      </c>
      <c r="B2" s="35">
        <f>+General!E3</f>
        <v>0</v>
      </c>
      <c r="C2" s="35">
        <f>+General!F3</f>
        <v>0</v>
      </c>
      <c r="D2" s="35">
        <f>+General!G3</f>
        <v>0</v>
      </c>
    </row>
    <row r="3" spans="1:4" x14ac:dyDescent="0.35">
      <c r="A3" s="5" t="str">
        <f>+General!A4</f>
        <v>BRASIL</v>
      </c>
      <c r="B3" s="35">
        <f>+General!E4</f>
        <v>9584609.104999993</v>
      </c>
      <c r="C3" s="35">
        <f>+General!F4</f>
        <v>14238583.459999997</v>
      </c>
      <c r="D3" s="35">
        <f>+General!G4</f>
        <v>11021642.895000003</v>
      </c>
    </row>
    <row r="4" spans="1:4" x14ac:dyDescent="0.35">
      <c r="A4" s="5" t="str">
        <f>+General!A5</f>
        <v>PALMEIRAS</v>
      </c>
      <c r="B4" s="35">
        <f>+General!E5</f>
        <v>4129470</v>
      </c>
      <c r="C4" s="35">
        <f>+General!F5</f>
        <v>6856389.5399999954</v>
      </c>
      <c r="D4" s="35">
        <f>+General!G5</f>
        <v>6616919.7050000038</v>
      </c>
    </row>
    <row r="5" spans="1:4" x14ac:dyDescent="0.35">
      <c r="A5" s="5" t="str">
        <f>+General!A6</f>
        <v>FLAMENGO</v>
      </c>
      <c r="B5" s="35">
        <f>+General!E6</f>
        <v>6487611.8690700028</v>
      </c>
      <c r="C5" s="35">
        <f>+General!F6</f>
        <v>4569000</v>
      </c>
      <c r="D5" s="35">
        <f>+General!G6</f>
        <v>5054678.7652199985</v>
      </c>
    </row>
    <row r="6" spans="1:4" x14ac:dyDescent="0.35">
      <c r="A6" s="5" t="str">
        <f>+General!A7</f>
        <v>LIMA</v>
      </c>
      <c r="B6" s="35">
        <f>+General!E7</f>
        <v>0</v>
      </c>
      <c r="C6" s="35">
        <f>+General!F7</f>
        <v>0</v>
      </c>
      <c r="D6" s="35">
        <f>+General!G7</f>
        <v>0</v>
      </c>
    </row>
    <row r="7" spans="1:4" x14ac:dyDescent="0.35">
      <c r="A7" s="5" t="str">
        <f>+General!A8</f>
        <v>PERU</v>
      </c>
      <c r="B7" s="35">
        <f>+General!E8</f>
        <v>4854838.214230001</v>
      </c>
      <c r="C7" s="35">
        <f>+General!F8</f>
        <v>5698298.7899999991</v>
      </c>
      <c r="D7" s="35">
        <f>+General!G8</f>
        <v>6807435.6191000035</v>
      </c>
    </row>
    <row r="8" spans="1:4" x14ac:dyDescent="0.35">
      <c r="A8" s="5" t="str">
        <f>+General!A9</f>
        <v>VITOR ROQUE</v>
      </c>
      <c r="B8" s="35">
        <f>+General!E9</f>
        <v>4495063.613549999</v>
      </c>
      <c r="C8" s="35">
        <f>+General!F9</f>
        <v>6807138.1601277879</v>
      </c>
      <c r="D8" s="35">
        <f>+General!G9</f>
        <v>11704385.199039998</v>
      </c>
    </row>
    <row r="9" spans="1:4" x14ac:dyDescent="0.35">
      <c r="A9" s="5" t="str">
        <f>+General!A10</f>
        <v>MENGAO</v>
      </c>
      <c r="B9" s="35">
        <f>+General!E10</f>
        <v>4129470</v>
      </c>
      <c r="C9" s="35">
        <f>+General!F10</f>
        <v>4569000</v>
      </c>
      <c r="D9" s="35">
        <f>+General!G10</f>
        <v>4486740</v>
      </c>
    </row>
    <row r="10" spans="1:4" x14ac:dyDescent="0.35">
      <c r="A10" s="5" t="str">
        <f>+General!A11</f>
        <v>PAULISTA</v>
      </c>
      <c r="B10" s="35">
        <f>+General!E11</f>
        <v>4129470</v>
      </c>
      <c r="C10" s="35">
        <f>+General!F11</f>
        <v>4569000</v>
      </c>
      <c r="D10" s="35">
        <f>+General!G11</f>
        <v>4486740</v>
      </c>
    </row>
    <row r="11" spans="1:4" x14ac:dyDescent="0.35">
      <c r="A11" s="5" t="str">
        <f>+General!A12</f>
        <v>CARIOCAS</v>
      </c>
      <c r="B11" s="35">
        <f>+General!E12</f>
        <v>4795720.0969999935</v>
      </c>
      <c r="C11" s="35">
        <f>+General!F12</f>
        <v>4569000</v>
      </c>
      <c r="D11" s="35">
        <f>+General!G12</f>
        <v>5990284.9765200056</v>
      </c>
    </row>
    <row r="12" spans="1:4" x14ac:dyDescent="0.35">
      <c r="A12" s="5" t="str">
        <f>+General!A13</f>
        <v>BRUNO ENRIQUE</v>
      </c>
      <c r="B12" s="35">
        <f>+General!E13</f>
        <v>0</v>
      </c>
      <c r="C12" s="35">
        <f>+General!F13</f>
        <v>0</v>
      </c>
      <c r="D12" s="35">
        <f>+General!G13</f>
        <v>0</v>
      </c>
    </row>
    <row r="13" spans="1:4" x14ac:dyDescent="0.35">
      <c r="A13" s="5" t="str">
        <f>+General!A14</f>
        <v>FLACO LOPEZ</v>
      </c>
      <c r="B13" s="35">
        <f>+General!E14</f>
        <v>0</v>
      </c>
      <c r="C13" s="35">
        <f>+General!F14</f>
        <v>0</v>
      </c>
      <c r="D13" s="35">
        <f>+General!G14</f>
        <v>0</v>
      </c>
    </row>
    <row r="14" spans="1:4" x14ac:dyDescent="0.35">
      <c r="A14" s="5" t="str">
        <f>+General!A15</f>
        <v>DE ARRASCAETA</v>
      </c>
      <c r="B14" s="35">
        <f>+General!E15</f>
        <v>0</v>
      </c>
      <c r="C14" s="35">
        <f>+General!F15</f>
        <v>0</v>
      </c>
      <c r="D14" s="35">
        <f>+General!G15</f>
        <v>0</v>
      </c>
    </row>
    <row r="15" spans="1:4" x14ac:dyDescent="0.35">
      <c r="A15" s="5" t="str">
        <f>+General!A16</f>
        <v>GUSTAVO GOMEZ</v>
      </c>
      <c r="B15" s="35">
        <f>+General!E16</f>
        <v>0</v>
      </c>
      <c r="C15" s="35">
        <f>+General!F16</f>
        <v>0</v>
      </c>
      <c r="D15" s="35">
        <f>+General!G16</f>
        <v>0</v>
      </c>
    </row>
    <row r="16" spans="1:4" x14ac:dyDescent="0.35">
      <c r="A16" s="5" t="str">
        <f>+General!A17</f>
        <v>MUNILO</v>
      </c>
      <c r="B16" s="35">
        <f>+General!E17</f>
        <v>0</v>
      </c>
      <c r="C16" s="35">
        <f>+General!F17</f>
        <v>0</v>
      </c>
      <c r="D16" s="35">
        <f>+General!G17</f>
        <v>0</v>
      </c>
    </row>
    <row r="17" spans="1:4" x14ac:dyDescent="0.35">
      <c r="A17" s="5" t="str">
        <f>+General!A18</f>
        <v>CARLOS MIGUEL</v>
      </c>
      <c r="B17" s="35">
        <f>+General!E18</f>
        <v>0</v>
      </c>
      <c r="C17" s="35">
        <f>+General!F18</f>
        <v>0</v>
      </c>
      <c r="D17" s="35">
        <f>+General!G18</f>
        <v>0</v>
      </c>
    </row>
    <row r="18" spans="1:4" x14ac:dyDescent="0.35">
      <c r="A18" s="5" t="str">
        <f>+General!A19</f>
        <v>FELIPE MELO</v>
      </c>
      <c r="B18" s="35">
        <f>+General!E19</f>
        <v>0</v>
      </c>
      <c r="C18" s="35">
        <f>+General!F19</f>
        <v>0</v>
      </c>
      <c r="D18" s="35">
        <f>+General!G19</f>
        <v>0</v>
      </c>
    </row>
    <row r="19" spans="1:4" x14ac:dyDescent="0.35">
      <c r="A19" s="5" t="str">
        <f>+General!A20</f>
        <v>CARLES PUYOL</v>
      </c>
      <c r="B19" s="35">
        <f>+General!E20</f>
        <v>4129470</v>
      </c>
      <c r="C19" s="35">
        <f>+General!F20</f>
        <v>10241347.228000002</v>
      </c>
      <c r="D19" s="35">
        <f>+General!G20</f>
        <v>4486740</v>
      </c>
    </row>
    <row r="20" spans="1:4" x14ac:dyDescent="0.35">
      <c r="A20" s="5" t="str">
        <f>+General!A21</f>
        <v>CARRASCAL</v>
      </c>
      <c r="B20" s="35">
        <f>+General!E21</f>
        <v>0</v>
      </c>
      <c r="C20" s="35">
        <f>+General!F21</f>
        <v>0</v>
      </c>
      <c r="D20" s="35">
        <f>+General!G21</f>
        <v>0</v>
      </c>
    </row>
    <row r="21" spans="1:4" x14ac:dyDescent="0.35">
      <c r="A21" s="5" t="str">
        <f>+General!A22</f>
        <v>PULGAR</v>
      </c>
      <c r="B21" s="35">
        <f>+General!E22</f>
        <v>0</v>
      </c>
      <c r="C21" s="35">
        <f>+General!F22</f>
        <v>0</v>
      </c>
      <c r="D21" s="35">
        <f>+General!G22</f>
        <v>0</v>
      </c>
    </row>
    <row r="22" spans="1:4" x14ac:dyDescent="0.35">
      <c r="A22" s="5" t="str">
        <f>+General!A23</f>
        <v>PEREIRA</v>
      </c>
      <c r="B22" s="35">
        <f>+General!E23</f>
        <v>0</v>
      </c>
      <c r="C22" s="35">
        <f>+General!F23</f>
        <v>0</v>
      </c>
      <c r="D22" s="35">
        <f>+General!G23</f>
        <v>0</v>
      </c>
    </row>
    <row r="23" spans="1:4" x14ac:dyDescent="0.35">
      <c r="A23" s="5" t="str">
        <f>+General!A24</f>
        <v>RAMON SOSA</v>
      </c>
      <c r="B23" s="35">
        <f>+General!E24</f>
        <v>0</v>
      </c>
      <c r="C23" s="35">
        <f>+General!F24</f>
        <v>0</v>
      </c>
      <c r="D23" s="35">
        <f>+General!G24</f>
        <v>0</v>
      </c>
    </row>
    <row r="24" spans="1:4" x14ac:dyDescent="0.35">
      <c r="A24" s="5" t="str">
        <f>+General!A25</f>
        <v>DANILO</v>
      </c>
      <c r="B24" s="35">
        <f>+General!E25</f>
        <v>0</v>
      </c>
      <c r="C24" s="35">
        <f>+General!F25</f>
        <v>0</v>
      </c>
      <c r="D24" s="35">
        <f>+General!G25</f>
        <v>0</v>
      </c>
    </row>
    <row r="25" spans="1:4" x14ac:dyDescent="0.35">
      <c r="A25" s="5" t="str">
        <f>+General!A26</f>
        <v>ROSSI</v>
      </c>
      <c r="B25" s="35">
        <f>+General!E26</f>
        <v>0</v>
      </c>
      <c r="C25" s="35">
        <f>+General!F26</f>
        <v>0</v>
      </c>
      <c r="D25" s="35">
        <f>+General!G26</f>
        <v>0</v>
      </c>
    </row>
    <row r="26" spans="1:4" x14ac:dyDescent="0.35">
      <c r="A26" s="5" t="str">
        <f>+General!A27</f>
        <v>VARELA</v>
      </c>
      <c r="B26" s="35">
        <f>+General!E27</f>
        <v>0</v>
      </c>
      <c r="C26" s="35">
        <f>+General!F27</f>
        <v>0</v>
      </c>
      <c r="D26" s="35">
        <f>+General!G27</f>
        <v>0</v>
      </c>
    </row>
    <row r="27" spans="1:4" x14ac:dyDescent="0.35">
      <c r="A27" s="5" t="str">
        <f>+General!A28</f>
        <v>LINO</v>
      </c>
      <c r="B27" s="35">
        <f>+General!E28</f>
        <v>0</v>
      </c>
      <c r="C27" s="35">
        <f>+General!F28</f>
        <v>0</v>
      </c>
      <c r="D27" s="35">
        <f>+General!G28</f>
        <v>0</v>
      </c>
    </row>
    <row r="28" spans="1:4" x14ac:dyDescent="0.35">
      <c r="A28" s="5" t="str">
        <f>+General!A29</f>
        <v>ALAN</v>
      </c>
      <c r="B28" s="35">
        <f>+General!E29</f>
        <v>0</v>
      </c>
      <c r="C28" s="35">
        <f>+General!F29</f>
        <v>0</v>
      </c>
      <c r="D28" s="35">
        <f>+General!G29</f>
        <v>0</v>
      </c>
    </row>
    <row r="29" spans="1:4" x14ac:dyDescent="0.35">
      <c r="A29" s="5" t="str">
        <f>+General!A30</f>
        <v>ALEXANDRO</v>
      </c>
      <c r="B29" s="35">
        <f>+General!E30</f>
        <v>7732811.1280700024</v>
      </c>
      <c r="C29" s="35">
        <f>+General!F30</f>
        <v>14311175.429000001</v>
      </c>
      <c r="D29" s="35">
        <f>+General!G30</f>
        <v>10258171.43904</v>
      </c>
    </row>
    <row r="30" spans="1:4" x14ac:dyDescent="0.35">
      <c r="A30" s="5" t="str">
        <f>+General!A31</f>
        <v>FUX</v>
      </c>
      <c r="B30" s="35">
        <f>+General!E31</f>
        <v>0</v>
      </c>
      <c r="C30" s="35">
        <f>+General!F31</f>
        <v>0</v>
      </c>
      <c r="D30" s="35">
        <f>+General!G31</f>
        <v>0</v>
      </c>
    </row>
    <row r="31" spans="1:4" x14ac:dyDescent="0.35">
      <c r="A31" s="5" t="str">
        <f>+General!A32</f>
        <v>JORGINHO</v>
      </c>
      <c r="B31" s="35">
        <f>+General!E32</f>
        <v>0</v>
      </c>
      <c r="C31" s="35">
        <f>+General!F32</f>
        <v>0</v>
      </c>
      <c r="D31" s="35">
        <f>+General!G32</f>
        <v>0</v>
      </c>
    </row>
    <row r="32" spans="1:4" x14ac:dyDescent="0.35">
      <c r="A32" s="5" t="str">
        <f>+General!A33</f>
        <v>PIQUEREZ</v>
      </c>
      <c r="B32" s="35">
        <f>+General!E33</f>
        <v>0</v>
      </c>
      <c r="C32" s="35">
        <f>+General!F33</f>
        <v>0</v>
      </c>
      <c r="D32" s="35">
        <f>+General!G33</f>
        <v>0</v>
      </c>
    </row>
    <row r="33" spans="1:4" x14ac:dyDescent="0.35">
      <c r="A33" s="5" t="str">
        <f>+General!A34</f>
        <v>HERRERA</v>
      </c>
      <c r="B33" s="35">
        <f>+General!E34</f>
        <v>0</v>
      </c>
      <c r="C33" s="35">
        <f>+General!F34</f>
        <v>0</v>
      </c>
      <c r="D33" s="35">
        <f>+General!G34</f>
        <v>0</v>
      </c>
    </row>
    <row r="34" spans="1:4" x14ac:dyDescent="0.35">
      <c r="A34" s="5" t="str">
        <f>+General!A35</f>
        <v>FILIPE LUIS</v>
      </c>
      <c r="B34" s="35">
        <f>+General!E35</f>
        <v>0</v>
      </c>
      <c r="C34" s="35">
        <f>+General!F35</f>
        <v>0</v>
      </c>
      <c r="D34" s="35">
        <f>+General!G35</f>
        <v>0</v>
      </c>
    </row>
    <row r="35" spans="1:4" x14ac:dyDescent="0.35">
      <c r="A35" s="5" t="str">
        <f>+General!A36</f>
        <v>DONALD TRUMP</v>
      </c>
      <c r="B35" s="35">
        <f>+General!E36</f>
        <v>0</v>
      </c>
      <c r="C35" s="35">
        <f>+General!F36</f>
        <v>0</v>
      </c>
      <c r="D35" s="35">
        <f>+General!G36</f>
        <v>0</v>
      </c>
    </row>
    <row r="36" spans="1:4" x14ac:dyDescent="0.35">
      <c r="A36" s="5" t="str">
        <f>+General!A37</f>
        <v>OBAMA</v>
      </c>
      <c r="B36" s="35">
        <f>+General!E37</f>
        <v>0</v>
      </c>
      <c r="C36" s="35">
        <f>+General!F37</f>
        <v>0</v>
      </c>
      <c r="D36" s="35">
        <f>+General!G37</f>
        <v>0</v>
      </c>
    </row>
    <row r="37" spans="1:4" x14ac:dyDescent="0.35">
      <c r="A37" s="5" t="str">
        <f>+General!A38</f>
        <v>GALLARDO</v>
      </c>
      <c r="B37" s="35">
        <f>+General!E38</f>
        <v>0</v>
      </c>
      <c r="C37" s="35">
        <f>+General!F38</f>
        <v>0</v>
      </c>
      <c r="D37" s="35">
        <f>+General!G38</f>
        <v>0</v>
      </c>
    </row>
    <row r="38" spans="1:4" x14ac:dyDescent="0.35">
      <c r="A38" s="5" t="str">
        <f>+General!A39</f>
        <v>CRESPO</v>
      </c>
      <c r="B38" s="35">
        <f>+General!E39</f>
        <v>0</v>
      </c>
      <c r="C38" s="35">
        <f>+General!F39</f>
        <v>0</v>
      </c>
      <c r="D38" s="35">
        <f>+General!G39</f>
        <v>0</v>
      </c>
    </row>
    <row r="39" spans="1:4" x14ac:dyDescent="0.35">
      <c r="A39" s="5" t="str">
        <f>+General!A40</f>
        <v>RONALDINHO</v>
      </c>
      <c r="B39" s="35">
        <f>+General!E40</f>
        <v>0</v>
      </c>
      <c r="C39" s="35">
        <f>+General!F40</f>
        <v>0</v>
      </c>
      <c r="D39" s="35">
        <f>+General!G40</f>
        <v>0</v>
      </c>
    </row>
    <row r="40" spans="1:4" x14ac:dyDescent="0.35">
      <c r="A40" s="5" t="str">
        <f>+General!A41</f>
        <v>NEYMAR</v>
      </c>
      <c r="B40" s="35">
        <f>+General!E41</f>
        <v>0</v>
      </c>
      <c r="C40" s="35">
        <f>+General!F41</f>
        <v>0</v>
      </c>
      <c r="D40" s="35">
        <f>+General!G41</f>
        <v>0</v>
      </c>
    </row>
    <row r="41" spans="1:4" x14ac:dyDescent="0.35">
      <c r="A41" s="5" t="str">
        <f>+General!A42</f>
        <v>LEONEL MESSI</v>
      </c>
      <c r="B41" s="35">
        <f>+General!E42</f>
        <v>6733406.1596099865</v>
      </c>
      <c r="C41" s="35">
        <f>+General!F42</f>
        <v>18271700.132000022</v>
      </c>
      <c r="D41" s="35">
        <f>+General!G42</f>
        <v>10892997.506560011</v>
      </c>
    </row>
    <row r="42" spans="1:4" x14ac:dyDescent="0.35">
      <c r="A42" s="5" t="str">
        <f>+General!A43</f>
        <v>CRISTIANO RONALDO</v>
      </c>
      <c r="B42" s="35">
        <f>+General!E43</f>
        <v>0</v>
      </c>
      <c r="C42" s="35">
        <f>+General!F43</f>
        <v>0</v>
      </c>
      <c r="D42" s="35">
        <f>+General!G43</f>
        <v>0</v>
      </c>
    </row>
    <row r="43" spans="1:4" x14ac:dyDescent="0.35">
      <c r="A43" s="5" t="str">
        <f>+General!A44</f>
        <v>RODRIGO DE PAUL</v>
      </c>
      <c r="B43" s="35">
        <f>+General!E44</f>
        <v>0</v>
      </c>
      <c r="C43" s="35">
        <f>+General!F44</f>
        <v>0</v>
      </c>
      <c r="D43" s="35">
        <f>+General!G44</f>
        <v>0</v>
      </c>
    </row>
    <row r="44" spans="1:4" x14ac:dyDescent="0.35">
      <c r="A44" s="5" t="str">
        <f>+General!A45</f>
        <v>CHIQUI TAPIA</v>
      </c>
      <c r="B44" s="35">
        <f>+General!E45</f>
        <v>0</v>
      </c>
      <c r="C44" s="35">
        <f>+General!F45</f>
        <v>0</v>
      </c>
      <c r="D44" s="35">
        <f>+General!G45</f>
        <v>0</v>
      </c>
    </row>
    <row r="45" spans="1:4" x14ac:dyDescent="0.35">
      <c r="A45" s="5" t="str">
        <f>+General!A46</f>
        <v>DIBU MARTINEZ</v>
      </c>
      <c r="B45" s="35">
        <f>+General!E46</f>
        <v>0</v>
      </c>
      <c r="C45" s="35">
        <f>+General!F46</f>
        <v>0</v>
      </c>
      <c r="D45" s="35">
        <f>+General!G46</f>
        <v>0</v>
      </c>
    </row>
    <row r="46" spans="1:4" x14ac:dyDescent="0.35">
      <c r="A46" s="5" t="str">
        <f>+General!A47</f>
        <v>CUTI ROMERO</v>
      </c>
      <c r="B46" s="35">
        <f>+General!E47</f>
        <v>0</v>
      </c>
      <c r="C46" s="35">
        <f>+General!F47</f>
        <v>0</v>
      </c>
      <c r="D46" s="35">
        <f>+General!G47</f>
        <v>0</v>
      </c>
    </row>
    <row r="47" spans="1:4" x14ac:dyDescent="0.35">
      <c r="A47" s="5" t="str">
        <f>+General!A48</f>
        <v>PEPI ZAPATA</v>
      </c>
      <c r="B47" s="35">
        <f>+General!E48</f>
        <v>0</v>
      </c>
      <c r="C47" s="35">
        <f>+General!F48</f>
        <v>0</v>
      </c>
      <c r="D47" s="35">
        <f>+General!G48</f>
        <v>0</v>
      </c>
    </row>
    <row r="48" spans="1:4" x14ac:dyDescent="0.35">
      <c r="A48" s="5" t="str">
        <f>+General!A49</f>
        <v>TANO VELA</v>
      </c>
      <c r="B48" s="35">
        <f>+General!E49</f>
        <v>0</v>
      </c>
      <c r="C48" s="35">
        <f>+General!F49</f>
        <v>0</v>
      </c>
      <c r="D48" s="35">
        <f>+General!G49</f>
        <v>0</v>
      </c>
    </row>
    <row r="49" spans="1:4" x14ac:dyDescent="0.35">
      <c r="A49" s="5" t="str">
        <f>+General!A50</f>
        <v>JULIAN MAIDANA</v>
      </c>
      <c r="B49" s="35">
        <f>+General!E50</f>
        <v>0</v>
      </c>
      <c r="C49" s="35">
        <f>+General!F50</f>
        <v>0</v>
      </c>
      <c r="D49" s="35">
        <f>+General!G50</f>
        <v>0</v>
      </c>
    </row>
    <row r="50" spans="1:4" x14ac:dyDescent="0.35">
      <c r="A50" s="5" t="str">
        <f>+General!A51</f>
        <v>FERNANDO BELLUSCHI</v>
      </c>
      <c r="B50" s="35">
        <f>+General!E51</f>
        <v>0</v>
      </c>
      <c r="C50" s="35">
        <f>+General!F51</f>
        <v>0</v>
      </c>
      <c r="D50" s="35">
        <f>+General!G51</f>
        <v>0</v>
      </c>
    </row>
    <row r="51" spans="1:4" x14ac:dyDescent="0.35">
      <c r="A51" s="5" t="str">
        <f>+General!A52</f>
        <v>BOMBON ROSADA</v>
      </c>
      <c r="B51" s="35">
        <f>+General!E52</f>
        <v>0</v>
      </c>
      <c r="C51" s="35">
        <f>+General!F52</f>
        <v>0</v>
      </c>
      <c r="D51" s="35">
        <f>+General!G52</f>
        <v>0</v>
      </c>
    </row>
    <row r="52" spans="1:4" x14ac:dyDescent="0.35">
      <c r="A52" s="5" t="str">
        <f>+General!A53</f>
        <v>RUBEN CAPRIA</v>
      </c>
      <c r="B52" s="35">
        <f>+General!E53</f>
        <v>0</v>
      </c>
      <c r="C52" s="35">
        <f>+General!F53</f>
        <v>0</v>
      </c>
      <c r="D52" s="35">
        <f>+General!G53</f>
        <v>0</v>
      </c>
    </row>
    <row r="53" spans="1:4" x14ac:dyDescent="0.35">
      <c r="A53" s="5" t="str">
        <f>+General!A54</f>
        <v>IGNACIO SCOCCO</v>
      </c>
      <c r="B53" s="35">
        <f>+General!E54</f>
        <v>0</v>
      </c>
      <c r="C53" s="35">
        <f>+General!F54</f>
        <v>0</v>
      </c>
      <c r="D53" s="35">
        <f>+General!G54</f>
        <v>0</v>
      </c>
    </row>
    <row r="54" spans="1:4" x14ac:dyDescent="0.35">
      <c r="A54" s="5" t="str">
        <f>+General!A55</f>
        <v>MEMO BORGUELO</v>
      </c>
      <c r="B54" s="35">
        <f>+General!E55</f>
        <v>0</v>
      </c>
      <c r="C54" s="35">
        <f>+General!F55</f>
        <v>0</v>
      </c>
      <c r="D54" s="35">
        <f>+General!G55</f>
        <v>0</v>
      </c>
    </row>
    <row r="55" spans="1:4" x14ac:dyDescent="0.35">
      <c r="A55" s="5" t="str">
        <f>+General!A56</f>
        <v>JUSTO VILLAR</v>
      </c>
      <c r="B55" s="35">
        <f>+General!E56</f>
        <v>0</v>
      </c>
      <c r="C55" s="35">
        <f>+General!F56</f>
        <v>0</v>
      </c>
      <c r="D55" s="35">
        <f>+General!G56</f>
        <v>0</v>
      </c>
    </row>
    <row r="56" spans="1:4" x14ac:dyDescent="0.35">
      <c r="A56" s="5" t="str">
        <f>+General!A57</f>
        <v>GERMAN RE</v>
      </c>
      <c r="B56" s="35">
        <f>+General!E57</f>
        <v>13493682.517499985</v>
      </c>
      <c r="C56" s="35">
        <f>+General!F57</f>
        <v>15526185.364000013</v>
      </c>
      <c r="D56" s="35">
        <f>+General!G57</f>
        <v>16144903.16536</v>
      </c>
    </row>
    <row r="57" spans="1:4" x14ac:dyDescent="0.35">
      <c r="A57" s="5" t="str">
        <f>+General!A58</f>
        <v>GUILLERMO MARINO</v>
      </c>
      <c r="B57" s="35">
        <f>+General!E58</f>
        <v>7364221.5</v>
      </c>
      <c r="C57" s="35">
        <f>+General!F58</f>
        <v>11392040</v>
      </c>
      <c r="D57" s="35">
        <f>+General!G58</f>
        <v>9204535.3999999985</v>
      </c>
    </row>
    <row r="58" spans="1:4" x14ac:dyDescent="0.35">
      <c r="A58" s="5" t="str">
        <f>+General!A59</f>
        <v>SANTIAGO SALCEDO</v>
      </c>
      <c r="B58" s="35">
        <f>+General!E59</f>
        <v>0</v>
      </c>
      <c r="C58" s="35">
        <f>+General!F59</f>
        <v>0</v>
      </c>
      <c r="D58" s="35">
        <f>+General!G59</f>
        <v>0</v>
      </c>
    </row>
    <row r="59" spans="1:4" x14ac:dyDescent="0.35">
      <c r="A59" s="5" t="str">
        <f>+General!A60</f>
        <v>TACUARA CARDOZO</v>
      </c>
      <c r="B59" s="35">
        <f>+General!E60</f>
        <v>0</v>
      </c>
      <c r="C59" s="35">
        <f>+General!F60</f>
        <v>0</v>
      </c>
      <c r="D59" s="35">
        <f>+General!G60</f>
        <v>0</v>
      </c>
    </row>
    <row r="60" spans="1:4" x14ac:dyDescent="0.35">
      <c r="A60" s="5" t="str">
        <f>+General!A61</f>
        <v>ESCOPETA BOGHOSSIAN</v>
      </c>
      <c r="B60" s="35">
        <f>+General!E61</f>
        <v>0</v>
      </c>
      <c r="C60" s="35">
        <f>+General!F61</f>
        <v>0</v>
      </c>
      <c r="D60" s="35">
        <f>+General!G61</f>
        <v>0</v>
      </c>
    </row>
    <row r="61" spans="1:4" x14ac:dyDescent="0.35">
      <c r="A61" s="5" t="str">
        <f>+General!A62</f>
        <v>DAMIAN MANSO</v>
      </c>
      <c r="B61" s="35">
        <f>+General!E62</f>
        <v>0</v>
      </c>
      <c r="C61" s="35">
        <f>+General!F62</f>
        <v>0</v>
      </c>
      <c r="D61" s="35">
        <f>+General!G62</f>
        <v>0</v>
      </c>
    </row>
    <row r="62" spans="1:4" x14ac:dyDescent="0.35">
      <c r="A62" s="5" t="str">
        <f>+General!A63</f>
        <v>MAURO ROSALES</v>
      </c>
      <c r="B62" s="35">
        <f>+General!E63</f>
        <v>0</v>
      </c>
      <c r="C62" s="35">
        <f>+General!F63</f>
        <v>0</v>
      </c>
      <c r="D62" s="35">
        <f>+General!G63</f>
        <v>0</v>
      </c>
    </row>
    <row r="63" spans="1:4" x14ac:dyDescent="0.35">
      <c r="A63" s="5" t="str">
        <f>+General!A64</f>
        <v>TURCO HUSAIN</v>
      </c>
      <c r="B63" s="35">
        <f>+General!E64</f>
        <v>0</v>
      </c>
      <c r="C63" s="35">
        <f>+General!F64</f>
        <v>0</v>
      </c>
      <c r="D63" s="35">
        <f>+General!G64</f>
        <v>0</v>
      </c>
    </row>
    <row r="64" spans="1:4" x14ac:dyDescent="0.35">
      <c r="A64" s="5" t="str">
        <f>+General!A65</f>
        <v>LUCAS BERNARDI</v>
      </c>
      <c r="B64" s="35">
        <f>+General!E65</f>
        <v>0</v>
      </c>
      <c r="C64" s="35">
        <f>+General!F65</f>
        <v>0</v>
      </c>
      <c r="D64" s="35">
        <f>+General!G65</f>
        <v>0</v>
      </c>
    </row>
    <row r="65" spans="1:4" x14ac:dyDescent="0.35">
      <c r="A65" s="5" t="str">
        <f>+General!A66</f>
        <v>POMELO MATEO</v>
      </c>
      <c r="B65" s="35">
        <f>+General!E66</f>
        <v>0</v>
      </c>
      <c r="C65" s="35">
        <f>+General!F66</f>
        <v>0</v>
      </c>
      <c r="D65" s="35">
        <f>+General!G66</f>
        <v>0</v>
      </c>
    </row>
    <row r="66" spans="1:4" x14ac:dyDescent="0.35">
      <c r="A66" s="5" t="str">
        <f>+General!A67</f>
        <v>BURRITO ORTEGA</v>
      </c>
      <c r="B66" s="35">
        <f>+General!E67</f>
        <v>0</v>
      </c>
      <c r="C66" s="35">
        <f>+General!F67</f>
        <v>0</v>
      </c>
      <c r="D66" s="35">
        <f>+General!G67</f>
        <v>0</v>
      </c>
    </row>
    <row r="67" spans="1:4" x14ac:dyDescent="0.35">
      <c r="A67" s="5" t="str">
        <f>+General!A68</f>
        <v>MAXI RODRIGUEZ</v>
      </c>
      <c r="B67" s="35">
        <f>+General!E68</f>
        <v>0</v>
      </c>
      <c r="C67" s="35">
        <f>+General!F68</f>
        <v>0</v>
      </c>
      <c r="D67" s="35">
        <f>+General!G68</f>
        <v>0</v>
      </c>
    </row>
    <row r="68" spans="1:4" x14ac:dyDescent="0.35">
      <c r="A68" s="5" t="str">
        <f>+General!A69</f>
        <v>MILTON CASCO</v>
      </c>
      <c r="B68" s="35">
        <f>+General!E69</f>
        <v>0</v>
      </c>
      <c r="C68" s="35">
        <f>+General!F69</f>
        <v>0</v>
      </c>
      <c r="D68" s="35">
        <f>+General!G69</f>
        <v>0</v>
      </c>
    </row>
    <row r="69" spans="1:4" x14ac:dyDescent="0.35">
      <c r="A69" s="5" t="str">
        <f>+General!A70</f>
        <v>PATON GUZMAN</v>
      </c>
      <c r="B69" s="35">
        <f>+General!E70</f>
        <v>0</v>
      </c>
      <c r="C69" s="35">
        <f>+General!F70</f>
        <v>0</v>
      </c>
      <c r="D69" s="35">
        <f>+General!G70</f>
        <v>0</v>
      </c>
    </row>
    <row r="70" spans="1:4" x14ac:dyDescent="0.35">
      <c r="A70" s="5" t="str">
        <f>+General!A71</f>
        <v>PIRI VANGIONI</v>
      </c>
      <c r="B70" s="35">
        <f>+General!E71</f>
        <v>0</v>
      </c>
      <c r="C70" s="35">
        <f>+General!F71</f>
        <v>0</v>
      </c>
      <c r="D70" s="35">
        <f>+General!G71</f>
        <v>0</v>
      </c>
    </row>
    <row r="71" spans="1:4" x14ac:dyDescent="0.35">
      <c r="A71" s="5" t="str">
        <f>+General!A72</f>
        <v>TATA MARTINO</v>
      </c>
      <c r="B71" s="35">
        <f>+General!E72</f>
        <v>0</v>
      </c>
      <c r="C71" s="35">
        <f>+General!F72</f>
        <v>0</v>
      </c>
      <c r="D71" s="35">
        <f>+General!G72</f>
        <v>0</v>
      </c>
    </row>
    <row r="72" spans="1:4" x14ac:dyDescent="0.35">
      <c r="A72" s="5" t="str">
        <f>+General!A73</f>
        <v>MARCELO BIELSA</v>
      </c>
      <c r="B72" s="35">
        <f>+General!E73</f>
        <v>0</v>
      </c>
      <c r="C72" s="35">
        <f>+General!F73</f>
        <v>0</v>
      </c>
      <c r="D72" s="35">
        <f>+General!G73</f>
        <v>0</v>
      </c>
    </row>
    <row r="73" spans="1:4" x14ac:dyDescent="0.35">
      <c r="A73" s="5" t="str">
        <f>+General!A74</f>
        <v>DIEGO ARMANDO MARADONA</v>
      </c>
      <c r="B73" s="35">
        <f>+General!E74</f>
        <v>0</v>
      </c>
      <c r="C73" s="35">
        <f>+General!F74</f>
        <v>0</v>
      </c>
      <c r="D73" s="35">
        <f>+General!G74</f>
        <v>0</v>
      </c>
    </row>
    <row r="74" spans="1:4" x14ac:dyDescent="0.35">
      <c r="A74" s="5" t="str">
        <f>+General!A75</f>
        <v>COLOSO DEL PARQUE</v>
      </c>
      <c r="B74" s="35">
        <f>+General!E75</f>
        <v>0</v>
      </c>
      <c r="C74" s="35">
        <f>+General!F75</f>
        <v>0</v>
      </c>
      <c r="D74" s="35">
        <f>+General!G75</f>
        <v>0</v>
      </c>
    </row>
    <row r="75" spans="1:4" x14ac:dyDescent="0.35">
      <c r="A75" s="5" t="str">
        <f>+General!A76</f>
        <v>QATAR</v>
      </c>
      <c r="B75" s="35">
        <f>+General!E76</f>
        <v>0</v>
      </c>
      <c r="C75" s="35">
        <f>+General!F76</f>
        <v>0</v>
      </c>
      <c r="D75" s="35">
        <f>+General!G76</f>
        <v>0</v>
      </c>
    </row>
    <row r="76" spans="1:4" x14ac:dyDescent="0.35">
      <c r="A76" s="5" t="str">
        <f>+General!A77</f>
        <v>CAMPEONES DEL MUNDO</v>
      </c>
      <c r="B76" s="35">
        <f>+General!E77</f>
        <v>0</v>
      </c>
      <c r="C76" s="35">
        <f>+General!F77</f>
        <v>0</v>
      </c>
      <c r="D76" s="35">
        <f>+General!G77</f>
        <v>0</v>
      </c>
    </row>
    <row r="77" spans="1:4" x14ac:dyDescent="0.35">
      <c r="A77" s="5" t="str">
        <f>+General!A78</f>
        <v>KUOLO MUANI</v>
      </c>
      <c r="B77" s="35">
        <f>+General!E78</f>
        <v>0</v>
      </c>
      <c r="C77" s="35">
        <f>+General!F78</f>
        <v>0</v>
      </c>
      <c r="D77" s="35">
        <f>+General!G78</f>
        <v>0</v>
      </c>
    </row>
    <row r="78" spans="1:4" x14ac:dyDescent="0.35">
      <c r="A78" s="5"/>
      <c r="B78" s="35"/>
      <c r="C78" s="35"/>
      <c r="D78" s="35"/>
    </row>
    <row r="79" spans="1:4" x14ac:dyDescent="0.35">
      <c r="A79" s="5"/>
    </row>
    <row r="80" spans="1:4" x14ac:dyDescent="0.35">
      <c r="A80" s="15" t="s">
        <v>0</v>
      </c>
    </row>
    <row r="81" spans="1:1" x14ac:dyDescent="0.35">
      <c r="A81" s="16" t="s">
        <v>3</v>
      </c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2" spans="1:1" x14ac:dyDescent="0.35">
      <c r="A112" s="5"/>
    </row>
    <row r="113" spans="1:1" x14ac:dyDescent="0.35">
      <c r="A113" s="5"/>
    </row>
    <row r="115" spans="1:1" x14ac:dyDescent="0.35">
      <c r="A115" s="5"/>
    </row>
    <row r="116" spans="1:1" x14ac:dyDescent="0.35">
      <c r="A116" s="5"/>
    </row>
  </sheetData>
  <conditionalFormatting sqref="A2:A78">
    <cfRule type="duplicateValues" dxfId="45" priority="20"/>
  </conditionalFormatting>
  <conditionalFormatting sqref="A79">
    <cfRule type="duplicateValues" dxfId="44" priority="11"/>
    <cfRule type="duplicateValues" dxfId="43" priority="12"/>
  </conditionalFormatting>
  <conditionalFormatting sqref="A80:A1048576 A1:A78">
    <cfRule type="duplicateValues" dxfId="42" priority="15"/>
  </conditionalFormatting>
  <conditionalFormatting sqref="A80:A1048576">
    <cfRule type="duplicateValues" dxfId="41" priority="13"/>
    <cfRule type="duplicateValues" dxfId="40" priority="14"/>
    <cfRule type="duplicateValues" dxfId="39" priority="19"/>
  </conditionalFormatting>
  <conditionalFormatting sqref="A81">
    <cfRule type="duplicateValues" dxfId="38" priority="17"/>
  </conditionalFormatting>
  <conditionalFormatting sqref="A83:A127">
    <cfRule type="duplicateValues" dxfId="37" priority="16"/>
  </conditionalFormatting>
  <conditionalFormatting sqref="A128:A1048576 A80:A82 A1:A78">
    <cfRule type="duplicateValues" dxfId="36" priority="1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01BB-7073-4207-90B0-234FE7784FA0}">
  <dimension ref="A1:D115"/>
  <sheetViews>
    <sheetView topLeftCell="A67" workbookViewId="0">
      <selection activeCell="A78" sqref="A78:XFD104"/>
    </sheetView>
  </sheetViews>
  <sheetFormatPr baseColWidth="10" defaultRowHeight="14.5" x14ac:dyDescent="0.35"/>
  <cols>
    <col min="1" max="1" width="53.453125" customWidth="1"/>
    <col min="2" max="4" width="13.7265625" bestFit="1" customWidth="1"/>
  </cols>
  <sheetData>
    <row r="1" spans="1:4" x14ac:dyDescent="0.35">
      <c r="A1" s="26" t="s">
        <v>2</v>
      </c>
      <c r="B1" s="34">
        <f>+General!H2</f>
        <v>45870</v>
      </c>
      <c r="C1" s="34">
        <f>+General!I2</f>
        <v>45901</v>
      </c>
      <c r="D1" s="34">
        <f>+General!J2</f>
        <v>45931</v>
      </c>
    </row>
    <row r="2" spans="1:4" x14ac:dyDescent="0.35">
      <c r="A2" s="5" t="str">
        <f>+General!A3</f>
        <v>ARGENTINA</v>
      </c>
      <c r="B2" s="35">
        <f>+General!H3</f>
        <v>1251377.8829422349</v>
      </c>
      <c r="C2" s="35">
        <f>+General!I3</f>
        <v>3138081.2763224794</v>
      </c>
      <c r="D2" s="35">
        <f>+General!J3</f>
        <v>3512061.711382736</v>
      </c>
    </row>
    <row r="3" spans="1:4" x14ac:dyDescent="0.35">
      <c r="A3" s="5" t="str">
        <f>+General!A4</f>
        <v>BRASIL</v>
      </c>
      <c r="B3" s="35">
        <f>+General!H4</f>
        <v>5302808.0171940448</v>
      </c>
      <c r="C3" s="35">
        <f>+General!I4</f>
        <v>4135007.0272248597</v>
      </c>
      <c r="D3" s="35">
        <f>+General!J4</f>
        <v>14323207.317901108</v>
      </c>
    </row>
    <row r="4" spans="1:4" x14ac:dyDescent="0.35">
      <c r="A4" s="5" t="str">
        <f>+General!A5</f>
        <v>PALMEIRAS</v>
      </c>
      <c r="B4" s="35">
        <f>+General!H5</f>
        <v>3131514.7499999972</v>
      </c>
      <c r="C4" s="35">
        <f>+General!I5</f>
        <v>4272015</v>
      </c>
      <c r="D4" s="35">
        <f>+General!J5</f>
        <v>5681626.8999999762</v>
      </c>
    </row>
    <row r="5" spans="1:4" x14ac:dyDescent="0.35">
      <c r="A5" s="5" t="str">
        <f>+General!A6</f>
        <v>FLAMENGO</v>
      </c>
      <c r="B5" s="35">
        <f>+General!H6</f>
        <v>614644.44379276701</v>
      </c>
      <c r="C5" s="35">
        <f>+General!I6</f>
        <v>1564432.3322877949</v>
      </c>
      <c r="D5" s="35">
        <f>+General!J6</f>
        <v>1322434.2463686049</v>
      </c>
    </row>
    <row r="6" spans="1:4" x14ac:dyDescent="0.35">
      <c r="A6" s="5" t="str">
        <f>+General!A7</f>
        <v>LIMA</v>
      </c>
      <c r="B6" s="35">
        <f>+General!H7</f>
        <v>0</v>
      </c>
      <c r="C6" s="35">
        <f>+General!I7</f>
        <v>0</v>
      </c>
      <c r="D6" s="35">
        <f>+General!J7</f>
        <v>0</v>
      </c>
    </row>
    <row r="7" spans="1:4" x14ac:dyDescent="0.35">
      <c r="A7" s="5" t="str">
        <f>+General!A8</f>
        <v>PERU</v>
      </c>
      <c r="B7" s="35">
        <f>+General!H8</f>
        <v>5979888.0750000002</v>
      </c>
      <c r="C7" s="35">
        <f>+General!I8</f>
        <v>428642.0508599999</v>
      </c>
      <c r="D7" s="35">
        <f>+General!J8</f>
        <v>3620824.932</v>
      </c>
    </row>
    <row r="8" spans="1:4" x14ac:dyDescent="0.35">
      <c r="A8" s="5" t="str">
        <f>+General!A9</f>
        <v>VITOR ROQUE</v>
      </c>
      <c r="B8" s="35">
        <f>+General!H9</f>
        <v>317572.13169484737</v>
      </c>
      <c r="C8" s="35">
        <f>+General!I9</f>
        <v>1364413.2951359479</v>
      </c>
      <c r="D8" s="35">
        <f>+General!J9</f>
        <v>1767233.3674804748</v>
      </c>
    </row>
    <row r="9" spans="1:4" x14ac:dyDescent="0.35">
      <c r="A9" s="5" t="str">
        <f>+General!A10</f>
        <v>MENGAO</v>
      </c>
      <c r="B9" s="35">
        <f>+General!H10</f>
        <v>49469.21244607259</v>
      </c>
      <c r="C9" s="35">
        <f>+General!I10</f>
        <v>28007.874215448304</v>
      </c>
      <c r="D9" s="35">
        <f>+General!J10</f>
        <v>59365.157298327002</v>
      </c>
    </row>
    <row r="10" spans="1:4" x14ac:dyDescent="0.35">
      <c r="A10" s="5" t="str">
        <f>+General!A11</f>
        <v>PAULISTA</v>
      </c>
      <c r="B10" s="35">
        <f>+General!H11</f>
        <v>0</v>
      </c>
      <c r="C10" s="35">
        <f>+General!I11</f>
        <v>0</v>
      </c>
      <c r="D10" s="35">
        <f>+General!J11</f>
        <v>0</v>
      </c>
    </row>
    <row r="11" spans="1:4" x14ac:dyDescent="0.35">
      <c r="A11" s="5" t="str">
        <f>+General!A12</f>
        <v>CARIOCAS</v>
      </c>
      <c r="B11" s="35">
        <f>+General!H12</f>
        <v>0</v>
      </c>
      <c r="C11" s="35">
        <f>+General!I12</f>
        <v>2104.7249999999999</v>
      </c>
      <c r="D11" s="35">
        <f>+General!J12</f>
        <v>50227.747336050001</v>
      </c>
    </row>
    <row r="12" spans="1:4" x14ac:dyDescent="0.35">
      <c r="A12" s="5" t="str">
        <f>+General!A13</f>
        <v>BRUNO ENRIQUE</v>
      </c>
      <c r="B12" s="35">
        <f>+General!H13</f>
        <v>554.36759999999992</v>
      </c>
      <c r="C12" s="35">
        <f>+General!I13</f>
        <v>0</v>
      </c>
      <c r="D12" s="35">
        <f>+General!J13</f>
        <v>289980.72671922494</v>
      </c>
    </row>
    <row r="13" spans="1:4" x14ac:dyDescent="0.35">
      <c r="A13" s="5" t="str">
        <f>+General!A14</f>
        <v>FLACO LOPEZ</v>
      </c>
      <c r="B13" s="35">
        <f>+General!H14</f>
        <v>0</v>
      </c>
      <c r="C13" s="35">
        <f>+General!I14</f>
        <v>0</v>
      </c>
      <c r="D13" s="35">
        <f>+General!J14</f>
        <v>0</v>
      </c>
    </row>
    <row r="14" spans="1:4" x14ac:dyDescent="0.35">
      <c r="A14" s="5" t="str">
        <f>+General!A15</f>
        <v>DE ARRASCAETA</v>
      </c>
      <c r="B14" s="35">
        <f>+General!H15</f>
        <v>0</v>
      </c>
      <c r="C14" s="35">
        <f>+General!I15</f>
        <v>0</v>
      </c>
      <c r="D14" s="35">
        <f>+General!J15</f>
        <v>0</v>
      </c>
    </row>
    <row r="15" spans="1:4" x14ac:dyDescent="0.35">
      <c r="A15" s="5" t="str">
        <f>+General!A16</f>
        <v>GUSTAVO GOMEZ</v>
      </c>
      <c r="B15" s="35">
        <f>+General!H16</f>
        <v>0</v>
      </c>
      <c r="C15" s="35">
        <f>+General!I16</f>
        <v>0</v>
      </c>
      <c r="D15" s="35">
        <f>+General!J16</f>
        <v>0</v>
      </c>
    </row>
    <row r="16" spans="1:4" x14ac:dyDescent="0.35">
      <c r="A16" s="5" t="str">
        <f>+General!A17</f>
        <v>MUNILO</v>
      </c>
      <c r="B16" s="35">
        <f>+General!H17</f>
        <v>0</v>
      </c>
      <c r="C16" s="35">
        <f>+General!I17</f>
        <v>0</v>
      </c>
      <c r="D16" s="35">
        <f>+General!J17</f>
        <v>0</v>
      </c>
    </row>
    <row r="17" spans="1:4" x14ac:dyDescent="0.35">
      <c r="A17" s="5" t="str">
        <f>+General!A18</f>
        <v>CARLOS MIGUEL</v>
      </c>
      <c r="B17" s="35">
        <f>+General!H18</f>
        <v>0</v>
      </c>
      <c r="C17" s="35">
        <f>+General!I18</f>
        <v>0</v>
      </c>
      <c r="D17" s="35">
        <f>+General!J18</f>
        <v>0</v>
      </c>
    </row>
    <row r="18" spans="1:4" x14ac:dyDescent="0.35">
      <c r="A18" s="5" t="str">
        <f>+General!A19</f>
        <v>FELIPE MELO</v>
      </c>
      <c r="B18" s="35">
        <f>+General!H19</f>
        <v>0</v>
      </c>
      <c r="C18" s="35">
        <f>+General!I19</f>
        <v>0</v>
      </c>
      <c r="D18" s="35">
        <f>+General!J19</f>
        <v>0</v>
      </c>
    </row>
    <row r="19" spans="1:4" x14ac:dyDescent="0.35">
      <c r="A19" s="5" t="str">
        <f>+General!A20</f>
        <v>CARLES PUYOL</v>
      </c>
      <c r="B19" s="35">
        <f>+General!H20</f>
        <v>0</v>
      </c>
      <c r="C19" s="35">
        <f>+General!I20</f>
        <v>0</v>
      </c>
      <c r="D19" s="35">
        <f>+General!J20</f>
        <v>0</v>
      </c>
    </row>
    <row r="20" spans="1:4" x14ac:dyDescent="0.35">
      <c r="A20" s="5" t="str">
        <f>+General!A21</f>
        <v>CARRASCAL</v>
      </c>
      <c r="B20" s="35">
        <f>+General!H21</f>
        <v>1185390.3917709189</v>
      </c>
      <c r="C20" s="35">
        <f>+General!I21</f>
        <v>16298985.959177641</v>
      </c>
      <c r="D20" s="35">
        <f>+General!J21</f>
        <v>12826179.031615373</v>
      </c>
    </row>
    <row r="21" spans="1:4" x14ac:dyDescent="0.35">
      <c r="A21" s="5" t="str">
        <f>+General!A22</f>
        <v>PULGAR</v>
      </c>
      <c r="B21" s="35">
        <f>+General!H22</f>
        <v>0</v>
      </c>
      <c r="C21" s="35">
        <f>+General!I22</f>
        <v>0</v>
      </c>
      <c r="D21" s="35">
        <f>+General!J22</f>
        <v>0</v>
      </c>
    </row>
    <row r="22" spans="1:4" x14ac:dyDescent="0.35">
      <c r="A22" s="5" t="str">
        <f>+General!A23</f>
        <v>PEREIRA</v>
      </c>
      <c r="B22" s="35">
        <f>+General!H23</f>
        <v>0</v>
      </c>
      <c r="C22" s="35">
        <f>+General!I23</f>
        <v>45335.772749999996</v>
      </c>
      <c r="D22" s="35">
        <f>+General!J23</f>
        <v>0</v>
      </c>
    </row>
    <row r="23" spans="1:4" x14ac:dyDescent="0.35">
      <c r="A23" s="5" t="str">
        <f>+General!A24</f>
        <v>RAMON SOSA</v>
      </c>
      <c r="B23" s="35">
        <f>+General!H24</f>
        <v>0</v>
      </c>
      <c r="C23" s="35">
        <f>+General!I24</f>
        <v>0</v>
      </c>
      <c r="D23" s="35">
        <f>+General!J24</f>
        <v>0</v>
      </c>
    </row>
    <row r="24" spans="1:4" x14ac:dyDescent="0.35">
      <c r="A24" s="5" t="str">
        <f>+General!A25</f>
        <v>DANILO</v>
      </c>
      <c r="B24" s="35">
        <f>+General!H25</f>
        <v>0</v>
      </c>
      <c r="C24" s="35">
        <f>+General!I25</f>
        <v>0</v>
      </c>
      <c r="D24" s="35">
        <f>+General!J25</f>
        <v>0</v>
      </c>
    </row>
    <row r="25" spans="1:4" x14ac:dyDescent="0.35">
      <c r="A25" s="5" t="str">
        <f>+General!A26</f>
        <v>ROSSI</v>
      </c>
      <c r="B25" s="35">
        <f>+General!H26</f>
        <v>206142.76167986097</v>
      </c>
      <c r="C25" s="35">
        <f>+General!I26</f>
        <v>103820.86414071001</v>
      </c>
      <c r="D25" s="35">
        <f>+General!J26</f>
        <v>695917.53520249331</v>
      </c>
    </row>
    <row r="26" spans="1:4" x14ac:dyDescent="0.35">
      <c r="A26" s="5" t="str">
        <f>+General!A27</f>
        <v>VARELA</v>
      </c>
      <c r="B26" s="35">
        <f>+General!H27</f>
        <v>0</v>
      </c>
      <c r="C26" s="35">
        <f>+General!I27</f>
        <v>0</v>
      </c>
      <c r="D26" s="35">
        <f>+General!J27</f>
        <v>0</v>
      </c>
    </row>
    <row r="27" spans="1:4" x14ac:dyDescent="0.35">
      <c r="A27" s="5" t="str">
        <f>+General!A28</f>
        <v>LINO</v>
      </c>
      <c r="B27" s="35">
        <f>+General!H28</f>
        <v>0</v>
      </c>
      <c r="C27" s="35">
        <f>+General!I28</f>
        <v>10717.9886204625</v>
      </c>
      <c r="D27" s="35">
        <f>+General!J28</f>
        <v>486494.94124012487</v>
      </c>
    </row>
    <row r="28" spans="1:4" x14ac:dyDescent="0.35">
      <c r="A28" s="5" t="str">
        <f>+General!A29</f>
        <v>ALAN</v>
      </c>
      <c r="B28" s="35">
        <f>+General!H29</f>
        <v>0</v>
      </c>
      <c r="C28" s="35">
        <f>+General!I29</f>
        <v>0</v>
      </c>
      <c r="D28" s="35">
        <f>+General!J29</f>
        <v>0</v>
      </c>
    </row>
    <row r="29" spans="1:4" x14ac:dyDescent="0.35">
      <c r="A29" s="5" t="str">
        <f>+General!A30</f>
        <v>ALEXANDRO</v>
      </c>
      <c r="B29" s="35">
        <f>+General!H30</f>
        <v>516977.01030038332</v>
      </c>
      <c r="C29" s="35">
        <f>+General!I30</f>
        <v>7483701.2945344551</v>
      </c>
      <c r="D29" s="35">
        <f>+General!J30</f>
        <v>2897468.3902766909</v>
      </c>
    </row>
    <row r="30" spans="1:4" x14ac:dyDescent="0.35">
      <c r="A30" s="5" t="str">
        <f>+General!A31</f>
        <v>FUX</v>
      </c>
      <c r="B30" s="35">
        <f>+General!H31</f>
        <v>25713.009143369996</v>
      </c>
      <c r="C30" s="35">
        <f>+General!I31</f>
        <v>18483.359180399999</v>
      </c>
      <c r="D30" s="35">
        <f>+General!J31</f>
        <v>35408.530268039998</v>
      </c>
    </row>
    <row r="31" spans="1:4" x14ac:dyDescent="0.35">
      <c r="A31" s="5" t="str">
        <f>+General!A32</f>
        <v>JORGINHO</v>
      </c>
      <c r="B31" s="35">
        <f>+General!H32</f>
        <v>0</v>
      </c>
      <c r="C31" s="35">
        <f>+General!I32</f>
        <v>0</v>
      </c>
      <c r="D31" s="35">
        <f>+General!J32</f>
        <v>0</v>
      </c>
    </row>
    <row r="32" spans="1:4" x14ac:dyDescent="0.35">
      <c r="A32" s="5" t="str">
        <f>+General!A33</f>
        <v>PIQUEREZ</v>
      </c>
      <c r="B32" s="35">
        <f>+General!H33</f>
        <v>0</v>
      </c>
      <c r="C32" s="35">
        <f>+General!I33</f>
        <v>0</v>
      </c>
      <c r="D32" s="35">
        <f>+General!J33</f>
        <v>0</v>
      </c>
    </row>
    <row r="33" spans="1:4" x14ac:dyDescent="0.35">
      <c r="A33" s="5" t="str">
        <f>+General!A34</f>
        <v>HERRERA</v>
      </c>
      <c r="B33" s="35">
        <f>+General!H34</f>
        <v>0</v>
      </c>
      <c r="C33" s="35">
        <f>+General!I34</f>
        <v>0</v>
      </c>
      <c r="D33" s="35">
        <f>+General!J34</f>
        <v>0</v>
      </c>
    </row>
    <row r="34" spans="1:4" x14ac:dyDescent="0.35">
      <c r="A34" s="5" t="str">
        <f>+General!A35</f>
        <v>FILIPE LUIS</v>
      </c>
      <c r="B34" s="35">
        <f>+General!H35</f>
        <v>0</v>
      </c>
      <c r="C34" s="35">
        <f>+General!I35</f>
        <v>0</v>
      </c>
      <c r="D34" s="35">
        <f>+General!J35</f>
        <v>0</v>
      </c>
    </row>
    <row r="35" spans="1:4" x14ac:dyDescent="0.35">
      <c r="A35" s="5" t="str">
        <f>+General!A36</f>
        <v>DONALD TRUMP</v>
      </c>
      <c r="B35" s="35">
        <f>+General!H36</f>
        <v>0</v>
      </c>
      <c r="C35" s="35">
        <f>+General!I36</f>
        <v>0</v>
      </c>
      <c r="D35" s="35">
        <f>+General!J36</f>
        <v>0</v>
      </c>
    </row>
    <row r="36" spans="1:4" x14ac:dyDescent="0.35">
      <c r="A36" s="5" t="str">
        <f>+General!A37</f>
        <v>OBAMA</v>
      </c>
      <c r="B36" s="35">
        <f>+General!H37</f>
        <v>0</v>
      </c>
      <c r="C36" s="35">
        <f>+General!I37</f>
        <v>0</v>
      </c>
      <c r="D36" s="35">
        <f>+General!J37</f>
        <v>0</v>
      </c>
    </row>
    <row r="37" spans="1:4" x14ac:dyDescent="0.35">
      <c r="A37" s="5" t="str">
        <f>+General!A38</f>
        <v>GALLARDO</v>
      </c>
      <c r="B37" s="35">
        <f>+General!H38</f>
        <v>0</v>
      </c>
      <c r="C37" s="35">
        <f>+General!I38</f>
        <v>0</v>
      </c>
      <c r="D37" s="35">
        <f>+General!J38</f>
        <v>0</v>
      </c>
    </row>
    <row r="38" spans="1:4" x14ac:dyDescent="0.35">
      <c r="A38" s="5" t="str">
        <f>+General!A39</f>
        <v>CRESPO</v>
      </c>
      <c r="B38" s="35">
        <f>+General!H39</f>
        <v>0</v>
      </c>
      <c r="C38" s="35">
        <f>+General!I39</f>
        <v>0</v>
      </c>
      <c r="D38" s="35">
        <f>+General!J39</f>
        <v>0</v>
      </c>
    </row>
    <row r="39" spans="1:4" x14ac:dyDescent="0.35">
      <c r="A39" s="5" t="str">
        <f>+General!A40</f>
        <v>RONALDINHO</v>
      </c>
      <c r="B39" s="35">
        <f>+General!H40</f>
        <v>0</v>
      </c>
      <c r="C39" s="35">
        <f>+General!I40</f>
        <v>0</v>
      </c>
      <c r="D39" s="35">
        <f>+General!J40</f>
        <v>0</v>
      </c>
    </row>
    <row r="40" spans="1:4" x14ac:dyDescent="0.35">
      <c r="A40" s="5" t="str">
        <f>+General!A41</f>
        <v>NEYMAR</v>
      </c>
      <c r="B40" s="35">
        <f>+General!H41</f>
        <v>0</v>
      </c>
      <c r="C40" s="35">
        <f>+General!I41</f>
        <v>0</v>
      </c>
      <c r="D40" s="35">
        <f>+General!J41</f>
        <v>0</v>
      </c>
    </row>
    <row r="41" spans="1:4" x14ac:dyDescent="0.35">
      <c r="A41" s="5" t="str">
        <f>+General!A42</f>
        <v>LEONEL MESSI</v>
      </c>
      <c r="B41" s="35">
        <f>+General!H42</f>
        <v>0</v>
      </c>
      <c r="C41" s="35">
        <f>+General!I42</f>
        <v>0</v>
      </c>
      <c r="D41" s="35">
        <f>+General!J42</f>
        <v>0</v>
      </c>
    </row>
    <row r="42" spans="1:4" x14ac:dyDescent="0.35">
      <c r="A42" s="5" t="str">
        <f>+General!A43</f>
        <v>CRISTIANO RONALDO</v>
      </c>
      <c r="B42" s="35">
        <f>+General!H43</f>
        <v>0</v>
      </c>
      <c r="C42" s="35">
        <f>+General!I43</f>
        <v>0</v>
      </c>
      <c r="D42" s="35">
        <f>+General!J43</f>
        <v>0</v>
      </c>
    </row>
    <row r="43" spans="1:4" x14ac:dyDescent="0.35">
      <c r="A43" s="5" t="str">
        <f>+General!A44</f>
        <v>RODRIGO DE PAUL</v>
      </c>
      <c r="B43" s="35">
        <f>+General!H44</f>
        <v>0</v>
      </c>
      <c r="C43" s="35">
        <f>+General!I44</f>
        <v>0</v>
      </c>
      <c r="D43" s="35">
        <f>+General!J44</f>
        <v>0</v>
      </c>
    </row>
    <row r="44" spans="1:4" x14ac:dyDescent="0.35">
      <c r="A44" s="5" t="str">
        <f>+General!A45</f>
        <v>CHIQUI TAPIA</v>
      </c>
      <c r="B44" s="35">
        <f>+General!H45</f>
        <v>973117.70694367355</v>
      </c>
      <c r="C44" s="35">
        <f>+General!I45</f>
        <v>1704199.2512328478</v>
      </c>
      <c r="D44" s="35">
        <f>+General!J45</f>
        <v>7753472.6484504528</v>
      </c>
    </row>
    <row r="45" spans="1:4" x14ac:dyDescent="0.35">
      <c r="A45" s="5" t="str">
        <f>+General!A46</f>
        <v>DIBU MARTINEZ</v>
      </c>
      <c r="B45" s="35">
        <f>+General!H46</f>
        <v>198637.33256009698</v>
      </c>
      <c r="C45" s="35">
        <f>+General!I46</f>
        <v>59052.616054766993</v>
      </c>
      <c r="D45" s="35">
        <f>+General!J46</f>
        <v>59126.11547070599</v>
      </c>
    </row>
    <row r="46" spans="1:4" x14ac:dyDescent="0.35">
      <c r="A46" s="5" t="str">
        <f>+General!A47</f>
        <v>CUTI ROMERO</v>
      </c>
      <c r="B46" s="35">
        <f>+General!H47</f>
        <v>0</v>
      </c>
      <c r="C46" s="35">
        <f>+General!I47</f>
        <v>0</v>
      </c>
      <c r="D46" s="35">
        <f>+General!J47</f>
        <v>0</v>
      </c>
    </row>
    <row r="47" spans="1:4" x14ac:dyDescent="0.35">
      <c r="A47" s="5" t="str">
        <f>+General!A48</f>
        <v>PEPI ZAPATA</v>
      </c>
      <c r="B47" s="35">
        <f>+General!H48</f>
        <v>0</v>
      </c>
      <c r="C47" s="35">
        <f>+General!I48</f>
        <v>0</v>
      </c>
      <c r="D47" s="35">
        <f>+General!J48</f>
        <v>0</v>
      </c>
    </row>
    <row r="48" spans="1:4" x14ac:dyDescent="0.35">
      <c r="A48" s="5" t="str">
        <f>+General!A49</f>
        <v>TANO VELA</v>
      </c>
      <c r="B48" s="35">
        <f>+General!H49</f>
        <v>0</v>
      </c>
      <c r="C48" s="35">
        <f>+General!I49</f>
        <v>0</v>
      </c>
      <c r="D48" s="35">
        <f>+General!J49</f>
        <v>0</v>
      </c>
    </row>
    <row r="49" spans="1:4" x14ac:dyDescent="0.35">
      <c r="A49" s="5" t="str">
        <f>+General!A50</f>
        <v>JULIAN MAIDANA</v>
      </c>
      <c r="B49" s="35">
        <f>+General!H50</f>
        <v>0</v>
      </c>
      <c r="C49" s="35">
        <f>+General!I50</f>
        <v>0</v>
      </c>
      <c r="D49" s="35">
        <f>+General!J50</f>
        <v>0</v>
      </c>
    </row>
    <row r="50" spans="1:4" x14ac:dyDescent="0.35">
      <c r="A50" s="5" t="str">
        <f>+General!A51</f>
        <v>FERNANDO BELLUSCHI</v>
      </c>
      <c r="B50" s="35">
        <f>+General!H51</f>
        <v>0</v>
      </c>
      <c r="C50" s="35">
        <f>+General!I51</f>
        <v>0</v>
      </c>
      <c r="D50" s="35">
        <f>+General!J51</f>
        <v>0</v>
      </c>
    </row>
    <row r="51" spans="1:4" x14ac:dyDescent="0.35">
      <c r="A51" s="5" t="str">
        <f>+General!A52</f>
        <v>BOMBON ROSADA</v>
      </c>
      <c r="B51" s="35">
        <f>+General!H52</f>
        <v>0</v>
      </c>
      <c r="C51" s="35">
        <f>+General!I52</f>
        <v>0</v>
      </c>
      <c r="D51" s="35">
        <f>+General!J52</f>
        <v>0</v>
      </c>
    </row>
    <row r="52" spans="1:4" x14ac:dyDescent="0.35">
      <c r="A52" s="5" t="str">
        <f>+General!A53</f>
        <v>RUBEN CAPRIA</v>
      </c>
      <c r="B52" s="35">
        <f>+General!H53</f>
        <v>0</v>
      </c>
      <c r="C52" s="35">
        <f>+General!I53</f>
        <v>0</v>
      </c>
      <c r="D52" s="35">
        <f>+General!J53</f>
        <v>0</v>
      </c>
    </row>
    <row r="53" spans="1:4" x14ac:dyDescent="0.35">
      <c r="A53" s="5" t="str">
        <f>+General!A54</f>
        <v>IGNACIO SCOCCO</v>
      </c>
      <c r="B53" s="35">
        <f>+General!H54</f>
        <v>0</v>
      </c>
      <c r="C53" s="35">
        <f>+General!I54</f>
        <v>0</v>
      </c>
      <c r="D53" s="35">
        <f>+General!J54</f>
        <v>0</v>
      </c>
    </row>
    <row r="54" spans="1:4" x14ac:dyDescent="0.35">
      <c r="A54" s="5" t="str">
        <f>+General!A55</f>
        <v>MEMO BORGUELO</v>
      </c>
      <c r="B54" s="35">
        <f>+General!H55</f>
        <v>0</v>
      </c>
      <c r="C54" s="35">
        <f>+General!I55</f>
        <v>0</v>
      </c>
      <c r="D54" s="35">
        <f>+General!J55</f>
        <v>0</v>
      </c>
    </row>
    <row r="55" spans="1:4" x14ac:dyDescent="0.35">
      <c r="A55" s="5" t="str">
        <f>+General!A56</f>
        <v>JUSTO VILLAR</v>
      </c>
      <c r="B55" s="35">
        <f>+General!H56</f>
        <v>0</v>
      </c>
      <c r="C55" s="35">
        <f>+General!I56</f>
        <v>0</v>
      </c>
      <c r="D55" s="35">
        <f>+General!J56</f>
        <v>0</v>
      </c>
    </row>
    <row r="56" spans="1:4" x14ac:dyDescent="0.35">
      <c r="A56" s="5" t="str">
        <f>+General!A57</f>
        <v>GERMAN RE</v>
      </c>
      <c r="B56" s="35">
        <f>+General!H57</f>
        <v>0</v>
      </c>
      <c r="C56" s="35">
        <f>+General!I57</f>
        <v>0</v>
      </c>
      <c r="D56" s="35">
        <f>+General!J57</f>
        <v>0</v>
      </c>
    </row>
    <row r="57" spans="1:4" x14ac:dyDescent="0.35">
      <c r="A57" s="5" t="str">
        <f>+General!A58</f>
        <v>GUILLERMO MARINO</v>
      </c>
      <c r="B57" s="35">
        <f>+General!H58</f>
        <v>4044408.4499999918</v>
      </c>
      <c r="C57" s="35">
        <f>+General!I58</f>
        <v>4576615</v>
      </c>
      <c r="D57" s="35">
        <f>+General!J58</f>
        <v>3980137.0500000068</v>
      </c>
    </row>
    <row r="58" spans="1:4" x14ac:dyDescent="0.35">
      <c r="A58" s="5" t="str">
        <f>+General!A59</f>
        <v>SANTIAGO SALCEDO</v>
      </c>
      <c r="B58" s="35">
        <f>+General!H59</f>
        <v>0</v>
      </c>
      <c r="C58" s="35">
        <f>+General!I59</f>
        <v>0</v>
      </c>
      <c r="D58" s="35">
        <f>+General!J59</f>
        <v>0</v>
      </c>
    </row>
    <row r="59" spans="1:4" x14ac:dyDescent="0.35">
      <c r="A59" s="5" t="str">
        <f>+General!A60</f>
        <v>TACUARA CARDOZO</v>
      </c>
      <c r="B59" s="35">
        <f>+General!H60</f>
        <v>0</v>
      </c>
      <c r="C59" s="35">
        <f>+General!I60</f>
        <v>0</v>
      </c>
      <c r="D59" s="35">
        <f>+General!J60</f>
        <v>0</v>
      </c>
    </row>
    <row r="60" spans="1:4" x14ac:dyDescent="0.35">
      <c r="A60" s="5" t="str">
        <f>+General!A61</f>
        <v>ESCOPETA BOGHOSSIAN</v>
      </c>
      <c r="B60" s="35">
        <f>+General!H61</f>
        <v>0</v>
      </c>
      <c r="C60" s="35">
        <f>+General!I61</f>
        <v>0</v>
      </c>
      <c r="D60" s="35">
        <f>+General!J61</f>
        <v>0</v>
      </c>
    </row>
    <row r="61" spans="1:4" x14ac:dyDescent="0.35">
      <c r="A61" s="5" t="str">
        <f>+General!A62</f>
        <v>DAMIAN MANSO</v>
      </c>
      <c r="B61" s="35">
        <f>+General!H62</f>
        <v>0</v>
      </c>
      <c r="C61" s="35">
        <f>+General!I62</f>
        <v>0</v>
      </c>
      <c r="D61" s="35">
        <f>+General!J62</f>
        <v>0</v>
      </c>
    </row>
    <row r="62" spans="1:4" x14ac:dyDescent="0.35">
      <c r="A62" s="5" t="str">
        <f>+General!A63</f>
        <v>MAURO ROSALES</v>
      </c>
      <c r="B62" s="35">
        <f>+General!H63</f>
        <v>0</v>
      </c>
      <c r="C62" s="35">
        <f>+General!I63</f>
        <v>0</v>
      </c>
      <c r="D62" s="35">
        <f>+General!J63</f>
        <v>0</v>
      </c>
    </row>
    <row r="63" spans="1:4" x14ac:dyDescent="0.35">
      <c r="A63" s="5" t="str">
        <f>+General!A64</f>
        <v>TURCO HUSAIN</v>
      </c>
      <c r="B63" s="35">
        <f>+General!H64</f>
        <v>0</v>
      </c>
      <c r="C63" s="35">
        <f>+General!I64</f>
        <v>0</v>
      </c>
      <c r="D63" s="35">
        <f>+General!J64</f>
        <v>0</v>
      </c>
    </row>
    <row r="64" spans="1:4" x14ac:dyDescent="0.35">
      <c r="A64" s="5" t="str">
        <f>+General!A65</f>
        <v>LUCAS BERNARDI</v>
      </c>
      <c r="B64" s="35">
        <f>+General!H65</f>
        <v>0</v>
      </c>
      <c r="C64" s="35">
        <f>+General!I65</f>
        <v>0</v>
      </c>
      <c r="D64" s="35">
        <f>+General!J65</f>
        <v>0</v>
      </c>
    </row>
    <row r="65" spans="1:4" x14ac:dyDescent="0.35">
      <c r="A65" s="5" t="str">
        <f>+General!A66</f>
        <v>POMELO MATEO</v>
      </c>
      <c r="B65" s="35">
        <f>+General!H66</f>
        <v>0</v>
      </c>
      <c r="C65" s="35">
        <f>+General!I66</f>
        <v>4471.5787593749992</v>
      </c>
      <c r="D65" s="35">
        <f>+General!J66</f>
        <v>22591.003175999998</v>
      </c>
    </row>
    <row r="66" spans="1:4" x14ac:dyDescent="0.35">
      <c r="A66" s="5" t="str">
        <f>+General!A67</f>
        <v>BURRITO ORTEGA</v>
      </c>
      <c r="B66" s="35">
        <f>+General!H67</f>
        <v>0</v>
      </c>
      <c r="C66" s="35">
        <f>+General!I67</f>
        <v>0</v>
      </c>
      <c r="D66" s="35">
        <f>+General!J67</f>
        <v>0</v>
      </c>
    </row>
    <row r="67" spans="1:4" x14ac:dyDescent="0.35">
      <c r="A67" s="5" t="str">
        <f>+General!A68</f>
        <v>MAXI RODRIGUEZ</v>
      </c>
      <c r="B67" s="35">
        <f>+General!H68</f>
        <v>0</v>
      </c>
      <c r="C67" s="35">
        <f>+General!I68</f>
        <v>0</v>
      </c>
      <c r="D67" s="35">
        <f>+General!J68</f>
        <v>0</v>
      </c>
    </row>
    <row r="68" spans="1:4" x14ac:dyDescent="0.35">
      <c r="A68" s="5" t="str">
        <f>+General!A69</f>
        <v>MILTON CASCO</v>
      </c>
      <c r="B68" s="35">
        <f>+General!H69</f>
        <v>0</v>
      </c>
      <c r="C68" s="35">
        <f>+General!I69</f>
        <v>102000.01733999999</v>
      </c>
      <c r="D68" s="35">
        <f>+General!J69</f>
        <v>0</v>
      </c>
    </row>
    <row r="69" spans="1:4" x14ac:dyDescent="0.35">
      <c r="A69" s="5" t="str">
        <f>+General!A70</f>
        <v>PATON GUZMAN</v>
      </c>
      <c r="B69" s="35">
        <f>+General!H70</f>
        <v>0</v>
      </c>
      <c r="C69" s="35">
        <f>+General!I70</f>
        <v>0</v>
      </c>
      <c r="D69" s="35">
        <f>+General!J70</f>
        <v>0</v>
      </c>
    </row>
    <row r="70" spans="1:4" x14ac:dyDescent="0.35">
      <c r="A70" s="5" t="str">
        <f>+General!A71</f>
        <v>PIRI VANGIONI</v>
      </c>
      <c r="B70" s="35">
        <f>+General!H71</f>
        <v>0</v>
      </c>
      <c r="C70" s="35">
        <f>+General!I71</f>
        <v>0</v>
      </c>
      <c r="D70" s="35">
        <f>+General!J71</f>
        <v>0</v>
      </c>
    </row>
    <row r="71" spans="1:4" x14ac:dyDescent="0.35">
      <c r="A71" s="5" t="str">
        <f>+General!A72</f>
        <v>TATA MARTINO</v>
      </c>
      <c r="B71" s="35">
        <f>+General!H72</f>
        <v>0</v>
      </c>
      <c r="C71" s="35">
        <f>+General!I72</f>
        <v>0</v>
      </c>
      <c r="D71" s="35">
        <f>+General!J72</f>
        <v>0</v>
      </c>
    </row>
    <row r="72" spans="1:4" x14ac:dyDescent="0.35">
      <c r="A72" s="5" t="str">
        <f>+General!A73</f>
        <v>MARCELO BIELSA</v>
      </c>
      <c r="B72" s="35">
        <f>+General!H73</f>
        <v>0</v>
      </c>
      <c r="C72" s="35">
        <f>+General!I73</f>
        <v>0</v>
      </c>
      <c r="D72" s="35">
        <f>+General!J73</f>
        <v>0</v>
      </c>
    </row>
    <row r="73" spans="1:4" x14ac:dyDescent="0.35">
      <c r="A73" s="5" t="str">
        <f>+General!A74</f>
        <v>DIEGO ARMANDO MARADONA</v>
      </c>
      <c r="B73" s="35">
        <f>+General!H74</f>
        <v>0</v>
      </c>
      <c r="C73" s="35">
        <f>+General!I74</f>
        <v>0</v>
      </c>
      <c r="D73" s="35">
        <f>+General!J74</f>
        <v>0</v>
      </c>
    </row>
    <row r="74" spans="1:4" x14ac:dyDescent="0.35">
      <c r="A74" s="5" t="str">
        <f>+General!A75</f>
        <v>COLOSO DEL PARQUE</v>
      </c>
      <c r="B74" s="35">
        <f>+General!H75</f>
        <v>0</v>
      </c>
      <c r="C74" s="35">
        <f>+General!I75</f>
        <v>0</v>
      </c>
      <c r="D74" s="35">
        <f>+General!J75</f>
        <v>0</v>
      </c>
    </row>
    <row r="75" spans="1:4" x14ac:dyDescent="0.35">
      <c r="A75" s="5" t="str">
        <f>+General!A76</f>
        <v>QATAR</v>
      </c>
      <c r="B75" s="35">
        <f>+General!H76</f>
        <v>0</v>
      </c>
      <c r="C75" s="35">
        <f>+General!I76</f>
        <v>0</v>
      </c>
      <c r="D75" s="35">
        <f>+General!J76</f>
        <v>0</v>
      </c>
    </row>
    <row r="76" spans="1:4" x14ac:dyDescent="0.35">
      <c r="A76" s="5" t="str">
        <f>+General!A77</f>
        <v>CAMPEONES DEL MUNDO</v>
      </c>
      <c r="B76" s="35">
        <f>+General!H77</f>
        <v>0</v>
      </c>
      <c r="C76" s="35">
        <f>+General!I77</f>
        <v>0</v>
      </c>
      <c r="D76" s="35">
        <f>+General!J77</f>
        <v>0</v>
      </c>
    </row>
    <row r="77" spans="1:4" x14ac:dyDescent="0.35">
      <c r="A77" s="5" t="str">
        <f>+General!A78</f>
        <v>KUOLO MUANI</v>
      </c>
      <c r="B77" s="35">
        <f>+General!H78</f>
        <v>0</v>
      </c>
      <c r="C77" s="35">
        <f>+General!I78</f>
        <v>0</v>
      </c>
      <c r="D77" s="35">
        <f>+General!J78</f>
        <v>0</v>
      </c>
    </row>
    <row r="78" spans="1:4" x14ac:dyDescent="0.35">
      <c r="A78" s="5"/>
      <c r="B78" s="35"/>
      <c r="C78" s="35"/>
      <c r="D78" s="35"/>
    </row>
    <row r="79" spans="1:4" x14ac:dyDescent="0.35">
      <c r="A79" s="15" t="s">
        <v>0</v>
      </c>
    </row>
    <row r="80" spans="1:4" x14ac:dyDescent="0.35">
      <c r="A80" s="16" t="s">
        <v>3</v>
      </c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1" spans="1:1" x14ac:dyDescent="0.35">
      <c r="A111" s="5"/>
    </row>
    <row r="112" spans="1:1" x14ac:dyDescent="0.35">
      <c r="A112" s="5"/>
    </row>
    <row r="114" spans="1:1" x14ac:dyDescent="0.35">
      <c r="A114" s="5"/>
    </row>
    <row r="115" spans="1:1" x14ac:dyDescent="0.35">
      <c r="A115" s="5"/>
    </row>
  </sheetData>
  <conditionalFormatting sqref="A2:A77">
    <cfRule type="duplicateValues" dxfId="35" priority="95"/>
  </conditionalFormatting>
  <conditionalFormatting sqref="A78">
    <cfRule type="duplicateValues" dxfId="34" priority="99"/>
  </conditionalFormatting>
  <conditionalFormatting sqref="A79:A1048576 A1:A77">
    <cfRule type="duplicateValues" dxfId="33" priority="10"/>
  </conditionalFormatting>
  <conditionalFormatting sqref="A79:A1048576">
    <cfRule type="duplicateValues" dxfId="32" priority="8"/>
    <cfRule type="duplicateValues" dxfId="31" priority="9"/>
    <cfRule type="duplicateValues" dxfId="30" priority="14"/>
  </conditionalFormatting>
  <conditionalFormatting sqref="A80">
    <cfRule type="duplicateValues" dxfId="29" priority="12"/>
  </conditionalFormatting>
  <conditionalFormatting sqref="A82:A126">
    <cfRule type="duplicateValues" dxfId="28" priority="11"/>
  </conditionalFormatting>
  <conditionalFormatting sqref="A127:A1048576 A79:A81 A1:A77">
    <cfRule type="duplicateValues" dxfId="27" priority="1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7A13-CB2B-47C0-BC14-C34B4A410A61}">
  <dimension ref="A1:D115"/>
  <sheetViews>
    <sheetView topLeftCell="A67" workbookViewId="0">
      <selection activeCell="A78" sqref="A78:XFD103"/>
    </sheetView>
  </sheetViews>
  <sheetFormatPr baseColWidth="10" defaultRowHeight="14.5" x14ac:dyDescent="0.35"/>
  <cols>
    <col min="1" max="1" width="53.453125" customWidth="1"/>
    <col min="2" max="3" width="12.7265625" bestFit="1" customWidth="1"/>
    <col min="4" max="4" width="11" bestFit="1" customWidth="1"/>
  </cols>
  <sheetData>
    <row r="1" spans="1:4" x14ac:dyDescent="0.35">
      <c r="A1" s="26" t="s">
        <v>2</v>
      </c>
      <c r="B1" s="34">
        <f>+General!K2</f>
        <v>45870</v>
      </c>
      <c r="C1" s="34">
        <f>+General!L2</f>
        <v>45901</v>
      </c>
      <c r="D1" s="34">
        <f>+General!M2</f>
        <v>45931</v>
      </c>
    </row>
    <row r="2" spans="1:4" x14ac:dyDescent="0.35">
      <c r="A2" s="5" t="str">
        <f>+General!A3</f>
        <v>ARGENTINA</v>
      </c>
      <c r="B2" s="35">
        <f>+General!K3</f>
        <v>0</v>
      </c>
      <c r="C2" s="35">
        <f>+General!L3</f>
        <v>0</v>
      </c>
      <c r="D2" s="35">
        <f>+General!M3</f>
        <v>0</v>
      </c>
    </row>
    <row r="3" spans="1:4" x14ac:dyDescent="0.35">
      <c r="A3" s="5" t="str">
        <f>+General!A4</f>
        <v>BRASIL</v>
      </c>
      <c r="B3" s="35">
        <f>+General!K4</f>
        <v>0</v>
      </c>
      <c r="C3" s="35">
        <f>+General!L4</f>
        <v>0</v>
      </c>
      <c r="D3" s="35">
        <f>+General!M4</f>
        <v>0</v>
      </c>
    </row>
    <row r="4" spans="1:4" x14ac:dyDescent="0.35">
      <c r="A4" s="5" t="str">
        <f>+General!A5</f>
        <v>PALMEIRAS</v>
      </c>
      <c r="B4" s="35">
        <f>+General!K5</f>
        <v>0</v>
      </c>
      <c r="C4" s="35">
        <f>+General!L5</f>
        <v>0</v>
      </c>
      <c r="D4" s="35">
        <f>+General!M5</f>
        <v>0</v>
      </c>
    </row>
    <row r="5" spans="1:4" x14ac:dyDescent="0.35">
      <c r="A5" s="5" t="str">
        <f>+General!A6</f>
        <v>FLAMENGO</v>
      </c>
      <c r="B5" s="35">
        <f>+General!K6</f>
        <v>0</v>
      </c>
      <c r="C5" s="35">
        <f>+General!L6</f>
        <v>0</v>
      </c>
      <c r="D5" s="35">
        <f>+General!M6</f>
        <v>0</v>
      </c>
    </row>
    <row r="6" spans="1:4" x14ac:dyDescent="0.35">
      <c r="A6" s="5" t="str">
        <f>+General!A7</f>
        <v>LIMA</v>
      </c>
      <c r="B6" s="35">
        <f>+General!K7</f>
        <v>0</v>
      </c>
      <c r="C6" s="35">
        <f>+General!L7</f>
        <v>0</v>
      </c>
      <c r="D6" s="35">
        <f>+General!M7</f>
        <v>0</v>
      </c>
    </row>
    <row r="7" spans="1:4" x14ac:dyDescent="0.35">
      <c r="A7" s="5" t="str">
        <f>+General!A8</f>
        <v>PERU</v>
      </c>
      <c r="B7" s="35">
        <f>+General!K8</f>
        <v>0</v>
      </c>
      <c r="C7" s="35">
        <f>+General!L8</f>
        <v>0</v>
      </c>
      <c r="D7" s="35">
        <f>+General!M8</f>
        <v>0</v>
      </c>
    </row>
    <row r="8" spans="1:4" x14ac:dyDescent="0.35">
      <c r="A8" s="5" t="str">
        <f>+General!A9</f>
        <v>VITOR ROQUE</v>
      </c>
      <c r="B8" s="35">
        <f>+General!K9</f>
        <v>0</v>
      </c>
      <c r="C8" s="35">
        <f>+General!L9</f>
        <v>0</v>
      </c>
      <c r="D8" s="35">
        <f>+General!M9</f>
        <v>0</v>
      </c>
    </row>
    <row r="9" spans="1:4" x14ac:dyDescent="0.35">
      <c r="A9" s="5" t="str">
        <f>+General!A10</f>
        <v>MENGAO</v>
      </c>
      <c r="B9" s="35">
        <f>+General!K10</f>
        <v>0</v>
      </c>
      <c r="C9" s="35">
        <f>+General!L10</f>
        <v>0</v>
      </c>
      <c r="D9" s="35">
        <f>+General!M10</f>
        <v>0</v>
      </c>
    </row>
    <row r="10" spans="1:4" x14ac:dyDescent="0.35">
      <c r="A10" s="5" t="str">
        <f>+General!A11</f>
        <v>PAULISTA</v>
      </c>
      <c r="B10" s="35">
        <f>+General!K11</f>
        <v>0</v>
      </c>
      <c r="C10" s="35">
        <f>+General!L11</f>
        <v>0</v>
      </c>
      <c r="D10" s="35">
        <f>+General!M11</f>
        <v>0</v>
      </c>
    </row>
    <row r="11" spans="1:4" x14ac:dyDescent="0.35">
      <c r="A11" s="5" t="str">
        <f>+General!A12</f>
        <v>CARIOCAS</v>
      </c>
      <c r="B11" s="35">
        <f>+General!K12</f>
        <v>0</v>
      </c>
      <c r="C11" s="35">
        <f>+General!L12</f>
        <v>0</v>
      </c>
      <c r="D11" s="35">
        <f>+General!M12</f>
        <v>0</v>
      </c>
    </row>
    <row r="12" spans="1:4" x14ac:dyDescent="0.35">
      <c r="A12" s="5" t="str">
        <f>+General!A13</f>
        <v>BRUNO ENRIQUE</v>
      </c>
      <c r="B12" s="35">
        <f>+General!K13</f>
        <v>0</v>
      </c>
      <c r="C12" s="35">
        <f>+General!L13</f>
        <v>0</v>
      </c>
      <c r="D12" s="35">
        <f>+General!M13</f>
        <v>0</v>
      </c>
    </row>
    <row r="13" spans="1:4" x14ac:dyDescent="0.35">
      <c r="A13" s="5" t="str">
        <f>+General!A14</f>
        <v>FLACO LOPEZ</v>
      </c>
      <c r="B13" s="35">
        <f>+General!K14</f>
        <v>0</v>
      </c>
      <c r="C13" s="35">
        <f>+General!L14</f>
        <v>0</v>
      </c>
      <c r="D13" s="35">
        <f>+General!M14</f>
        <v>0</v>
      </c>
    </row>
    <row r="14" spans="1:4" x14ac:dyDescent="0.35">
      <c r="A14" s="5" t="str">
        <f>+General!A15</f>
        <v>DE ARRASCAETA</v>
      </c>
      <c r="B14" s="35">
        <f>+General!K15</f>
        <v>0</v>
      </c>
      <c r="C14" s="35">
        <f>+General!L15</f>
        <v>0</v>
      </c>
      <c r="D14" s="35">
        <f>+General!M15</f>
        <v>0</v>
      </c>
    </row>
    <row r="15" spans="1:4" x14ac:dyDescent="0.35">
      <c r="A15" s="5" t="str">
        <f>+General!A16</f>
        <v>GUSTAVO GOMEZ</v>
      </c>
      <c r="B15" s="35">
        <f>+General!K16</f>
        <v>0</v>
      </c>
      <c r="C15" s="35">
        <f>+General!L16</f>
        <v>0</v>
      </c>
      <c r="D15" s="35">
        <f>+General!M16</f>
        <v>0</v>
      </c>
    </row>
    <row r="16" spans="1:4" x14ac:dyDescent="0.35">
      <c r="A16" s="5" t="str">
        <f>+General!A17</f>
        <v>MUNILO</v>
      </c>
      <c r="B16" s="35">
        <f>+General!K17</f>
        <v>0</v>
      </c>
      <c r="C16" s="35">
        <f>+General!L17</f>
        <v>0</v>
      </c>
      <c r="D16" s="35">
        <f>+General!M17</f>
        <v>0</v>
      </c>
    </row>
    <row r="17" spans="1:4" x14ac:dyDescent="0.35">
      <c r="A17" s="5" t="str">
        <f>+General!A18</f>
        <v>CARLOS MIGUEL</v>
      </c>
      <c r="B17" s="35">
        <f>+General!K18</f>
        <v>0</v>
      </c>
      <c r="C17" s="35">
        <f>+General!L18</f>
        <v>0</v>
      </c>
      <c r="D17" s="35">
        <f>+General!M18</f>
        <v>0</v>
      </c>
    </row>
    <row r="18" spans="1:4" x14ac:dyDescent="0.35">
      <c r="A18" s="5" t="str">
        <f>+General!A19</f>
        <v>FELIPE MELO</v>
      </c>
      <c r="B18" s="35">
        <f>+General!K19</f>
        <v>0</v>
      </c>
      <c r="C18" s="35">
        <f>+General!L19</f>
        <v>0</v>
      </c>
      <c r="D18" s="35">
        <f>+General!M19</f>
        <v>0</v>
      </c>
    </row>
    <row r="19" spans="1:4" x14ac:dyDescent="0.35">
      <c r="A19" s="5" t="str">
        <f>+General!A20</f>
        <v>CARLES PUYOL</v>
      </c>
      <c r="B19" s="35">
        <f>+General!K20</f>
        <v>0</v>
      </c>
      <c r="C19" s="35">
        <f>+General!L20</f>
        <v>0</v>
      </c>
      <c r="D19" s="35">
        <f>+General!M20</f>
        <v>0</v>
      </c>
    </row>
    <row r="20" spans="1:4" x14ac:dyDescent="0.35">
      <c r="A20" s="5" t="str">
        <f>+General!A21</f>
        <v>CARRASCAL</v>
      </c>
      <c r="B20" s="35">
        <f>+General!K21</f>
        <v>0</v>
      </c>
      <c r="C20" s="35">
        <f>+General!L21</f>
        <v>0</v>
      </c>
      <c r="D20" s="35">
        <f>+General!M21</f>
        <v>0</v>
      </c>
    </row>
    <row r="21" spans="1:4" x14ac:dyDescent="0.35">
      <c r="A21" s="5" t="str">
        <f>+General!A22</f>
        <v>PULGAR</v>
      </c>
      <c r="B21" s="35">
        <f>+General!K22</f>
        <v>0</v>
      </c>
      <c r="C21" s="35">
        <f>+General!L22</f>
        <v>0</v>
      </c>
      <c r="D21" s="35">
        <f>+General!M22</f>
        <v>0</v>
      </c>
    </row>
    <row r="22" spans="1:4" x14ac:dyDescent="0.35">
      <c r="A22" s="5" t="str">
        <f>+General!A23</f>
        <v>PEREIRA</v>
      </c>
      <c r="B22" s="35">
        <f>+General!K23</f>
        <v>0</v>
      </c>
      <c r="C22" s="35">
        <f>+General!L23</f>
        <v>0</v>
      </c>
      <c r="D22" s="35">
        <f>+General!M23</f>
        <v>0</v>
      </c>
    </row>
    <row r="23" spans="1:4" x14ac:dyDescent="0.35">
      <c r="A23" s="5" t="str">
        <f>+General!A24</f>
        <v>RAMON SOSA</v>
      </c>
      <c r="B23" s="35">
        <f>+General!K24</f>
        <v>0</v>
      </c>
      <c r="C23" s="35">
        <f>+General!L24</f>
        <v>0</v>
      </c>
      <c r="D23" s="35">
        <f>+General!M24</f>
        <v>0</v>
      </c>
    </row>
    <row r="24" spans="1:4" x14ac:dyDescent="0.35">
      <c r="A24" s="5" t="str">
        <f>+General!A25</f>
        <v>DANILO</v>
      </c>
      <c r="B24" s="35">
        <f>+General!K25</f>
        <v>0</v>
      </c>
      <c r="C24" s="35">
        <f>+General!L25</f>
        <v>0</v>
      </c>
      <c r="D24" s="35">
        <f>+General!M25</f>
        <v>0</v>
      </c>
    </row>
    <row r="25" spans="1:4" x14ac:dyDescent="0.35">
      <c r="A25" s="5" t="str">
        <f>+General!A26</f>
        <v>ROSSI</v>
      </c>
      <c r="B25" s="35">
        <f>+General!K26</f>
        <v>0</v>
      </c>
      <c r="C25" s="35">
        <f>+General!L26</f>
        <v>0</v>
      </c>
      <c r="D25" s="35">
        <f>+General!M26</f>
        <v>0</v>
      </c>
    </row>
    <row r="26" spans="1:4" x14ac:dyDescent="0.35">
      <c r="A26" s="5" t="str">
        <f>+General!A27</f>
        <v>VARELA</v>
      </c>
      <c r="B26" s="35">
        <f>+General!K27</f>
        <v>0</v>
      </c>
      <c r="C26" s="35">
        <f>+General!L27</f>
        <v>0</v>
      </c>
      <c r="D26" s="35">
        <f>+General!M27</f>
        <v>0</v>
      </c>
    </row>
    <row r="27" spans="1:4" x14ac:dyDescent="0.35">
      <c r="A27" s="5" t="str">
        <f>+General!A28</f>
        <v>LINO</v>
      </c>
      <c r="B27" s="35">
        <f>+General!K28</f>
        <v>0</v>
      </c>
      <c r="C27" s="35">
        <f>+General!L28</f>
        <v>0</v>
      </c>
      <c r="D27" s="35">
        <f>+General!M28</f>
        <v>0</v>
      </c>
    </row>
    <row r="28" spans="1:4" x14ac:dyDescent="0.35">
      <c r="A28" s="5" t="str">
        <f>+General!A29</f>
        <v>ALAN</v>
      </c>
      <c r="B28" s="35">
        <f>+General!K29</f>
        <v>0</v>
      </c>
      <c r="C28" s="35">
        <f>+General!L29</f>
        <v>0</v>
      </c>
      <c r="D28" s="35">
        <f>+General!M29</f>
        <v>0</v>
      </c>
    </row>
    <row r="29" spans="1:4" x14ac:dyDescent="0.35">
      <c r="A29" s="5" t="str">
        <f>+General!A30</f>
        <v>ALEXANDRO</v>
      </c>
      <c r="B29" s="35">
        <f>+General!K30</f>
        <v>0</v>
      </c>
      <c r="C29" s="35">
        <f>+General!L30</f>
        <v>0</v>
      </c>
      <c r="D29" s="35">
        <f>+General!M30</f>
        <v>0</v>
      </c>
    </row>
    <row r="30" spans="1:4" x14ac:dyDescent="0.35">
      <c r="A30" s="5" t="str">
        <f>+General!A31</f>
        <v>FUX</v>
      </c>
      <c r="B30" s="35">
        <f>+General!K31</f>
        <v>0</v>
      </c>
      <c r="C30" s="35">
        <f>+General!L31</f>
        <v>0</v>
      </c>
      <c r="D30" s="35">
        <f>+General!M31</f>
        <v>0</v>
      </c>
    </row>
    <row r="31" spans="1:4" x14ac:dyDescent="0.35">
      <c r="A31" s="5" t="str">
        <f>+General!A32</f>
        <v>JORGINHO</v>
      </c>
      <c r="B31" s="35">
        <f>+General!K32</f>
        <v>0</v>
      </c>
      <c r="C31" s="35">
        <f>+General!L32</f>
        <v>0</v>
      </c>
      <c r="D31" s="35">
        <f>+General!M32</f>
        <v>0</v>
      </c>
    </row>
    <row r="32" spans="1:4" x14ac:dyDescent="0.35">
      <c r="A32" s="5" t="str">
        <f>+General!A33</f>
        <v>PIQUEREZ</v>
      </c>
      <c r="B32" s="35">
        <f>+General!K33</f>
        <v>0</v>
      </c>
      <c r="C32" s="35">
        <f>+General!L33</f>
        <v>0</v>
      </c>
      <c r="D32" s="35">
        <f>+General!M33</f>
        <v>0</v>
      </c>
    </row>
    <row r="33" spans="1:4" x14ac:dyDescent="0.35">
      <c r="A33" s="5" t="str">
        <f>+General!A34</f>
        <v>HERRERA</v>
      </c>
      <c r="B33" s="35">
        <f>+General!K34</f>
        <v>0</v>
      </c>
      <c r="C33" s="35">
        <f>+General!L34</f>
        <v>0</v>
      </c>
      <c r="D33" s="35">
        <f>+General!M34</f>
        <v>0</v>
      </c>
    </row>
    <row r="34" spans="1:4" x14ac:dyDescent="0.35">
      <c r="A34" s="5" t="str">
        <f>+General!A35</f>
        <v>FILIPE LUIS</v>
      </c>
      <c r="B34" s="35">
        <f>+General!K35</f>
        <v>0</v>
      </c>
      <c r="C34" s="35">
        <f>+General!L35</f>
        <v>0</v>
      </c>
      <c r="D34" s="35">
        <f>+General!M35</f>
        <v>0</v>
      </c>
    </row>
    <row r="35" spans="1:4" x14ac:dyDescent="0.35">
      <c r="A35" s="5" t="str">
        <f>+General!A36</f>
        <v>DONALD TRUMP</v>
      </c>
      <c r="B35" s="35">
        <f>+General!K36</f>
        <v>0</v>
      </c>
      <c r="C35" s="35">
        <f>+General!L36</f>
        <v>0</v>
      </c>
      <c r="D35" s="35">
        <f>+General!M36</f>
        <v>0</v>
      </c>
    </row>
    <row r="36" spans="1:4" x14ac:dyDescent="0.35">
      <c r="A36" s="5" t="str">
        <f>+General!A37</f>
        <v>OBAMA</v>
      </c>
      <c r="B36" s="35">
        <f>+General!K37</f>
        <v>0</v>
      </c>
      <c r="C36" s="35">
        <f>+General!L37</f>
        <v>0</v>
      </c>
      <c r="D36" s="35">
        <f>+General!M37</f>
        <v>0</v>
      </c>
    </row>
    <row r="37" spans="1:4" x14ac:dyDescent="0.35">
      <c r="A37" s="5" t="str">
        <f>+General!A38</f>
        <v>GALLARDO</v>
      </c>
      <c r="B37" s="35">
        <f>+General!K38</f>
        <v>0</v>
      </c>
      <c r="C37" s="35">
        <f>+General!L38</f>
        <v>0</v>
      </c>
      <c r="D37" s="35">
        <f>+General!M38</f>
        <v>0</v>
      </c>
    </row>
    <row r="38" spans="1:4" x14ac:dyDescent="0.35">
      <c r="A38" s="5" t="str">
        <f>+General!A39</f>
        <v>CRESPO</v>
      </c>
      <c r="B38" s="35">
        <f>+General!K39</f>
        <v>0</v>
      </c>
      <c r="C38" s="35">
        <f>+General!L39</f>
        <v>0</v>
      </c>
      <c r="D38" s="35">
        <f>+General!M39</f>
        <v>0</v>
      </c>
    </row>
    <row r="39" spans="1:4" x14ac:dyDescent="0.35">
      <c r="A39" s="5" t="str">
        <f>+General!A40</f>
        <v>RONALDINHO</v>
      </c>
      <c r="B39" s="35">
        <f>+General!K40</f>
        <v>0</v>
      </c>
      <c r="C39" s="35">
        <f>+General!L40</f>
        <v>0</v>
      </c>
      <c r="D39" s="35">
        <f>+General!M40</f>
        <v>0</v>
      </c>
    </row>
    <row r="40" spans="1:4" x14ac:dyDescent="0.35">
      <c r="A40" s="5" t="str">
        <f>+General!A41</f>
        <v>NEYMAR</v>
      </c>
      <c r="B40" s="35">
        <f>+General!K41</f>
        <v>0</v>
      </c>
      <c r="C40" s="35">
        <f>+General!L41</f>
        <v>0</v>
      </c>
      <c r="D40" s="35">
        <f>+General!M41</f>
        <v>0</v>
      </c>
    </row>
    <row r="41" spans="1:4" x14ac:dyDescent="0.35">
      <c r="A41" s="5" t="str">
        <f>+General!A42</f>
        <v>LEONEL MESSI</v>
      </c>
      <c r="B41" s="35">
        <f>+General!K42</f>
        <v>0</v>
      </c>
      <c r="C41" s="35">
        <f>+General!L42</f>
        <v>0</v>
      </c>
      <c r="D41" s="35">
        <f>+General!M42</f>
        <v>0</v>
      </c>
    </row>
    <row r="42" spans="1:4" x14ac:dyDescent="0.35">
      <c r="A42" s="5" t="str">
        <f>+General!A43</f>
        <v>CRISTIANO RONALDO</v>
      </c>
      <c r="B42" s="35">
        <f>+General!K43</f>
        <v>0</v>
      </c>
      <c r="C42" s="35">
        <f>+General!L43</f>
        <v>0</v>
      </c>
      <c r="D42" s="35">
        <f>+General!M43</f>
        <v>0</v>
      </c>
    </row>
    <row r="43" spans="1:4" x14ac:dyDescent="0.35">
      <c r="A43" s="5" t="str">
        <f>+General!A44</f>
        <v>RODRIGO DE PAUL</v>
      </c>
      <c r="B43" s="35">
        <f>+General!K44</f>
        <v>0</v>
      </c>
      <c r="C43" s="35">
        <f>+General!L44</f>
        <v>0</v>
      </c>
      <c r="D43" s="35">
        <f>+General!M44</f>
        <v>0</v>
      </c>
    </row>
    <row r="44" spans="1:4" x14ac:dyDescent="0.35">
      <c r="A44" s="5" t="str">
        <f>+General!A45</f>
        <v>CHIQUI TAPIA</v>
      </c>
      <c r="B44" s="35">
        <f>+General!K45</f>
        <v>0</v>
      </c>
      <c r="C44" s="35">
        <f>+General!L45</f>
        <v>0</v>
      </c>
      <c r="D44" s="35">
        <f>+General!M45</f>
        <v>0</v>
      </c>
    </row>
    <row r="45" spans="1:4" x14ac:dyDescent="0.35">
      <c r="A45" s="5" t="str">
        <f>+General!A46</f>
        <v>DIBU MARTINEZ</v>
      </c>
      <c r="B45" s="35">
        <f>+General!K46</f>
        <v>0</v>
      </c>
      <c r="C45" s="35">
        <f>+General!L46</f>
        <v>0</v>
      </c>
      <c r="D45" s="35">
        <f>+General!M46</f>
        <v>0</v>
      </c>
    </row>
    <row r="46" spans="1:4" x14ac:dyDescent="0.35">
      <c r="A46" s="5" t="str">
        <f>+General!A47</f>
        <v>CUTI ROMERO</v>
      </c>
      <c r="B46" s="35">
        <f>+General!K47</f>
        <v>0</v>
      </c>
      <c r="C46" s="35">
        <f>+General!L47</f>
        <v>0</v>
      </c>
      <c r="D46" s="35">
        <f>+General!M47</f>
        <v>0</v>
      </c>
    </row>
    <row r="47" spans="1:4" x14ac:dyDescent="0.35">
      <c r="A47" s="5" t="str">
        <f>+General!A48</f>
        <v>PEPI ZAPATA</v>
      </c>
      <c r="B47" s="35">
        <f>+General!K48</f>
        <v>0</v>
      </c>
      <c r="C47" s="35">
        <f>+General!L48</f>
        <v>0</v>
      </c>
      <c r="D47" s="35">
        <f>+General!M48</f>
        <v>0</v>
      </c>
    </row>
    <row r="48" spans="1:4" x14ac:dyDescent="0.35">
      <c r="A48" s="5" t="str">
        <f>+General!A49</f>
        <v>TANO VELA</v>
      </c>
      <c r="B48" s="35">
        <f>+General!K49</f>
        <v>0</v>
      </c>
      <c r="C48" s="35">
        <f>+General!L49</f>
        <v>0</v>
      </c>
      <c r="D48" s="35">
        <f>+General!M49</f>
        <v>0</v>
      </c>
    </row>
    <row r="49" spans="1:4" x14ac:dyDescent="0.35">
      <c r="A49" s="5" t="str">
        <f>+General!A50</f>
        <v>JULIAN MAIDANA</v>
      </c>
      <c r="B49" s="35">
        <f>+General!K50</f>
        <v>0</v>
      </c>
      <c r="C49" s="35">
        <f>+General!L50</f>
        <v>0</v>
      </c>
      <c r="D49" s="35">
        <f>+General!M50</f>
        <v>0</v>
      </c>
    </row>
    <row r="50" spans="1:4" x14ac:dyDescent="0.35">
      <c r="A50" s="5" t="str">
        <f>+General!A51</f>
        <v>FERNANDO BELLUSCHI</v>
      </c>
      <c r="B50" s="35">
        <f>+General!K51</f>
        <v>0</v>
      </c>
      <c r="C50" s="35">
        <f>+General!L51</f>
        <v>0</v>
      </c>
      <c r="D50" s="35">
        <f>+General!M51</f>
        <v>0</v>
      </c>
    </row>
    <row r="51" spans="1:4" x14ac:dyDescent="0.35">
      <c r="A51" s="5" t="str">
        <f>+General!A52</f>
        <v>BOMBON ROSADA</v>
      </c>
      <c r="B51" s="35">
        <f>+General!K52</f>
        <v>0</v>
      </c>
      <c r="C51" s="35">
        <f>+General!L52</f>
        <v>0</v>
      </c>
      <c r="D51" s="35">
        <f>+General!M52</f>
        <v>0</v>
      </c>
    </row>
    <row r="52" spans="1:4" x14ac:dyDescent="0.35">
      <c r="A52" s="5" t="str">
        <f>+General!A53</f>
        <v>RUBEN CAPRIA</v>
      </c>
      <c r="B52" s="35">
        <f>+General!K53</f>
        <v>0</v>
      </c>
      <c r="C52" s="35">
        <f>+General!L53</f>
        <v>0</v>
      </c>
      <c r="D52" s="35">
        <f>+General!M53</f>
        <v>0</v>
      </c>
    </row>
    <row r="53" spans="1:4" x14ac:dyDescent="0.35">
      <c r="A53" s="5" t="str">
        <f>+General!A54</f>
        <v>IGNACIO SCOCCO</v>
      </c>
      <c r="B53" s="35">
        <f>+General!K54</f>
        <v>0</v>
      </c>
      <c r="C53" s="35">
        <f>+General!L54</f>
        <v>0</v>
      </c>
      <c r="D53" s="35">
        <f>+General!M54</f>
        <v>0</v>
      </c>
    </row>
    <row r="54" spans="1:4" x14ac:dyDescent="0.35">
      <c r="A54" s="5" t="str">
        <f>+General!A55</f>
        <v>MEMO BORGUELO</v>
      </c>
      <c r="B54" s="35">
        <f>+General!K55</f>
        <v>0</v>
      </c>
      <c r="C54" s="35">
        <f>+General!L55</f>
        <v>0</v>
      </c>
      <c r="D54" s="35">
        <f>+General!M55</f>
        <v>0</v>
      </c>
    </row>
    <row r="55" spans="1:4" x14ac:dyDescent="0.35">
      <c r="A55" s="5" t="str">
        <f>+General!A56</f>
        <v>JUSTO VILLAR</v>
      </c>
      <c r="B55" s="35">
        <f>+General!K56</f>
        <v>0</v>
      </c>
      <c r="C55" s="35">
        <f>+General!L56</f>
        <v>0</v>
      </c>
      <c r="D55" s="35">
        <f>+General!M56</f>
        <v>0</v>
      </c>
    </row>
    <row r="56" spans="1:4" x14ac:dyDescent="0.35">
      <c r="A56" s="5" t="str">
        <f>+General!A57</f>
        <v>GERMAN RE</v>
      </c>
      <c r="B56" s="35">
        <f>+General!K57</f>
        <v>0</v>
      </c>
      <c r="C56" s="35">
        <f>+General!L57</f>
        <v>0</v>
      </c>
      <c r="D56" s="35">
        <f>+General!M57</f>
        <v>0</v>
      </c>
    </row>
    <row r="57" spans="1:4" x14ac:dyDescent="0.35">
      <c r="A57" s="5" t="str">
        <f>+General!A58</f>
        <v>GUILLERMO MARINO</v>
      </c>
      <c r="B57" s="35">
        <f>+General!K58</f>
        <v>0</v>
      </c>
      <c r="C57" s="35">
        <f>+General!L58</f>
        <v>0</v>
      </c>
      <c r="D57" s="35">
        <f>+General!M58</f>
        <v>0</v>
      </c>
    </row>
    <row r="58" spans="1:4" x14ac:dyDescent="0.35">
      <c r="A58" s="5" t="str">
        <f>+General!A59</f>
        <v>SANTIAGO SALCEDO</v>
      </c>
      <c r="B58" s="35">
        <f>+General!K59</f>
        <v>0</v>
      </c>
      <c r="C58" s="35">
        <f>+General!L59</f>
        <v>0</v>
      </c>
      <c r="D58" s="35">
        <f>+General!M59</f>
        <v>0</v>
      </c>
    </row>
    <row r="59" spans="1:4" x14ac:dyDescent="0.35">
      <c r="A59" s="5" t="str">
        <f>+General!A60</f>
        <v>TACUARA CARDOZO</v>
      </c>
      <c r="B59" s="35">
        <f>+General!K60</f>
        <v>0</v>
      </c>
      <c r="C59" s="35">
        <f>+General!L60</f>
        <v>0</v>
      </c>
      <c r="D59" s="35">
        <f>+General!M60</f>
        <v>0</v>
      </c>
    </row>
    <row r="60" spans="1:4" x14ac:dyDescent="0.35">
      <c r="A60" s="5" t="str">
        <f>+General!A61</f>
        <v>ESCOPETA BOGHOSSIAN</v>
      </c>
      <c r="B60" s="35">
        <f>+General!K61</f>
        <v>0</v>
      </c>
      <c r="C60" s="35">
        <f>+General!L61</f>
        <v>0</v>
      </c>
      <c r="D60" s="35">
        <f>+General!M61</f>
        <v>0</v>
      </c>
    </row>
    <row r="61" spans="1:4" x14ac:dyDescent="0.35">
      <c r="A61" s="5" t="str">
        <f>+General!A62</f>
        <v>DAMIAN MANSO</v>
      </c>
      <c r="B61" s="35">
        <f>+General!K62</f>
        <v>0</v>
      </c>
      <c r="C61" s="35">
        <f>+General!L62</f>
        <v>0</v>
      </c>
      <c r="D61" s="35">
        <f>+General!M62</f>
        <v>0</v>
      </c>
    </row>
    <row r="62" spans="1:4" x14ac:dyDescent="0.35">
      <c r="A62" s="5" t="str">
        <f>+General!A63</f>
        <v>MAURO ROSALES</v>
      </c>
      <c r="B62" s="35">
        <f>+General!K63</f>
        <v>0</v>
      </c>
      <c r="C62" s="35">
        <f>+General!L63</f>
        <v>0</v>
      </c>
      <c r="D62" s="35">
        <f>+General!M63</f>
        <v>0</v>
      </c>
    </row>
    <row r="63" spans="1:4" x14ac:dyDescent="0.35">
      <c r="A63" s="5" t="str">
        <f>+General!A64</f>
        <v>TURCO HUSAIN</v>
      </c>
      <c r="B63" s="35">
        <f>+General!K64</f>
        <v>0</v>
      </c>
      <c r="C63" s="35">
        <f>+General!L64</f>
        <v>0</v>
      </c>
      <c r="D63" s="35">
        <f>+General!M64</f>
        <v>0</v>
      </c>
    </row>
    <row r="64" spans="1:4" x14ac:dyDescent="0.35">
      <c r="A64" s="5" t="str">
        <f>+General!A65</f>
        <v>LUCAS BERNARDI</v>
      </c>
      <c r="B64" s="35">
        <f>+General!K65</f>
        <v>0</v>
      </c>
      <c r="C64" s="35">
        <f>+General!L65</f>
        <v>0</v>
      </c>
      <c r="D64" s="35">
        <f>+General!M65</f>
        <v>0</v>
      </c>
    </row>
    <row r="65" spans="1:4" x14ac:dyDescent="0.35">
      <c r="A65" s="5" t="str">
        <f>+General!A66</f>
        <v>POMELO MATEO</v>
      </c>
      <c r="B65" s="35">
        <f>+General!K66</f>
        <v>0</v>
      </c>
      <c r="C65" s="35">
        <f>+General!L66</f>
        <v>0</v>
      </c>
      <c r="D65" s="35">
        <f>+General!M66</f>
        <v>0</v>
      </c>
    </row>
    <row r="66" spans="1:4" x14ac:dyDescent="0.35">
      <c r="A66" s="5" t="str">
        <f>+General!A67</f>
        <v>BURRITO ORTEGA</v>
      </c>
      <c r="B66" s="35">
        <f>+General!K67</f>
        <v>0</v>
      </c>
      <c r="C66" s="35">
        <f>+General!L67</f>
        <v>0</v>
      </c>
      <c r="D66" s="35">
        <f>+General!M67</f>
        <v>0</v>
      </c>
    </row>
    <row r="67" spans="1:4" x14ac:dyDescent="0.35">
      <c r="A67" s="5" t="str">
        <f>+General!A68</f>
        <v>MAXI RODRIGUEZ</v>
      </c>
      <c r="B67" s="35">
        <f>+General!K68</f>
        <v>0</v>
      </c>
      <c r="C67" s="35">
        <f>+General!L68</f>
        <v>0</v>
      </c>
      <c r="D67" s="35">
        <f>+General!M68</f>
        <v>0</v>
      </c>
    </row>
    <row r="68" spans="1:4" x14ac:dyDescent="0.35">
      <c r="A68" s="5" t="str">
        <f>+General!A69</f>
        <v>MILTON CASCO</v>
      </c>
      <c r="B68" s="35">
        <f>+General!K69</f>
        <v>0</v>
      </c>
      <c r="C68" s="35">
        <f>+General!L69</f>
        <v>0</v>
      </c>
      <c r="D68" s="35">
        <f>+General!M69</f>
        <v>0</v>
      </c>
    </row>
    <row r="69" spans="1:4" x14ac:dyDescent="0.35">
      <c r="A69" s="5" t="str">
        <f>+General!A70</f>
        <v>PATON GUZMAN</v>
      </c>
      <c r="B69" s="35">
        <f>+General!K70</f>
        <v>0</v>
      </c>
      <c r="C69" s="35">
        <f>+General!L70</f>
        <v>0</v>
      </c>
      <c r="D69" s="35">
        <f>+General!M70</f>
        <v>0</v>
      </c>
    </row>
    <row r="70" spans="1:4" x14ac:dyDescent="0.35">
      <c r="A70" s="5" t="str">
        <f>+General!A71</f>
        <v>PIRI VANGIONI</v>
      </c>
      <c r="B70" s="35">
        <f>+General!K71</f>
        <v>0</v>
      </c>
      <c r="C70" s="35">
        <f>+General!L71</f>
        <v>0</v>
      </c>
      <c r="D70" s="35">
        <f>+General!M71</f>
        <v>0</v>
      </c>
    </row>
    <row r="71" spans="1:4" x14ac:dyDescent="0.35">
      <c r="A71" s="5" t="str">
        <f>+General!A72</f>
        <v>TATA MARTINO</v>
      </c>
      <c r="B71" s="35">
        <f>+General!K72</f>
        <v>0</v>
      </c>
      <c r="C71" s="35">
        <f>+General!L72</f>
        <v>0</v>
      </c>
      <c r="D71" s="35">
        <f>+General!M72</f>
        <v>0</v>
      </c>
    </row>
    <row r="72" spans="1:4" x14ac:dyDescent="0.35">
      <c r="A72" s="5" t="str">
        <f>+General!A73</f>
        <v>MARCELO BIELSA</v>
      </c>
      <c r="B72" s="35">
        <f>+General!K73</f>
        <v>0</v>
      </c>
      <c r="C72" s="35">
        <f>+General!L73</f>
        <v>0</v>
      </c>
      <c r="D72" s="35">
        <f>+General!M73</f>
        <v>0</v>
      </c>
    </row>
    <row r="73" spans="1:4" x14ac:dyDescent="0.35">
      <c r="A73" s="5" t="str">
        <f>+General!A74</f>
        <v>DIEGO ARMANDO MARADONA</v>
      </c>
      <c r="B73" s="35">
        <f>+General!K74</f>
        <v>0</v>
      </c>
      <c r="C73" s="35">
        <f>+General!L74</f>
        <v>0</v>
      </c>
      <c r="D73" s="35">
        <f>+General!M74</f>
        <v>0</v>
      </c>
    </row>
    <row r="74" spans="1:4" x14ac:dyDescent="0.35">
      <c r="A74" s="5" t="str">
        <f>+General!A75</f>
        <v>COLOSO DEL PARQUE</v>
      </c>
      <c r="B74" s="35">
        <f>+General!K75</f>
        <v>0</v>
      </c>
      <c r="C74" s="35">
        <f>+General!L75</f>
        <v>0</v>
      </c>
      <c r="D74" s="35">
        <f>+General!M75</f>
        <v>0</v>
      </c>
    </row>
    <row r="75" spans="1:4" x14ac:dyDescent="0.35">
      <c r="A75" s="5" t="str">
        <f>+General!A76</f>
        <v>QATAR</v>
      </c>
      <c r="B75" s="35">
        <f>+General!K76</f>
        <v>0</v>
      </c>
      <c r="C75" s="35">
        <f>+General!L76</f>
        <v>0</v>
      </c>
      <c r="D75" s="35">
        <f>+General!M76</f>
        <v>0</v>
      </c>
    </row>
    <row r="76" spans="1:4" x14ac:dyDescent="0.35">
      <c r="A76" s="5" t="str">
        <f>+General!A77</f>
        <v>CAMPEONES DEL MUNDO</v>
      </c>
      <c r="B76" s="35">
        <f>+General!K77</f>
        <v>0</v>
      </c>
      <c r="C76" s="35">
        <f>+General!L77</f>
        <v>0</v>
      </c>
      <c r="D76" s="35">
        <f>+General!M77</f>
        <v>0</v>
      </c>
    </row>
    <row r="77" spans="1:4" x14ac:dyDescent="0.35">
      <c r="A77" s="5" t="str">
        <f>+General!A78</f>
        <v>KUOLO MUANI</v>
      </c>
      <c r="B77" s="35">
        <f>+General!K78</f>
        <v>0</v>
      </c>
      <c r="C77" s="35">
        <f>+General!L78</f>
        <v>0</v>
      </c>
      <c r="D77" s="35">
        <f>+General!M78</f>
        <v>0</v>
      </c>
    </row>
    <row r="78" spans="1:4" x14ac:dyDescent="0.35">
      <c r="A78" s="5"/>
    </row>
    <row r="79" spans="1:4" x14ac:dyDescent="0.35">
      <c r="A79" s="15" t="s">
        <v>0</v>
      </c>
    </row>
    <row r="80" spans="1:4" x14ac:dyDescent="0.35">
      <c r="A80" s="16" t="s">
        <v>3</v>
      </c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1" spans="1:1" x14ac:dyDescent="0.35">
      <c r="A111" s="5"/>
    </row>
    <row r="112" spans="1:1" x14ac:dyDescent="0.35">
      <c r="A112" s="5"/>
    </row>
    <row r="114" spans="1:1" x14ac:dyDescent="0.35">
      <c r="A114" s="5"/>
    </row>
    <row r="115" spans="1:1" x14ac:dyDescent="0.35">
      <c r="A115" s="5"/>
    </row>
  </sheetData>
  <conditionalFormatting sqref="A2:A77">
    <cfRule type="duplicateValues" dxfId="26" priority="100"/>
  </conditionalFormatting>
  <conditionalFormatting sqref="A78">
    <cfRule type="duplicateValues" dxfId="25" priority="1"/>
    <cfRule type="duplicateValues" dxfId="24" priority="2"/>
  </conditionalFormatting>
  <conditionalFormatting sqref="A79:A1048576 A1:A77">
    <cfRule type="duplicateValues" dxfId="23" priority="5"/>
  </conditionalFormatting>
  <conditionalFormatting sqref="A79:A1048576">
    <cfRule type="duplicateValues" dxfId="22" priority="3"/>
    <cfRule type="duplicateValues" dxfId="21" priority="4"/>
    <cfRule type="duplicateValues" dxfId="20" priority="9"/>
  </conditionalFormatting>
  <conditionalFormatting sqref="A80">
    <cfRule type="duplicateValues" dxfId="19" priority="7"/>
  </conditionalFormatting>
  <conditionalFormatting sqref="A82:A126">
    <cfRule type="duplicateValues" dxfId="18" priority="6"/>
  </conditionalFormatting>
  <conditionalFormatting sqref="A127:A1048576 A79:A81 A1:A77">
    <cfRule type="duplicateValues" dxfId="17" priority="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73E2-230F-4DD7-8F3C-125F4092ECA2}">
  <sheetPr filterMode="1"/>
  <dimension ref="A1:D116"/>
  <sheetViews>
    <sheetView topLeftCell="A41" workbookViewId="0">
      <selection activeCell="C80" sqref="C80"/>
    </sheetView>
  </sheetViews>
  <sheetFormatPr baseColWidth="10" defaultRowHeight="14.5" x14ac:dyDescent="0.35"/>
  <cols>
    <col min="1" max="1" width="53.453125" customWidth="1"/>
  </cols>
  <sheetData>
    <row r="1" spans="1:4" x14ac:dyDescent="0.35">
      <c r="A1" s="26" t="s">
        <v>2</v>
      </c>
      <c r="B1" s="34">
        <f>+General!O2</f>
        <v>45870</v>
      </c>
      <c r="C1" s="34">
        <f>+General!P2</f>
        <v>45901</v>
      </c>
      <c r="D1" s="34">
        <f>+General!Q2</f>
        <v>45931</v>
      </c>
    </row>
    <row r="2" spans="1:4" x14ac:dyDescent="0.35">
      <c r="A2" s="5" t="str">
        <f>+General!A3</f>
        <v>ARGENTINA</v>
      </c>
      <c r="B2" s="1">
        <f>+VLOOKUP(A2,General!$A$3:$Q$79,15,FALSE)</f>
        <v>722252.39349624666</v>
      </c>
      <c r="C2" s="1">
        <f>+VLOOKUP(A2,General!$A$3:$Q$79,16,FALSE)</f>
        <v>54159</v>
      </c>
      <c r="D2" s="1">
        <f>+VLOOKUP(A2,General!$A$3:$Q$79,17,FALSE)</f>
        <v>874386.78</v>
      </c>
    </row>
    <row r="3" spans="1:4" x14ac:dyDescent="0.35">
      <c r="A3" s="5" t="str">
        <f>+General!A4</f>
        <v>BRASIL</v>
      </c>
      <c r="B3" s="1">
        <f>+VLOOKUP(A3,General!$A$3:$Q$79,15,FALSE)</f>
        <v>26092</v>
      </c>
      <c r="C3" s="1">
        <f>+VLOOKUP(A3,General!$A$3:$Q$79,16,FALSE)</f>
        <v>244373.86</v>
      </c>
      <c r="D3" s="1">
        <f>+VLOOKUP(A3,General!$A$3:$Q$79,17,FALSE)</f>
        <v>852521.78</v>
      </c>
    </row>
    <row r="4" spans="1:4" x14ac:dyDescent="0.35">
      <c r="A4" s="5" t="str">
        <f>+General!A5</f>
        <v>PALMEIRAS</v>
      </c>
      <c r="B4" s="1">
        <f>+VLOOKUP(A4,General!$A$3:$Q$79,15,FALSE)</f>
        <v>1027170.5405857331</v>
      </c>
      <c r="C4" s="1">
        <f>+VLOOKUP(A4,General!$A$3:$Q$79,16,FALSE)</f>
        <v>197919.06</v>
      </c>
      <c r="D4" s="1">
        <f>+VLOOKUP(A4,General!$A$3:$Q$79,17,FALSE)</f>
        <v>558901.72</v>
      </c>
    </row>
    <row r="5" spans="1:4" x14ac:dyDescent="0.35">
      <c r="A5" s="5" t="str">
        <f>+General!A6</f>
        <v>FLAMENGO</v>
      </c>
      <c r="B5" s="1">
        <f>+VLOOKUP(A5,General!$A$3:$Q$79,15,FALSE)</f>
        <v>1373360.431039474</v>
      </c>
      <c r="C5" s="1">
        <f>+VLOOKUP(A5,General!$A$3:$Q$79,16,FALSE)</f>
        <v>80303.259999999995</v>
      </c>
      <c r="D5" s="1">
        <f>+VLOOKUP(A5,General!$A$3:$Q$79,17,FALSE)</f>
        <v>-893959.74</v>
      </c>
    </row>
    <row r="6" spans="1:4" x14ac:dyDescent="0.35">
      <c r="A6" s="5" t="str">
        <f>+General!A7</f>
        <v>LIMA</v>
      </c>
      <c r="B6" s="1">
        <f>+VLOOKUP(A6,General!$A$3:$Q$79,15,FALSE)</f>
        <v>0</v>
      </c>
      <c r="C6" s="1">
        <f>+VLOOKUP(A6,General!$A$3:$Q$79,16,FALSE)</f>
        <v>42202.7</v>
      </c>
      <c r="D6" s="1">
        <f>+VLOOKUP(A6,General!$A$3:$Q$79,17,FALSE)</f>
        <v>117711.71</v>
      </c>
    </row>
    <row r="7" spans="1:4" hidden="1" x14ac:dyDescent="0.35">
      <c r="A7" s="5" t="str">
        <f>+General!A8</f>
        <v>PERU</v>
      </c>
      <c r="B7" s="1">
        <f>+VLOOKUP(A7,General!$A$3:$Q$79,15,FALSE)</f>
        <v>39150.799999999996</v>
      </c>
      <c r="C7" s="1">
        <f>+VLOOKUP(A7,General!$A$3:$Q$79,16,FALSE)</f>
        <v>13582.7</v>
      </c>
      <c r="D7" s="1">
        <f>+VLOOKUP(A7,General!$A$3:$Q$79,17,FALSE)</f>
        <v>28209.4</v>
      </c>
    </row>
    <row r="8" spans="1:4" hidden="1" x14ac:dyDescent="0.35">
      <c r="A8" s="5" t="str">
        <f>+General!A9</f>
        <v>VITOR ROQUE</v>
      </c>
      <c r="B8" s="1">
        <f>+VLOOKUP(A8,General!$A$3:$Q$79,15,FALSE)</f>
        <v>64724.850320553422</v>
      </c>
      <c r="C8" s="1">
        <f>+VLOOKUP(A8,General!$A$3:$Q$79,16,FALSE)</f>
        <v>2088182.42</v>
      </c>
      <c r="D8" s="1">
        <f>+VLOOKUP(A8,General!$A$3:$Q$79,17,FALSE)</f>
        <v>-904332.21</v>
      </c>
    </row>
    <row r="9" spans="1:4" x14ac:dyDescent="0.35">
      <c r="A9" s="5" t="str">
        <f>+General!A10</f>
        <v>MENGAO</v>
      </c>
      <c r="B9" s="1">
        <f>+VLOOKUP(A9,General!$A$3:$Q$79,15,FALSE)</f>
        <v>52353.600000000006</v>
      </c>
      <c r="C9" s="1">
        <f>+VLOOKUP(A9,General!$A$3:$Q$79,16,FALSE)</f>
        <v>122692.52</v>
      </c>
      <c r="D9" s="1">
        <f>+VLOOKUP(A9,General!$A$3:$Q$79,17,FALSE)</f>
        <v>58547.5</v>
      </c>
    </row>
    <row r="10" spans="1:4" x14ac:dyDescent="0.35">
      <c r="A10" s="5" t="str">
        <f>+General!A11</f>
        <v>PAULISTA</v>
      </c>
      <c r="B10" s="1">
        <f>+VLOOKUP(A10,General!$A$3:$Q$79,15,FALSE)</f>
        <v>0</v>
      </c>
      <c r="C10" s="1">
        <f>+VLOOKUP(A10,General!$A$3:$Q$79,16,FALSE)</f>
        <v>0</v>
      </c>
      <c r="D10" s="1">
        <f>+VLOOKUP(A10,General!$A$3:$Q$79,17,FALSE)</f>
        <v>0</v>
      </c>
    </row>
    <row r="11" spans="1:4" x14ac:dyDescent="0.35">
      <c r="A11" s="5" t="str">
        <f>+General!A12</f>
        <v>CARIOCAS</v>
      </c>
      <c r="B11" s="1">
        <f>+VLOOKUP(A11,General!$A$3:$Q$79,15,FALSE)</f>
        <v>0</v>
      </c>
      <c r="C11" s="1">
        <f>+VLOOKUP(A11,General!$A$3:$Q$79,16,FALSE)</f>
        <v>14349.2</v>
      </c>
      <c r="D11" s="1">
        <f>+VLOOKUP(A11,General!$A$3:$Q$79,17,FALSE)</f>
        <v>0</v>
      </c>
    </row>
    <row r="12" spans="1:4" x14ac:dyDescent="0.35">
      <c r="A12" s="5" t="str">
        <f>+General!A13</f>
        <v>BRUNO ENRIQUE</v>
      </c>
      <c r="B12" s="1">
        <f>+VLOOKUP(A12,General!$A$3:$Q$79,15,FALSE)</f>
        <v>0</v>
      </c>
      <c r="C12" s="1">
        <f>+VLOOKUP(A12,General!$A$3:$Q$79,16,FALSE)</f>
        <v>79493.78</v>
      </c>
      <c r="D12" s="1">
        <f>+VLOOKUP(A12,General!$A$3:$Q$79,17,FALSE)</f>
        <v>14988.1</v>
      </c>
    </row>
    <row r="13" spans="1:4" hidden="1" x14ac:dyDescent="0.35">
      <c r="A13" s="5" t="str">
        <f>+General!A14</f>
        <v>FLACO LOPEZ</v>
      </c>
      <c r="B13" s="1">
        <f>+VLOOKUP(A13,General!$A$3:$Q$79,15,FALSE)</f>
        <v>0</v>
      </c>
      <c r="C13" s="1">
        <f>+VLOOKUP(A13,General!$A$3:$Q$79,16,FALSE)</f>
        <v>12970.2</v>
      </c>
      <c r="D13" s="1">
        <f>+VLOOKUP(A13,General!$A$3:$Q$79,17,FALSE)</f>
        <v>78687.55</v>
      </c>
    </row>
    <row r="14" spans="1:4" x14ac:dyDescent="0.35">
      <c r="A14" s="5" t="str">
        <f>+General!A15</f>
        <v>DE ARRASCAETA</v>
      </c>
      <c r="B14" s="1">
        <f>+VLOOKUP(A14,General!$A$3:$Q$79,15,FALSE)</f>
        <v>0</v>
      </c>
      <c r="C14" s="1">
        <f>+VLOOKUP(A14,General!$A$3:$Q$79,16,FALSE)</f>
        <v>0</v>
      </c>
      <c r="D14" s="1">
        <f>+VLOOKUP(A14,General!$A$3:$Q$79,17,FALSE)</f>
        <v>0</v>
      </c>
    </row>
    <row r="15" spans="1:4" x14ac:dyDescent="0.35">
      <c r="A15" s="5" t="str">
        <f>+General!A16</f>
        <v>GUSTAVO GOMEZ</v>
      </c>
      <c r="B15" s="1">
        <f>+VLOOKUP(A15,General!$A$3:$Q$79,15,FALSE)</f>
        <v>218515.03816441644</v>
      </c>
      <c r="C15" s="1">
        <f>+VLOOKUP(A15,General!$A$3:$Q$79,16,FALSE)</f>
        <v>27156.1</v>
      </c>
      <c r="D15" s="1">
        <f>+VLOOKUP(A15,General!$A$3:$Q$79,17,FALSE)</f>
        <v>58098.9</v>
      </c>
    </row>
    <row r="16" spans="1:4" x14ac:dyDescent="0.35">
      <c r="A16" s="5" t="str">
        <f>+General!A17</f>
        <v>MUNILO</v>
      </c>
      <c r="B16" s="1">
        <f>+VLOOKUP(A16,General!$A$3:$Q$79,15,FALSE)</f>
        <v>38527.628819621918</v>
      </c>
      <c r="C16" s="1">
        <f>+VLOOKUP(A16,General!$A$3:$Q$79,16,FALSE)</f>
        <v>29398.54</v>
      </c>
      <c r="D16" s="1">
        <f>+VLOOKUP(A16,General!$A$3:$Q$79,17,FALSE)</f>
        <v>113360.17</v>
      </c>
    </row>
    <row r="17" spans="1:4" hidden="1" x14ac:dyDescent="0.35">
      <c r="A17" s="5" t="str">
        <f>+General!A18</f>
        <v>CARLOS MIGUEL</v>
      </c>
      <c r="B17" s="1">
        <f>+VLOOKUP(A17,General!$A$3:$Q$79,15,FALSE)</f>
        <v>0</v>
      </c>
      <c r="C17" s="1">
        <f>+VLOOKUP(A17,General!$A$3:$Q$79,16,FALSE)</f>
        <v>0</v>
      </c>
      <c r="D17" s="1">
        <f>+VLOOKUP(A17,General!$A$3:$Q$79,17,FALSE)</f>
        <v>0</v>
      </c>
    </row>
    <row r="18" spans="1:4" x14ac:dyDescent="0.35">
      <c r="A18" s="5" t="str">
        <f>+General!A19</f>
        <v>FELIPE MELO</v>
      </c>
      <c r="B18" s="1">
        <f>+VLOOKUP(A18,General!$A$3:$Q$79,15,FALSE)</f>
        <v>0</v>
      </c>
      <c r="C18" s="1">
        <f>+VLOOKUP(A18,General!$A$3:$Q$79,16,FALSE)</f>
        <v>13783.1</v>
      </c>
      <c r="D18" s="1">
        <f>+VLOOKUP(A18,General!$A$3:$Q$79,17,FALSE)</f>
        <v>15000</v>
      </c>
    </row>
    <row r="19" spans="1:4" x14ac:dyDescent="0.35">
      <c r="A19" s="5" t="str">
        <f>+General!A20</f>
        <v>CARLES PUYOL</v>
      </c>
      <c r="B19" s="1">
        <f>+VLOOKUP(A19,General!$A$3:$Q$79,15,FALSE)</f>
        <v>0</v>
      </c>
      <c r="C19" s="1">
        <f>+VLOOKUP(A19,General!$A$3:$Q$79,16,FALSE)</f>
        <v>495459.34</v>
      </c>
      <c r="D19" s="1">
        <f>+VLOOKUP(A19,General!$A$3:$Q$79,17,FALSE)</f>
        <v>0</v>
      </c>
    </row>
    <row r="20" spans="1:4" x14ac:dyDescent="0.35">
      <c r="A20" s="5" t="str">
        <f>+General!A21</f>
        <v>CARRASCAL</v>
      </c>
      <c r="B20" s="1">
        <f>+VLOOKUP(A20,General!$A$3:$Q$79,15,FALSE)</f>
        <v>0</v>
      </c>
      <c r="C20" s="1">
        <f>+VLOOKUP(A20,General!$A$3:$Q$79,16,FALSE)</f>
        <v>0</v>
      </c>
      <c r="D20" s="1">
        <f>+VLOOKUP(A20,General!$A$3:$Q$79,17,FALSE)</f>
        <v>116701.84</v>
      </c>
    </row>
    <row r="21" spans="1:4" x14ac:dyDescent="0.35">
      <c r="A21" s="5" t="str">
        <f>+General!A22</f>
        <v>PULGAR</v>
      </c>
      <c r="B21" s="1">
        <f>+VLOOKUP(A21,General!$A$3:$Q$79,15,FALSE)</f>
        <v>55305.553395731506</v>
      </c>
      <c r="C21" s="1">
        <f>+VLOOKUP(A21,General!$A$3:$Q$79,16,FALSE)</f>
        <v>101824.07</v>
      </c>
      <c r="D21" s="1">
        <f>+VLOOKUP(A21,General!$A$3:$Q$79,17,FALSE)</f>
        <v>0</v>
      </c>
    </row>
    <row r="22" spans="1:4" x14ac:dyDescent="0.35">
      <c r="A22" s="5" t="str">
        <f>+General!A23</f>
        <v>PEREIRA</v>
      </c>
      <c r="B22" s="1">
        <f>+VLOOKUP(A22,General!$A$3:$Q$79,15,FALSE)</f>
        <v>0</v>
      </c>
      <c r="C22" s="1">
        <f>+VLOOKUP(A22,General!$A$3:$Q$79,16,FALSE)</f>
        <v>13524.6</v>
      </c>
      <c r="D22" s="1">
        <f>+VLOOKUP(A22,General!$A$3:$Q$79,17,FALSE)</f>
        <v>0</v>
      </c>
    </row>
    <row r="23" spans="1:4" x14ac:dyDescent="0.35">
      <c r="A23" s="5" t="str">
        <f>+General!A24</f>
        <v>RAMON SOSA</v>
      </c>
      <c r="B23" s="1">
        <f>+VLOOKUP(A23,General!$A$3:$Q$79,15,FALSE)</f>
        <v>0</v>
      </c>
      <c r="C23" s="1">
        <f>+VLOOKUP(A23,General!$A$3:$Q$79,16,FALSE)</f>
        <v>0</v>
      </c>
      <c r="D23" s="1">
        <f>+VLOOKUP(A23,General!$A$3:$Q$79,17,FALSE)</f>
        <v>0</v>
      </c>
    </row>
    <row r="24" spans="1:4" hidden="1" x14ac:dyDescent="0.35">
      <c r="A24" s="5" t="str">
        <f>+General!A25</f>
        <v>DANILO</v>
      </c>
      <c r="B24" s="1">
        <f>+VLOOKUP(A24,General!$A$3:$Q$79,15,FALSE)</f>
        <v>0</v>
      </c>
      <c r="C24" s="1">
        <f>+VLOOKUP(A24,General!$A$3:$Q$79,16,FALSE)</f>
        <v>0</v>
      </c>
      <c r="D24" s="1">
        <f>+VLOOKUP(A24,General!$A$3:$Q$79,17,FALSE)</f>
        <v>0</v>
      </c>
    </row>
    <row r="25" spans="1:4" x14ac:dyDescent="0.35">
      <c r="A25" s="5" t="str">
        <f>+General!A26</f>
        <v>ROSSI</v>
      </c>
      <c r="B25" s="1">
        <f>+VLOOKUP(A25,General!$A$3:$Q$79,15,FALSE)</f>
        <v>0</v>
      </c>
      <c r="C25" s="1">
        <f>+VLOOKUP(A25,General!$A$3:$Q$79,16,FALSE)</f>
        <v>27356.5</v>
      </c>
      <c r="D25" s="1">
        <f>+VLOOKUP(A25,General!$A$3:$Q$79,17,FALSE)</f>
        <v>14050.2</v>
      </c>
    </row>
    <row r="26" spans="1:4" x14ac:dyDescent="0.35">
      <c r="A26" s="5" t="str">
        <f>+General!A27</f>
        <v>VARELA</v>
      </c>
      <c r="B26" s="1">
        <f>+VLOOKUP(A26,General!$A$3:$Q$79,15,FALSE)</f>
        <v>47106.041561802733</v>
      </c>
      <c r="C26" s="1">
        <f>+VLOOKUP(A26,General!$A$3:$Q$79,16,FALSE)</f>
        <v>14880.6</v>
      </c>
      <c r="D26" s="1">
        <f>+VLOOKUP(A26,General!$A$3:$Q$79,17,FALSE)</f>
        <v>0</v>
      </c>
    </row>
    <row r="27" spans="1:4" hidden="1" x14ac:dyDescent="0.35">
      <c r="A27" s="5" t="str">
        <f>+General!A28</f>
        <v>LINO</v>
      </c>
      <c r="B27" s="1">
        <f>+VLOOKUP(A27,General!$A$3:$Q$79,15,FALSE)</f>
        <v>0</v>
      </c>
      <c r="C27" s="1">
        <f>+VLOOKUP(A27,General!$A$3:$Q$79,16,FALSE)</f>
        <v>0</v>
      </c>
      <c r="D27" s="1">
        <f>+VLOOKUP(A27,General!$A$3:$Q$79,17,FALSE)</f>
        <v>0</v>
      </c>
    </row>
    <row r="28" spans="1:4" hidden="1" x14ac:dyDescent="0.35">
      <c r="A28" s="5" t="str">
        <f>+General!A29</f>
        <v>ALAN</v>
      </c>
      <c r="B28" s="1">
        <f>+VLOOKUP(A28,General!$A$3:$Q$79,15,FALSE)</f>
        <v>0</v>
      </c>
      <c r="C28" s="1">
        <f>+VLOOKUP(A28,General!$A$3:$Q$79,16,FALSE)</f>
        <v>0</v>
      </c>
      <c r="D28" s="1">
        <f>+VLOOKUP(A28,General!$A$3:$Q$79,17,FALSE)</f>
        <v>0</v>
      </c>
    </row>
    <row r="29" spans="1:4" x14ac:dyDescent="0.35">
      <c r="A29" s="5" t="str">
        <f>+General!A30</f>
        <v>ALEXANDRO</v>
      </c>
      <c r="B29" s="1">
        <f>+VLOOKUP(A29,General!$A$3:$Q$79,15,FALSE)</f>
        <v>40415.1</v>
      </c>
      <c r="C29" s="1">
        <f>+VLOOKUP(A29,General!$A$3:$Q$79,16,FALSE)</f>
        <v>43864.6</v>
      </c>
      <c r="D29" s="1">
        <f>+VLOOKUP(A29,General!$A$3:$Q$79,17,FALSE)</f>
        <v>0</v>
      </c>
    </row>
    <row r="30" spans="1:4" hidden="1" x14ac:dyDescent="0.35">
      <c r="A30" s="5" t="str">
        <f>+General!A31</f>
        <v>FUX</v>
      </c>
      <c r="B30" s="1">
        <f>+VLOOKUP(A30,General!$A$3:$Q$79,15,FALSE)</f>
        <v>0</v>
      </c>
      <c r="C30" s="1">
        <f>+VLOOKUP(A30,General!$A$3:$Q$79,16,FALSE)</f>
        <v>51657.7</v>
      </c>
      <c r="D30" s="1">
        <f>+VLOOKUP(A30,General!$A$3:$Q$79,17,FALSE)</f>
        <v>54115.1</v>
      </c>
    </row>
    <row r="31" spans="1:4" hidden="1" x14ac:dyDescent="0.35">
      <c r="A31" s="5" t="str">
        <f>+General!A32</f>
        <v>JORGINHO</v>
      </c>
      <c r="B31" s="1">
        <f>+VLOOKUP(A31,General!$A$3:$Q$79,15,FALSE)</f>
        <v>0</v>
      </c>
      <c r="C31" s="1">
        <f>+VLOOKUP(A31,General!$A$3:$Q$79,16,FALSE)</f>
        <v>0</v>
      </c>
      <c r="D31" s="1">
        <f>+VLOOKUP(A31,General!$A$3:$Q$79,17,FALSE)</f>
        <v>0</v>
      </c>
    </row>
    <row r="32" spans="1:4" hidden="1" x14ac:dyDescent="0.35">
      <c r="A32" s="5" t="str">
        <f>+General!A33</f>
        <v>PIQUEREZ</v>
      </c>
      <c r="B32" s="1">
        <f>+VLOOKUP(A32,General!$A$3:$Q$79,15,FALSE)</f>
        <v>0</v>
      </c>
      <c r="C32" s="1">
        <f>+VLOOKUP(A32,General!$A$3:$Q$79,16,FALSE)</f>
        <v>0</v>
      </c>
      <c r="D32" s="1">
        <f>+VLOOKUP(A32,General!$A$3:$Q$79,17,FALSE)</f>
        <v>0</v>
      </c>
    </row>
    <row r="33" spans="1:4" hidden="1" x14ac:dyDescent="0.35">
      <c r="A33" s="5" t="str">
        <f>+General!A34</f>
        <v>HERRERA</v>
      </c>
      <c r="B33" s="1">
        <f>+VLOOKUP(A33,General!$A$3:$Q$79,15,FALSE)</f>
        <v>0</v>
      </c>
      <c r="C33" s="1">
        <f>+VLOOKUP(A33,General!$A$3:$Q$79,16,FALSE)</f>
        <v>169812.8</v>
      </c>
      <c r="D33" s="1">
        <f>+VLOOKUP(A33,General!$A$3:$Q$79,17,FALSE)</f>
        <v>0</v>
      </c>
    </row>
    <row r="34" spans="1:4" hidden="1" x14ac:dyDescent="0.35">
      <c r="A34" s="5" t="str">
        <f>+General!A35</f>
        <v>FILIPE LUIS</v>
      </c>
      <c r="B34" s="1">
        <f>+VLOOKUP(A34,General!$A$3:$Q$79,15,FALSE)</f>
        <v>38255.5</v>
      </c>
      <c r="C34" s="1">
        <f>+VLOOKUP(A34,General!$A$3:$Q$79,16,FALSE)</f>
        <v>0</v>
      </c>
      <c r="D34" s="1">
        <f>+VLOOKUP(A34,General!$A$3:$Q$79,17,FALSE)</f>
        <v>0</v>
      </c>
    </row>
    <row r="35" spans="1:4" x14ac:dyDescent="0.35">
      <c r="A35" s="5" t="str">
        <f>+General!A36</f>
        <v>DONALD TRUMP</v>
      </c>
      <c r="B35" s="1">
        <f>+VLOOKUP(A35,General!$A$3:$Q$79,15,FALSE)</f>
        <v>0</v>
      </c>
      <c r="C35" s="1">
        <f>+VLOOKUP(A35,General!$A$3:$Q$79,16,FALSE)</f>
        <v>0</v>
      </c>
      <c r="D35" s="1">
        <f>+VLOOKUP(A35,General!$A$3:$Q$79,17,FALSE)</f>
        <v>0</v>
      </c>
    </row>
    <row r="36" spans="1:4" hidden="1" x14ac:dyDescent="0.35">
      <c r="A36" s="5" t="str">
        <f>+General!A37</f>
        <v>OBAMA</v>
      </c>
      <c r="B36" s="1">
        <f>+VLOOKUP(A36,General!$A$3:$Q$79,15,FALSE)</f>
        <v>0</v>
      </c>
      <c r="C36" s="1">
        <f>+VLOOKUP(A36,General!$A$3:$Q$79,16,FALSE)</f>
        <v>0</v>
      </c>
      <c r="D36" s="1">
        <f>+VLOOKUP(A36,General!$A$3:$Q$79,17,FALSE)</f>
        <v>0</v>
      </c>
    </row>
    <row r="37" spans="1:4" x14ac:dyDescent="0.35">
      <c r="A37" s="5" t="str">
        <f>+General!A38</f>
        <v>GALLARDO</v>
      </c>
      <c r="B37" s="1">
        <f>+VLOOKUP(A37,General!$A$3:$Q$79,15,FALSE)</f>
        <v>0</v>
      </c>
      <c r="C37" s="1">
        <f>+VLOOKUP(A37,General!$A$3:$Q$79,16,FALSE)</f>
        <v>0</v>
      </c>
      <c r="D37" s="1">
        <f>+VLOOKUP(A37,General!$A$3:$Q$79,17,FALSE)</f>
        <v>0</v>
      </c>
    </row>
    <row r="38" spans="1:4" hidden="1" x14ac:dyDescent="0.35">
      <c r="A38" s="5" t="str">
        <f>+General!A39</f>
        <v>CRESPO</v>
      </c>
      <c r="B38" s="1">
        <f>+VLOOKUP(A38,General!$A$3:$Q$79,15,FALSE)</f>
        <v>0</v>
      </c>
      <c r="C38" s="1">
        <f>+VLOOKUP(A38,General!$A$3:$Q$79,16,FALSE)</f>
        <v>0</v>
      </c>
      <c r="D38" s="1">
        <f>+VLOOKUP(A38,General!$A$3:$Q$79,17,FALSE)</f>
        <v>0</v>
      </c>
    </row>
    <row r="39" spans="1:4" hidden="1" x14ac:dyDescent="0.35">
      <c r="A39" s="5" t="str">
        <f>+General!A40</f>
        <v>RONALDINHO</v>
      </c>
      <c r="B39" s="1">
        <f>+VLOOKUP(A39,General!$A$3:$Q$79,15,FALSE)</f>
        <v>0</v>
      </c>
      <c r="C39" s="1">
        <f>+VLOOKUP(A39,General!$A$3:$Q$79,16,FALSE)</f>
        <v>0</v>
      </c>
      <c r="D39" s="1">
        <f>+VLOOKUP(A39,General!$A$3:$Q$79,17,FALSE)</f>
        <v>0</v>
      </c>
    </row>
    <row r="40" spans="1:4" hidden="1" x14ac:dyDescent="0.35">
      <c r="A40" s="5" t="str">
        <f>+General!A41</f>
        <v>NEYMAR</v>
      </c>
      <c r="B40" s="1">
        <f>+VLOOKUP(A40,General!$A$3:$Q$79,15,FALSE)</f>
        <v>0</v>
      </c>
      <c r="C40" s="1">
        <f>+VLOOKUP(A40,General!$A$3:$Q$79,16,FALSE)</f>
        <v>0</v>
      </c>
      <c r="D40" s="1">
        <f>+VLOOKUP(A40,General!$A$3:$Q$79,17,FALSE)</f>
        <v>0</v>
      </c>
    </row>
    <row r="41" spans="1:4" x14ac:dyDescent="0.35">
      <c r="A41" s="5" t="str">
        <f>+General!A42</f>
        <v>LEONEL MESSI</v>
      </c>
      <c r="B41" s="1">
        <f>+VLOOKUP(A41,General!$A$3:$Q$79,15,FALSE)</f>
        <v>0</v>
      </c>
      <c r="C41" s="1">
        <f>+VLOOKUP(A41,General!$A$3:$Q$79,16,FALSE)</f>
        <v>47761.64</v>
      </c>
      <c r="D41" s="1">
        <f>+VLOOKUP(A41,General!$A$3:$Q$79,17,FALSE)</f>
        <v>0</v>
      </c>
    </row>
    <row r="42" spans="1:4" hidden="1" x14ac:dyDescent="0.35">
      <c r="A42" s="5" t="str">
        <f>+General!A43</f>
        <v>CRISTIANO RONALDO</v>
      </c>
      <c r="B42" s="1">
        <f>+VLOOKUP(A42,General!$A$3:$Q$79,15,FALSE)</f>
        <v>0</v>
      </c>
      <c r="C42" s="1">
        <f>+VLOOKUP(A42,General!$A$3:$Q$79,16,FALSE)</f>
        <v>0</v>
      </c>
      <c r="D42" s="1">
        <f>+VLOOKUP(A42,General!$A$3:$Q$79,17,FALSE)</f>
        <v>0</v>
      </c>
    </row>
    <row r="43" spans="1:4" hidden="1" x14ac:dyDescent="0.35">
      <c r="A43" s="5" t="str">
        <f>+General!A44</f>
        <v>RODRIGO DE PAUL</v>
      </c>
      <c r="B43" s="1">
        <f>+VLOOKUP(A43,General!$A$3:$Q$79,15,FALSE)</f>
        <v>0</v>
      </c>
      <c r="C43" s="1">
        <f>+VLOOKUP(A43,General!$A$3:$Q$79,16,FALSE)</f>
        <v>0</v>
      </c>
      <c r="D43" s="1">
        <f>+VLOOKUP(A43,General!$A$3:$Q$79,17,FALSE)</f>
        <v>0</v>
      </c>
    </row>
    <row r="44" spans="1:4" x14ac:dyDescent="0.35">
      <c r="A44" s="5" t="str">
        <f>+General!A45</f>
        <v>CHIQUI TAPIA</v>
      </c>
      <c r="B44" s="1">
        <f>+VLOOKUP(A44,General!$A$3:$Q$79,15,FALSE)</f>
        <v>26277.5</v>
      </c>
      <c r="C44" s="1">
        <f>+VLOOKUP(A44,General!$A$3:$Q$79,16,FALSE)</f>
        <v>28796.1</v>
      </c>
      <c r="D44" s="1">
        <f>+VLOOKUP(A44,General!$A$3:$Q$79,17,FALSE)</f>
        <v>318453.32</v>
      </c>
    </row>
    <row r="45" spans="1:4" x14ac:dyDescent="0.35">
      <c r="A45" s="5" t="str">
        <f>+General!A46</f>
        <v>DIBU MARTINEZ</v>
      </c>
      <c r="B45" s="1">
        <f>+VLOOKUP(A45,General!$A$3:$Q$79,15,FALSE)</f>
        <v>0</v>
      </c>
      <c r="C45" s="1">
        <f>+VLOOKUP(A45,General!$A$3:$Q$79,16,FALSE)</f>
        <v>27890.1</v>
      </c>
      <c r="D45" s="1">
        <f>+VLOOKUP(A45,General!$A$3:$Q$79,17,FALSE)</f>
        <v>33977.040000000001</v>
      </c>
    </row>
    <row r="46" spans="1:4" hidden="1" x14ac:dyDescent="0.35">
      <c r="A46" s="5" t="str">
        <f>+General!A47</f>
        <v>CUTI ROMERO</v>
      </c>
      <c r="B46" s="1">
        <f>+VLOOKUP(A46,General!$A$3:$Q$79,15,FALSE)</f>
        <v>0</v>
      </c>
      <c r="C46" s="1">
        <f>+VLOOKUP(A46,General!$A$3:$Q$79,16,FALSE)</f>
        <v>0</v>
      </c>
      <c r="D46" s="1">
        <f>+VLOOKUP(A46,General!$A$3:$Q$79,17,FALSE)</f>
        <v>0</v>
      </c>
    </row>
    <row r="47" spans="1:4" hidden="1" x14ac:dyDescent="0.35">
      <c r="A47" s="5" t="str">
        <f>+General!A48</f>
        <v>PEPI ZAPATA</v>
      </c>
      <c r="B47" s="1">
        <f>+VLOOKUP(A47,General!$A$3:$Q$79,15,FALSE)</f>
        <v>0</v>
      </c>
      <c r="C47" s="1">
        <f>+VLOOKUP(A47,General!$A$3:$Q$79,16,FALSE)</f>
        <v>0</v>
      </c>
      <c r="D47" s="1">
        <f>+VLOOKUP(A47,General!$A$3:$Q$79,17,FALSE)</f>
        <v>0</v>
      </c>
    </row>
    <row r="48" spans="1:4" hidden="1" x14ac:dyDescent="0.35">
      <c r="A48" s="5" t="str">
        <f>+General!A49</f>
        <v>TANO VELA</v>
      </c>
      <c r="B48" s="1">
        <f>+VLOOKUP(A48,General!$A$3:$Q$79,15,FALSE)</f>
        <v>0</v>
      </c>
      <c r="C48" s="1">
        <f>+VLOOKUP(A48,General!$A$3:$Q$79,16,FALSE)</f>
        <v>0</v>
      </c>
      <c r="D48" s="1">
        <f>+VLOOKUP(A48,General!$A$3:$Q$79,17,FALSE)</f>
        <v>0</v>
      </c>
    </row>
    <row r="49" spans="1:4" x14ac:dyDescent="0.35">
      <c r="A49" s="5" t="str">
        <f>+General!A50</f>
        <v>JULIAN MAIDANA</v>
      </c>
      <c r="B49" s="1">
        <f>+VLOOKUP(A49,General!$A$3:$Q$79,15,FALSE)</f>
        <v>0</v>
      </c>
      <c r="C49" s="1">
        <f>+VLOOKUP(A49,General!$A$3:$Q$79,16,FALSE)</f>
        <v>40888</v>
      </c>
      <c r="D49" s="1">
        <f>+VLOOKUP(A49,General!$A$3:$Q$79,17,FALSE)</f>
        <v>64911.22</v>
      </c>
    </row>
    <row r="50" spans="1:4" hidden="1" x14ac:dyDescent="0.35">
      <c r="A50" s="5" t="str">
        <f>+General!A51</f>
        <v>FERNANDO BELLUSCHI</v>
      </c>
      <c r="B50" s="1">
        <f>+VLOOKUP(A50,General!$A$3:$Q$79,15,FALSE)</f>
        <v>0</v>
      </c>
      <c r="C50" s="1">
        <f>+VLOOKUP(A50,General!$A$3:$Q$79,16,FALSE)</f>
        <v>0</v>
      </c>
      <c r="D50" s="1">
        <f>+VLOOKUP(A50,General!$A$3:$Q$79,17,FALSE)</f>
        <v>0</v>
      </c>
    </row>
    <row r="51" spans="1:4" hidden="1" x14ac:dyDescent="0.35">
      <c r="A51" s="5" t="str">
        <f>+General!A52</f>
        <v>BOMBON ROSADA</v>
      </c>
      <c r="B51" s="1">
        <f>+VLOOKUP(A51,General!$A$3:$Q$79,15,FALSE)</f>
        <v>0</v>
      </c>
      <c r="C51" s="1">
        <f>+VLOOKUP(A51,General!$A$3:$Q$79,16,FALSE)</f>
        <v>0</v>
      </c>
      <c r="D51" s="1">
        <f>+VLOOKUP(A51,General!$A$3:$Q$79,17,FALSE)</f>
        <v>0</v>
      </c>
    </row>
    <row r="52" spans="1:4" hidden="1" x14ac:dyDescent="0.35">
      <c r="A52" s="5" t="str">
        <f>+General!A53</f>
        <v>RUBEN CAPRIA</v>
      </c>
      <c r="B52" s="1">
        <f>+VLOOKUP(A52,General!$A$3:$Q$79,15,FALSE)</f>
        <v>0</v>
      </c>
      <c r="C52" s="1">
        <f>+VLOOKUP(A52,General!$A$3:$Q$79,16,FALSE)</f>
        <v>0</v>
      </c>
      <c r="D52" s="1">
        <f>+VLOOKUP(A52,General!$A$3:$Q$79,17,FALSE)</f>
        <v>0</v>
      </c>
    </row>
    <row r="53" spans="1:4" x14ac:dyDescent="0.35">
      <c r="A53" s="5" t="str">
        <f>+General!A54</f>
        <v>IGNACIO SCOCCO</v>
      </c>
      <c r="B53" s="1">
        <f>+VLOOKUP(A53,General!$A$3:$Q$79,15,FALSE)</f>
        <v>0</v>
      </c>
      <c r="C53" s="1">
        <f>+VLOOKUP(A53,General!$A$3:$Q$79,16,FALSE)</f>
        <v>27284.1</v>
      </c>
      <c r="D53" s="1">
        <f>+VLOOKUP(A53,General!$A$3:$Q$79,17,FALSE)</f>
        <v>15000</v>
      </c>
    </row>
    <row r="54" spans="1:4" hidden="1" x14ac:dyDescent="0.35">
      <c r="A54" s="5" t="str">
        <f>+General!A55</f>
        <v>MEMO BORGUELO</v>
      </c>
      <c r="B54" s="1">
        <f>+VLOOKUP(A54,General!$A$3:$Q$79,15,FALSE)</f>
        <v>0</v>
      </c>
      <c r="C54" s="1">
        <f>+VLOOKUP(A54,General!$A$3:$Q$79,16,FALSE)</f>
        <v>0</v>
      </c>
      <c r="D54" s="1">
        <f>+VLOOKUP(A54,General!$A$3:$Q$79,17,FALSE)</f>
        <v>0</v>
      </c>
    </row>
    <row r="55" spans="1:4" x14ac:dyDescent="0.35">
      <c r="A55" s="5" t="str">
        <f>+General!A56</f>
        <v>JUSTO VILLAR</v>
      </c>
      <c r="B55" s="1">
        <f>+VLOOKUP(A55,General!$A$3:$Q$79,15,FALSE)</f>
        <v>63455.476059517809</v>
      </c>
      <c r="C55" s="1">
        <f>+VLOOKUP(A55,General!$A$3:$Q$79,16,FALSE)</f>
        <v>209238.39</v>
      </c>
      <c r="D55" s="1">
        <f>+VLOOKUP(A55,General!$A$3:$Q$79,17,FALSE)</f>
        <v>60578.95</v>
      </c>
    </row>
    <row r="56" spans="1:4" x14ac:dyDescent="0.35">
      <c r="A56" s="5" t="str">
        <f>+General!A57</f>
        <v>GERMAN RE</v>
      </c>
      <c r="B56" s="1">
        <f>+VLOOKUP(A56,General!$A$3:$Q$79,15,FALSE)</f>
        <v>13246.5</v>
      </c>
      <c r="C56" s="1">
        <f>+VLOOKUP(A56,General!$A$3:$Q$79,16,FALSE)</f>
        <v>13694.7</v>
      </c>
      <c r="D56" s="1">
        <f>+VLOOKUP(A56,General!$A$3:$Q$79,17,FALSE)</f>
        <v>13694.7</v>
      </c>
    </row>
    <row r="57" spans="1:4" x14ac:dyDescent="0.35">
      <c r="A57" s="5" t="str">
        <f>+General!A58</f>
        <v>GUILLERMO MARINO</v>
      </c>
      <c r="B57" s="1">
        <f>+VLOOKUP(A57,General!$A$3:$Q$79,15,FALSE)</f>
        <v>19175.7323736</v>
      </c>
      <c r="C57" s="1">
        <f>+VLOOKUP(A57,General!$A$3:$Q$79,16,FALSE)</f>
        <v>5867236.8600000003</v>
      </c>
      <c r="D57" s="1">
        <f>+VLOOKUP(A57,General!$A$3:$Q$79,17,FALSE)</f>
        <v>0</v>
      </c>
    </row>
    <row r="58" spans="1:4" hidden="1" x14ac:dyDescent="0.35">
      <c r="A58" s="5" t="str">
        <f>+General!A59</f>
        <v>SANTIAGO SALCEDO</v>
      </c>
      <c r="B58" s="1">
        <f>+VLOOKUP(A58,General!$A$3:$Q$79,15,FALSE)</f>
        <v>28581.687251446579</v>
      </c>
      <c r="C58" s="1">
        <f>+VLOOKUP(A58,General!$A$3:$Q$79,16,FALSE)</f>
        <v>13656.2</v>
      </c>
      <c r="D58" s="1">
        <f>+VLOOKUP(A58,General!$A$3:$Q$79,17,FALSE)</f>
        <v>0</v>
      </c>
    </row>
    <row r="59" spans="1:4" x14ac:dyDescent="0.35">
      <c r="A59" s="5" t="str">
        <f>+General!A60</f>
        <v>TACUARA CARDOZO</v>
      </c>
      <c r="B59" s="1">
        <f>+VLOOKUP(A59,General!$A$3:$Q$79,15,FALSE)</f>
        <v>428943.10239025753</v>
      </c>
      <c r="C59" s="1">
        <f>+VLOOKUP(A59,General!$A$3:$Q$79,16,FALSE)</f>
        <v>232570.8</v>
      </c>
      <c r="D59" s="1">
        <f>+VLOOKUP(A59,General!$A$3:$Q$79,17,FALSE)</f>
        <v>75203.08</v>
      </c>
    </row>
    <row r="60" spans="1:4" hidden="1" x14ac:dyDescent="0.35">
      <c r="A60" s="5" t="str">
        <f>+General!A61</f>
        <v>ESCOPETA BOGHOSSIAN</v>
      </c>
      <c r="B60" s="1">
        <f>+VLOOKUP(A60,General!$A$3:$Q$79,15,FALSE)</f>
        <v>295900.23072821368</v>
      </c>
      <c r="C60" s="1">
        <f>+VLOOKUP(A60,General!$A$3:$Q$79,16,FALSE)</f>
        <v>14408.1</v>
      </c>
      <c r="D60" s="1">
        <f>+VLOOKUP(A60,General!$A$3:$Q$79,17,FALSE)</f>
        <v>14408.1</v>
      </c>
    </row>
    <row r="61" spans="1:4" hidden="1" x14ac:dyDescent="0.35">
      <c r="A61" s="5" t="str">
        <f>+General!A62</f>
        <v>DAMIAN MANSO</v>
      </c>
      <c r="B61" s="1">
        <f>+VLOOKUP(A61,General!$A$3:$Q$79,15,FALSE)</f>
        <v>0</v>
      </c>
      <c r="C61" s="1">
        <f>+VLOOKUP(A61,General!$A$3:$Q$79,16,FALSE)</f>
        <v>0</v>
      </c>
      <c r="D61" s="1">
        <f>+VLOOKUP(A61,General!$A$3:$Q$79,17,FALSE)</f>
        <v>0</v>
      </c>
    </row>
    <row r="62" spans="1:4" hidden="1" x14ac:dyDescent="0.35">
      <c r="A62" s="5" t="str">
        <f>+General!A63</f>
        <v>MAURO ROSALES</v>
      </c>
      <c r="B62" s="1">
        <f>+VLOOKUP(A62,General!$A$3:$Q$79,15,FALSE)</f>
        <v>0</v>
      </c>
      <c r="C62" s="1">
        <f>+VLOOKUP(A62,General!$A$3:$Q$79,16,FALSE)</f>
        <v>0</v>
      </c>
      <c r="D62" s="1">
        <f>+VLOOKUP(A62,General!$A$3:$Q$79,17,FALSE)</f>
        <v>0</v>
      </c>
    </row>
    <row r="63" spans="1:4" hidden="1" x14ac:dyDescent="0.35">
      <c r="A63" s="5" t="str">
        <f>+General!A64</f>
        <v>TURCO HUSAIN</v>
      </c>
      <c r="B63" s="1">
        <f>+VLOOKUP(A63,General!$A$3:$Q$79,15,FALSE)</f>
        <v>0</v>
      </c>
      <c r="C63" s="1">
        <f>+VLOOKUP(A63,General!$A$3:$Q$79,16,FALSE)</f>
        <v>0</v>
      </c>
      <c r="D63" s="1">
        <f>+VLOOKUP(A63,General!$A$3:$Q$79,17,FALSE)</f>
        <v>0</v>
      </c>
    </row>
    <row r="64" spans="1:4" hidden="1" x14ac:dyDescent="0.35">
      <c r="A64" s="5" t="str">
        <f>+General!A65</f>
        <v>LUCAS BERNARDI</v>
      </c>
      <c r="B64" s="1">
        <f>+VLOOKUP(A64,General!$A$3:$Q$79,15,FALSE)</f>
        <v>0</v>
      </c>
      <c r="C64" s="1">
        <f>+VLOOKUP(A64,General!$A$3:$Q$79,16,FALSE)</f>
        <v>0</v>
      </c>
      <c r="D64" s="1">
        <f>+VLOOKUP(A64,General!$A$3:$Q$79,17,FALSE)</f>
        <v>0</v>
      </c>
    </row>
    <row r="65" spans="1:4" hidden="1" x14ac:dyDescent="0.35">
      <c r="A65" s="5" t="str">
        <f>+General!A66</f>
        <v>POMELO MATEO</v>
      </c>
      <c r="B65" s="1">
        <f>+VLOOKUP(A65,General!$A$3:$Q$79,15,FALSE)</f>
        <v>0</v>
      </c>
      <c r="C65" s="1">
        <f>+VLOOKUP(A65,General!$A$3:$Q$79,16,FALSE)</f>
        <v>0</v>
      </c>
      <c r="D65" s="1">
        <f>+VLOOKUP(A65,General!$A$3:$Q$79,17,FALSE)</f>
        <v>0</v>
      </c>
    </row>
    <row r="66" spans="1:4" x14ac:dyDescent="0.35">
      <c r="A66" s="5" t="str">
        <f>+General!A67</f>
        <v>BURRITO ORTEGA</v>
      </c>
      <c r="B66" s="1">
        <f>+VLOOKUP(A66,General!$A$3:$Q$79,15,FALSE)</f>
        <v>0</v>
      </c>
      <c r="C66" s="1">
        <f>+VLOOKUP(A66,General!$A$3:$Q$79,16,FALSE)</f>
        <v>0</v>
      </c>
      <c r="D66" s="1">
        <f>+VLOOKUP(A66,General!$A$3:$Q$79,17,FALSE)</f>
        <v>0</v>
      </c>
    </row>
    <row r="67" spans="1:4" hidden="1" x14ac:dyDescent="0.35">
      <c r="A67" s="5" t="str">
        <f>+General!A68</f>
        <v>MAXI RODRIGUEZ</v>
      </c>
      <c r="B67" s="1">
        <f>+VLOOKUP(A67,General!$A$3:$Q$79,15,FALSE)</f>
        <v>0</v>
      </c>
      <c r="C67" s="1">
        <f>+VLOOKUP(A67,General!$A$3:$Q$79,16,FALSE)</f>
        <v>0</v>
      </c>
      <c r="D67" s="1">
        <f>+VLOOKUP(A67,General!$A$3:$Q$79,17,FALSE)</f>
        <v>0</v>
      </c>
    </row>
    <row r="68" spans="1:4" hidden="1" x14ac:dyDescent="0.35">
      <c r="A68" s="5" t="str">
        <f>+General!A69</f>
        <v>MILTON CASCO</v>
      </c>
      <c r="B68" s="1">
        <f>+VLOOKUP(A68,General!$A$3:$Q$79,15,FALSE)</f>
        <v>0</v>
      </c>
      <c r="C68" s="1">
        <f>+VLOOKUP(A68,General!$A$3:$Q$79,16,FALSE)</f>
        <v>0</v>
      </c>
      <c r="D68" s="1">
        <f>+VLOOKUP(A68,General!$A$3:$Q$79,17,FALSE)</f>
        <v>0</v>
      </c>
    </row>
    <row r="69" spans="1:4" hidden="1" x14ac:dyDescent="0.35">
      <c r="A69" s="5" t="str">
        <f>+General!A70</f>
        <v>PATON GUZMAN</v>
      </c>
      <c r="B69" s="1">
        <f>+VLOOKUP(A69,General!$A$3:$Q$79,15,FALSE)</f>
        <v>0</v>
      </c>
      <c r="C69" s="1">
        <f>+VLOOKUP(A69,General!$A$3:$Q$79,16,FALSE)</f>
        <v>0</v>
      </c>
      <c r="D69" s="1">
        <f>+VLOOKUP(A69,General!$A$3:$Q$79,17,FALSE)</f>
        <v>0</v>
      </c>
    </row>
    <row r="70" spans="1:4" hidden="1" x14ac:dyDescent="0.35">
      <c r="A70" s="5" t="str">
        <f>+General!A71</f>
        <v>PIRI VANGIONI</v>
      </c>
      <c r="B70" s="1">
        <f>+VLOOKUP(A70,General!$A$3:$Q$79,15,FALSE)</f>
        <v>0</v>
      </c>
      <c r="C70" s="1">
        <f>+VLOOKUP(A70,General!$A$3:$Q$79,16,FALSE)</f>
        <v>0</v>
      </c>
      <c r="D70" s="1">
        <f>+VLOOKUP(A70,General!$A$3:$Q$79,17,FALSE)</f>
        <v>0</v>
      </c>
    </row>
    <row r="71" spans="1:4" hidden="1" x14ac:dyDescent="0.35">
      <c r="A71" s="5" t="str">
        <f>+General!A72</f>
        <v>TATA MARTINO</v>
      </c>
      <c r="B71" s="1">
        <f>+VLOOKUP(A71,General!$A$3:$Q$79,15,FALSE)</f>
        <v>0</v>
      </c>
      <c r="C71" s="1">
        <f>+VLOOKUP(A71,General!$A$3:$Q$79,16,FALSE)</f>
        <v>0</v>
      </c>
      <c r="D71" s="1">
        <f>+VLOOKUP(A71,General!$A$3:$Q$79,17,FALSE)</f>
        <v>0</v>
      </c>
    </row>
    <row r="72" spans="1:4" hidden="1" x14ac:dyDescent="0.35">
      <c r="A72" s="5" t="str">
        <f>+General!A73</f>
        <v>MARCELO BIELSA</v>
      </c>
      <c r="B72" s="1">
        <f>+VLOOKUP(A72,General!$A$3:$Q$79,15,FALSE)</f>
        <v>0</v>
      </c>
      <c r="C72" s="1">
        <f>+VLOOKUP(A72,General!$A$3:$Q$79,16,FALSE)</f>
        <v>0</v>
      </c>
      <c r="D72" s="1">
        <f>+VLOOKUP(A72,General!$A$3:$Q$79,17,FALSE)</f>
        <v>0</v>
      </c>
    </row>
    <row r="73" spans="1:4" hidden="1" x14ac:dyDescent="0.35">
      <c r="A73" s="5" t="str">
        <f>+General!A74</f>
        <v>DIEGO ARMANDO MARADONA</v>
      </c>
      <c r="B73" s="1">
        <f>+VLOOKUP(A73,General!$A$3:$Q$79,15,FALSE)</f>
        <v>0</v>
      </c>
      <c r="C73" s="1">
        <f>+VLOOKUP(A73,General!$A$3:$Q$79,16,FALSE)</f>
        <v>0</v>
      </c>
      <c r="D73" s="1">
        <f>+VLOOKUP(A73,General!$A$3:$Q$79,17,FALSE)</f>
        <v>0</v>
      </c>
    </row>
    <row r="74" spans="1:4" hidden="1" x14ac:dyDescent="0.35">
      <c r="A74" s="5" t="str">
        <f>+General!A75</f>
        <v>COLOSO DEL PARQUE</v>
      </c>
      <c r="B74" s="1">
        <f>+VLOOKUP(A74,General!$A$3:$Q$79,15,FALSE)</f>
        <v>0</v>
      </c>
      <c r="C74" s="1">
        <f>+VLOOKUP(A74,General!$A$3:$Q$79,16,FALSE)</f>
        <v>0</v>
      </c>
      <c r="D74" s="1">
        <f>+VLOOKUP(A74,General!$A$3:$Q$79,17,FALSE)</f>
        <v>0</v>
      </c>
    </row>
    <row r="75" spans="1:4" hidden="1" x14ac:dyDescent="0.35">
      <c r="A75" s="5" t="str">
        <f>+General!A76</f>
        <v>QATAR</v>
      </c>
      <c r="B75" s="1">
        <f>+VLOOKUP(A75,General!$A$3:$Q$79,15,FALSE)</f>
        <v>0</v>
      </c>
      <c r="C75" s="1">
        <f>+VLOOKUP(A75,General!$A$3:$Q$79,16,FALSE)</f>
        <v>0</v>
      </c>
      <c r="D75" s="1">
        <f>+VLOOKUP(A75,General!$A$3:$Q$79,17,FALSE)</f>
        <v>0</v>
      </c>
    </row>
    <row r="76" spans="1:4" hidden="1" x14ac:dyDescent="0.35">
      <c r="A76" s="5" t="str">
        <f>+General!A77</f>
        <v>CAMPEONES DEL MUNDO</v>
      </c>
      <c r="B76" s="1">
        <f>+VLOOKUP(A76,General!$A$3:$Q$79,15,FALSE)</f>
        <v>0</v>
      </c>
      <c r="C76" s="1">
        <f>+VLOOKUP(A76,General!$A$3:$Q$79,16,FALSE)</f>
        <v>0</v>
      </c>
      <c r="D76" s="1">
        <f>+VLOOKUP(A76,General!$A$3:$Q$79,17,FALSE)</f>
        <v>0</v>
      </c>
    </row>
    <row r="77" spans="1:4" hidden="1" x14ac:dyDescent="0.35">
      <c r="A77" s="5" t="str">
        <f>+General!A78</f>
        <v>KUOLO MUANI</v>
      </c>
      <c r="B77" s="1">
        <f>+VLOOKUP(A77,General!$A$3:$Q$79,15,FALSE)</f>
        <v>0</v>
      </c>
      <c r="C77" s="1">
        <f>+VLOOKUP(A77,General!$A$3:$Q$79,16,FALSE)</f>
        <v>0</v>
      </c>
      <c r="D77" s="1">
        <f>+VLOOKUP(A77,General!$A$3:$Q$79,17,FALSE)</f>
        <v>0</v>
      </c>
    </row>
    <row r="78" spans="1:4" hidden="1" x14ac:dyDescent="0.35">
      <c r="A78" s="5" t="str">
        <f>+General!A79</f>
        <v>SHEVSHENKO</v>
      </c>
      <c r="B78" s="1">
        <f>+VLOOKUP(A78,General!$A$3:$Q$79,15,FALSE)</f>
        <v>0</v>
      </c>
      <c r="C78" s="1">
        <f>+VLOOKUP(A78,General!$A$3:$Q$79,16,FALSE)</f>
        <v>0</v>
      </c>
      <c r="D78" s="1">
        <f>+VLOOKUP(A78,General!$A$3:$Q$79,17,FALSE)</f>
        <v>0</v>
      </c>
    </row>
    <row r="79" spans="1:4" x14ac:dyDescent="0.35">
      <c r="A79" s="5"/>
    </row>
    <row r="80" spans="1:4" x14ac:dyDescent="0.35">
      <c r="A80" s="15" t="s">
        <v>0</v>
      </c>
      <c r="B80" s="1">
        <f>SUM(B2:B79)</f>
        <v>4618809.7061866159</v>
      </c>
      <c r="C80" s="1">
        <f t="shared" ref="C80:D80" si="0">SUM(C2:C79)</f>
        <v>10462371.640000001</v>
      </c>
      <c r="D80" s="1">
        <f t="shared" si="0"/>
        <v>1753215.2100000004</v>
      </c>
    </row>
    <row r="81" spans="1:1" x14ac:dyDescent="0.35">
      <c r="A81" s="16" t="s">
        <v>3</v>
      </c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2" spans="1:1" x14ac:dyDescent="0.35">
      <c r="A112" s="5"/>
    </row>
    <row r="113" spans="1:1" x14ac:dyDescent="0.35">
      <c r="A113" s="5"/>
    </row>
    <row r="115" spans="1:1" x14ac:dyDescent="0.35">
      <c r="A115" s="5"/>
    </row>
    <row r="116" spans="1:1" x14ac:dyDescent="0.35">
      <c r="A116" s="5"/>
    </row>
  </sheetData>
  <autoFilter ref="A1:D78" xr:uid="{808373E2-230F-4DD7-8F3C-125F4092ECA2}">
    <filterColumn colId="2">
      <filters>
        <filter val="101.824"/>
        <filter val="12.970"/>
        <filter val="122.693"/>
        <filter val="13.525"/>
        <filter val="13.583"/>
        <filter val="13.656"/>
        <filter val="13.695"/>
        <filter val="13.783"/>
        <filter val="14.349"/>
        <filter val="14.408"/>
        <filter val="14.881"/>
        <filter val="169.813"/>
        <filter val="197.919"/>
        <filter val="2.088.182"/>
        <filter val="209.238"/>
        <filter val="232.571"/>
        <filter val="244.374"/>
        <filter val="27.156"/>
        <filter val="27.284"/>
        <filter val="27.357"/>
        <filter val="27.890"/>
        <filter val="28.796"/>
        <filter val="29.399"/>
        <filter val="40.888"/>
        <filter val="42.203"/>
        <filter val="43.865"/>
        <filter val="47.762"/>
        <filter val="495.459"/>
        <filter val="5.867.237"/>
        <filter val="51.658"/>
        <filter val="54.159"/>
        <filter val="79.494"/>
        <filter val="80.303"/>
      </filters>
    </filterColumn>
  </autoFilter>
  <conditionalFormatting sqref="A1:A1048576">
    <cfRule type="duplicateValues" dxfId="16" priority="10"/>
  </conditionalFormatting>
  <conditionalFormatting sqref="A2:A79">
    <cfRule type="duplicateValues" dxfId="15" priority="101"/>
  </conditionalFormatting>
  <conditionalFormatting sqref="A80:A1048576">
    <cfRule type="duplicateValues" dxfId="14" priority="8"/>
    <cfRule type="duplicateValues" dxfId="13" priority="9"/>
    <cfRule type="duplicateValues" dxfId="12" priority="14"/>
  </conditionalFormatting>
  <conditionalFormatting sqref="A81">
    <cfRule type="duplicateValues" dxfId="11" priority="12"/>
  </conditionalFormatting>
  <conditionalFormatting sqref="A83:A127">
    <cfRule type="duplicateValues" dxfId="10" priority="11"/>
  </conditionalFormatting>
  <conditionalFormatting sqref="A128:A1048576 A1:A82">
    <cfRule type="duplicateValues" dxfId="9" priority="1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21C4-632C-48D0-A550-43E967525B04}">
  <dimension ref="A1:D115"/>
  <sheetViews>
    <sheetView workbookViewId="0">
      <selection activeCell="A15" sqref="A15"/>
    </sheetView>
  </sheetViews>
  <sheetFormatPr baseColWidth="10" defaultRowHeight="14.5" x14ac:dyDescent="0.35"/>
  <cols>
    <col min="1" max="1" width="53.453125" customWidth="1"/>
    <col min="2" max="4" width="12.7265625" bestFit="1" customWidth="1"/>
  </cols>
  <sheetData>
    <row r="1" spans="1:4" x14ac:dyDescent="0.35">
      <c r="A1" s="26" t="s">
        <v>2</v>
      </c>
      <c r="B1" s="34">
        <f>+General!S2</f>
        <v>45870</v>
      </c>
      <c r="C1" s="34">
        <f>+General!T2</f>
        <v>45901</v>
      </c>
      <c r="D1" s="34">
        <f>+General!U2</f>
        <v>45931</v>
      </c>
    </row>
    <row r="2" spans="1:4" x14ac:dyDescent="0.35">
      <c r="A2" s="5" t="str">
        <f>+General!A3</f>
        <v>ARGENTINA</v>
      </c>
      <c r="B2" s="35">
        <f>+General!S3</f>
        <v>303840.26346222084</v>
      </c>
      <c r="C2" s="35">
        <f>+General!T3</f>
        <v>419595.23804445</v>
      </c>
      <c r="D2" s="35">
        <f>+General!U3</f>
        <v>354205.3757600009</v>
      </c>
    </row>
    <row r="3" spans="1:4" x14ac:dyDescent="0.35">
      <c r="A3" s="5" t="str">
        <f>+General!A4</f>
        <v>BRASIL</v>
      </c>
      <c r="B3" s="35">
        <f>+General!S4</f>
        <v>718839.21692888869</v>
      </c>
      <c r="C3" s="35">
        <f>+General!T4</f>
        <v>772404.08391111274</v>
      </c>
      <c r="D3" s="35">
        <f>+General!U4</f>
        <v>972682.95926222205</v>
      </c>
    </row>
    <row r="4" spans="1:4" x14ac:dyDescent="0.35">
      <c r="A4" s="5" t="str">
        <f>+General!A5</f>
        <v>PALMEIRAS</v>
      </c>
      <c r="B4" s="35">
        <f>+General!S5</f>
        <v>1569504.6040355552</v>
      </c>
      <c r="C4" s="35">
        <f>+General!T5</f>
        <v>1737256.1497777712</v>
      </c>
      <c r="D4" s="35">
        <f>+General!U5</f>
        <v>1296399.3085422185</v>
      </c>
    </row>
    <row r="5" spans="1:4" x14ac:dyDescent="0.35">
      <c r="A5" s="5" t="str">
        <f>+General!A6</f>
        <v>FLAMENGO</v>
      </c>
      <c r="B5" s="35">
        <f>+General!S6</f>
        <v>331360.66698222107</v>
      </c>
      <c r="C5" s="35">
        <f>+General!T6</f>
        <v>381534.45688889001</v>
      </c>
      <c r="D5" s="35">
        <f>+General!U6</f>
        <v>195127.24883555577</v>
      </c>
    </row>
    <row r="6" spans="1:4" x14ac:dyDescent="0.35">
      <c r="A6" s="5" t="str">
        <f>+General!A7</f>
        <v>LIMA</v>
      </c>
      <c r="B6" s="35">
        <f>+General!S7</f>
        <v>13507.660560000006</v>
      </c>
      <c r="C6" s="35">
        <f>+General!T7</f>
        <v>12319.485777777805</v>
      </c>
      <c r="D6" s="35">
        <f>+General!U7</f>
        <v>11650.853048888892</v>
      </c>
    </row>
    <row r="7" spans="1:4" x14ac:dyDescent="0.35">
      <c r="A7" s="5" t="str">
        <f>+General!A8</f>
        <v>PERU</v>
      </c>
      <c r="B7" s="35">
        <f>+General!S8</f>
        <v>61146.562697777772</v>
      </c>
      <c r="C7" s="35">
        <f>+General!T8</f>
        <v>66127.113333333124</v>
      </c>
      <c r="D7" s="35">
        <f>+General!U8</f>
        <v>60451.608106666579</v>
      </c>
    </row>
    <row r="8" spans="1:4" x14ac:dyDescent="0.35">
      <c r="A8" s="5" t="str">
        <f>+General!A9</f>
        <v>VITOR ROQUE</v>
      </c>
      <c r="B8" s="35">
        <f>+General!S9</f>
        <v>487685.41143999906</v>
      </c>
      <c r="C8" s="35">
        <f>+General!T9</f>
        <v>848242.11866666726</v>
      </c>
      <c r="D8" s="35">
        <f>+General!U9</f>
        <v>1092852.1130844431</v>
      </c>
    </row>
    <row r="9" spans="1:4" x14ac:dyDescent="0.35">
      <c r="A9" s="5" t="str">
        <f>+General!A10</f>
        <v>MENGAO</v>
      </c>
      <c r="B9" s="35">
        <f>+General!S10</f>
        <v>44070.020217777717</v>
      </c>
      <c r="C9" s="35">
        <f>+General!T10</f>
        <v>45361.441333333321</v>
      </c>
      <c r="D9" s="35">
        <f>+General!U10</f>
        <v>19290.365226666683</v>
      </c>
    </row>
    <row r="10" spans="1:4" x14ac:dyDescent="0.35">
      <c r="A10" s="5" t="str">
        <f>+General!A11</f>
        <v>PAULISTA</v>
      </c>
      <c r="B10" s="35">
        <f>+General!S11</f>
        <v>5484.4902222222208</v>
      </c>
      <c r="C10" s="35">
        <f>+General!T11</f>
        <v>0</v>
      </c>
      <c r="D10" s="35">
        <f>+General!U11</f>
        <v>96464.614666666661</v>
      </c>
    </row>
    <row r="11" spans="1:4" x14ac:dyDescent="0.35">
      <c r="A11" s="5" t="str">
        <f>+General!A12</f>
        <v>CARIOCAS</v>
      </c>
      <c r="B11" s="35">
        <f>+General!S12</f>
        <v>4115.7743377777761</v>
      </c>
      <c r="C11" s="35">
        <f>+General!T12</f>
        <v>69503.754666666631</v>
      </c>
      <c r="D11" s="35">
        <f>+General!U12</f>
        <v>8039.2683911111162</v>
      </c>
    </row>
    <row r="12" spans="1:4" x14ac:dyDescent="0.35">
      <c r="A12" s="5" t="str">
        <f>+General!A13</f>
        <v>BRUNO ENRIQUE</v>
      </c>
      <c r="B12" s="35">
        <f>+General!S13</f>
        <v>0</v>
      </c>
      <c r="C12" s="35">
        <f>+General!T13</f>
        <v>0</v>
      </c>
      <c r="D12" s="35">
        <f>+General!U13</f>
        <v>0</v>
      </c>
    </row>
    <row r="13" spans="1:4" x14ac:dyDescent="0.35">
      <c r="A13" s="5" t="str">
        <f>+General!A14</f>
        <v>FLACO LOPEZ</v>
      </c>
      <c r="B13" s="35">
        <f>+General!S14</f>
        <v>0</v>
      </c>
      <c r="C13" s="35">
        <f>+General!T14</f>
        <v>214.82577777777777</v>
      </c>
      <c r="D13" s="35">
        <f>+General!U14</f>
        <v>0</v>
      </c>
    </row>
    <row r="14" spans="1:4" x14ac:dyDescent="0.35">
      <c r="A14" s="5" t="str">
        <f>+General!A15</f>
        <v>DE ARRASCAETA</v>
      </c>
      <c r="B14" s="35">
        <f>+General!S15</f>
        <v>0</v>
      </c>
      <c r="C14" s="35">
        <f>+General!T15</f>
        <v>0</v>
      </c>
      <c r="D14" s="35">
        <f>+General!U15</f>
        <v>0</v>
      </c>
    </row>
    <row r="15" spans="1:4" x14ac:dyDescent="0.35">
      <c r="A15" s="5" t="str">
        <f>+General!A16</f>
        <v>GUSTAVO GOMEZ</v>
      </c>
      <c r="B15" s="35">
        <f>+General!S16</f>
        <v>120656.328115554</v>
      </c>
      <c r="C15" s="35">
        <f>+General!T16</f>
        <v>136110.2879999924</v>
      </c>
      <c r="D15" s="35">
        <f>+General!U16</f>
        <v>138229.22536889484</v>
      </c>
    </row>
    <row r="16" spans="1:4" x14ac:dyDescent="0.35">
      <c r="A16" s="5" t="str">
        <f>+General!A17</f>
        <v>MUNILO</v>
      </c>
      <c r="B16" s="35">
        <f>+General!S17</f>
        <v>0</v>
      </c>
      <c r="C16" s="35">
        <f>+General!T17</f>
        <v>0</v>
      </c>
      <c r="D16" s="35">
        <f>+General!U17</f>
        <v>0</v>
      </c>
    </row>
    <row r="17" spans="1:4" x14ac:dyDescent="0.35">
      <c r="A17" s="5" t="str">
        <f>+General!A18</f>
        <v>CARLOS MIGUEL</v>
      </c>
      <c r="B17" s="35">
        <f>+General!S18</f>
        <v>0</v>
      </c>
      <c r="C17" s="35">
        <f>+General!T18</f>
        <v>0</v>
      </c>
      <c r="D17" s="35">
        <f>+General!U18</f>
        <v>0</v>
      </c>
    </row>
    <row r="18" spans="1:4" x14ac:dyDescent="0.35">
      <c r="A18" s="5" t="str">
        <f>+General!A19</f>
        <v>FELIPE MELO</v>
      </c>
      <c r="B18" s="35">
        <f>+General!S19</f>
        <v>0</v>
      </c>
      <c r="C18" s="35">
        <f>+General!T19</f>
        <v>0</v>
      </c>
      <c r="D18" s="35">
        <f>+General!U19</f>
        <v>0</v>
      </c>
    </row>
    <row r="19" spans="1:4" x14ac:dyDescent="0.35">
      <c r="A19" s="5" t="str">
        <f>+General!A20</f>
        <v>CARLES PUYOL</v>
      </c>
      <c r="B19" s="35">
        <f>+General!S20</f>
        <v>303.7266666666668</v>
      </c>
      <c r="C19" s="35">
        <f>+General!T20</f>
        <v>253.82933333333335</v>
      </c>
      <c r="D19" s="35">
        <f>+General!U20</f>
        <v>284.80488888888897</v>
      </c>
    </row>
    <row r="20" spans="1:4" x14ac:dyDescent="0.35">
      <c r="A20" s="5" t="str">
        <f>+General!A21</f>
        <v>CARRASCAL</v>
      </c>
      <c r="B20" s="35">
        <f>+General!S21</f>
        <v>22063.837777777768</v>
      </c>
      <c r="C20" s="35">
        <f>+General!T21</f>
        <v>46320.292000000001</v>
      </c>
      <c r="D20" s="35">
        <f>+General!U21</f>
        <v>46949.774115555483</v>
      </c>
    </row>
    <row r="21" spans="1:4" x14ac:dyDescent="0.35">
      <c r="A21" s="5" t="str">
        <f>+General!A22</f>
        <v>PULGAR</v>
      </c>
      <c r="B21" s="35">
        <f>+General!S22</f>
        <v>24.951640000000012</v>
      </c>
      <c r="C21" s="35">
        <f>+General!T22</f>
        <v>0</v>
      </c>
      <c r="D21" s="35">
        <f>+General!U22</f>
        <v>26</v>
      </c>
    </row>
    <row r="22" spans="1:4" x14ac:dyDescent="0.35">
      <c r="A22" s="5" t="str">
        <f>+General!A23</f>
        <v>PEREIRA</v>
      </c>
      <c r="B22" s="35">
        <f>+General!S23</f>
        <v>8149.5833288888953</v>
      </c>
      <c r="C22" s="35">
        <f>+General!T23</f>
        <v>0</v>
      </c>
      <c r="D22" s="35">
        <f>+General!U23</f>
        <v>10685.386364444441</v>
      </c>
    </row>
    <row r="23" spans="1:4" x14ac:dyDescent="0.35">
      <c r="A23" s="5" t="str">
        <f>+General!A24</f>
        <v>RAMON SOSA</v>
      </c>
      <c r="B23" s="35">
        <f>+General!S24</f>
        <v>86.388000000000005</v>
      </c>
      <c r="C23" s="35">
        <f>+General!T24</f>
        <v>70.113333333333344</v>
      </c>
      <c r="D23" s="35">
        <f>+General!U24</f>
        <v>81</v>
      </c>
    </row>
    <row r="24" spans="1:4" x14ac:dyDescent="0.35">
      <c r="A24" s="5" t="str">
        <f>+General!A25</f>
        <v>DANILO</v>
      </c>
      <c r="B24" s="35">
        <f>+General!S25</f>
        <v>0</v>
      </c>
      <c r="C24" s="35">
        <f>+General!T25</f>
        <v>0</v>
      </c>
      <c r="D24" s="35">
        <f>+General!U25</f>
        <v>0</v>
      </c>
    </row>
    <row r="25" spans="1:4" x14ac:dyDescent="0.35">
      <c r="A25" s="5" t="str">
        <f>+General!A26</f>
        <v>ROSSI</v>
      </c>
      <c r="B25" s="35">
        <f>+General!S26</f>
        <v>10650.0831111111</v>
      </c>
      <c r="C25" s="35">
        <f>+General!T26</f>
        <v>12195.11199999999</v>
      </c>
      <c r="D25" s="35">
        <f>+General!U26</f>
        <v>11941.310319999991</v>
      </c>
    </row>
    <row r="26" spans="1:4" x14ac:dyDescent="0.35">
      <c r="A26" s="5" t="str">
        <f>+General!A27</f>
        <v>VARELA</v>
      </c>
      <c r="B26" s="35">
        <f>+General!S27</f>
        <v>0</v>
      </c>
      <c r="C26" s="35">
        <f>+General!T27</f>
        <v>0</v>
      </c>
      <c r="D26" s="35">
        <f>+General!U27</f>
        <v>0</v>
      </c>
    </row>
    <row r="27" spans="1:4" x14ac:dyDescent="0.35">
      <c r="A27" s="5" t="str">
        <f>+General!A28</f>
        <v>LINO</v>
      </c>
      <c r="B27" s="35">
        <f>+General!S28</f>
        <v>0</v>
      </c>
      <c r="C27" s="35">
        <f>+General!T28</f>
        <v>0</v>
      </c>
      <c r="D27" s="35">
        <f>+General!U28</f>
        <v>0</v>
      </c>
    </row>
    <row r="28" spans="1:4" x14ac:dyDescent="0.35">
      <c r="A28" s="5" t="str">
        <f>+General!A29</f>
        <v>ALAN</v>
      </c>
      <c r="B28" s="35">
        <f>+General!S29</f>
        <v>0</v>
      </c>
      <c r="C28" s="35">
        <f>+General!T29</f>
        <v>0</v>
      </c>
      <c r="D28" s="35">
        <f>+General!U29</f>
        <v>0</v>
      </c>
    </row>
    <row r="29" spans="1:4" x14ac:dyDescent="0.35">
      <c r="A29" s="5" t="str">
        <f>+General!A30</f>
        <v>ALEXANDRO</v>
      </c>
      <c r="B29" s="35">
        <f>+General!S30</f>
        <v>36437.898808888807</v>
      </c>
      <c r="C29" s="35">
        <f>+General!T30</f>
        <v>42265.876444444446</v>
      </c>
      <c r="D29" s="35">
        <f>+General!U30</f>
        <v>48686.299173333246</v>
      </c>
    </row>
    <row r="30" spans="1:4" x14ac:dyDescent="0.35">
      <c r="A30" s="5" t="str">
        <f>+General!A31</f>
        <v>FUX</v>
      </c>
      <c r="B30" s="35">
        <f>+General!S31</f>
        <v>25937.472795555484</v>
      </c>
      <c r="C30" s="35">
        <f>+General!T31</f>
        <v>22486.66799999994</v>
      </c>
      <c r="D30" s="35">
        <f>+General!U31</f>
        <v>24644.528071110988</v>
      </c>
    </row>
    <row r="31" spans="1:4" x14ac:dyDescent="0.35">
      <c r="A31" s="5" t="str">
        <f>+General!A32</f>
        <v>JORGINHO</v>
      </c>
      <c r="B31" s="35">
        <f>+General!S32</f>
        <v>0</v>
      </c>
      <c r="C31" s="35">
        <f>+General!T32</f>
        <v>0</v>
      </c>
      <c r="D31" s="35">
        <f>+General!U32</f>
        <v>0</v>
      </c>
    </row>
    <row r="32" spans="1:4" x14ac:dyDescent="0.35">
      <c r="A32" s="5" t="str">
        <f>+General!A33</f>
        <v>PIQUEREZ</v>
      </c>
      <c r="B32" s="35">
        <f>+General!S33</f>
        <v>0</v>
      </c>
      <c r="C32" s="35">
        <f>+General!T33</f>
        <v>0</v>
      </c>
      <c r="D32" s="35">
        <f>+General!U33</f>
        <v>0</v>
      </c>
    </row>
    <row r="33" spans="1:4" x14ac:dyDescent="0.35">
      <c r="A33" s="5" t="str">
        <f>+General!A34</f>
        <v>HERRERA</v>
      </c>
      <c r="B33" s="35">
        <f>+General!S34</f>
        <v>2042.9124444444449</v>
      </c>
      <c r="C33" s="35">
        <f>+General!T34</f>
        <v>1542.315111111111</v>
      </c>
      <c r="D33" s="35">
        <f>+General!U34</f>
        <v>1751.7297777777776</v>
      </c>
    </row>
    <row r="34" spans="1:4" x14ac:dyDescent="0.35">
      <c r="A34" s="5" t="str">
        <f>+General!A35</f>
        <v>FILIPE LUIS</v>
      </c>
      <c r="B34" s="35">
        <f>+General!S35</f>
        <v>25.265777777777771</v>
      </c>
      <c r="C34" s="35">
        <f>+General!T35</f>
        <v>25.309777777777754</v>
      </c>
      <c r="D34" s="35">
        <f>+General!U35</f>
        <v>26</v>
      </c>
    </row>
    <row r="35" spans="1:4" x14ac:dyDescent="0.35">
      <c r="A35" s="5" t="str">
        <f>+General!A36</f>
        <v>DONALD TRUMP</v>
      </c>
      <c r="B35" s="35">
        <f>+General!S36</f>
        <v>2396.6574222222221</v>
      </c>
      <c r="C35" s="35">
        <f>+General!T36</f>
        <v>3279.4325333333331</v>
      </c>
      <c r="D35" s="35">
        <f>+General!U36</f>
        <v>4765.7468444444467</v>
      </c>
    </row>
    <row r="36" spans="1:4" x14ac:dyDescent="0.35">
      <c r="A36" s="5" t="str">
        <f>+General!A37</f>
        <v>OBAMA</v>
      </c>
      <c r="B36" s="35">
        <f>+General!S37</f>
        <v>0</v>
      </c>
      <c r="C36" s="35">
        <f>+General!T37</f>
        <v>0</v>
      </c>
      <c r="D36" s="35">
        <f>+General!U37</f>
        <v>0</v>
      </c>
    </row>
    <row r="37" spans="1:4" x14ac:dyDescent="0.35">
      <c r="A37" s="5" t="str">
        <f>+General!A38</f>
        <v>GALLARDO</v>
      </c>
      <c r="B37" s="35">
        <f>+General!S38</f>
        <v>8444.0294222222237</v>
      </c>
      <c r="C37" s="35">
        <f>+General!T38</f>
        <v>6445.3422222222234</v>
      </c>
      <c r="D37" s="35">
        <f>+General!U38</f>
        <v>3097.7952</v>
      </c>
    </row>
    <row r="38" spans="1:4" x14ac:dyDescent="0.35">
      <c r="A38" s="5" t="str">
        <f>+General!A39</f>
        <v>CRESPO</v>
      </c>
      <c r="B38" s="35">
        <f>+General!S39</f>
        <v>0</v>
      </c>
      <c r="C38" s="35">
        <f>+General!T39</f>
        <v>0</v>
      </c>
      <c r="D38" s="35">
        <f>+General!U39</f>
        <v>0</v>
      </c>
    </row>
    <row r="39" spans="1:4" x14ac:dyDescent="0.35">
      <c r="A39" s="5" t="str">
        <f>+General!A40</f>
        <v>RONALDINHO</v>
      </c>
      <c r="B39" s="35">
        <f>+General!S40</f>
        <v>0</v>
      </c>
      <c r="C39" s="35">
        <f>+General!T40</f>
        <v>0</v>
      </c>
      <c r="D39" s="35">
        <f>+General!U40</f>
        <v>0</v>
      </c>
    </row>
    <row r="40" spans="1:4" x14ac:dyDescent="0.35">
      <c r="A40" s="5" t="str">
        <f>+General!A41</f>
        <v>NEYMAR</v>
      </c>
      <c r="B40" s="35">
        <f>+General!S41</f>
        <v>705.15193777777881</v>
      </c>
      <c r="C40" s="35">
        <f>+General!T41</f>
        <v>221.41200000000049</v>
      </c>
      <c r="D40" s="35">
        <f>+General!U41</f>
        <v>65</v>
      </c>
    </row>
    <row r="41" spans="1:4" x14ac:dyDescent="0.35">
      <c r="A41" s="5" t="str">
        <f>+General!A42</f>
        <v>LEONEL MESSI</v>
      </c>
      <c r="B41" s="35">
        <f>+General!S42</f>
        <v>80515.11266666677</v>
      </c>
      <c r="C41" s="35">
        <f>+General!T42</f>
        <v>85673.044355555554</v>
      </c>
      <c r="D41" s="35">
        <f>+General!U42</f>
        <v>95852.971137777713</v>
      </c>
    </row>
    <row r="42" spans="1:4" x14ac:dyDescent="0.35">
      <c r="A42" s="5" t="str">
        <f>+General!A43</f>
        <v>CRISTIANO RONALDO</v>
      </c>
      <c r="B42" s="35">
        <f>+General!S43</f>
        <v>0</v>
      </c>
      <c r="C42" s="35">
        <f>+General!T43</f>
        <v>0</v>
      </c>
      <c r="D42" s="35">
        <f>+General!U43</f>
        <v>0</v>
      </c>
    </row>
    <row r="43" spans="1:4" x14ac:dyDescent="0.35">
      <c r="A43" s="5" t="str">
        <f>+General!A44</f>
        <v>RODRIGO DE PAUL</v>
      </c>
      <c r="B43" s="35">
        <f>+General!S44</f>
        <v>0</v>
      </c>
      <c r="C43" s="35">
        <f>+General!T44</f>
        <v>0</v>
      </c>
      <c r="D43" s="35">
        <f>+General!U44</f>
        <v>0</v>
      </c>
    </row>
    <row r="44" spans="1:4" x14ac:dyDescent="0.35">
      <c r="A44" s="5" t="str">
        <f>+General!A45</f>
        <v>CHIQUI TAPIA</v>
      </c>
      <c r="B44" s="35">
        <f>+General!S45</f>
        <v>2128.0323688888857</v>
      </c>
      <c r="C44" s="35">
        <f>+General!T45</f>
        <v>4776.2933333333267</v>
      </c>
      <c r="D44" s="35">
        <f>+General!U45</f>
        <v>11811.667022222187</v>
      </c>
    </row>
    <row r="45" spans="1:4" x14ac:dyDescent="0.35">
      <c r="A45" s="5" t="str">
        <f>+General!A46</f>
        <v>DIBU MARTINEZ</v>
      </c>
      <c r="B45" s="35">
        <f>+General!S46</f>
        <v>0</v>
      </c>
      <c r="C45" s="35">
        <f>+General!T46</f>
        <v>0</v>
      </c>
      <c r="D45" s="35">
        <f>+General!U46</f>
        <v>0</v>
      </c>
    </row>
    <row r="46" spans="1:4" x14ac:dyDescent="0.35">
      <c r="A46" s="5" t="str">
        <f>+General!A47</f>
        <v>CUTI ROMERO</v>
      </c>
      <c r="B46" s="35">
        <f>+General!S47</f>
        <v>0</v>
      </c>
      <c r="C46" s="35">
        <f>+General!T47</f>
        <v>0</v>
      </c>
      <c r="D46" s="35">
        <f>+General!U47</f>
        <v>0</v>
      </c>
    </row>
    <row r="47" spans="1:4" x14ac:dyDescent="0.35">
      <c r="A47" s="5" t="str">
        <f>+General!A48</f>
        <v>PEPI ZAPATA</v>
      </c>
      <c r="B47" s="35">
        <f>+General!S48</f>
        <v>0</v>
      </c>
      <c r="C47" s="35">
        <f>+General!T48</f>
        <v>0</v>
      </c>
      <c r="D47" s="35">
        <f>+General!U48</f>
        <v>0</v>
      </c>
    </row>
    <row r="48" spans="1:4" x14ac:dyDescent="0.35">
      <c r="A48" s="5" t="str">
        <f>+General!A49</f>
        <v>TANO VELA</v>
      </c>
      <c r="B48" s="35">
        <f>+General!S49</f>
        <v>0</v>
      </c>
      <c r="C48" s="35">
        <f>+General!T49</f>
        <v>0</v>
      </c>
      <c r="D48" s="35">
        <f>+General!U49</f>
        <v>0</v>
      </c>
    </row>
    <row r="49" spans="1:4" x14ac:dyDescent="0.35">
      <c r="A49" s="5" t="str">
        <f>+General!A50</f>
        <v>JULIAN MAIDANA</v>
      </c>
      <c r="B49" s="35">
        <f>+General!S50</f>
        <v>0</v>
      </c>
      <c r="C49" s="35">
        <f>+General!T50</f>
        <v>0</v>
      </c>
      <c r="D49" s="35">
        <f>+General!U50</f>
        <v>0</v>
      </c>
    </row>
    <row r="50" spans="1:4" x14ac:dyDescent="0.35">
      <c r="A50" s="5" t="str">
        <f>+General!A51</f>
        <v>FERNANDO BELLUSCHI</v>
      </c>
      <c r="B50" s="35">
        <f>+General!S51</f>
        <v>0</v>
      </c>
      <c r="C50" s="35">
        <f>+General!T51</f>
        <v>0</v>
      </c>
      <c r="D50" s="35">
        <f>+General!U51</f>
        <v>0</v>
      </c>
    </row>
    <row r="51" spans="1:4" x14ac:dyDescent="0.35">
      <c r="A51" s="5" t="str">
        <f>+General!A52</f>
        <v>BOMBON ROSADA</v>
      </c>
      <c r="B51" s="35">
        <f>+General!S52</f>
        <v>0</v>
      </c>
      <c r="C51" s="35">
        <f>+General!T52</f>
        <v>0</v>
      </c>
      <c r="D51" s="35">
        <f>+General!U52</f>
        <v>0</v>
      </c>
    </row>
    <row r="52" spans="1:4" x14ac:dyDescent="0.35">
      <c r="A52" s="5" t="str">
        <f>+General!A53</f>
        <v>RUBEN CAPRIA</v>
      </c>
      <c r="B52" s="35">
        <f>+General!S53</f>
        <v>0</v>
      </c>
      <c r="C52" s="35">
        <f>+General!T53</f>
        <v>0</v>
      </c>
      <c r="D52" s="35">
        <f>+General!U53</f>
        <v>0</v>
      </c>
    </row>
    <row r="53" spans="1:4" x14ac:dyDescent="0.35">
      <c r="A53" s="5" t="str">
        <f>+General!A54</f>
        <v>IGNACIO SCOCCO</v>
      </c>
      <c r="B53" s="35">
        <f>+General!S54</f>
        <v>3555.9638088888914</v>
      </c>
      <c r="C53" s="35">
        <f>+General!T54</f>
        <v>3226.052444444445</v>
      </c>
      <c r="D53" s="35">
        <f>+General!U54</f>
        <v>3799.032746666669</v>
      </c>
    </row>
    <row r="54" spans="1:4" x14ac:dyDescent="0.35">
      <c r="A54" s="5" t="str">
        <f>+General!A55</f>
        <v>MEMO BORGUELO</v>
      </c>
      <c r="B54" s="35">
        <f>+General!S55</f>
        <v>0</v>
      </c>
      <c r="C54" s="35">
        <f>+General!T55</f>
        <v>0</v>
      </c>
      <c r="D54" s="35">
        <f>+General!U55</f>
        <v>0</v>
      </c>
    </row>
    <row r="55" spans="1:4" x14ac:dyDescent="0.35">
      <c r="A55" s="5" t="str">
        <f>+General!A56</f>
        <v>JUSTO VILLAR</v>
      </c>
      <c r="B55" s="35">
        <f>+General!S56</f>
        <v>3848.0542666666661</v>
      </c>
      <c r="C55" s="35">
        <f>+General!T56</f>
        <v>4127.6684444444445</v>
      </c>
      <c r="D55" s="35">
        <f>+General!U56</f>
        <v>4252.7648177777801</v>
      </c>
    </row>
    <row r="56" spans="1:4" x14ac:dyDescent="0.35">
      <c r="A56" s="5" t="str">
        <f>+General!A57</f>
        <v>GERMAN RE</v>
      </c>
      <c r="B56" s="35">
        <f>+General!S57</f>
        <v>3585.3688888888883</v>
      </c>
      <c r="C56" s="35">
        <f>+General!T57</f>
        <v>4547.7808888888894</v>
      </c>
      <c r="D56" s="35">
        <f>+General!U57</f>
        <v>2210.4226666666668</v>
      </c>
    </row>
    <row r="57" spans="1:4" x14ac:dyDescent="0.35">
      <c r="A57" s="5" t="str">
        <f>+General!A58</f>
        <v>GUILLERMO MARINO</v>
      </c>
      <c r="B57" s="35">
        <f>+General!S58</f>
        <v>320559.19122666656</v>
      </c>
      <c r="C57" s="35">
        <f>+General!T58</f>
        <v>442155.7715555561</v>
      </c>
      <c r="D57" s="35">
        <f>+General!U58</f>
        <v>488927.40294222173</v>
      </c>
    </row>
    <row r="58" spans="1:4" x14ac:dyDescent="0.35">
      <c r="A58" s="5" t="str">
        <f>+General!A59</f>
        <v>SANTIAGO SALCEDO</v>
      </c>
      <c r="B58" s="35">
        <f>+General!S59</f>
        <v>0</v>
      </c>
      <c r="C58" s="35">
        <f>+General!T59</f>
        <v>0</v>
      </c>
      <c r="D58" s="35">
        <f>+General!U59</f>
        <v>0</v>
      </c>
    </row>
    <row r="59" spans="1:4" x14ac:dyDescent="0.35">
      <c r="A59" s="5" t="str">
        <f>+General!A60</f>
        <v>TACUARA CARDOZO</v>
      </c>
      <c r="B59" s="35">
        <f>+General!S60</f>
        <v>18996.633600000005</v>
      </c>
      <c r="C59" s="35">
        <f>+General!T60</f>
        <v>8114.7662222222225</v>
      </c>
      <c r="D59" s="35">
        <f>+General!U60</f>
        <v>12686.562488888885</v>
      </c>
    </row>
    <row r="60" spans="1:4" x14ac:dyDescent="0.35">
      <c r="A60" s="5" t="str">
        <f>+General!A61</f>
        <v>ESCOPETA BOGHOSSIAN</v>
      </c>
      <c r="B60" s="35">
        <f>+General!S61</f>
        <v>14237.390955555569</v>
      </c>
      <c r="C60" s="35">
        <f>+General!T61</f>
        <v>13965.793777777784</v>
      </c>
      <c r="D60" s="35">
        <f>+General!U61</f>
        <v>14232.527004444444</v>
      </c>
    </row>
    <row r="61" spans="1:4" x14ac:dyDescent="0.35">
      <c r="A61" s="5" t="str">
        <f>+General!A62</f>
        <v>DAMIAN MANSO</v>
      </c>
      <c r="B61" s="35">
        <f>+General!S62</f>
        <v>0</v>
      </c>
      <c r="C61" s="35">
        <f>+General!T62</f>
        <v>0</v>
      </c>
      <c r="D61" s="35">
        <f>+General!U62</f>
        <v>0</v>
      </c>
    </row>
    <row r="62" spans="1:4" x14ac:dyDescent="0.35">
      <c r="A62" s="5" t="str">
        <f>+General!A63</f>
        <v>MAURO ROSALES</v>
      </c>
      <c r="B62" s="35">
        <f>+General!S63</f>
        <v>0</v>
      </c>
      <c r="C62" s="35">
        <f>+General!T63</f>
        <v>0</v>
      </c>
      <c r="D62" s="35">
        <f>+General!U63</f>
        <v>0</v>
      </c>
    </row>
    <row r="63" spans="1:4" x14ac:dyDescent="0.35">
      <c r="A63" s="5" t="str">
        <f>+General!A64</f>
        <v>TURCO HUSAIN</v>
      </c>
      <c r="B63" s="35">
        <f>+General!S64</f>
        <v>0</v>
      </c>
      <c r="C63" s="35">
        <f>+General!T64</f>
        <v>0</v>
      </c>
      <c r="D63" s="35">
        <f>+General!U64</f>
        <v>0</v>
      </c>
    </row>
    <row r="64" spans="1:4" x14ac:dyDescent="0.35">
      <c r="A64" s="5" t="str">
        <f>+General!A65</f>
        <v>LUCAS BERNARDI</v>
      </c>
      <c r="B64" s="35">
        <f>+General!S65</f>
        <v>22403.435999999987</v>
      </c>
      <c r="C64" s="35">
        <f>+General!T65</f>
        <v>18714.020000000004</v>
      </c>
      <c r="D64" s="35">
        <f>+General!U65</f>
        <v>19757.450222222229</v>
      </c>
    </row>
    <row r="65" spans="1:4" x14ac:dyDescent="0.35">
      <c r="A65" s="5" t="str">
        <f>+General!A66</f>
        <v>POMELO MATEO</v>
      </c>
      <c r="B65" s="35">
        <f>+General!S66</f>
        <v>0</v>
      </c>
      <c r="C65" s="35">
        <f>+General!T66</f>
        <v>0</v>
      </c>
      <c r="D65" s="35">
        <f>+General!U66</f>
        <v>0</v>
      </c>
    </row>
    <row r="66" spans="1:4" x14ac:dyDescent="0.35">
      <c r="A66" s="5" t="str">
        <f>+General!A67</f>
        <v>BURRITO ORTEGA</v>
      </c>
      <c r="B66" s="35">
        <f>+General!S67</f>
        <v>0</v>
      </c>
      <c r="C66" s="35">
        <f>+General!T67</f>
        <v>0</v>
      </c>
      <c r="D66" s="35">
        <f>+General!U67</f>
        <v>0</v>
      </c>
    </row>
    <row r="67" spans="1:4" x14ac:dyDescent="0.35">
      <c r="A67" s="5" t="str">
        <f>+General!A68</f>
        <v>MAXI RODRIGUEZ</v>
      </c>
      <c r="B67" s="35">
        <f>+General!S68</f>
        <v>1200.3186533333333</v>
      </c>
      <c r="C67" s="35">
        <f>+General!T68</f>
        <v>1284.8822222222234</v>
      </c>
      <c r="D67" s="35">
        <f>+General!U68</f>
        <v>9748.3349955555368</v>
      </c>
    </row>
    <row r="68" spans="1:4" x14ac:dyDescent="0.35">
      <c r="A68" s="5" t="str">
        <f>+General!A69</f>
        <v>MILTON CASCO</v>
      </c>
      <c r="B68" s="35">
        <f>+General!S69</f>
        <v>0</v>
      </c>
      <c r="C68" s="35">
        <f>+General!T69</f>
        <v>0</v>
      </c>
      <c r="D68" s="35">
        <f>+General!U69</f>
        <v>0</v>
      </c>
    </row>
    <row r="69" spans="1:4" x14ac:dyDescent="0.35">
      <c r="A69" s="5" t="str">
        <f>+General!A70</f>
        <v>PATON GUZMAN</v>
      </c>
      <c r="B69" s="35">
        <f>+General!S70</f>
        <v>151.71978666666675</v>
      </c>
      <c r="C69" s="35">
        <f>+General!T70</f>
        <v>162.45333333333343</v>
      </c>
      <c r="D69" s="35">
        <f>+General!U70</f>
        <v>165</v>
      </c>
    </row>
    <row r="70" spans="1:4" x14ac:dyDescent="0.35">
      <c r="A70" s="5" t="str">
        <f>+General!A71</f>
        <v>PIRI VANGIONI</v>
      </c>
      <c r="B70" s="35">
        <f>+General!S71</f>
        <v>0</v>
      </c>
      <c r="C70" s="35">
        <f>+General!T71</f>
        <v>0</v>
      </c>
      <c r="D70" s="35">
        <f>+General!U71</f>
        <v>0</v>
      </c>
    </row>
    <row r="71" spans="1:4" x14ac:dyDescent="0.35">
      <c r="A71" s="5" t="str">
        <f>+General!A72</f>
        <v>TATA MARTINO</v>
      </c>
      <c r="B71" s="35">
        <f>+General!S72</f>
        <v>0</v>
      </c>
      <c r="C71" s="35">
        <f>+General!T72</f>
        <v>0</v>
      </c>
      <c r="D71" s="35">
        <f>+General!U72</f>
        <v>0</v>
      </c>
    </row>
    <row r="72" spans="1:4" x14ac:dyDescent="0.35">
      <c r="A72" s="5" t="str">
        <f>+General!A73</f>
        <v>MARCELO BIELSA</v>
      </c>
      <c r="B72" s="35">
        <f>+General!S73</f>
        <v>0</v>
      </c>
      <c r="C72" s="35">
        <f>+General!T73</f>
        <v>0</v>
      </c>
      <c r="D72" s="35">
        <f>+General!U73</f>
        <v>0</v>
      </c>
    </row>
    <row r="73" spans="1:4" x14ac:dyDescent="0.35">
      <c r="A73" s="5" t="str">
        <f>+General!A74</f>
        <v>DIEGO ARMANDO MARADONA</v>
      </c>
      <c r="B73" s="35">
        <f>+General!S74</f>
        <v>0</v>
      </c>
      <c r="C73" s="35">
        <f>+General!T74</f>
        <v>0</v>
      </c>
      <c r="D73" s="35">
        <f>+General!U74</f>
        <v>0</v>
      </c>
    </row>
    <row r="74" spans="1:4" x14ac:dyDescent="0.35">
      <c r="A74" s="5" t="str">
        <f>+General!A75</f>
        <v>COLOSO DEL PARQUE</v>
      </c>
      <c r="B74" s="35">
        <f>+General!S75</f>
        <v>0</v>
      </c>
      <c r="C74" s="35">
        <f>+General!T75</f>
        <v>0</v>
      </c>
      <c r="D74" s="35">
        <f>+General!U75</f>
        <v>0</v>
      </c>
    </row>
    <row r="75" spans="1:4" x14ac:dyDescent="0.35">
      <c r="A75" s="5" t="str">
        <f>+General!A76</f>
        <v>QATAR</v>
      </c>
      <c r="B75" s="35">
        <f>+General!S76</f>
        <v>0</v>
      </c>
      <c r="C75" s="35">
        <f>+General!T76</f>
        <v>0</v>
      </c>
      <c r="D75" s="35">
        <f>+General!U76</f>
        <v>0</v>
      </c>
    </row>
    <row r="76" spans="1:4" x14ac:dyDescent="0.35">
      <c r="A76" s="5" t="str">
        <f>+General!A77</f>
        <v>CAMPEONES DEL MUNDO</v>
      </c>
      <c r="B76" s="35">
        <f>+General!S77</f>
        <v>0</v>
      </c>
      <c r="C76" s="35">
        <f>+General!T77</f>
        <v>0</v>
      </c>
      <c r="D76" s="35">
        <f>+General!U77</f>
        <v>0</v>
      </c>
    </row>
    <row r="77" spans="1:4" x14ac:dyDescent="0.35">
      <c r="A77" s="5" t="str">
        <f>+General!A78</f>
        <v>KUOLO MUANI</v>
      </c>
      <c r="B77" s="35">
        <f>+General!S78</f>
        <v>0</v>
      </c>
      <c r="C77" s="35">
        <f>+General!T78</f>
        <v>0</v>
      </c>
      <c r="D77" s="35">
        <f>+General!U78</f>
        <v>0</v>
      </c>
    </row>
    <row r="78" spans="1:4" x14ac:dyDescent="0.35">
      <c r="A78" s="5"/>
    </row>
    <row r="79" spans="1:4" x14ac:dyDescent="0.35">
      <c r="A79" s="15" t="s">
        <v>0</v>
      </c>
    </row>
    <row r="80" spans="1:4" x14ac:dyDescent="0.35">
      <c r="A80" s="16" t="s">
        <v>3</v>
      </c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1" spans="1:1" x14ac:dyDescent="0.35">
      <c r="A111" s="5"/>
    </row>
    <row r="112" spans="1:1" x14ac:dyDescent="0.35">
      <c r="A112" s="5"/>
    </row>
    <row r="114" spans="1:1" x14ac:dyDescent="0.35">
      <c r="A114" s="5"/>
    </row>
    <row r="115" spans="1:1" x14ac:dyDescent="0.35">
      <c r="A115" s="5"/>
    </row>
  </sheetData>
  <conditionalFormatting sqref="A2:A77">
    <cfRule type="duplicateValues" dxfId="8" priority="106"/>
  </conditionalFormatting>
  <conditionalFormatting sqref="A78">
    <cfRule type="duplicateValues" dxfId="7" priority="110"/>
  </conditionalFormatting>
  <conditionalFormatting sqref="A79:A1048576 A1:A77">
    <cfRule type="duplicateValues" dxfId="6" priority="10"/>
  </conditionalFormatting>
  <conditionalFormatting sqref="A79:A1048576">
    <cfRule type="duplicateValues" dxfId="5" priority="8"/>
    <cfRule type="duplicateValues" dxfId="4" priority="9"/>
    <cfRule type="duplicateValues" dxfId="3" priority="14"/>
  </conditionalFormatting>
  <conditionalFormatting sqref="A80">
    <cfRule type="duplicateValues" dxfId="2" priority="12"/>
  </conditionalFormatting>
  <conditionalFormatting sqref="A82:A126">
    <cfRule type="duplicateValues" dxfId="1" priority="11"/>
  </conditionalFormatting>
  <conditionalFormatting sqref="A127:A1048576 A79:A81 A1:A77">
    <cfRule type="duplicateValues" dxfId="0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71E5-4E1D-4503-8834-1191A97A4C13}">
  <sheetPr>
    <tabColor theme="1"/>
  </sheetPr>
  <dimension ref="A1:F5058"/>
  <sheetViews>
    <sheetView topLeftCell="A5037" workbookViewId="0">
      <selection activeCell="E5040" sqref="E5040"/>
    </sheetView>
  </sheetViews>
  <sheetFormatPr baseColWidth="10" defaultRowHeight="14.5" x14ac:dyDescent="0.35"/>
  <cols>
    <col min="3" max="3" width="60.1796875" customWidth="1"/>
    <col min="4" max="5" width="19.90625" style="35" bestFit="1" customWidth="1"/>
  </cols>
  <sheetData>
    <row r="1" spans="1:6" x14ac:dyDescent="0.35">
      <c r="A1" t="str">
        <f>+'[2]por cuent'!A1</f>
        <v>Moneda</v>
      </c>
      <c r="B1" t="str">
        <f>+'[2]por cuent'!B1</f>
        <v>ID cuenta</v>
      </c>
      <c r="C1" t="str">
        <f>+'[2]por cuent'!C1</f>
        <v>Denominacion</v>
      </c>
      <c r="D1" s="35" t="str">
        <f>+'[2]por cuent'!G1</f>
        <v>total</v>
      </c>
      <c r="E1" s="35" t="str">
        <f>+'[2]por cuent'!H1</f>
        <v>TOT EN ARS</v>
      </c>
      <c r="F1" t="str">
        <f>+'[2]por cuent'!I1</f>
        <v>COD</v>
      </c>
    </row>
    <row r="2" spans="1:6" x14ac:dyDescent="0.35">
      <c r="A2" t="str">
        <f>+'[2]por cuent'!A2</f>
        <v>ARS</v>
      </c>
      <c r="B2" t="str">
        <f>+'[2]por cuent'!B2</f>
        <v>000000101</v>
      </c>
      <c r="C2" t="str">
        <f>+'[2]por cuent'!C2</f>
        <v>LERNER CAPITAL S.A.</v>
      </c>
      <c r="D2" s="35">
        <f>+'[2]por cuent'!G2</f>
        <v>292005506.13999999</v>
      </c>
      <c r="E2" s="35">
        <f>+'[2]por cuent'!H2</f>
        <v>292005506.13999999</v>
      </c>
      <c r="F2" t="str">
        <f>+'[2]por cuent'!I2</f>
        <v>000</v>
      </c>
    </row>
    <row r="3" spans="1:6" x14ac:dyDescent="0.35">
      <c r="A3" t="str">
        <f>+'[2]por cuent'!A3</f>
        <v>ARS</v>
      </c>
      <c r="B3" t="str">
        <f>+'[2]por cuent'!B3</f>
        <v>114000114</v>
      </c>
      <c r="C3" t="str">
        <f>+'[2]por cuent'!C3</f>
        <v>Rosario Valores S.A. - Contrapartida</v>
      </c>
      <c r="D3" s="35">
        <f>+'[2]por cuent'!G3</f>
        <v>523259404.10000002</v>
      </c>
      <c r="E3" s="35">
        <f>+'[2]por cuent'!H3</f>
        <v>523259404.10000002</v>
      </c>
      <c r="F3" t="str">
        <f>+'[2]por cuent'!I3</f>
        <v>114</v>
      </c>
    </row>
    <row r="4" spans="1:6" x14ac:dyDescent="0.35">
      <c r="A4" t="str">
        <f>+'[2]por cuent'!A4</f>
        <v>ARS</v>
      </c>
      <c r="B4" t="str">
        <f>+'[2]por cuent'!B4</f>
        <v>114000134</v>
      </c>
      <c r="C4" t="str">
        <f>+'[2]por cuent'!C4</f>
        <v>BCSA SD AXIS CAPITAL I</v>
      </c>
      <c r="D4" s="35">
        <f>+'[2]por cuent'!G4</f>
        <v>1628910766.5599999</v>
      </c>
      <c r="E4" s="35">
        <f>+'[2]por cuent'!H4</f>
        <v>1628910766.5599999</v>
      </c>
      <c r="F4" t="str">
        <f>+'[2]por cuent'!I4</f>
        <v>114</v>
      </c>
    </row>
    <row r="5" spans="1:6" x14ac:dyDescent="0.35">
      <c r="A5" t="str">
        <f>+'[2]por cuent'!A5</f>
        <v>ARS</v>
      </c>
      <c r="B5" t="str">
        <f>+'[2]por cuent'!B5</f>
        <v>114000135</v>
      </c>
      <c r="C5" t="str">
        <f>+'[2]por cuent'!C5</f>
        <v>AXIS SOCIEDAD GERENTE DE FONDOS COMUNES DE INVERSION S.A.</v>
      </c>
      <c r="D5" s="35">
        <f>+'[2]por cuent'!G5</f>
        <v>41464032501.769997</v>
      </c>
      <c r="E5" s="35">
        <f>+'[2]por cuent'!H5</f>
        <v>41464032501.769997</v>
      </c>
      <c r="F5" t="str">
        <f>+'[2]por cuent'!I5</f>
        <v>114</v>
      </c>
    </row>
    <row r="6" spans="1:6" x14ac:dyDescent="0.35">
      <c r="A6" t="str">
        <f>+'[2]por cuent'!A6</f>
        <v>ARS</v>
      </c>
      <c r="B6" t="str">
        <f>+'[2]por cuent'!B6</f>
        <v>114000177</v>
      </c>
      <c r="C6" t="str">
        <f>+'[2]por cuent'!C6</f>
        <v>FCI AXIS ESTRATEGIA 18</v>
      </c>
      <c r="D6" s="35">
        <f>+'[2]por cuent'!G6</f>
        <v>573748854.24000001</v>
      </c>
      <c r="E6" s="35">
        <f>+'[2]por cuent'!H6</f>
        <v>573748854.24000001</v>
      </c>
      <c r="F6" t="str">
        <f>+'[2]por cuent'!I6</f>
        <v>114</v>
      </c>
    </row>
    <row r="7" spans="1:6" x14ac:dyDescent="0.35">
      <c r="A7" t="str">
        <f>+'[2]por cuent'!A7</f>
        <v>ARS</v>
      </c>
      <c r="B7" t="str">
        <f>+'[2]por cuent'!B7</f>
        <v>114000197</v>
      </c>
      <c r="C7" t="str">
        <f>+'[2]por cuent'!C7</f>
        <v>POTENCIAR SGR</v>
      </c>
      <c r="D7" s="35">
        <f>+'[2]por cuent'!G7</f>
        <v>3870848.47</v>
      </c>
      <c r="E7" s="35">
        <f>+'[2]por cuent'!H7</f>
        <v>3870848.47</v>
      </c>
      <c r="F7" t="str">
        <f>+'[2]por cuent'!I7</f>
        <v>114</v>
      </c>
    </row>
    <row r="8" spans="1:6" x14ac:dyDescent="0.35">
      <c r="A8" t="str">
        <f>+'[2]por cuent'!A8</f>
        <v>ARS</v>
      </c>
      <c r="B8" t="str">
        <f>+'[2]por cuent'!B8</f>
        <v>114000198</v>
      </c>
      <c r="C8" t="str">
        <f>+'[2]por cuent'!C8</f>
        <v>CONFEDERAR NEA SGR</v>
      </c>
      <c r="D8" s="35">
        <f>+'[2]por cuent'!G8</f>
        <v>27811587.309999999</v>
      </c>
      <c r="E8" s="35">
        <f>+'[2]por cuent'!H8</f>
        <v>27811587.309999999</v>
      </c>
      <c r="F8" t="str">
        <f>+'[2]por cuent'!I8</f>
        <v>114</v>
      </c>
    </row>
    <row r="9" spans="1:6" x14ac:dyDescent="0.35">
      <c r="A9" t="str">
        <f>+'[2]por cuent'!A9</f>
        <v>ARS</v>
      </c>
      <c r="B9" t="str">
        <f>+'[2]por cuent'!B9</f>
        <v>114000593</v>
      </c>
      <c r="C9" t="str">
        <f>+'[2]por cuent'!C9</f>
        <v>Mercado Ganadero S.A.</v>
      </c>
      <c r="D9" s="35">
        <f>+'[2]por cuent'!G9</f>
        <v>8939328.8399999999</v>
      </c>
      <c r="E9" s="35">
        <f>+'[2]por cuent'!H9</f>
        <v>8939328.8399999999</v>
      </c>
      <c r="F9" t="str">
        <f>+'[2]por cuent'!I9</f>
        <v>114</v>
      </c>
    </row>
    <row r="10" spans="1:6" x14ac:dyDescent="0.35">
      <c r="A10" t="str">
        <f>+'[2]por cuent'!A10</f>
        <v>ARS</v>
      </c>
      <c r="B10" t="str">
        <f>+'[2]por cuent'!B10</f>
        <v>114114005</v>
      </c>
      <c r="C10" t="str">
        <f>+'[2]por cuent'!C10</f>
        <v>ROSVAL - Operaciones Mesa Trading</v>
      </c>
      <c r="D10" s="35">
        <f>+'[2]por cuent'!G10</f>
        <v>111116703281.07001</v>
      </c>
      <c r="E10" s="35">
        <f>+'[2]por cuent'!H10</f>
        <v>111116703281.07001</v>
      </c>
      <c r="F10" t="str">
        <f>+'[2]por cuent'!I10</f>
        <v>114</v>
      </c>
    </row>
    <row r="11" spans="1:6" x14ac:dyDescent="0.35">
      <c r="A11" t="str">
        <f>+'[2]por cuent'!A11</f>
        <v>ARS</v>
      </c>
      <c r="B11" t="str">
        <f>+'[2]por cuent'!B11</f>
        <v>114114100</v>
      </c>
      <c r="C11" t="str">
        <f>+'[2]por cuent'!C11</f>
        <v>Ignacio Tillard</v>
      </c>
      <c r="D11" s="35">
        <f>+'[2]por cuent'!G11</f>
        <v>99157900712.270004</v>
      </c>
      <c r="E11" s="35">
        <f>+'[2]por cuent'!H11</f>
        <v>99157900712.270004</v>
      </c>
      <c r="F11" t="str">
        <f>+'[2]por cuent'!I11</f>
        <v>114</v>
      </c>
    </row>
    <row r="12" spans="1:6" x14ac:dyDescent="0.35">
      <c r="A12" t="str">
        <f>+'[2]por cuent'!A12</f>
        <v>ARS</v>
      </c>
      <c r="B12" t="str">
        <f>+'[2]por cuent'!B12</f>
        <v>114114103</v>
      </c>
      <c r="C12" t="str">
        <f>+'[2]por cuent'!C12</f>
        <v>GREENFIELD CAPITAL MARKETS S.A.</v>
      </c>
      <c r="D12" s="35">
        <f>+'[2]por cuent'!G12</f>
        <v>274257242</v>
      </c>
      <c r="E12" s="35">
        <f>+'[2]por cuent'!H12</f>
        <v>274257242</v>
      </c>
      <c r="F12" t="str">
        <f>+'[2]por cuent'!I12</f>
        <v>114</v>
      </c>
    </row>
    <row r="13" spans="1:6" x14ac:dyDescent="0.35">
      <c r="A13" t="str">
        <f>+'[2]por cuent'!A13</f>
        <v>ARS</v>
      </c>
      <c r="B13" t="str">
        <f>+'[2]por cuent'!B13</f>
        <v>114645004</v>
      </c>
      <c r="C13" t="str">
        <f>+'[2]por cuent'!C13</f>
        <v>Bolsa de Comercio de Rosario Asociación Civil</v>
      </c>
      <c r="D13" s="35">
        <f>+'[2]por cuent'!G13</f>
        <v>2233044179.5</v>
      </c>
      <c r="E13" s="35">
        <f>+'[2]por cuent'!H13</f>
        <v>2233044179.5</v>
      </c>
      <c r="F13" t="str">
        <f>+'[2]por cuent'!I13</f>
        <v>114</v>
      </c>
    </row>
    <row r="14" spans="1:6" x14ac:dyDescent="0.35">
      <c r="A14" t="str">
        <f>+'[2]por cuent'!A14</f>
        <v>ARS</v>
      </c>
      <c r="B14" t="str">
        <f>+'[2]por cuent'!B14</f>
        <v>114646005</v>
      </c>
      <c r="C14" t="str">
        <f>+'[2]por cuent'!C14</f>
        <v>Mercado Argentino de Valores – Mesa Trading</v>
      </c>
      <c r="D14" s="35">
        <f>+'[2]por cuent'!G14</f>
        <v>1657254777351.8701</v>
      </c>
      <c r="E14" s="35">
        <f>+'[2]por cuent'!H14</f>
        <v>1657254777351.8701</v>
      </c>
      <c r="F14" t="str">
        <f>+'[2]por cuent'!I14</f>
        <v>114</v>
      </c>
    </row>
    <row r="15" spans="1:6" x14ac:dyDescent="0.35">
      <c r="A15" t="str">
        <f>+'[2]por cuent'!A15</f>
        <v>ARS</v>
      </c>
      <c r="B15" t="str">
        <f>+'[2]por cuent'!B15</f>
        <v>114646646</v>
      </c>
      <c r="C15" t="str">
        <f>+'[2]por cuent'!C15</f>
        <v>Mercado Argentino de Valores – FCI</v>
      </c>
      <c r="D15" s="35">
        <f>+'[2]por cuent'!G15</f>
        <v>431500947762.84003</v>
      </c>
      <c r="E15" s="35">
        <f>+'[2]por cuent'!H15</f>
        <v>431500947762.84003</v>
      </c>
      <c r="F15" t="str">
        <f>+'[2]por cuent'!I15</f>
        <v>114</v>
      </c>
    </row>
    <row r="16" spans="1:6" x14ac:dyDescent="0.35">
      <c r="A16" t="str">
        <f>+'[2]por cuent'!A16</f>
        <v>ARS</v>
      </c>
      <c r="B16" t="str">
        <f>+'[2]por cuent'!B16</f>
        <v>278500101</v>
      </c>
      <c r="C16" t="str">
        <f>+'[2]por cuent'!C16</f>
        <v>SHILLING CAPITAL MARKET SA</v>
      </c>
      <c r="D16" s="35">
        <f>+'[2]por cuent'!G16</f>
        <v>30724167.09</v>
      </c>
      <c r="E16" s="35">
        <f>+'[2]por cuent'!H16</f>
        <v>30724167.09</v>
      </c>
      <c r="F16" t="str">
        <f>+'[2]por cuent'!I16</f>
        <v>278</v>
      </c>
    </row>
    <row r="17" spans="1:6" x14ac:dyDescent="0.35">
      <c r="A17" t="str">
        <f>+'[2]por cuent'!A17</f>
        <v>ARS</v>
      </c>
      <c r="B17" t="str">
        <f>+'[2]por cuent'!B17</f>
        <v>278500102</v>
      </c>
      <c r="C17" t="str">
        <f>+'[2]por cuent'!C17</f>
        <v>Pablo Crespi</v>
      </c>
      <c r="D17" s="35">
        <f>+'[2]por cuent'!G17</f>
        <v>14121445.91</v>
      </c>
      <c r="E17" s="35">
        <f>+'[2]por cuent'!H17</f>
        <v>14121445.91</v>
      </c>
      <c r="F17" t="str">
        <f>+'[2]por cuent'!I17</f>
        <v>278</v>
      </c>
    </row>
    <row r="18" spans="1:6" x14ac:dyDescent="0.35">
      <c r="A18" t="str">
        <f>+'[2]por cuent'!A18</f>
        <v>ARS</v>
      </c>
      <c r="B18" t="str">
        <f>+'[2]por cuent'!B18</f>
        <v>278500106</v>
      </c>
      <c r="C18" t="str">
        <f>+'[2]por cuent'!C18</f>
        <v>Jorge Alfredo Rafael Nalbandian</v>
      </c>
      <c r="D18" s="35">
        <f>+'[2]por cuent'!G18</f>
        <v>40988160.299999997</v>
      </c>
      <c r="E18" s="35">
        <f>+'[2]por cuent'!H18</f>
        <v>40988160.299999997</v>
      </c>
      <c r="F18" t="str">
        <f>+'[2]por cuent'!I18</f>
        <v>278</v>
      </c>
    </row>
    <row r="19" spans="1:6" x14ac:dyDescent="0.35">
      <c r="A19" t="str">
        <f>+'[2]por cuent'!A19</f>
        <v>ARS</v>
      </c>
      <c r="B19" t="str">
        <f>+'[2]por cuent'!B19</f>
        <v>278500107</v>
      </c>
      <c r="C19" t="str">
        <f>+'[2]por cuent'!C19</f>
        <v>Torossi, Carlos Anibal o Di Paolo, Mariana Clara</v>
      </c>
      <c r="D19" s="35">
        <f>+'[2]por cuent'!G19</f>
        <v>7357778.5599999996</v>
      </c>
      <c r="E19" s="35">
        <f>+'[2]por cuent'!H19</f>
        <v>7357778.5599999996</v>
      </c>
      <c r="F19" t="str">
        <f>+'[2]por cuent'!I19</f>
        <v>278</v>
      </c>
    </row>
    <row r="20" spans="1:6" x14ac:dyDescent="0.35">
      <c r="A20" t="str">
        <f>+'[2]por cuent'!A20</f>
        <v>ARS</v>
      </c>
      <c r="B20" t="str">
        <f>+'[2]por cuent'!B20</f>
        <v>278500108</v>
      </c>
      <c r="C20" t="str">
        <f>+'[2]por cuent'!C20</f>
        <v>REDEX CONSTRUCCIONES S R L</v>
      </c>
      <c r="D20" s="35">
        <f>+'[2]por cuent'!G20</f>
        <v>4280558.9400000004</v>
      </c>
      <c r="E20" s="35">
        <f>+'[2]por cuent'!H20</f>
        <v>4280558.9400000004</v>
      </c>
      <c r="F20" t="str">
        <f>+'[2]por cuent'!I20</f>
        <v>278</v>
      </c>
    </row>
    <row r="21" spans="1:6" x14ac:dyDescent="0.35">
      <c r="A21" t="str">
        <f>+'[2]por cuent'!A21</f>
        <v>ARS</v>
      </c>
      <c r="B21" t="str">
        <f>+'[2]por cuent'!B21</f>
        <v>278500109</v>
      </c>
      <c r="C21" t="str">
        <f>+'[2]por cuent'!C21</f>
        <v>Alvarez, Angel Raul Del Valle</v>
      </c>
      <c r="D21" s="35">
        <f>+'[2]por cuent'!G21</f>
        <v>3330110</v>
      </c>
      <c r="E21" s="35">
        <f>+'[2]por cuent'!H21</f>
        <v>3330110</v>
      </c>
      <c r="F21" t="str">
        <f>+'[2]por cuent'!I21</f>
        <v>278</v>
      </c>
    </row>
    <row r="22" spans="1:6" x14ac:dyDescent="0.35">
      <c r="A22" t="str">
        <f>+'[2]por cuent'!A22</f>
        <v>ARS</v>
      </c>
      <c r="B22" t="str">
        <f>+'[2]por cuent'!B22</f>
        <v>278500113</v>
      </c>
      <c r="C22" t="str">
        <f>+'[2]por cuent'!C22</f>
        <v>Merep, Matias Ezequiel</v>
      </c>
      <c r="D22" s="35">
        <f>+'[2]por cuent'!G22</f>
        <v>1993557.2</v>
      </c>
      <c r="E22" s="35">
        <f>+'[2]por cuent'!H22</f>
        <v>1993557.2</v>
      </c>
      <c r="F22" t="str">
        <f>+'[2]por cuent'!I22</f>
        <v>278</v>
      </c>
    </row>
    <row r="23" spans="1:6" x14ac:dyDescent="0.35">
      <c r="A23" t="str">
        <f>+'[2]por cuent'!A23</f>
        <v>ARS</v>
      </c>
      <c r="B23" t="str">
        <f>+'[2]por cuent'!B23</f>
        <v>344000005</v>
      </c>
      <c r="C23" t="str">
        <f>+'[2]por cuent'!C23</f>
        <v>Bafomet SA</v>
      </c>
      <c r="D23" s="35">
        <f>+'[2]por cuent'!G23</f>
        <v>3195139070.5900002</v>
      </c>
      <c r="E23" s="35">
        <f>+'[2]por cuent'!H23</f>
        <v>3195139070.5900002</v>
      </c>
      <c r="F23" t="str">
        <f>+'[2]por cuent'!I23</f>
        <v>344</v>
      </c>
    </row>
    <row r="24" spans="1:6" x14ac:dyDescent="0.35">
      <c r="A24" t="str">
        <f>+'[2]por cuent'!A24</f>
        <v>ARS</v>
      </c>
      <c r="B24" t="str">
        <f>+'[2]por cuent'!B24</f>
        <v>344000030</v>
      </c>
      <c r="C24" t="str">
        <f>+'[2]por cuent'!C24</f>
        <v xml:space="preserve"> Romero, Gustavo Ramon</v>
      </c>
      <c r="D24" s="35">
        <f>+'[2]por cuent'!G24</f>
        <v>1120401138.8900001</v>
      </c>
      <c r="E24" s="35">
        <f>+'[2]por cuent'!H24</f>
        <v>1120401138.8900001</v>
      </c>
      <c r="F24" t="str">
        <f>+'[2]por cuent'!I24</f>
        <v>344</v>
      </c>
    </row>
    <row r="25" spans="1:6" x14ac:dyDescent="0.35">
      <c r="A25" t="str">
        <f>+'[2]por cuent'!A25</f>
        <v>ARS</v>
      </c>
      <c r="B25" t="str">
        <f>+'[2]por cuent'!B25</f>
        <v>344000090</v>
      </c>
      <c r="C25" t="str">
        <f>+'[2]por cuent'!C25</f>
        <v>Fernandez Pedace, Federico</v>
      </c>
      <c r="D25" s="35">
        <f>+'[2]por cuent'!G25</f>
        <v>208922255.53999999</v>
      </c>
      <c r="E25" s="35">
        <f>+'[2]por cuent'!H25</f>
        <v>208922255.53999999</v>
      </c>
      <c r="F25" t="str">
        <f>+'[2]por cuent'!I25</f>
        <v>344</v>
      </c>
    </row>
    <row r="26" spans="1:6" x14ac:dyDescent="0.35">
      <c r="A26" t="str">
        <f>+'[2]por cuent'!A26</f>
        <v>ARS</v>
      </c>
      <c r="B26" t="str">
        <f>+'[2]por cuent'!B26</f>
        <v>344000091</v>
      </c>
      <c r="C26" t="str">
        <f>+'[2]por cuent'!C26</f>
        <v>González Ortner, Lucas</v>
      </c>
      <c r="D26" s="35">
        <f>+'[2]por cuent'!G26</f>
        <v>1492388.8</v>
      </c>
      <c r="E26" s="35">
        <f>+'[2]por cuent'!H26</f>
        <v>1492388.8</v>
      </c>
      <c r="F26" t="str">
        <f>+'[2]por cuent'!I26</f>
        <v>344</v>
      </c>
    </row>
    <row r="27" spans="1:6" x14ac:dyDescent="0.35">
      <c r="A27" t="str">
        <f>+'[2]por cuent'!A27</f>
        <v>ARS</v>
      </c>
      <c r="B27" t="str">
        <f>+'[2]por cuent'!B27</f>
        <v>344000124</v>
      </c>
      <c r="C27" t="str">
        <f>+'[2]por cuent'!C27</f>
        <v>Ehgartner, Federico Ignacio</v>
      </c>
      <c r="D27" s="35">
        <f>+'[2]por cuent'!G27</f>
        <v>16160804.630000001</v>
      </c>
      <c r="E27" s="35">
        <f>+'[2]por cuent'!H27</f>
        <v>16160804.630000001</v>
      </c>
      <c r="F27" t="str">
        <f>+'[2]por cuent'!I27</f>
        <v>344</v>
      </c>
    </row>
    <row r="28" spans="1:6" x14ac:dyDescent="0.35">
      <c r="A28" t="str">
        <f>+'[2]por cuent'!A28</f>
        <v>ARS</v>
      </c>
      <c r="B28" t="str">
        <f>+'[2]por cuent'!B28</f>
        <v>344000126</v>
      </c>
      <c r="C28" t="str">
        <f>+'[2]por cuent'!C28</f>
        <v>Pedace, Liliana Rosa</v>
      </c>
      <c r="D28" s="35">
        <f>+'[2]por cuent'!G28</f>
        <v>51064.5</v>
      </c>
      <c r="E28" s="35">
        <f>+'[2]por cuent'!H28</f>
        <v>51064.5</v>
      </c>
      <c r="F28" t="str">
        <f>+'[2]por cuent'!I28</f>
        <v>344</v>
      </c>
    </row>
    <row r="29" spans="1:6" x14ac:dyDescent="0.35">
      <c r="A29" t="str">
        <f>+'[2]por cuent'!A29</f>
        <v>ARS</v>
      </c>
      <c r="B29" t="str">
        <f>+'[2]por cuent'!B29</f>
        <v>344000130</v>
      </c>
      <c r="C29" t="str">
        <f>+'[2]por cuent'!C29</f>
        <v>Bernardoni, Antonella Belen</v>
      </c>
      <c r="D29" s="35">
        <f>+'[2]por cuent'!G29</f>
        <v>150264</v>
      </c>
      <c r="E29" s="35">
        <f>+'[2]por cuent'!H29</f>
        <v>150264</v>
      </c>
      <c r="F29" t="str">
        <f>+'[2]por cuent'!I29</f>
        <v>344</v>
      </c>
    </row>
    <row r="30" spans="1:6" x14ac:dyDescent="0.35">
      <c r="A30" t="str">
        <f>+'[2]por cuent'!A30</f>
        <v>ARS</v>
      </c>
      <c r="B30" t="str">
        <f>+'[2]por cuent'!B30</f>
        <v>344000133</v>
      </c>
      <c r="C30" t="str">
        <f>+'[2]por cuent'!C30</f>
        <v>Lareo, Fernando Manuel</v>
      </c>
      <c r="D30" s="35">
        <f>+'[2]por cuent'!G30</f>
        <v>25775675.699999999</v>
      </c>
      <c r="E30" s="35">
        <f>+'[2]por cuent'!H30</f>
        <v>25775675.699999999</v>
      </c>
      <c r="F30" t="str">
        <f>+'[2]por cuent'!I30</f>
        <v>344</v>
      </c>
    </row>
    <row r="31" spans="1:6" x14ac:dyDescent="0.35">
      <c r="A31" t="str">
        <f>+'[2]por cuent'!A31</f>
        <v>ARS</v>
      </c>
      <c r="B31" t="str">
        <f>+'[2]por cuent'!B31</f>
        <v>344000141</v>
      </c>
      <c r="C31" t="str">
        <f>+'[2]por cuent'!C31</f>
        <v>Pellegrini, Ignacio</v>
      </c>
      <c r="D31" s="35">
        <f>+'[2]por cuent'!G31</f>
        <v>12203000</v>
      </c>
      <c r="E31" s="35">
        <f>+'[2]por cuent'!H31</f>
        <v>12203000</v>
      </c>
      <c r="F31" t="str">
        <f>+'[2]por cuent'!I31</f>
        <v>344</v>
      </c>
    </row>
    <row r="32" spans="1:6" x14ac:dyDescent="0.35">
      <c r="A32" t="str">
        <f>+'[2]por cuent'!A32</f>
        <v>ARS</v>
      </c>
      <c r="B32" t="str">
        <f>+'[2]por cuent'!B32</f>
        <v>344000200</v>
      </c>
      <c r="C32" t="str">
        <f>+'[2]por cuent'!C32</f>
        <v>Musso, Ramiro</v>
      </c>
      <c r="D32" s="35">
        <f>+'[2]por cuent'!G32</f>
        <v>2200590</v>
      </c>
      <c r="E32" s="35">
        <f>+'[2]por cuent'!H32</f>
        <v>2200590</v>
      </c>
      <c r="F32" t="str">
        <f>+'[2]por cuent'!I32</f>
        <v>344</v>
      </c>
    </row>
    <row r="33" spans="1:6" x14ac:dyDescent="0.35">
      <c r="A33" t="str">
        <f>+'[2]por cuent'!A33</f>
        <v>ARS</v>
      </c>
      <c r="B33" t="str">
        <f>+'[2]por cuent'!B33</f>
        <v>344000201</v>
      </c>
      <c r="C33" t="str">
        <f>+'[2]por cuent'!C33</f>
        <v>Marianela García Rossell y R. Mariano García Rossell</v>
      </c>
      <c r="D33" s="35">
        <f>+'[2]por cuent'!G33</f>
        <v>56112093.200000003</v>
      </c>
      <c r="E33" s="35">
        <f>+'[2]por cuent'!H33</f>
        <v>56112093.200000003</v>
      </c>
      <c r="F33" t="str">
        <f>+'[2]por cuent'!I33</f>
        <v>344</v>
      </c>
    </row>
    <row r="34" spans="1:6" x14ac:dyDescent="0.35">
      <c r="A34" t="str">
        <f>+'[2]por cuent'!A34</f>
        <v>ARS</v>
      </c>
      <c r="B34" t="str">
        <f>+'[2]por cuent'!B34</f>
        <v>344000218</v>
      </c>
      <c r="C34" t="str">
        <f>+'[2]por cuent'!C34</f>
        <v>Gregorio, Lucas Matias</v>
      </c>
      <c r="D34" s="35">
        <f>+'[2]por cuent'!G34</f>
        <v>27014728.899999999</v>
      </c>
      <c r="E34" s="35">
        <f>+'[2]por cuent'!H34</f>
        <v>27014728.899999999</v>
      </c>
      <c r="F34" t="str">
        <f>+'[2]por cuent'!I34</f>
        <v>344</v>
      </c>
    </row>
    <row r="35" spans="1:6" x14ac:dyDescent="0.35">
      <c r="A35" t="str">
        <f>+'[2]por cuent'!A35</f>
        <v>ARS</v>
      </c>
      <c r="B35" t="str">
        <f>+'[2]por cuent'!B35</f>
        <v>344000219</v>
      </c>
      <c r="C35" t="str">
        <f>+'[2]por cuent'!C35</f>
        <v>Bonzini, Hernan Javier</v>
      </c>
      <c r="D35" s="35">
        <f>+'[2]por cuent'!G35</f>
        <v>279015</v>
      </c>
      <c r="E35" s="35">
        <f>+'[2]por cuent'!H35</f>
        <v>279015</v>
      </c>
      <c r="F35" t="str">
        <f>+'[2]por cuent'!I35</f>
        <v>344</v>
      </c>
    </row>
    <row r="36" spans="1:6" x14ac:dyDescent="0.35">
      <c r="A36" t="str">
        <f>+'[2]por cuent'!A36</f>
        <v>ARS</v>
      </c>
      <c r="B36" t="str">
        <f>+'[2]por cuent'!B36</f>
        <v>344000223</v>
      </c>
      <c r="C36" t="str">
        <f>+'[2]por cuent'!C36</f>
        <v>Coccia, Guido</v>
      </c>
      <c r="D36" s="35">
        <f>+'[2]por cuent'!G36</f>
        <v>2622611.7000000002</v>
      </c>
      <c r="E36" s="35">
        <f>+'[2]por cuent'!H36</f>
        <v>2622611.7000000002</v>
      </c>
      <c r="F36" t="str">
        <f>+'[2]por cuent'!I36</f>
        <v>344</v>
      </c>
    </row>
    <row r="37" spans="1:6" x14ac:dyDescent="0.35">
      <c r="A37" t="str">
        <f>+'[2]por cuent'!A37</f>
        <v>ARS</v>
      </c>
      <c r="B37" t="str">
        <f>+'[2]por cuent'!B37</f>
        <v>344000231</v>
      </c>
      <c r="C37" t="str">
        <f>+'[2]por cuent'!C37</f>
        <v>Metronos</v>
      </c>
      <c r="D37" s="35">
        <f>+'[2]por cuent'!G37</f>
        <v>112359643.44</v>
      </c>
      <c r="E37" s="35">
        <f>+'[2]por cuent'!H37</f>
        <v>112359643.44</v>
      </c>
      <c r="F37" t="str">
        <f>+'[2]por cuent'!I37</f>
        <v>344</v>
      </c>
    </row>
    <row r="38" spans="1:6" x14ac:dyDescent="0.35">
      <c r="A38" t="str">
        <f>+'[2]por cuent'!A38</f>
        <v>ARS</v>
      </c>
      <c r="B38" t="str">
        <f>+'[2]por cuent'!B38</f>
        <v>344000266</v>
      </c>
      <c r="C38" t="str">
        <f>+'[2]por cuent'!C38</f>
        <v>Segtec SA</v>
      </c>
      <c r="D38" s="35">
        <f>+'[2]por cuent'!G38</f>
        <v>296811972</v>
      </c>
      <c r="E38" s="35">
        <f>+'[2]por cuent'!H38</f>
        <v>296811972</v>
      </c>
      <c r="F38" t="str">
        <f>+'[2]por cuent'!I38</f>
        <v>344</v>
      </c>
    </row>
    <row r="39" spans="1:6" x14ac:dyDescent="0.35">
      <c r="A39" t="str">
        <f>+'[2]por cuent'!A39</f>
        <v>ARS</v>
      </c>
      <c r="B39" t="str">
        <f>+'[2]por cuent'!B39</f>
        <v>344000323</v>
      </c>
      <c r="C39" t="str">
        <f>+'[2]por cuent'!C39</f>
        <v>SURFRIEND SAS</v>
      </c>
      <c r="D39" s="35">
        <f>+'[2]por cuent'!G39</f>
        <v>36030471</v>
      </c>
      <c r="E39" s="35">
        <f>+'[2]por cuent'!H39</f>
        <v>36030471</v>
      </c>
      <c r="F39" t="str">
        <f>+'[2]por cuent'!I39</f>
        <v>344</v>
      </c>
    </row>
    <row r="40" spans="1:6" x14ac:dyDescent="0.35">
      <c r="A40" t="str">
        <f>+'[2]por cuent'!A40</f>
        <v>ARS</v>
      </c>
      <c r="B40" t="str">
        <f>+'[2]por cuent'!B40</f>
        <v>344000399</v>
      </c>
      <c r="C40" t="str">
        <f>+'[2]por cuent'!C40</f>
        <v>Vazquez urbani, Nuria</v>
      </c>
      <c r="D40" s="35">
        <f>+'[2]por cuent'!G40</f>
        <v>56061610.189999998</v>
      </c>
      <c r="E40" s="35">
        <f>+'[2]por cuent'!H40</f>
        <v>56061610.189999998</v>
      </c>
      <c r="F40" t="str">
        <f>+'[2]por cuent'!I40</f>
        <v>344</v>
      </c>
    </row>
    <row r="41" spans="1:6" x14ac:dyDescent="0.35">
      <c r="A41" t="str">
        <f>+'[2]por cuent'!A41</f>
        <v>ARS</v>
      </c>
      <c r="B41" t="str">
        <f>+'[2]por cuent'!B41</f>
        <v>344000401</v>
      </c>
      <c r="C41" t="str">
        <f>+'[2]por cuent'!C41</f>
        <v>Ortner Andres Martin &amp; Schlenew Tatiana</v>
      </c>
      <c r="D41" s="35">
        <f>+'[2]por cuent'!G41</f>
        <v>12674546.5</v>
      </c>
      <c r="E41" s="35">
        <f>+'[2]por cuent'!H41</f>
        <v>12674546.5</v>
      </c>
      <c r="F41" t="str">
        <f>+'[2]por cuent'!I41</f>
        <v>344</v>
      </c>
    </row>
    <row r="42" spans="1:6" x14ac:dyDescent="0.35">
      <c r="A42" t="str">
        <f>+'[2]por cuent'!A42</f>
        <v>ARS</v>
      </c>
      <c r="B42" t="str">
        <f>+'[2]por cuent'!B42</f>
        <v>344000408</v>
      </c>
      <c r="C42" t="str">
        <f>+'[2]por cuent'!C42</f>
        <v>Teijeiro, Ricardo Augusto</v>
      </c>
      <c r="D42" s="35">
        <f>+'[2]por cuent'!G42</f>
        <v>121313387.36</v>
      </c>
      <c r="E42" s="35">
        <f>+'[2]por cuent'!H42</f>
        <v>121313387.36</v>
      </c>
      <c r="F42" t="str">
        <f>+'[2]por cuent'!I42</f>
        <v>344</v>
      </c>
    </row>
    <row r="43" spans="1:6" x14ac:dyDescent="0.35">
      <c r="A43" t="str">
        <f>+'[2]por cuent'!A43</f>
        <v>ARS</v>
      </c>
      <c r="B43" t="str">
        <f>+'[2]por cuent'!B43</f>
        <v>344000419</v>
      </c>
      <c r="C43" t="str">
        <f>+'[2]por cuent'!C43</f>
        <v>RUSCA, MIRTA ALICIA</v>
      </c>
      <c r="D43" s="35">
        <f>+'[2]por cuent'!G43</f>
        <v>17471574.59</v>
      </c>
      <c r="E43" s="35">
        <f>+'[2]por cuent'!H43</f>
        <v>17471574.59</v>
      </c>
      <c r="F43" t="str">
        <f>+'[2]por cuent'!I43</f>
        <v>344</v>
      </c>
    </row>
    <row r="44" spans="1:6" x14ac:dyDescent="0.35">
      <c r="A44" t="str">
        <f>+'[2]por cuent'!A44</f>
        <v>ARS</v>
      </c>
      <c r="B44" t="str">
        <f>+'[2]por cuent'!B44</f>
        <v>344000442</v>
      </c>
      <c r="C44" t="str">
        <f>+'[2]por cuent'!C44</f>
        <v>Grossi, Roxana Maria</v>
      </c>
      <c r="D44" s="35">
        <f>+'[2]por cuent'!G44</f>
        <v>6412960.5999999996</v>
      </c>
      <c r="E44" s="35">
        <f>+'[2]por cuent'!H44</f>
        <v>6412960.5999999996</v>
      </c>
      <c r="F44" t="str">
        <f>+'[2]por cuent'!I44</f>
        <v>344</v>
      </c>
    </row>
    <row r="45" spans="1:6" x14ac:dyDescent="0.35">
      <c r="A45" t="str">
        <f>+'[2]por cuent'!A45</f>
        <v>ARS</v>
      </c>
      <c r="B45" t="str">
        <f>+'[2]por cuent'!B45</f>
        <v>344000522</v>
      </c>
      <c r="C45" t="str">
        <f>+'[2]por cuent'!C45</f>
        <v>ICC SOLUCIONES SRL</v>
      </c>
      <c r="D45" s="35">
        <f>+'[2]por cuent'!G45</f>
        <v>202692106.59999999</v>
      </c>
      <c r="E45" s="35">
        <f>+'[2]por cuent'!H45</f>
        <v>202692106.59999999</v>
      </c>
      <c r="F45" t="str">
        <f>+'[2]por cuent'!I45</f>
        <v>344</v>
      </c>
    </row>
    <row r="46" spans="1:6" x14ac:dyDescent="0.35">
      <c r="A46" t="str">
        <f>+'[2]por cuent'!A46</f>
        <v>ARS</v>
      </c>
      <c r="B46" t="str">
        <f>+'[2]por cuent'!B46</f>
        <v>344000658</v>
      </c>
      <c r="C46" t="str">
        <f>+'[2]por cuent'!C46</f>
        <v>Allende Adolfo Tomas &amp; Allende Delia Maria</v>
      </c>
      <c r="D46" s="35">
        <f>+'[2]por cuent'!G46</f>
        <v>136271029.25</v>
      </c>
      <c r="E46" s="35">
        <f>+'[2]por cuent'!H46</f>
        <v>136271029.25</v>
      </c>
      <c r="F46" t="str">
        <f>+'[2]por cuent'!I46</f>
        <v>344</v>
      </c>
    </row>
    <row r="47" spans="1:6" x14ac:dyDescent="0.35">
      <c r="A47" t="str">
        <f>+'[2]por cuent'!A47</f>
        <v>ARS</v>
      </c>
      <c r="B47" t="str">
        <f>+'[2]por cuent'!B47</f>
        <v>344000661</v>
      </c>
      <c r="C47" t="str">
        <f>+'[2]por cuent'!C47</f>
        <v>Sastre, Alejandro</v>
      </c>
      <c r="D47" s="35">
        <f>+'[2]por cuent'!G47</f>
        <v>3404</v>
      </c>
      <c r="E47" s="35">
        <f>+'[2]por cuent'!H47</f>
        <v>3404</v>
      </c>
      <c r="F47" t="str">
        <f>+'[2]por cuent'!I47</f>
        <v>344</v>
      </c>
    </row>
    <row r="48" spans="1:6" x14ac:dyDescent="0.35">
      <c r="A48" t="str">
        <f>+'[2]por cuent'!A48</f>
        <v>ARS</v>
      </c>
      <c r="B48" t="str">
        <f>+'[2]por cuent'!B48</f>
        <v>344000683</v>
      </c>
      <c r="C48" t="str">
        <f>+'[2]por cuent'!C48</f>
        <v>Envíos-Digitales SA</v>
      </c>
      <c r="D48" s="35">
        <f>+'[2]por cuent'!G48</f>
        <v>1048696.98</v>
      </c>
      <c r="E48" s="35">
        <f>+'[2]por cuent'!H48</f>
        <v>1048696.98</v>
      </c>
      <c r="F48" t="str">
        <f>+'[2]por cuent'!I48</f>
        <v>344</v>
      </c>
    </row>
    <row r="49" spans="1:6" x14ac:dyDescent="0.35">
      <c r="A49" t="str">
        <f>+'[2]por cuent'!A49</f>
        <v>ARS</v>
      </c>
      <c r="B49" t="str">
        <f>+'[2]por cuent'!B49</f>
        <v>344000707</v>
      </c>
      <c r="C49" t="str">
        <f>+'[2]por cuent'!C49</f>
        <v>Frutos, Javier Hernán</v>
      </c>
      <c r="D49" s="35">
        <f>+'[2]por cuent'!G49</f>
        <v>123080129.29000001</v>
      </c>
      <c r="E49" s="35">
        <f>+'[2]por cuent'!H49</f>
        <v>123080129.29000001</v>
      </c>
      <c r="F49" t="str">
        <f>+'[2]por cuent'!I49</f>
        <v>344</v>
      </c>
    </row>
    <row r="50" spans="1:6" x14ac:dyDescent="0.35">
      <c r="A50" t="str">
        <f>+'[2]por cuent'!A50</f>
        <v>ARS</v>
      </c>
      <c r="B50" t="str">
        <f>+'[2]por cuent'!B50</f>
        <v>344000712</v>
      </c>
      <c r="C50" t="str">
        <f>+'[2]por cuent'!C50</f>
        <v>Saceip S.A.</v>
      </c>
      <c r="D50" s="35">
        <f>+'[2]por cuent'!G50</f>
        <v>665933695.42999995</v>
      </c>
      <c r="E50" s="35">
        <f>+'[2]por cuent'!H50</f>
        <v>665933695.42999995</v>
      </c>
      <c r="F50" t="str">
        <f>+'[2]por cuent'!I50</f>
        <v>344</v>
      </c>
    </row>
    <row r="51" spans="1:6" x14ac:dyDescent="0.35">
      <c r="A51" t="str">
        <f>+'[2]por cuent'!A51</f>
        <v>ARS</v>
      </c>
      <c r="B51" t="str">
        <f>+'[2]por cuent'!B51</f>
        <v>344000713</v>
      </c>
      <c r="C51" t="str">
        <f>+'[2]por cuent'!C51</f>
        <v>Vasvari, Maria Fabiana</v>
      </c>
      <c r="D51" s="35">
        <f>+'[2]por cuent'!G51</f>
        <v>42759557.899999999</v>
      </c>
      <c r="E51" s="35">
        <f>+'[2]por cuent'!H51</f>
        <v>42759557.899999999</v>
      </c>
      <c r="F51" t="str">
        <f>+'[2]por cuent'!I51</f>
        <v>344</v>
      </c>
    </row>
    <row r="52" spans="1:6" x14ac:dyDescent="0.35">
      <c r="A52" t="str">
        <f>+'[2]por cuent'!A52</f>
        <v>ARS</v>
      </c>
      <c r="B52" t="str">
        <f>+'[2]por cuent'!B52</f>
        <v>344000729</v>
      </c>
      <c r="C52" t="str">
        <f>+'[2]por cuent'!C52</f>
        <v>Jarvis, Juan Pablo</v>
      </c>
      <c r="D52" s="35">
        <f>+'[2]por cuent'!G52</f>
        <v>152831617.61000001</v>
      </c>
      <c r="E52" s="35">
        <f>+'[2]por cuent'!H52</f>
        <v>152831617.61000001</v>
      </c>
      <c r="F52" t="str">
        <f>+'[2]por cuent'!I52</f>
        <v>344</v>
      </c>
    </row>
    <row r="53" spans="1:6" x14ac:dyDescent="0.35">
      <c r="A53" t="str">
        <f>+'[2]por cuent'!A53</f>
        <v>ARS</v>
      </c>
      <c r="B53" t="str">
        <f>+'[2]por cuent'!B53</f>
        <v>344000734</v>
      </c>
      <c r="C53" t="str">
        <f>+'[2]por cuent'!C53</f>
        <v>CONSORCIO DE EMPRESAS MENDOCINAS PARA POTRERILLOS S A </v>
      </c>
      <c r="D53" s="35">
        <f>+'[2]por cuent'!G53</f>
        <v>2949674830.6300001</v>
      </c>
      <c r="E53" s="35">
        <f>+'[2]por cuent'!H53</f>
        <v>2949674830.6300001</v>
      </c>
      <c r="F53" t="str">
        <f>+'[2]por cuent'!I53</f>
        <v>344</v>
      </c>
    </row>
    <row r="54" spans="1:6" x14ac:dyDescent="0.35">
      <c r="A54" t="str">
        <f>+'[2]por cuent'!A54</f>
        <v>ARS</v>
      </c>
      <c r="B54" t="str">
        <f>+'[2]por cuent'!B54</f>
        <v>345000005</v>
      </c>
      <c r="C54" t="str">
        <f>+'[2]por cuent'!C54</f>
        <v>Beta Group Inversiones Cartera Propia</v>
      </c>
      <c r="D54" s="35">
        <f>+'[2]por cuent'!G54</f>
        <v>1203862743.8499999</v>
      </c>
      <c r="E54" s="35">
        <f>+'[2]por cuent'!H54</f>
        <v>1203862743.8499999</v>
      </c>
      <c r="F54" t="str">
        <f>+'[2]por cuent'!I54</f>
        <v>345</v>
      </c>
    </row>
    <row r="55" spans="1:6" x14ac:dyDescent="0.35">
      <c r="A55" t="str">
        <f>+'[2]por cuent'!A55</f>
        <v>ARS</v>
      </c>
      <c r="B55" t="str">
        <f>+'[2]por cuent'!B55</f>
        <v>345000007</v>
      </c>
      <c r="C55" t="str">
        <f>+'[2]por cuent'!C55</f>
        <v>Mainero, Gustavo Daniel</v>
      </c>
      <c r="D55" s="35">
        <f>+'[2]por cuent'!G55</f>
        <v>3160770091.79</v>
      </c>
      <c r="E55" s="35">
        <f>+'[2]por cuent'!H55</f>
        <v>3160770091.79</v>
      </c>
      <c r="F55" t="str">
        <f>+'[2]por cuent'!I55</f>
        <v>345</v>
      </c>
    </row>
    <row r="56" spans="1:6" x14ac:dyDescent="0.35">
      <c r="A56" t="str">
        <f>+'[2]por cuent'!A56</f>
        <v>ARS</v>
      </c>
      <c r="B56" t="str">
        <f>+'[2]por cuent'!B56</f>
        <v>345000008</v>
      </c>
      <c r="C56" t="str">
        <f>+'[2]por cuent'!C56</f>
        <v>Gabriel Cesario</v>
      </c>
      <c r="D56" s="35">
        <f>+'[2]por cuent'!G56</f>
        <v>350178.01</v>
      </c>
      <c r="E56" s="35">
        <f>+'[2]por cuent'!H56</f>
        <v>350178.01</v>
      </c>
      <c r="F56" t="str">
        <f>+'[2]por cuent'!I56</f>
        <v>345</v>
      </c>
    </row>
    <row r="57" spans="1:6" x14ac:dyDescent="0.35">
      <c r="A57" t="str">
        <f>+'[2]por cuent'!A57</f>
        <v>ARS</v>
      </c>
      <c r="B57" t="str">
        <f>+'[2]por cuent'!B57</f>
        <v>345000009</v>
      </c>
      <c r="C57" t="str">
        <f>+'[2]por cuent'!C57</f>
        <v>Federico Vazquez</v>
      </c>
      <c r="D57" s="35">
        <f>+'[2]por cuent'!G57</f>
        <v>30975297.050000001</v>
      </c>
      <c r="E57" s="35">
        <f>+'[2]por cuent'!H57</f>
        <v>30975297.050000001</v>
      </c>
      <c r="F57" t="str">
        <f>+'[2]por cuent'!I57</f>
        <v>345</v>
      </c>
    </row>
    <row r="58" spans="1:6" x14ac:dyDescent="0.35">
      <c r="A58" t="str">
        <f>+'[2]por cuent'!A58</f>
        <v>ARS</v>
      </c>
      <c r="B58" t="str">
        <f>+'[2]por cuent'!B58</f>
        <v>345000010</v>
      </c>
      <c r="C58" t="str">
        <f>+'[2]por cuent'!C58</f>
        <v>Conde, José Luis</v>
      </c>
      <c r="D58" s="35">
        <f>+'[2]por cuent'!G58</f>
        <v>37802.720000000001</v>
      </c>
      <c r="E58" s="35">
        <f>+'[2]por cuent'!H58</f>
        <v>37802.720000000001</v>
      </c>
      <c r="F58" t="str">
        <f>+'[2]por cuent'!I58</f>
        <v>345</v>
      </c>
    </row>
    <row r="59" spans="1:6" x14ac:dyDescent="0.35">
      <c r="A59" t="str">
        <f>+'[2]por cuent'!A59</f>
        <v>ARS</v>
      </c>
      <c r="B59" t="str">
        <f>+'[2]por cuent'!B59</f>
        <v>345000011</v>
      </c>
      <c r="C59" t="str">
        <f>+'[2]por cuent'!C59</f>
        <v>Ricardo Fornasieri</v>
      </c>
      <c r="D59" s="35">
        <f>+'[2]por cuent'!G59</f>
        <v>8149972996.3800001</v>
      </c>
      <c r="E59" s="35">
        <f>+'[2]por cuent'!H59</f>
        <v>8149972996.3800001</v>
      </c>
      <c r="F59" t="str">
        <f>+'[2]por cuent'!I59</f>
        <v>345</v>
      </c>
    </row>
    <row r="60" spans="1:6" x14ac:dyDescent="0.35">
      <c r="A60" t="str">
        <f>+'[2]por cuent'!A60</f>
        <v>ARS</v>
      </c>
      <c r="B60" t="str">
        <f>+'[2]por cuent'!B60</f>
        <v>345000012</v>
      </c>
      <c r="C60" t="str">
        <f>+'[2]por cuent'!C60</f>
        <v>Bartel,Ana Maria</v>
      </c>
      <c r="D60" s="35">
        <f>+'[2]por cuent'!G60</f>
        <v>1550089427.75</v>
      </c>
      <c r="E60" s="35">
        <f>+'[2]por cuent'!H60</f>
        <v>1550089427.75</v>
      </c>
      <c r="F60" t="str">
        <f>+'[2]por cuent'!I60</f>
        <v>345</v>
      </c>
    </row>
    <row r="61" spans="1:6" x14ac:dyDescent="0.35">
      <c r="A61" t="str">
        <f>+'[2]por cuent'!A61</f>
        <v>ARS</v>
      </c>
      <c r="B61" t="str">
        <f>+'[2]por cuent'!B61</f>
        <v>345000013</v>
      </c>
      <c r="C61" t="str">
        <f>+'[2]por cuent'!C61</f>
        <v>Gonzalo, Nicolas Fornasieri</v>
      </c>
      <c r="D61" s="35">
        <f>+'[2]por cuent'!G61</f>
        <v>2615088779.25</v>
      </c>
      <c r="E61" s="35">
        <f>+'[2]por cuent'!H61</f>
        <v>2615088779.25</v>
      </c>
      <c r="F61" t="str">
        <f>+'[2]por cuent'!I61</f>
        <v>345</v>
      </c>
    </row>
    <row r="62" spans="1:6" x14ac:dyDescent="0.35">
      <c r="A62" t="str">
        <f>+'[2]por cuent'!A62</f>
        <v>ARS</v>
      </c>
      <c r="B62" t="str">
        <f>+'[2]por cuent'!B62</f>
        <v>345000015</v>
      </c>
      <c r="C62" t="str">
        <f>+'[2]por cuent'!C62</f>
        <v>Fornasieri,Juan Cruz</v>
      </c>
      <c r="D62" s="35">
        <f>+'[2]por cuent'!G62</f>
        <v>554153775.89999998</v>
      </c>
      <c r="E62" s="35">
        <f>+'[2]por cuent'!H62</f>
        <v>554153775.89999998</v>
      </c>
      <c r="F62" t="str">
        <f>+'[2]por cuent'!I62</f>
        <v>345</v>
      </c>
    </row>
    <row r="63" spans="1:6" x14ac:dyDescent="0.35">
      <c r="A63" t="str">
        <f>+'[2]por cuent'!A63</f>
        <v>ARS</v>
      </c>
      <c r="B63" t="str">
        <f>+'[2]por cuent'!B63</f>
        <v>345000017</v>
      </c>
      <c r="C63" t="str">
        <f>+'[2]por cuent'!C63</f>
        <v>Mainero,Federico</v>
      </c>
      <c r="D63" s="35">
        <f>+'[2]por cuent'!G63</f>
        <v>257285624.55000001</v>
      </c>
      <c r="E63" s="35">
        <f>+'[2]por cuent'!H63</f>
        <v>257285624.55000001</v>
      </c>
      <c r="F63" t="str">
        <f>+'[2]por cuent'!I63</f>
        <v>345</v>
      </c>
    </row>
    <row r="64" spans="1:6" x14ac:dyDescent="0.35">
      <c r="A64" t="str">
        <f>+'[2]por cuent'!A64</f>
        <v>ARS</v>
      </c>
      <c r="B64" t="str">
        <f>+'[2]por cuent'!B64</f>
        <v>345000018</v>
      </c>
      <c r="C64" t="str">
        <f>+'[2]por cuent'!C64</f>
        <v>El Paseño SA</v>
      </c>
      <c r="D64" s="35">
        <f>+'[2]por cuent'!G64</f>
        <v>4592338307.54</v>
      </c>
      <c r="E64" s="35">
        <f>+'[2]por cuent'!H64</f>
        <v>4592338307.54</v>
      </c>
      <c r="F64" t="str">
        <f>+'[2]por cuent'!I64</f>
        <v>345</v>
      </c>
    </row>
    <row r="65" spans="1:6" x14ac:dyDescent="0.35">
      <c r="A65" t="str">
        <f>+'[2]por cuent'!A65</f>
        <v>ARS</v>
      </c>
      <c r="B65" t="str">
        <f>+'[2]por cuent'!B65</f>
        <v>345000019</v>
      </c>
      <c r="C65" t="str">
        <f>+'[2]por cuent'!C65</f>
        <v>Multiplycard S.A</v>
      </c>
      <c r="D65" s="35">
        <f>+'[2]por cuent'!G65</f>
        <v>2263666463.8099999</v>
      </c>
      <c r="E65" s="35">
        <f>+'[2]por cuent'!H65</f>
        <v>2263666463.8099999</v>
      </c>
      <c r="F65" t="str">
        <f>+'[2]por cuent'!I65</f>
        <v>345</v>
      </c>
    </row>
    <row r="66" spans="1:6" x14ac:dyDescent="0.35">
      <c r="A66" t="str">
        <f>+'[2]por cuent'!A66</f>
        <v>ARS</v>
      </c>
      <c r="B66" t="str">
        <f>+'[2]por cuent'!B66</f>
        <v>345000022</v>
      </c>
      <c r="C66" t="str">
        <f>+'[2]por cuent'!C66</f>
        <v>Christian Ezequiel Mainero</v>
      </c>
      <c r="D66" s="35">
        <f>+'[2]por cuent'!G66</f>
        <v>12373725.439999999</v>
      </c>
      <c r="E66" s="35">
        <f>+'[2]por cuent'!H66</f>
        <v>12373725.439999999</v>
      </c>
      <c r="F66" t="str">
        <f>+'[2]por cuent'!I66</f>
        <v>345</v>
      </c>
    </row>
    <row r="67" spans="1:6" x14ac:dyDescent="0.35">
      <c r="A67" t="str">
        <f>+'[2]por cuent'!A67</f>
        <v>ARS</v>
      </c>
      <c r="B67" t="str">
        <f>+'[2]por cuent'!B67</f>
        <v>345000024</v>
      </c>
      <c r="C67" t="str">
        <f>+'[2]por cuent'!C67</f>
        <v>Fornasieri,Guido Ezequiel</v>
      </c>
      <c r="D67" s="35">
        <f>+'[2]por cuent'!G67</f>
        <v>16527927.91</v>
      </c>
      <c r="E67" s="35">
        <f>+'[2]por cuent'!H67</f>
        <v>16527927.91</v>
      </c>
      <c r="F67" t="str">
        <f>+'[2]por cuent'!I67</f>
        <v>345</v>
      </c>
    </row>
    <row r="68" spans="1:6" x14ac:dyDescent="0.35">
      <c r="A68" t="str">
        <f>+'[2]por cuent'!A68</f>
        <v>ARS</v>
      </c>
      <c r="B68" t="str">
        <f>+'[2]por cuent'!B68</f>
        <v>345000030</v>
      </c>
      <c r="C68" t="str">
        <f>+'[2]por cuent'!C68</f>
        <v>Juan Maria Hugo Mees</v>
      </c>
      <c r="D68" s="35">
        <f>+'[2]por cuent'!G68</f>
        <v>2793.3</v>
      </c>
      <c r="E68" s="35">
        <f>+'[2]por cuent'!H68</f>
        <v>2793.3</v>
      </c>
      <c r="F68" t="str">
        <f>+'[2]por cuent'!I68</f>
        <v>345</v>
      </c>
    </row>
    <row r="69" spans="1:6" x14ac:dyDescent="0.35">
      <c r="A69" t="str">
        <f>+'[2]por cuent'!A69</f>
        <v>ARS</v>
      </c>
      <c r="B69" t="str">
        <f>+'[2]por cuent'!B69</f>
        <v>345000032</v>
      </c>
      <c r="C69" t="str">
        <f>+'[2]por cuent'!C69</f>
        <v>Roberto Alfredo Ramos</v>
      </c>
      <c r="D69" s="35">
        <f>+'[2]por cuent'!G69</f>
        <v>694873275.76999998</v>
      </c>
      <c r="E69" s="35">
        <f>+'[2]por cuent'!H69</f>
        <v>694873275.76999998</v>
      </c>
      <c r="F69" t="str">
        <f>+'[2]por cuent'!I69</f>
        <v>345</v>
      </c>
    </row>
    <row r="70" spans="1:6" x14ac:dyDescent="0.35">
      <c r="A70" t="str">
        <f>+'[2]por cuent'!A70</f>
        <v>ARS</v>
      </c>
      <c r="B70" t="str">
        <f>+'[2]por cuent'!B70</f>
        <v>345000039</v>
      </c>
      <c r="C70" t="str">
        <f>+'[2]por cuent'!C70</f>
        <v>Leandro Marcelo Paredes</v>
      </c>
      <c r="D70" s="35">
        <f>+'[2]por cuent'!G70</f>
        <v>207875.53</v>
      </c>
      <c r="E70" s="35">
        <f>+'[2]por cuent'!H70</f>
        <v>207875.53</v>
      </c>
      <c r="F70" t="str">
        <f>+'[2]por cuent'!I70</f>
        <v>345</v>
      </c>
    </row>
    <row r="71" spans="1:6" x14ac:dyDescent="0.35">
      <c r="A71" t="str">
        <f>+'[2]por cuent'!A71</f>
        <v>ARS</v>
      </c>
      <c r="B71" t="str">
        <f>+'[2]por cuent'!B71</f>
        <v>345000042</v>
      </c>
      <c r="C71" t="str">
        <f>+'[2]por cuent'!C71</f>
        <v>Valentino Santarsiero</v>
      </c>
      <c r="D71" s="35">
        <f>+'[2]por cuent'!G71</f>
        <v>1262061.21</v>
      </c>
      <c r="E71" s="35">
        <f>+'[2]por cuent'!H71</f>
        <v>1262061.21</v>
      </c>
      <c r="F71" t="str">
        <f>+'[2]por cuent'!I71</f>
        <v>345</v>
      </c>
    </row>
    <row r="72" spans="1:6" x14ac:dyDescent="0.35">
      <c r="A72" t="str">
        <f>+'[2]por cuent'!A72</f>
        <v>ARS</v>
      </c>
      <c r="B72" t="str">
        <f>+'[2]por cuent'!B72</f>
        <v>345000045</v>
      </c>
      <c r="C72" t="str">
        <f>+'[2]por cuent'!C72</f>
        <v>Maria Luisa Fuente Buena</v>
      </c>
      <c r="D72" s="35">
        <f>+'[2]por cuent'!G72</f>
        <v>8987118.2200000007</v>
      </c>
      <c r="E72" s="35">
        <f>+'[2]por cuent'!H72</f>
        <v>8987118.2200000007</v>
      </c>
      <c r="F72" t="str">
        <f>+'[2]por cuent'!I72</f>
        <v>345</v>
      </c>
    </row>
    <row r="73" spans="1:6" x14ac:dyDescent="0.35">
      <c r="A73" t="str">
        <f>+'[2]por cuent'!A73</f>
        <v>ARS</v>
      </c>
      <c r="B73" t="str">
        <f>+'[2]por cuent'!B73</f>
        <v>345000046</v>
      </c>
      <c r="C73" t="str">
        <f>+'[2]por cuent'!C73</f>
        <v>Salomon SA</v>
      </c>
      <c r="D73" s="35">
        <f>+'[2]por cuent'!G73</f>
        <v>4688548.2300000004</v>
      </c>
      <c r="E73" s="35">
        <f>+'[2]por cuent'!H73</f>
        <v>4688548.2300000004</v>
      </c>
      <c r="F73" t="str">
        <f>+'[2]por cuent'!I73</f>
        <v>345</v>
      </c>
    </row>
    <row r="74" spans="1:6" x14ac:dyDescent="0.35">
      <c r="A74" t="str">
        <f>+'[2]por cuent'!A74</f>
        <v>ARS</v>
      </c>
      <c r="B74" t="str">
        <f>+'[2]por cuent'!B74</f>
        <v>345000062</v>
      </c>
      <c r="C74" t="str">
        <f>+'[2]por cuent'!C74</f>
        <v>Silvana Patricia Bravo</v>
      </c>
      <c r="D74" s="35">
        <f>+'[2]por cuent'!G74</f>
        <v>3081886.32</v>
      </c>
      <c r="E74" s="35">
        <f>+'[2]por cuent'!H74</f>
        <v>3081886.32</v>
      </c>
      <c r="F74" t="str">
        <f>+'[2]por cuent'!I74</f>
        <v>345</v>
      </c>
    </row>
    <row r="75" spans="1:6" x14ac:dyDescent="0.35">
      <c r="A75" t="str">
        <f>+'[2]por cuent'!A75</f>
        <v>ARS</v>
      </c>
      <c r="B75" t="str">
        <f>+'[2]por cuent'!B75</f>
        <v>345000067</v>
      </c>
      <c r="C75" t="str">
        <f>+'[2]por cuent'!C75</f>
        <v>Pablo Jorge Martinez</v>
      </c>
      <c r="D75" s="35">
        <f>+'[2]por cuent'!G75</f>
        <v>12679245.210000001</v>
      </c>
      <c r="E75" s="35">
        <f>+'[2]por cuent'!H75</f>
        <v>12679245.210000001</v>
      </c>
      <c r="F75" t="str">
        <f>+'[2]por cuent'!I75</f>
        <v>345</v>
      </c>
    </row>
    <row r="76" spans="1:6" x14ac:dyDescent="0.35">
      <c r="A76" t="str">
        <f>+'[2]por cuent'!A76</f>
        <v>ARS</v>
      </c>
      <c r="B76" t="str">
        <f>+'[2]por cuent'!B76</f>
        <v>345000080</v>
      </c>
      <c r="C76" t="str">
        <f>+'[2]por cuent'!C76</f>
        <v>Maria Noelia Vitali</v>
      </c>
      <c r="D76" s="35">
        <f>+'[2]por cuent'!G76</f>
        <v>1318200</v>
      </c>
      <c r="E76" s="35">
        <f>+'[2]por cuent'!H76</f>
        <v>1318200</v>
      </c>
      <c r="F76" t="str">
        <f>+'[2]por cuent'!I76</f>
        <v>345</v>
      </c>
    </row>
    <row r="77" spans="1:6" x14ac:dyDescent="0.35">
      <c r="A77" t="str">
        <f>+'[2]por cuent'!A77</f>
        <v>ARS</v>
      </c>
      <c r="B77" t="str">
        <f>+'[2]por cuent'!B77</f>
        <v>345000083</v>
      </c>
      <c r="C77" t="str">
        <f>+'[2]por cuent'!C77</f>
        <v>Marina Cynthia Bures</v>
      </c>
      <c r="D77" s="35">
        <f>+'[2]por cuent'!G77</f>
        <v>1251215</v>
      </c>
      <c r="E77" s="35">
        <f>+'[2]por cuent'!H77</f>
        <v>1251215</v>
      </c>
      <c r="F77" t="str">
        <f>+'[2]por cuent'!I77</f>
        <v>345</v>
      </c>
    </row>
    <row r="78" spans="1:6" x14ac:dyDescent="0.35">
      <c r="A78" t="str">
        <f>+'[2]por cuent'!A78</f>
        <v>ARS</v>
      </c>
      <c r="B78" t="str">
        <f>+'[2]por cuent'!B78</f>
        <v>345000098</v>
      </c>
      <c r="C78" t="str">
        <f>+'[2]por cuent'!C78</f>
        <v>Birgul Altintop</v>
      </c>
      <c r="D78" s="35">
        <f>+'[2]por cuent'!G78</f>
        <v>27470926.530000001</v>
      </c>
      <c r="E78" s="35">
        <f>+'[2]por cuent'!H78</f>
        <v>27470926.530000001</v>
      </c>
      <c r="F78" t="str">
        <f>+'[2]por cuent'!I78</f>
        <v>345</v>
      </c>
    </row>
    <row r="79" spans="1:6" x14ac:dyDescent="0.35">
      <c r="A79" t="str">
        <f>+'[2]por cuent'!A79</f>
        <v>ARS</v>
      </c>
      <c r="B79" t="str">
        <f>+'[2]por cuent'!B79</f>
        <v>345000113</v>
      </c>
      <c r="C79" t="str">
        <f>+'[2]por cuent'!C79</f>
        <v>German Ariel Palloni</v>
      </c>
      <c r="D79" s="35">
        <f>+'[2]por cuent'!G79</f>
        <v>22420976.5</v>
      </c>
      <c r="E79" s="35">
        <f>+'[2]por cuent'!H79</f>
        <v>22420976.5</v>
      </c>
      <c r="F79" t="str">
        <f>+'[2]por cuent'!I79</f>
        <v>345</v>
      </c>
    </row>
    <row r="80" spans="1:6" x14ac:dyDescent="0.35">
      <c r="A80" t="str">
        <f>+'[2]por cuent'!A80</f>
        <v>ARS</v>
      </c>
      <c r="B80" t="str">
        <f>+'[2]por cuent'!B80</f>
        <v>345000118</v>
      </c>
      <c r="C80" t="str">
        <f>+'[2]por cuent'!C80</f>
        <v>Adriana Haydee Ramirez</v>
      </c>
      <c r="D80" s="35">
        <f>+'[2]por cuent'!G80</f>
        <v>170905.48</v>
      </c>
      <c r="E80" s="35">
        <f>+'[2]por cuent'!H80</f>
        <v>170905.48</v>
      </c>
      <c r="F80" t="str">
        <f>+'[2]por cuent'!I80</f>
        <v>345</v>
      </c>
    </row>
    <row r="81" spans="1:6" x14ac:dyDescent="0.35">
      <c r="A81" t="str">
        <f>+'[2]por cuent'!A81</f>
        <v>ARS</v>
      </c>
      <c r="B81" t="str">
        <f>+'[2]por cuent'!B81</f>
        <v>345000123</v>
      </c>
      <c r="C81" t="str">
        <f>+'[2]por cuent'!C81</f>
        <v>Mariano Osmar Lopez</v>
      </c>
      <c r="D81" s="35">
        <f>+'[2]por cuent'!G81</f>
        <v>16656676.779999999</v>
      </c>
      <c r="E81" s="35">
        <f>+'[2]por cuent'!H81</f>
        <v>16656676.779999999</v>
      </c>
      <c r="F81" t="str">
        <f>+'[2]por cuent'!I81</f>
        <v>345</v>
      </c>
    </row>
    <row r="82" spans="1:6" x14ac:dyDescent="0.35">
      <c r="A82" t="str">
        <f>+'[2]por cuent'!A82</f>
        <v>ARS</v>
      </c>
      <c r="B82" t="str">
        <f>+'[2]por cuent'!B82</f>
        <v>345000162</v>
      </c>
      <c r="C82" t="str">
        <f>+'[2]por cuent'!C82</f>
        <v>Viviana Soria</v>
      </c>
      <c r="D82" s="35">
        <f>+'[2]por cuent'!G82</f>
        <v>2466706.7000000002</v>
      </c>
      <c r="E82" s="35">
        <f>+'[2]por cuent'!H82</f>
        <v>2466706.7000000002</v>
      </c>
      <c r="F82" t="str">
        <f>+'[2]por cuent'!I82</f>
        <v>345</v>
      </c>
    </row>
    <row r="83" spans="1:6" x14ac:dyDescent="0.35">
      <c r="A83" t="str">
        <f>+'[2]por cuent'!A83</f>
        <v>ARS</v>
      </c>
      <c r="B83" t="str">
        <f>+'[2]por cuent'!B83</f>
        <v>345000171</v>
      </c>
      <c r="C83" t="str">
        <f>+'[2]por cuent'!C83</f>
        <v>Barbara Pamela Lencina</v>
      </c>
      <c r="D83" s="35">
        <f>+'[2]por cuent'!G83</f>
        <v>2790</v>
      </c>
      <c r="E83" s="35">
        <f>+'[2]por cuent'!H83</f>
        <v>2790</v>
      </c>
      <c r="F83" t="str">
        <f>+'[2]por cuent'!I83</f>
        <v>345</v>
      </c>
    </row>
    <row r="84" spans="1:6" x14ac:dyDescent="0.35">
      <c r="A84" t="str">
        <f>+'[2]por cuent'!A84</f>
        <v>ARS</v>
      </c>
      <c r="B84" t="str">
        <f>+'[2]por cuent'!B84</f>
        <v>345000239</v>
      </c>
      <c r="C84" t="str">
        <f>+'[2]por cuent'!C84</f>
        <v>Veronica Alejandra Carozzo</v>
      </c>
      <c r="D84" s="35">
        <f>+'[2]por cuent'!G84</f>
        <v>36333809.469999999</v>
      </c>
      <c r="E84" s="35">
        <f>+'[2]por cuent'!H84</f>
        <v>36333809.469999999</v>
      </c>
      <c r="F84" t="str">
        <f>+'[2]por cuent'!I84</f>
        <v>345</v>
      </c>
    </row>
    <row r="85" spans="1:6" x14ac:dyDescent="0.35">
      <c r="A85" t="str">
        <f>+'[2]por cuent'!A85</f>
        <v>ARS</v>
      </c>
      <c r="B85" t="str">
        <f>+'[2]por cuent'!B85</f>
        <v>345000311</v>
      </c>
      <c r="C85" t="str">
        <f>+'[2]por cuent'!C85</f>
        <v>Jesica Andrea Gaston</v>
      </c>
      <c r="D85" s="35">
        <f>+'[2]por cuent'!G85</f>
        <v>1376906.13</v>
      </c>
      <c r="E85" s="35">
        <f>+'[2]por cuent'!H85</f>
        <v>1376906.13</v>
      </c>
      <c r="F85" t="str">
        <f>+'[2]por cuent'!I85</f>
        <v>345</v>
      </c>
    </row>
    <row r="86" spans="1:6" x14ac:dyDescent="0.35">
      <c r="A86" t="str">
        <f>+'[2]por cuent'!A86</f>
        <v>ARS</v>
      </c>
      <c r="B86" t="str">
        <f>+'[2]por cuent'!B86</f>
        <v>345000328</v>
      </c>
      <c r="C86" t="str">
        <f>+'[2]por cuent'!C86</f>
        <v>Jorge Ivan Acevedo</v>
      </c>
      <c r="D86" s="35">
        <f>+'[2]por cuent'!G86</f>
        <v>54005666.700000003</v>
      </c>
      <c r="E86" s="35">
        <f>+'[2]por cuent'!H86</f>
        <v>54005666.700000003</v>
      </c>
      <c r="F86" t="str">
        <f>+'[2]por cuent'!I86</f>
        <v>345</v>
      </c>
    </row>
    <row r="87" spans="1:6" x14ac:dyDescent="0.35">
      <c r="A87" t="str">
        <f>+'[2]por cuent'!A87</f>
        <v>ARS</v>
      </c>
      <c r="B87" t="str">
        <f>+'[2]por cuent'!B87</f>
        <v>345000403</v>
      </c>
      <c r="C87" t="str">
        <f>+'[2]por cuent'!C87</f>
        <v>Jazmin Geist</v>
      </c>
      <c r="D87" s="35">
        <f>+'[2]por cuent'!G87</f>
        <v>788930.1</v>
      </c>
      <c r="E87" s="35">
        <f>+'[2]por cuent'!H87</f>
        <v>788930.1</v>
      </c>
      <c r="F87" t="str">
        <f>+'[2]por cuent'!I87</f>
        <v>345</v>
      </c>
    </row>
    <row r="88" spans="1:6" x14ac:dyDescent="0.35">
      <c r="A88" t="str">
        <f>+'[2]por cuent'!A88</f>
        <v>ARS</v>
      </c>
      <c r="B88" t="str">
        <f>+'[2]por cuent'!B88</f>
        <v>345000444</v>
      </c>
      <c r="C88" t="str">
        <f>+'[2]por cuent'!C88</f>
        <v>Jose Luis Dominguez</v>
      </c>
      <c r="D88" s="35">
        <f>+'[2]por cuent'!G88</f>
        <v>5004792</v>
      </c>
      <c r="E88" s="35">
        <f>+'[2]por cuent'!H88</f>
        <v>5004792</v>
      </c>
      <c r="F88" t="str">
        <f>+'[2]por cuent'!I88</f>
        <v>345</v>
      </c>
    </row>
    <row r="89" spans="1:6" x14ac:dyDescent="0.35">
      <c r="A89" t="str">
        <f>+'[2]por cuent'!A89</f>
        <v>ARS</v>
      </c>
      <c r="B89" t="str">
        <f>+'[2]por cuent'!B89</f>
        <v>345000460</v>
      </c>
      <c r="C89" t="str">
        <f>+'[2]por cuent'!C89</f>
        <v>Claudia Adriana Martin</v>
      </c>
      <c r="D89" s="35">
        <f>+'[2]por cuent'!G89</f>
        <v>4338497.07</v>
      </c>
      <c r="E89" s="35">
        <f>+'[2]por cuent'!H89</f>
        <v>4338497.07</v>
      </c>
      <c r="F89" t="str">
        <f>+'[2]por cuent'!I89</f>
        <v>345</v>
      </c>
    </row>
    <row r="90" spans="1:6" x14ac:dyDescent="0.35">
      <c r="A90" t="str">
        <f>+'[2]por cuent'!A90</f>
        <v>ARS</v>
      </c>
      <c r="B90" t="str">
        <f>+'[2]por cuent'!B90</f>
        <v>345000474</v>
      </c>
      <c r="C90" t="str">
        <f>+'[2]por cuent'!C90</f>
        <v>Chiarelli, Franco</v>
      </c>
      <c r="D90" s="35">
        <f>+'[2]por cuent'!G90</f>
        <v>132732739.42</v>
      </c>
      <c r="E90" s="35">
        <f>+'[2]por cuent'!H90</f>
        <v>132732739.42</v>
      </c>
      <c r="F90" t="str">
        <f>+'[2]por cuent'!I90</f>
        <v>345</v>
      </c>
    </row>
    <row r="91" spans="1:6" x14ac:dyDescent="0.35">
      <c r="A91" t="str">
        <f>+'[2]por cuent'!A91</f>
        <v>ARS</v>
      </c>
      <c r="B91" t="str">
        <f>+'[2]por cuent'!B91</f>
        <v>345000481</v>
      </c>
      <c r="C91" t="str">
        <f>+'[2]por cuent'!C91</f>
        <v>Adrofin SRL</v>
      </c>
      <c r="D91" s="35">
        <f>+'[2]por cuent'!G91</f>
        <v>120270327.06999999</v>
      </c>
      <c r="E91" s="35">
        <f>+'[2]por cuent'!H91</f>
        <v>120270327.06999999</v>
      </c>
      <c r="F91" t="str">
        <f>+'[2]por cuent'!I91</f>
        <v>345</v>
      </c>
    </row>
    <row r="92" spans="1:6" x14ac:dyDescent="0.35">
      <c r="A92" t="str">
        <f>+'[2]por cuent'!A92</f>
        <v>ARS</v>
      </c>
      <c r="B92" t="str">
        <f>+'[2]por cuent'!B92</f>
        <v>345000484</v>
      </c>
      <c r="C92" t="str">
        <f>+'[2]por cuent'!C92</f>
        <v>Araujo Obras Viales y Civiles SA</v>
      </c>
      <c r="D92" s="35">
        <f>+'[2]por cuent'!G92</f>
        <v>114603752.93000001</v>
      </c>
      <c r="E92" s="35">
        <f>+'[2]por cuent'!H92</f>
        <v>114603752.93000001</v>
      </c>
      <c r="F92" t="str">
        <f>+'[2]por cuent'!I92</f>
        <v>345</v>
      </c>
    </row>
    <row r="93" spans="1:6" x14ac:dyDescent="0.35">
      <c r="A93" t="str">
        <f>+'[2]por cuent'!A93</f>
        <v>ARS</v>
      </c>
      <c r="B93" t="str">
        <f>+'[2]por cuent'!B93</f>
        <v>345000486</v>
      </c>
      <c r="C93" t="str">
        <f>+'[2]por cuent'!C93</f>
        <v>Carlos Rene Liendro</v>
      </c>
      <c r="D93" s="35">
        <f>+'[2]por cuent'!G93</f>
        <v>4574015.3099999996</v>
      </c>
      <c r="E93" s="35">
        <f>+'[2]por cuent'!H93</f>
        <v>4574015.3099999996</v>
      </c>
      <c r="F93" t="str">
        <f>+'[2]por cuent'!I93</f>
        <v>345</v>
      </c>
    </row>
    <row r="94" spans="1:6" x14ac:dyDescent="0.35">
      <c r="A94" t="str">
        <f>+'[2]por cuent'!A94</f>
        <v>ARS</v>
      </c>
      <c r="B94" t="str">
        <f>+'[2]por cuent'!B94</f>
        <v>345000488</v>
      </c>
      <c r="C94" t="str">
        <f>+'[2]por cuent'!C94</f>
        <v>Alejandro Romero</v>
      </c>
      <c r="D94" s="35">
        <f>+'[2]por cuent'!G94</f>
        <v>11941789.33</v>
      </c>
      <c r="E94" s="35">
        <f>+'[2]por cuent'!H94</f>
        <v>11941789.33</v>
      </c>
      <c r="F94" t="str">
        <f>+'[2]por cuent'!I94</f>
        <v>345</v>
      </c>
    </row>
    <row r="95" spans="1:6" x14ac:dyDescent="0.35">
      <c r="A95" t="str">
        <f>+'[2]por cuent'!A95</f>
        <v>ARS</v>
      </c>
      <c r="B95" t="str">
        <f>+'[2]por cuent'!B95</f>
        <v>345000490</v>
      </c>
      <c r="C95" t="str">
        <f>+'[2]por cuent'!C95</f>
        <v>Marcelo Alejandro Salvo</v>
      </c>
      <c r="D95" s="35">
        <f>+'[2]por cuent'!G95</f>
        <v>28819156.370000001</v>
      </c>
      <c r="E95" s="35">
        <f>+'[2]por cuent'!H95</f>
        <v>28819156.370000001</v>
      </c>
      <c r="F95" t="str">
        <f>+'[2]por cuent'!I95</f>
        <v>345</v>
      </c>
    </row>
    <row r="96" spans="1:6" x14ac:dyDescent="0.35">
      <c r="A96" t="str">
        <f>+'[2]por cuent'!A96</f>
        <v>ARS</v>
      </c>
      <c r="B96" t="str">
        <f>+'[2]por cuent'!B96</f>
        <v>345000509</v>
      </c>
      <c r="C96" t="str">
        <f>+'[2]por cuent'!C96</f>
        <v>Gonzalo Leonel Niz</v>
      </c>
      <c r="D96" s="35">
        <f>+'[2]por cuent'!G96</f>
        <v>4085808.22</v>
      </c>
      <c r="E96" s="35">
        <f>+'[2]por cuent'!H96</f>
        <v>4085808.22</v>
      </c>
      <c r="F96" t="str">
        <f>+'[2]por cuent'!I96</f>
        <v>345</v>
      </c>
    </row>
    <row r="97" spans="1:6" x14ac:dyDescent="0.35">
      <c r="A97" t="str">
        <f>+'[2]por cuent'!A97</f>
        <v>ARS</v>
      </c>
      <c r="B97" t="str">
        <f>+'[2]por cuent'!B97</f>
        <v>345000511</v>
      </c>
      <c r="C97" t="str">
        <f>+'[2]por cuent'!C97</f>
        <v>Sebastian Ariel Sampayo Merlino</v>
      </c>
      <c r="D97" s="35">
        <f>+'[2]por cuent'!G97</f>
        <v>7248965.5700000003</v>
      </c>
      <c r="E97" s="35">
        <f>+'[2]por cuent'!H97</f>
        <v>7248965.5700000003</v>
      </c>
      <c r="F97" t="str">
        <f>+'[2]por cuent'!I97</f>
        <v>345</v>
      </c>
    </row>
    <row r="98" spans="1:6" x14ac:dyDescent="0.35">
      <c r="A98" t="str">
        <f>+'[2]por cuent'!A98</f>
        <v>ARS</v>
      </c>
      <c r="B98" t="str">
        <f>+'[2]por cuent'!B98</f>
        <v>345000513</v>
      </c>
      <c r="C98" t="str">
        <f>+'[2]por cuent'!C98</f>
        <v>Luciano Ariel Sejas</v>
      </c>
      <c r="D98" s="35">
        <f>+'[2]por cuent'!G98</f>
        <v>2331048.75</v>
      </c>
      <c r="E98" s="35">
        <f>+'[2]por cuent'!H98</f>
        <v>2331048.75</v>
      </c>
      <c r="F98" t="str">
        <f>+'[2]por cuent'!I98</f>
        <v>345</v>
      </c>
    </row>
    <row r="99" spans="1:6" x14ac:dyDescent="0.35">
      <c r="A99" t="str">
        <f>+'[2]por cuent'!A99</f>
        <v>ARS</v>
      </c>
      <c r="B99" t="str">
        <f>+'[2]por cuent'!B99</f>
        <v>345000524</v>
      </c>
      <c r="C99" t="str">
        <f>+'[2]por cuent'!C99</f>
        <v>Pablo Martín Di Cosimo</v>
      </c>
      <c r="D99" s="35">
        <f>+'[2]por cuent'!G99</f>
        <v>1635459.22</v>
      </c>
      <c r="E99" s="35">
        <f>+'[2]por cuent'!H99</f>
        <v>1635459.22</v>
      </c>
      <c r="F99" t="str">
        <f>+'[2]por cuent'!I99</f>
        <v>345</v>
      </c>
    </row>
    <row r="100" spans="1:6" x14ac:dyDescent="0.35">
      <c r="A100" t="str">
        <f>+'[2]por cuent'!A100</f>
        <v>ARS</v>
      </c>
      <c r="B100" t="str">
        <f>+'[2]por cuent'!B100</f>
        <v>345000527</v>
      </c>
      <c r="C100" t="str">
        <f>+'[2]por cuent'!C100</f>
        <v>Yenny Rilda Palacios Zarate</v>
      </c>
      <c r="D100" s="35">
        <f>+'[2]por cuent'!G100</f>
        <v>5349749.42</v>
      </c>
      <c r="E100" s="35">
        <f>+'[2]por cuent'!H100</f>
        <v>5349749.42</v>
      </c>
      <c r="F100" t="str">
        <f>+'[2]por cuent'!I100</f>
        <v>345</v>
      </c>
    </row>
    <row r="101" spans="1:6" x14ac:dyDescent="0.35">
      <c r="A101" t="str">
        <f>+'[2]por cuent'!A101</f>
        <v>ARS</v>
      </c>
      <c r="B101" t="str">
        <f>+'[2]por cuent'!B101</f>
        <v>345000538</v>
      </c>
      <c r="C101" t="str">
        <f>+'[2]por cuent'!C101</f>
        <v>Asociación Mutual Asis</v>
      </c>
      <c r="D101" s="35">
        <f>+'[2]por cuent'!G101</f>
        <v>6666073.6100000003</v>
      </c>
      <c r="E101" s="35">
        <f>+'[2]por cuent'!H101</f>
        <v>6666073.6100000003</v>
      </c>
      <c r="F101" t="str">
        <f>+'[2]por cuent'!I101</f>
        <v>345</v>
      </c>
    </row>
    <row r="102" spans="1:6" x14ac:dyDescent="0.35">
      <c r="A102" t="str">
        <f>+'[2]por cuent'!A102</f>
        <v>ARS</v>
      </c>
      <c r="B102" t="str">
        <f>+'[2]por cuent'!B102</f>
        <v>345000546</v>
      </c>
      <c r="C102" t="str">
        <f>+'[2]por cuent'!C102</f>
        <v>Agustín Julian Arechavala</v>
      </c>
      <c r="D102" s="35">
        <f>+'[2]por cuent'!G102</f>
        <v>6134108.7199999997</v>
      </c>
      <c r="E102" s="35">
        <f>+'[2]por cuent'!H102</f>
        <v>6134108.7199999997</v>
      </c>
      <c r="F102" t="str">
        <f>+'[2]por cuent'!I102</f>
        <v>345</v>
      </c>
    </row>
    <row r="103" spans="1:6" x14ac:dyDescent="0.35">
      <c r="A103" t="str">
        <f>+'[2]por cuent'!A103</f>
        <v>ARS</v>
      </c>
      <c r="B103" t="str">
        <f>+'[2]por cuent'!B103</f>
        <v>345000552</v>
      </c>
      <c r="C103" t="str">
        <f>+'[2]por cuent'!C103</f>
        <v>Dalila Celeste Romano</v>
      </c>
      <c r="D103" s="35">
        <f>+'[2]por cuent'!G103</f>
        <v>2463376.64</v>
      </c>
      <c r="E103" s="35">
        <f>+'[2]por cuent'!H103</f>
        <v>2463376.64</v>
      </c>
      <c r="F103" t="str">
        <f>+'[2]por cuent'!I103</f>
        <v>345</v>
      </c>
    </row>
    <row r="104" spans="1:6" x14ac:dyDescent="0.35">
      <c r="A104" t="str">
        <f>+'[2]por cuent'!A104</f>
        <v>ARS</v>
      </c>
      <c r="B104" t="str">
        <f>+'[2]por cuent'!B104</f>
        <v>345000560</v>
      </c>
      <c r="C104" t="str">
        <f>+'[2]por cuent'!C104</f>
        <v>Cynthia Paola Chaparro</v>
      </c>
      <c r="D104" s="35">
        <f>+'[2]por cuent'!G104</f>
        <v>375505.36</v>
      </c>
      <c r="E104" s="35">
        <f>+'[2]por cuent'!H104</f>
        <v>375505.36</v>
      </c>
      <c r="F104" t="str">
        <f>+'[2]por cuent'!I104</f>
        <v>345</v>
      </c>
    </row>
    <row r="105" spans="1:6" x14ac:dyDescent="0.35">
      <c r="A105" t="str">
        <f>+'[2]por cuent'!A105</f>
        <v>ARS</v>
      </c>
      <c r="B105" t="str">
        <f>+'[2]por cuent'!B105</f>
        <v>345000568</v>
      </c>
      <c r="C105" t="str">
        <f>+'[2]por cuent'!C105</f>
        <v xml:space="preserve">Estefanía Melisa Panza y Pablo Daniel Britos </v>
      </c>
      <c r="D105" s="35">
        <f>+'[2]por cuent'!G105</f>
        <v>1173737.17</v>
      </c>
      <c r="E105" s="35">
        <f>+'[2]por cuent'!H105</f>
        <v>1173737.17</v>
      </c>
      <c r="F105" t="str">
        <f>+'[2]por cuent'!I105</f>
        <v>345</v>
      </c>
    </row>
    <row r="106" spans="1:6" x14ac:dyDescent="0.35">
      <c r="A106" t="str">
        <f>+'[2]por cuent'!A106</f>
        <v>ARS</v>
      </c>
      <c r="B106" t="str">
        <f>+'[2]por cuent'!B106</f>
        <v>345000612</v>
      </c>
      <c r="C106" t="str">
        <f>+'[2]por cuent'!C106</f>
        <v xml:space="preserve">Miguel German </v>
      </c>
      <c r="D106" s="35">
        <f>+'[2]por cuent'!G106</f>
        <v>10023827.710000001</v>
      </c>
      <c r="E106" s="35">
        <f>+'[2]por cuent'!H106</f>
        <v>10023827.710000001</v>
      </c>
      <c r="F106" t="str">
        <f>+'[2]por cuent'!I106</f>
        <v>345</v>
      </c>
    </row>
    <row r="107" spans="1:6" x14ac:dyDescent="0.35">
      <c r="A107" t="str">
        <f>+'[2]por cuent'!A107</f>
        <v>ARS</v>
      </c>
      <c r="B107" t="str">
        <f>+'[2]por cuent'!B107</f>
        <v>345000613</v>
      </c>
      <c r="C107" t="str">
        <f>+'[2]por cuent'!C107</f>
        <v>Melina Yazmin Souto</v>
      </c>
      <c r="D107" s="35">
        <f>+'[2]por cuent'!G107</f>
        <v>3297040.94</v>
      </c>
      <c r="E107" s="35">
        <f>+'[2]por cuent'!H107</f>
        <v>3297040.94</v>
      </c>
      <c r="F107" t="str">
        <f>+'[2]por cuent'!I107</f>
        <v>345</v>
      </c>
    </row>
    <row r="108" spans="1:6" x14ac:dyDescent="0.35">
      <c r="A108" t="str">
        <f>+'[2]por cuent'!A108</f>
        <v>ARS</v>
      </c>
      <c r="B108" t="str">
        <f>+'[2]por cuent'!B108</f>
        <v>345000616</v>
      </c>
      <c r="C108" t="str">
        <f>+'[2]por cuent'!C108</f>
        <v>Jose Maria Placente</v>
      </c>
      <c r="D108" s="35">
        <f>+'[2]por cuent'!G108</f>
        <v>46599160.07</v>
      </c>
      <c r="E108" s="35">
        <f>+'[2]por cuent'!H108</f>
        <v>46599160.07</v>
      </c>
      <c r="F108" t="str">
        <f>+'[2]por cuent'!I108</f>
        <v>345</v>
      </c>
    </row>
    <row r="109" spans="1:6" x14ac:dyDescent="0.35">
      <c r="A109" t="str">
        <f>+'[2]por cuent'!A109</f>
        <v>ARS</v>
      </c>
      <c r="B109" t="str">
        <f>+'[2]por cuent'!B109</f>
        <v>345000617</v>
      </c>
      <c r="C109" t="str">
        <f>+'[2]por cuent'!C109</f>
        <v xml:space="preserve"> Claudia Patricia Lucero</v>
      </c>
      <c r="D109" s="35">
        <f>+'[2]por cuent'!G109</f>
        <v>2879718.49</v>
      </c>
      <c r="E109" s="35">
        <f>+'[2]por cuent'!H109</f>
        <v>2879718.49</v>
      </c>
      <c r="F109" t="str">
        <f>+'[2]por cuent'!I109</f>
        <v>345</v>
      </c>
    </row>
    <row r="110" spans="1:6" x14ac:dyDescent="0.35">
      <c r="A110" t="str">
        <f>+'[2]por cuent'!A110</f>
        <v>ARS</v>
      </c>
      <c r="B110" t="str">
        <f>+'[2]por cuent'!B110</f>
        <v>345000620</v>
      </c>
      <c r="C110" t="str">
        <f>+'[2]por cuent'!C110</f>
        <v>Lucas Manuel Iturria</v>
      </c>
      <c r="D110" s="35">
        <f>+'[2]por cuent'!G110</f>
        <v>1214774.7</v>
      </c>
      <c r="E110" s="35">
        <f>+'[2]por cuent'!H110</f>
        <v>1214774.7</v>
      </c>
      <c r="F110" t="str">
        <f>+'[2]por cuent'!I110</f>
        <v>345</v>
      </c>
    </row>
    <row r="111" spans="1:6" x14ac:dyDescent="0.35">
      <c r="A111" t="str">
        <f>+'[2]por cuent'!A111</f>
        <v>ARS</v>
      </c>
      <c r="B111" t="str">
        <f>+'[2]por cuent'!B111</f>
        <v>345000665</v>
      </c>
      <c r="C111" t="str">
        <f>+'[2]por cuent'!C111</f>
        <v>Maria Alejandra Pellegrino</v>
      </c>
      <c r="D111" s="35">
        <f>+'[2]por cuent'!G111</f>
        <v>9204128.1899999995</v>
      </c>
      <c r="E111" s="35">
        <f>+'[2]por cuent'!H111</f>
        <v>9204128.1899999995</v>
      </c>
      <c r="F111" t="str">
        <f>+'[2]por cuent'!I111</f>
        <v>345</v>
      </c>
    </row>
    <row r="112" spans="1:6" x14ac:dyDescent="0.35">
      <c r="A112" t="str">
        <f>+'[2]por cuent'!A112</f>
        <v>ARS</v>
      </c>
      <c r="B112" t="str">
        <f>+'[2]por cuent'!B112</f>
        <v>345000680</v>
      </c>
      <c r="C112" t="str">
        <f>+'[2]por cuent'!C112</f>
        <v>[C.E.R.A.] Fornasieri Ricardo</v>
      </c>
      <c r="D112" s="35">
        <f>+'[2]por cuent'!G112</f>
        <v>380147492.93000001</v>
      </c>
      <c r="E112" s="35">
        <f>+'[2]por cuent'!H112</f>
        <v>380147492.93000001</v>
      </c>
      <c r="F112" t="str">
        <f>+'[2]por cuent'!I112</f>
        <v>345</v>
      </c>
    </row>
    <row r="113" spans="1:6" x14ac:dyDescent="0.35">
      <c r="A113" t="str">
        <f>+'[2]por cuent'!A113</f>
        <v>ARS</v>
      </c>
      <c r="B113" t="str">
        <f>+'[2]por cuent'!B113</f>
        <v>345000714</v>
      </c>
      <c r="C113" t="str">
        <f>+'[2]por cuent'!C113</f>
        <v>Oscar Antonio Turchak</v>
      </c>
      <c r="D113" s="35">
        <f>+'[2]por cuent'!G113</f>
        <v>1076120.8999999999</v>
      </c>
      <c r="E113" s="35">
        <f>+'[2]por cuent'!H113</f>
        <v>1076120.8999999999</v>
      </c>
      <c r="F113" t="str">
        <f>+'[2]por cuent'!I113</f>
        <v>345</v>
      </c>
    </row>
    <row r="114" spans="1:6" x14ac:dyDescent="0.35">
      <c r="A114" t="str">
        <f>+'[2]por cuent'!A114</f>
        <v>ARS</v>
      </c>
      <c r="B114" t="str">
        <f>+'[2]por cuent'!B114</f>
        <v>345000717</v>
      </c>
      <c r="C114" t="str">
        <f>+'[2]por cuent'!C114</f>
        <v>[C.E.R.A.] Fornasieri Guido Ezequiel</v>
      </c>
      <c r="D114" s="35">
        <f>+'[2]por cuent'!G114</f>
        <v>669588331.52999997</v>
      </c>
      <c r="E114" s="35">
        <f>+'[2]por cuent'!H114</f>
        <v>669588331.52999997</v>
      </c>
      <c r="F114" t="str">
        <f>+'[2]por cuent'!I114</f>
        <v>345</v>
      </c>
    </row>
    <row r="115" spans="1:6" x14ac:dyDescent="0.35">
      <c r="A115" t="str">
        <f>+'[2]por cuent'!A115</f>
        <v>ARS</v>
      </c>
      <c r="B115" t="str">
        <f>+'[2]por cuent'!B115</f>
        <v>345000718</v>
      </c>
      <c r="C115" t="str">
        <f>+'[2]por cuent'!C115</f>
        <v>[C.E.R.A.] Bartel Ana Maria</v>
      </c>
      <c r="D115" s="35">
        <f>+'[2]por cuent'!G115</f>
        <v>879389688.03999996</v>
      </c>
      <c r="E115" s="35">
        <f>+'[2]por cuent'!H115</f>
        <v>879389688.03999996</v>
      </c>
      <c r="F115" t="str">
        <f>+'[2]por cuent'!I115</f>
        <v>345</v>
      </c>
    </row>
    <row r="116" spans="1:6" x14ac:dyDescent="0.35">
      <c r="A116" t="str">
        <f>+'[2]por cuent'!A116</f>
        <v>ARS</v>
      </c>
      <c r="B116" t="str">
        <f>+'[2]por cuent'!B116</f>
        <v>345000724</v>
      </c>
      <c r="C116" t="str">
        <f>+'[2]por cuent'!C116</f>
        <v>[C.E.R.A.] Fornasieri Juan Cruz</v>
      </c>
      <c r="D116" s="35">
        <f>+'[2]por cuent'!G116</f>
        <v>2026531001.3900001</v>
      </c>
      <c r="E116" s="35">
        <f>+'[2]por cuent'!H116</f>
        <v>2026531001.3900001</v>
      </c>
      <c r="F116" t="str">
        <f>+'[2]por cuent'!I116</f>
        <v>345</v>
      </c>
    </row>
    <row r="117" spans="1:6" x14ac:dyDescent="0.35">
      <c r="A117" t="str">
        <f>+'[2]por cuent'!A117</f>
        <v>ARS</v>
      </c>
      <c r="B117" t="str">
        <f>+'[2]por cuent'!B117</f>
        <v>345000725</v>
      </c>
      <c r="C117" t="str">
        <f>+'[2]por cuent'!C117</f>
        <v>[C.E.R.A.]  Fornasieri Gonzalo Nicolas</v>
      </c>
      <c r="D117" s="35">
        <f>+'[2]por cuent'!G117</f>
        <v>1819441.2</v>
      </c>
      <c r="E117" s="35">
        <f>+'[2]por cuent'!H117</f>
        <v>1819441.2</v>
      </c>
      <c r="F117" t="str">
        <f>+'[2]por cuent'!I117</f>
        <v>345</v>
      </c>
    </row>
    <row r="118" spans="1:6" x14ac:dyDescent="0.35">
      <c r="A118" t="str">
        <f>+'[2]por cuent'!A118</f>
        <v>ARS</v>
      </c>
      <c r="B118" t="str">
        <f>+'[2]por cuent'!B118</f>
        <v>345000730</v>
      </c>
      <c r="C118" t="str">
        <f>+'[2]por cuent'!C118</f>
        <v>Carla Maria D´amico</v>
      </c>
      <c r="D118" s="35">
        <f>+'[2]por cuent'!G118</f>
        <v>147888.94</v>
      </c>
      <c r="E118" s="35">
        <f>+'[2]por cuent'!H118</f>
        <v>147888.94</v>
      </c>
      <c r="F118" t="str">
        <f>+'[2]por cuent'!I118</f>
        <v>345</v>
      </c>
    </row>
    <row r="119" spans="1:6" x14ac:dyDescent="0.35">
      <c r="A119" t="str">
        <f>+'[2]por cuent'!A119</f>
        <v>ARS</v>
      </c>
      <c r="B119" t="str">
        <f>+'[2]por cuent'!B119</f>
        <v>345000736</v>
      </c>
      <c r="C119" t="str">
        <f>+'[2]por cuent'!C119</f>
        <v>Agustina Zanet</v>
      </c>
      <c r="D119" s="35">
        <f>+'[2]por cuent'!G119</f>
        <v>1999083.82</v>
      </c>
      <c r="E119" s="35">
        <f>+'[2]por cuent'!H119</f>
        <v>1999083.82</v>
      </c>
      <c r="F119" t="str">
        <f>+'[2]por cuent'!I119</f>
        <v>345</v>
      </c>
    </row>
    <row r="120" spans="1:6" x14ac:dyDescent="0.35">
      <c r="A120" t="str">
        <f>+'[2]por cuent'!A120</f>
        <v>ARS</v>
      </c>
      <c r="B120" t="str">
        <f>+'[2]por cuent'!B120</f>
        <v>345000748</v>
      </c>
      <c r="C120" t="str">
        <f>+'[2]por cuent'!C120</f>
        <v>Nancy Beatriz Muras</v>
      </c>
      <c r="D120" s="35">
        <f>+'[2]por cuent'!G120</f>
        <v>9906114.4000000004</v>
      </c>
      <c r="E120" s="35">
        <f>+'[2]por cuent'!H120</f>
        <v>9906114.4000000004</v>
      </c>
      <c r="F120" t="str">
        <f>+'[2]por cuent'!I120</f>
        <v>345</v>
      </c>
    </row>
    <row r="121" spans="1:6" x14ac:dyDescent="0.35">
      <c r="A121" t="str">
        <f>+'[2]por cuent'!A121</f>
        <v>ARS</v>
      </c>
      <c r="B121" t="str">
        <f>+'[2]por cuent'!B121</f>
        <v>345000750</v>
      </c>
      <c r="C121" t="str">
        <f>+'[2]por cuent'!C121</f>
        <v>Sergio Zanet</v>
      </c>
      <c r="D121" s="35">
        <f>+'[2]por cuent'!G121</f>
        <v>3063926.48</v>
      </c>
      <c r="E121" s="35">
        <f>+'[2]por cuent'!H121</f>
        <v>3063926.48</v>
      </c>
      <c r="F121" t="str">
        <f>+'[2]por cuent'!I121</f>
        <v>345</v>
      </c>
    </row>
    <row r="122" spans="1:6" x14ac:dyDescent="0.35">
      <c r="A122" t="str">
        <f>+'[2]por cuent'!A122</f>
        <v>ARS</v>
      </c>
      <c r="B122" t="str">
        <f>+'[2]por cuent'!B122</f>
        <v>345000761</v>
      </c>
      <c r="C122" t="str">
        <f>+'[2]por cuent'!C122</f>
        <v>Horacio Hector Mosquera</v>
      </c>
      <c r="D122" s="35">
        <f>+'[2]por cuent'!G122</f>
        <v>2716814.4</v>
      </c>
      <c r="E122" s="35">
        <f>+'[2]por cuent'!H122</f>
        <v>2716814.4</v>
      </c>
      <c r="F122" t="str">
        <f>+'[2]por cuent'!I122</f>
        <v>345</v>
      </c>
    </row>
    <row r="123" spans="1:6" x14ac:dyDescent="0.35">
      <c r="A123" t="str">
        <f>+'[2]por cuent'!A123</f>
        <v>ARS</v>
      </c>
      <c r="B123" t="str">
        <f>+'[2]por cuent'!B123</f>
        <v>345000769</v>
      </c>
      <c r="C123" t="str">
        <f>+'[2]por cuent'!C123</f>
        <v xml:space="preserve">[C.E.R.A.] Diego Andres Cymberknoh </v>
      </c>
      <c r="D123" s="35">
        <f>+'[2]por cuent'!G123</f>
        <v>103104</v>
      </c>
      <c r="E123" s="35">
        <f>+'[2]por cuent'!H123</f>
        <v>103104</v>
      </c>
      <c r="F123" t="str">
        <f>+'[2]por cuent'!I123</f>
        <v>345</v>
      </c>
    </row>
    <row r="124" spans="1:6" x14ac:dyDescent="0.35">
      <c r="A124" t="str">
        <f>+'[2]por cuent'!A124</f>
        <v>ARS</v>
      </c>
      <c r="B124" t="str">
        <f>+'[2]por cuent'!B124</f>
        <v>345000771</v>
      </c>
      <c r="C124" t="str">
        <f>+'[2]por cuent'!C124</f>
        <v>Yansa Yael Lombardo Segreto</v>
      </c>
      <c r="D124" s="35">
        <f>+'[2]por cuent'!G124</f>
        <v>618258.37</v>
      </c>
      <c r="E124" s="35">
        <f>+'[2]por cuent'!H124</f>
        <v>618258.37</v>
      </c>
      <c r="F124" t="str">
        <f>+'[2]por cuent'!I124</f>
        <v>345</v>
      </c>
    </row>
    <row r="125" spans="1:6" x14ac:dyDescent="0.35">
      <c r="A125" t="str">
        <f>+'[2]por cuent'!A125</f>
        <v>ARS</v>
      </c>
      <c r="B125" t="str">
        <f>+'[2]por cuent'!B125</f>
        <v>345000775</v>
      </c>
      <c r="C125" t="str">
        <f>+'[2]por cuent'!C125</f>
        <v>Hugo Daniel Izquierdo y Molina Paula Edith</v>
      </c>
      <c r="D125" s="35">
        <f>+'[2]por cuent'!G125</f>
        <v>1651724.5</v>
      </c>
      <c r="E125" s="35">
        <f>+'[2]por cuent'!H125</f>
        <v>1651724.5</v>
      </c>
      <c r="F125" t="str">
        <f>+'[2]por cuent'!I125</f>
        <v>345</v>
      </c>
    </row>
    <row r="126" spans="1:6" x14ac:dyDescent="0.35">
      <c r="A126" t="str">
        <f>+'[2]por cuent'!A126</f>
        <v>ARS</v>
      </c>
      <c r="B126" t="str">
        <f>+'[2]por cuent'!B126</f>
        <v>345000776</v>
      </c>
      <c r="C126" t="str">
        <f>+'[2]por cuent'!C126</f>
        <v>Maria Fuhr</v>
      </c>
      <c r="D126" s="35">
        <f>+'[2]por cuent'!G126</f>
        <v>1138588.0900000001</v>
      </c>
      <c r="E126" s="35">
        <f>+'[2]por cuent'!H126</f>
        <v>1138588.0900000001</v>
      </c>
      <c r="F126" t="str">
        <f>+'[2]por cuent'!I126</f>
        <v>345</v>
      </c>
    </row>
    <row r="127" spans="1:6" x14ac:dyDescent="0.35">
      <c r="A127" t="str">
        <f>+'[2]por cuent'!A127</f>
        <v>ARS</v>
      </c>
      <c r="B127" t="str">
        <f>+'[2]por cuent'!B127</f>
        <v>345000783</v>
      </c>
      <c r="C127" t="str">
        <f>+'[2]por cuent'!C127</f>
        <v xml:space="preserve">[C.E.R.A.] Roberto Alfredo Ramos </v>
      </c>
      <c r="D127" s="35">
        <f>+'[2]por cuent'!G127</f>
        <v>2793.3</v>
      </c>
      <c r="E127" s="35">
        <f>+'[2]por cuent'!H127</f>
        <v>2793.3</v>
      </c>
      <c r="F127" t="str">
        <f>+'[2]por cuent'!I127</f>
        <v>345</v>
      </c>
    </row>
    <row r="128" spans="1:6" x14ac:dyDescent="0.35">
      <c r="A128" t="str">
        <f>+'[2]por cuent'!A128</f>
        <v>ARS</v>
      </c>
      <c r="B128" t="str">
        <f>+'[2]por cuent'!B128</f>
        <v>345000794</v>
      </c>
      <c r="C128" t="str">
        <f>+'[2]por cuent'!C128</f>
        <v>Marta Graciela Blasco</v>
      </c>
      <c r="D128" s="35">
        <f>+'[2]por cuent'!G128</f>
        <v>2789.7</v>
      </c>
      <c r="E128" s="35">
        <f>+'[2]por cuent'!H128</f>
        <v>2789.7</v>
      </c>
      <c r="F128" t="str">
        <f>+'[2]por cuent'!I128</f>
        <v>345</v>
      </c>
    </row>
    <row r="129" spans="1:6" x14ac:dyDescent="0.35">
      <c r="A129" t="str">
        <f>+'[2]por cuent'!A129</f>
        <v>ARS</v>
      </c>
      <c r="B129" t="str">
        <f>+'[2]por cuent'!B129</f>
        <v>345000807</v>
      </c>
      <c r="C129" t="str">
        <f>+'[2]por cuent'!C129</f>
        <v>Claudio Marcelo Rodriguez Castro</v>
      </c>
      <c r="D129" s="35">
        <f>+'[2]por cuent'!G129</f>
        <v>613939.79</v>
      </c>
      <c r="E129" s="35">
        <f>+'[2]por cuent'!H129</f>
        <v>613939.79</v>
      </c>
      <c r="F129" t="str">
        <f>+'[2]por cuent'!I129</f>
        <v>345</v>
      </c>
    </row>
    <row r="130" spans="1:6" x14ac:dyDescent="0.35">
      <c r="A130" t="str">
        <f>+'[2]por cuent'!A130</f>
        <v>ARS</v>
      </c>
      <c r="B130" t="str">
        <f>+'[2]por cuent'!B130</f>
        <v>345000808</v>
      </c>
      <c r="C130" t="str">
        <f>+'[2]por cuent'!C130</f>
        <v>Matias Conde Meira</v>
      </c>
      <c r="D130" s="35">
        <f>+'[2]por cuent'!G130</f>
        <v>117545299.63</v>
      </c>
      <c r="E130" s="35">
        <f>+'[2]por cuent'!H130</f>
        <v>117545299.63</v>
      </c>
      <c r="F130" t="str">
        <f>+'[2]por cuent'!I130</f>
        <v>345</v>
      </c>
    </row>
    <row r="131" spans="1:6" x14ac:dyDescent="0.35">
      <c r="A131" t="str">
        <f>+'[2]por cuent'!A131</f>
        <v>ARS</v>
      </c>
      <c r="B131" t="str">
        <f>+'[2]por cuent'!B131</f>
        <v>345000814</v>
      </c>
      <c r="C131" t="str">
        <f>+'[2]por cuent'!C131</f>
        <v>Jose Luis Correa</v>
      </c>
      <c r="D131" s="35">
        <f>+'[2]por cuent'!G131</f>
        <v>287265.76</v>
      </c>
      <c r="E131" s="35">
        <f>+'[2]por cuent'!H131</f>
        <v>287265.76</v>
      </c>
      <c r="F131" t="str">
        <f>+'[2]por cuent'!I131</f>
        <v>345</v>
      </c>
    </row>
    <row r="132" spans="1:6" x14ac:dyDescent="0.35">
      <c r="A132" t="str">
        <f>+'[2]por cuent'!A132</f>
        <v>ARS</v>
      </c>
      <c r="B132" t="str">
        <f>+'[2]por cuent'!B132</f>
        <v>345000835</v>
      </c>
      <c r="C132" t="str">
        <f>+'[2]por cuent'!C132</f>
        <v>LFVM S.A.</v>
      </c>
      <c r="D132" s="35">
        <f>+'[2]por cuent'!G132</f>
        <v>881841226.89999998</v>
      </c>
      <c r="E132" s="35">
        <f>+'[2]por cuent'!H132</f>
        <v>881841226.89999998</v>
      </c>
      <c r="F132" t="str">
        <f>+'[2]por cuent'!I132</f>
        <v>345</v>
      </c>
    </row>
    <row r="133" spans="1:6" x14ac:dyDescent="0.35">
      <c r="A133" t="str">
        <f>+'[2]por cuent'!A133</f>
        <v>ARS</v>
      </c>
      <c r="B133" t="str">
        <f>+'[2]por cuent'!B133</f>
        <v>345000839</v>
      </c>
      <c r="C133" t="str">
        <f>+'[2]por cuent'!C133</f>
        <v>Damian Antonio Cerrato</v>
      </c>
      <c r="D133" s="35">
        <f>+'[2]por cuent'!G133</f>
        <v>16191314.939999999</v>
      </c>
      <c r="E133" s="35">
        <f>+'[2]por cuent'!H133</f>
        <v>16191314.939999999</v>
      </c>
      <c r="F133" t="str">
        <f>+'[2]por cuent'!I133</f>
        <v>345</v>
      </c>
    </row>
    <row r="134" spans="1:6" x14ac:dyDescent="0.35">
      <c r="A134" t="str">
        <f>+'[2]por cuent'!A134</f>
        <v>ARS</v>
      </c>
      <c r="B134" t="str">
        <f>+'[2]por cuent'!B134</f>
        <v>345000841</v>
      </c>
      <c r="C134" t="str">
        <f>+'[2]por cuent'!C134</f>
        <v>Liliana Beatriz Holzmann</v>
      </c>
      <c r="D134" s="35">
        <f>+'[2]por cuent'!G134</f>
        <v>92103003.329999998</v>
      </c>
      <c r="E134" s="35">
        <f>+'[2]por cuent'!H134</f>
        <v>92103003.329999998</v>
      </c>
      <c r="F134" t="str">
        <f>+'[2]por cuent'!I134</f>
        <v>345</v>
      </c>
    </row>
    <row r="135" spans="1:6" x14ac:dyDescent="0.35">
      <c r="A135" t="str">
        <f>+'[2]por cuent'!A135</f>
        <v>ARS</v>
      </c>
      <c r="B135" t="str">
        <f>+'[2]por cuent'!B135</f>
        <v>345000848</v>
      </c>
      <c r="C135" t="str">
        <f>+'[2]por cuent'!C135</f>
        <v>Marcelo Muerza</v>
      </c>
      <c r="D135" s="35">
        <f>+'[2]por cuent'!G135</f>
        <v>4065.5</v>
      </c>
      <c r="E135" s="35">
        <f>+'[2]por cuent'!H135</f>
        <v>4065.5</v>
      </c>
      <c r="F135" t="str">
        <f>+'[2]por cuent'!I135</f>
        <v>345</v>
      </c>
    </row>
    <row r="136" spans="1:6" x14ac:dyDescent="0.35">
      <c r="A136" t="str">
        <f>+'[2]por cuent'!A136</f>
        <v>ARS</v>
      </c>
      <c r="B136" t="str">
        <f>+'[2]por cuent'!B136</f>
        <v>345000849</v>
      </c>
      <c r="C136" t="str">
        <f>+'[2]por cuent'!C136</f>
        <v>Percy Mercedaria Contreras Manrique</v>
      </c>
      <c r="D136" s="35">
        <f>+'[2]por cuent'!G136</f>
        <v>2888967.29</v>
      </c>
      <c r="E136" s="35">
        <f>+'[2]por cuent'!H136</f>
        <v>2888967.29</v>
      </c>
      <c r="F136" t="str">
        <f>+'[2]por cuent'!I136</f>
        <v>345</v>
      </c>
    </row>
    <row r="137" spans="1:6" x14ac:dyDescent="0.35">
      <c r="A137" t="str">
        <f>+'[2]por cuent'!A137</f>
        <v>ARS</v>
      </c>
      <c r="B137" t="str">
        <f>+'[2]por cuent'!B137</f>
        <v>345000850</v>
      </c>
      <c r="C137" t="str">
        <f>+'[2]por cuent'!C137</f>
        <v>Alicia Noemi Luini</v>
      </c>
      <c r="D137" s="35">
        <f>+'[2]por cuent'!G137</f>
        <v>4198629.74</v>
      </c>
      <c r="E137" s="35">
        <f>+'[2]por cuent'!H137</f>
        <v>4198629.74</v>
      </c>
      <c r="F137" t="str">
        <f>+'[2]por cuent'!I137</f>
        <v>345</v>
      </c>
    </row>
    <row r="138" spans="1:6" x14ac:dyDescent="0.35">
      <c r="A138" t="str">
        <f>+'[2]por cuent'!A138</f>
        <v>ARS</v>
      </c>
      <c r="B138" t="str">
        <f>+'[2]por cuent'!B138</f>
        <v>345000851</v>
      </c>
      <c r="C138" t="str">
        <f>+'[2]por cuent'!C138</f>
        <v>Jose Roberto Pallares</v>
      </c>
      <c r="D138" s="35">
        <f>+'[2]por cuent'!G138</f>
        <v>37490172.950000003</v>
      </c>
      <c r="E138" s="35">
        <f>+'[2]por cuent'!H138</f>
        <v>37490172.950000003</v>
      </c>
      <c r="F138" t="str">
        <f>+'[2]por cuent'!I138</f>
        <v>345</v>
      </c>
    </row>
    <row r="139" spans="1:6" x14ac:dyDescent="0.35">
      <c r="A139" t="str">
        <f>+'[2]por cuent'!A139</f>
        <v>ARS</v>
      </c>
      <c r="B139" t="str">
        <f>+'[2]por cuent'!B139</f>
        <v>345000853</v>
      </c>
      <c r="C139" t="str">
        <f>+'[2]por cuent'!C139</f>
        <v>Cintia Solange Veron y Gonzalo Daniel Kabitsis</v>
      </c>
      <c r="D139" s="35">
        <f>+'[2]por cuent'!G139</f>
        <v>29515222.149999999</v>
      </c>
      <c r="E139" s="35">
        <f>+'[2]por cuent'!H139</f>
        <v>29515222.149999999</v>
      </c>
      <c r="F139" t="str">
        <f>+'[2]por cuent'!I139</f>
        <v>345</v>
      </c>
    </row>
    <row r="140" spans="1:6" x14ac:dyDescent="0.35">
      <c r="A140" t="str">
        <f>+'[2]por cuent'!A140</f>
        <v>ARS</v>
      </c>
      <c r="B140" t="str">
        <f>+'[2]por cuent'!B140</f>
        <v>345000879</v>
      </c>
      <c r="C140" t="str">
        <f>+'[2]por cuent'!C140</f>
        <v>Cesar Osvaldo Onori y Claudia Patricia Gimenez</v>
      </c>
      <c r="D140" s="35">
        <f>+'[2]por cuent'!G140</f>
        <v>33812616.649999999</v>
      </c>
      <c r="E140" s="35">
        <f>+'[2]por cuent'!H140</f>
        <v>33812616.649999999</v>
      </c>
      <c r="F140" t="str">
        <f>+'[2]por cuent'!I140</f>
        <v>345</v>
      </c>
    </row>
    <row r="141" spans="1:6" x14ac:dyDescent="0.35">
      <c r="A141" t="str">
        <f>+'[2]por cuent'!A141</f>
        <v>ARS</v>
      </c>
      <c r="B141" t="str">
        <f>+'[2]por cuent'!B141</f>
        <v>345000880</v>
      </c>
      <c r="C141" t="str">
        <f>+'[2]por cuent'!C141</f>
        <v>Scinardo Ratto, Lucas</v>
      </c>
      <c r="D141" s="35">
        <f>+'[2]por cuent'!G141</f>
        <v>363475</v>
      </c>
      <c r="E141" s="35">
        <f>+'[2]por cuent'!H141</f>
        <v>363475</v>
      </c>
      <c r="F141" t="str">
        <f>+'[2]por cuent'!I141</f>
        <v>345</v>
      </c>
    </row>
    <row r="142" spans="1:6" x14ac:dyDescent="0.35">
      <c r="A142" t="str">
        <f>+'[2]por cuent'!A142</f>
        <v>ARS</v>
      </c>
      <c r="B142" t="str">
        <f>+'[2]por cuent'!B142</f>
        <v>345000884</v>
      </c>
      <c r="C142" t="str">
        <f>+'[2]por cuent'!C142</f>
        <v>Ernesto Rodriguez y María Celeste Odino</v>
      </c>
      <c r="D142" s="35">
        <f>+'[2]por cuent'!G142</f>
        <v>2503066.4900000002</v>
      </c>
      <c r="E142" s="35">
        <f>+'[2]por cuent'!H142</f>
        <v>2503066.4900000002</v>
      </c>
      <c r="F142" t="str">
        <f>+'[2]por cuent'!I142</f>
        <v>345</v>
      </c>
    </row>
    <row r="143" spans="1:6" x14ac:dyDescent="0.35">
      <c r="A143" t="str">
        <f>+'[2]por cuent'!A143</f>
        <v>ARS</v>
      </c>
      <c r="B143" t="str">
        <f>+'[2]por cuent'!B143</f>
        <v>345000885</v>
      </c>
      <c r="C143" t="str">
        <f>+'[2]por cuent'!C143</f>
        <v>Juan Emilio Medina</v>
      </c>
      <c r="D143" s="35">
        <f>+'[2]por cuent'!G143</f>
        <v>11868929.98</v>
      </c>
      <c r="E143" s="35">
        <f>+'[2]por cuent'!H143</f>
        <v>11868929.98</v>
      </c>
      <c r="F143" t="str">
        <f>+'[2]por cuent'!I143</f>
        <v>345</v>
      </c>
    </row>
    <row r="144" spans="1:6" x14ac:dyDescent="0.35">
      <c r="A144" t="str">
        <f>+'[2]por cuent'!A144</f>
        <v>ARS</v>
      </c>
      <c r="B144" t="str">
        <f>+'[2]por cuent'!B144</f>
        <v>345000890</v>
      </c>
      <c r="C144" t="str">
        <f>+'[2]por cuent'!C144</f>
        <v>Maria Leticia Perez</v>
      </c>
      <c r="D144" s="35">
        <f>+'[2]por cuent'!G144</f>
        <v>28738794.390000001</v>
      </c>
      <c r="E144" s="35">
        <f>+'[2]por cuent'!H144</f>
        <v>28738794.390000001</v>
      </c>
      <c r="F144" t="str">
        <f>+'[2]por cuent'!I144</f>
        <v>345</v>
      </c>
    </row>
    <row r="145" spans="1:6" x14ac:dyDescent="0.35">
      <c r="A145" t="str">
        <f>+'[2]por cuent'!A145</f>
        <v>ARS</v>
      </c>
      <c r="B145" t="str">
        <f>+'[2]por cuent'!B145</f>
        <v>345000893</v>
      </c>
      <c r="C145" t="str">
        <f>+'[2]por cuent'!C145</f>
        <v>Valeria Gasteneguy</v>
      </c>
      <c r="D145" s="35">
        <f>+'[2]por cuent'!G145</f>
        <v>15268279.189999999</v>
      </c>
      <c r="E145" s="35">
        <f>+'[2]por cuent'!H145</f>
        <v>15268279.189999999</v>
      </c>
      <c r="F145" t="str">
        <f>+'[2]por cuent'!I145</f>
        <v>345</v>
      </c>
    </row>
    <row r="146" spans="1:6" x14ac:dyDescent="0.35">
      <c r="A146" t="str">
        <f>+'[2]por cuent'!A146</f>
        <v>ARS</v>
      </c>
      <c r="B146" t="str">
        <f>+'[2]por cuent'!B146</f>
        <v>345000894</v>
      </c>
      <c r="C146" t="str">
        <f>+'[2]por cuent'!C146</f>
        <v>Juana Delia Ziegler, Mariela Andrea Borger y Alfredo Raul Borger</v>
      </c>
      <c r="D146" s="35">
        <f>+'[2]por cuent'!G146</f>
        <v>22047785.199999999</v>
      </c>
      <c r="E146" s="35">
        <f>+'[2]por cuent'!H146</f>
        <v>22047785.199999999</v>
      </c>
      <c r="F146" t="str">
        <f>+'[2]por cuent'!I146</f>
        <v>345</v>
      </c>
    </row>
    <row r="147" spans="1:6" x14ac:dyDescent="0.35">
      <c r="A147" t="str">
        <f>+'[2]por cuent'!A147</f>
        <v>ARS</v>
      </c>
      <c r="B147" t="str">
        <f>+'[2]por cuent'!B147</f>
        <v>345000898</v>
      </c>
      <c r="C147" t="str">
        <f>+'[2]por cuent'!C147</f>
        <v>Marina Inés Naddeo</v>
      </c>
      <c r="D147" s="35">
        <f>+'[2]por cuent'!G147</f>
        <v>856021.58</v>
      </c>
      <c r="E147" s="35">
        <f>+'[2]por cuent'!H147</f>
        <v>856021.58</v>
      </c>
      <c r="F147" t="str">
        <f>+'[2]por cuent'!I147</f>
        <v>345</v>
      </c>
    </row>
    <row r="148" spans="1:6" x14ac:dyDescent="0.35">
      <c r="A148" t="str">
        <f>+'[2]por cuent'!A148</f>
        <v>ARS</v>
      </c>
      <c r="B148" t="str">
        <f>+'[2]por cuent'!B148</f>
        <v>345000904</v>
      </c>
      <c r="C148" t="str">
        <f>+'[2]por cuent'!C148</f>
        <v>Maria Eugenia Donati</v>
      </c>
      <c r="D148" s="35">
        <f>+'[2]por cuent'!G148</f>
        <v>1000000</v>
      </c>
      <c r="E148" s="35">
        <f>+'[2]por cuent'!H148</f>
        <v>1000000</v>
      </c>
      <c r="F148" t="str">
        <f>+'[2]por cuent'!I148</f>
        <v>345</v>
      </c>
    </row>
    <row r="149" spans="1:6" x14ac:dyDescent="0.35">
      <c r="A149" t="str">
        <f>+'[2]por cuent'!A149</f>
        <v>ARS</v>
      </c>
      <c r="B149" t="str">
        <f>+'[2]por cuent'!B149</f>
        <v>346000033</v>
      </c>
      <c r="C149" t="str">
        <f>+'[2]por cuent'!C149</f>
        <v xml:space="preserve">COOPERATIVAS AGROPECUARIAS FEDERADAS DE ENTRE RIOS </v>
      </c>
      <c r="D149" s="35">
        <f>+'[2]por cuent'!G149</f>
        <v>1943479318.8199999</v>
      </c>
      <c r="E149" s="35">
        <f>+'[2]por cuent'!H149</f>
        <v>1943479318.8199999</v>
      </c>
      <c r="F149" t="str">
        <f>+'[2]por cuent'!I149</f>
        <v>346</v>
      </c>
    </row>
    <row r="150" spans="1:6" x14ac:dyDescent="0.35">
      <c r="A150" t="str">
        <f>+'[2]por cuent'!A150</f>
        <v>ARS</v>
      </c>
      <c r="B150" t="str">
        <f>+'[2]por cuent'!B150</f>
        <v>346040002</v>
      </c>
      <c r="C150" t="str">
        <f>+'[2]por cuent'!C150</f>
        <v>Galizzi, Enrique Marino</v>
      </c>
      <c r="D150" s="35">
        <f>+'[2]por cuent'!G150</f>
        <v>86000</v>
      </c>
      <c r="E150" s="35">
        <f>+'[2]por cuent'!H150</f>
        <v>86000</v>
      </c>
      <c r="F150" t="str">
        <f>+'[2]por cuent'!I150</f>
        <v>346</v>
      </c>
    </row>
    <row r="151" spans="1:6" x14ac:dyDescent="0.35">
      <c r="A151" t="str">
        <f>+'[2]por cuent'!A151</f>
        <v>ARS</v>
      </c>
      <c r="B151" t="str">
        <f>+'[2]por cuent'!B151</f>
        <v>346050002</v>
      </c>
      <c r="C151" t="str">
        <f>+'[2]por cuent'!C151</f>
        <v>Estallo, Juan Manuel</v>
      </c>
      <c r="D151" s="35">
        <f>+'[2]por cuent'!G151</f>
        <v>217805</v>
      </c>
      <c r="E151" s="35">
        <f>+'[2]por cuent'!H151</f>
        <v>217805</v>
      </c>
      <c r="F151" t="str">
        <f>+'[2]por cuent'!I151</f>
        <v>346</v>
      </c>
    </row>
    <row r="152" spans="1:6" x14ac:dyDescent="0.35">
      <c r="A152" t="str">
        <f>+'[2]por cuent'!A152</f>
        <v>ARS</v>
      </c>
      <c r="B152" t="str">
        <f>+'[2]por cuent'!B152</f>
        <v>346050007</v>
      </c>
      <c r="C152" t="str">
        <f>+'[2]por cuent'!C152</f>
        <v>Reichel, Darío Alfredo</v>
      </c>
      <c r="D152" s="35">
        <f>+'[2]por cuent'!G152</f>
        <v>958641</v>
      </c>
      <c r="E152" s="35">
        <f>+'[2]por cuent'!H152</f>
        <v>958641</v>
      </c>
      <c r="F152" t="str">
        <f>+'[2]por cuent'!I152</f>
        <v>346</v>
      </c>
    </row>
    <row r="153" spans="1:6" x14ac:dyDescent="0.35">
      <c r="A153" t="str">
        <f>+'[2]por cuent'!A153</f>
        <v>ARS</v>
      </c>
      <c r="B153" t="str">
        <f>+'[2]por cuent'!B153</f>
        <v>346070000</v>
      </c>
      <c r="C153" t="str">
        <f>+'[2]por cuent'!C153</f>
        <v>COOPERATIVA DE SERVICIOS PÚBLICOS GRAL. JOSÉ DE SAN MARTÍN LTDA.</v>
      </c>
      <c r="D153" s="35">
        <f>+'[2]por cuent'!G153</f>
        <v>28348740</v>
      </c>
      <c r="E153" s="35">
        <f>+'[2]por cuent'!H153</f>
        <v>28348740</v>
      </c>
      <c r="F153" t="str">
        <f>+'[2]por cuent'!I153</f>
        <v>346</v>
      </c>
    </row>
    <row r="154" spans="1:6" x14ac:dyDescent="0.35">
      <c r="A154" t="str">
        <f>+'[2]por cuent'!A154</f>
        <v>ARS</v>
      </c>
      <c r="B154" t="str">
        <f>+'[2]por cuent'!B154</f>
        <v>346070005</v>
      </c>
      <c r="C154" t="str">
        <f>+'[2]por cuent'!C154</f>
        <v>Schaab, Daniel Aníbal</v>
      </c>
      <c r="D154" s="35">
        <f>+'[2]por cuent'!G154</f>
        <v>954247</v>
      </c>
      <c r="E154" s="35">
        <f>+'[2]por cuent'!H154</f>
        <v>954247</v>
      </c>
      <c r="F154" t="str">
        <f>+'[2]por cuent'!I154</f>
        <v>346</v>
      </c>
    </row>
    <row r="155" spans="1:6" x14ac:dyDescent="0.35">
      <c r="A155" t="str">
        <f>+'[2]por cuent'!A155</f>
        <v>ARS</v>
      </c>
      <c r="B155" t="str">
        <f>+'[2]por cuent'!B155</f>
        <v>346070006</v>
      </c>
      <c r="C155" t="str">
        <f>+'[2]por cuent'!C155</f>
        <v>Franco, Silvia María del Carmen</v>
      </c>
      <c r="D155" s="35">
        <f>+'[2]por cuent'!G155</f>
        <v>37145513</v>
      </c>
      <c r="E155" s="35">
        <f>+'[2]por cuent'!H155</f>
        <v>37145513</v>
      </c>
      <c r="F155" t="str">
        <f>+'[2]por cuent'!I155</f>
        <v>346</v>
      </c>
    </row>
    <row r="156" spans="1:6" x14ac:dyDescent="0.35">
      <c r="A156" t="str">
        <f>+'[2]por cuent'!A156</f>
        <v>ARS</v>
      </c>
      <c r="B156" t="str">
        <f>+'[2]por cuent'!B156</f>
        <v>346070008</v>
      </c>
      <c r="C156" t="str">
        <f>+'[2]por cuent'!C156</f>
        <v>SOLVENCIA - Mutual de Consejeros, Síndicos y Empleados de entidades cooperativas de Seguí, Entre Ríos</v>
      </c>
      <c r="D156" s="35">
        <f>+'[2]por cuent'!G156</f>
        <v>30208915</v>
      </c>
      <c r="E156" s="35">
        <f>+'[2]por cuent'!H156</f>
        <v>30208915</v>
      </c>
      <c r="F156" t="str">
        <f>+'[2]por cuent'!I156</f>
        <v>346</v>
      </c>
    </row>
    <row r="157" spans="1:6" x14ac:dyDescent="0.35">
      <c r="A157" t="str">
        <f>+'[2]por cuent'!A157</f>
        <v>ARS</v>
      </c>
      <c r="B157" t="str">
        <f>+'[2]por cuent'!B157</f>
        <v>346070012</v>
      </c>
      <c r="C157" t="str">
        <f>+'[2]por cuent'!C157</f>
        <v>Schaab, Liliana Raquel</v>
      </c>
      <c r="D157" s="35">
        <f>+'[2]por cuent'!G157</f>
        <v>778291374</v>
      </c>
      <c r="E157" s="35">
        <f>+'[2]por cuent'!H157</f>
        <v>778291374</v>
      </c>
      <c r="F157" t="str">
        <f>+'[2]por cuent'!I157</f>
        <v>346</v>
      </c>
    </row>
    <row r="158" spans="1:6" x14ac:dyDescent="0.35">
      <c r="A158" t="str">
        <f>+'[2]por cuent'!A158</f>
        <v>ARS</v>
      </c>
      <c r="B158" t="str">
        <f>+'[2]por cuent'!B158</f>
        <v>346070013</v>
      </c>
      <c r="C158" t="str">
        <f>+'[2]por cuent'!C158</f>
        <v>Fontana, Candela Malena</v>
      </c>
      <c r="D158" s="35">
        <f>+'[2]por cuent'!G158</f>
        <v>319761958</v>
      </c>
      <c r="E158" s="35">
        <f>+'[2]por cuent'!H158</f>
        <v>319761958</v>
      </c>
      <c r="F158" t="str">
        <f>+'[2]por cuent'!I158</f>
        <v>346</v>
      </c>
    </row>
    <row r="159" spans="1:6" x14ac:dyDescent="0.35">
      <c r="A159" t="str">
        <f>+'[2]por cuent'!A159</f>
        <v>ARS</v>
      </c>
      <c r="B159" t="str">
        <f>+'[2]por cuent'!B159</f>
        <v>346070014</v>
      </c>
      <c r="C159" t="str">
        <f>+'[2]por cuent'!C159</f>
        <v>Fontana, Enzo Gustavo</v>
      </c>
      <c r="D159" s="35">
        <f>+'[2]por cuent'!G159</f>
        <v>433715375</v>
      </c>
      <c r="E159" s="35">
        <f>+'[2]por cuent'!H159</f>
        <v>433715375</v>
      </c>
      <c r="F159" t="str">
        <f>+'[2]por cuent'!I159</f>
        <v>346</v>
      </c>
    </row>
    <row r="160" spans="1:6" x14ac:dyDescent="0.35">
      <c r="A160" t="str">
        <f>+'[2]por cuent'!A160</f>
        <v>ARS</v>
      </c>
      <c r="B160" t="str">
        <f>+'[2]por cuent'!B160</f>
        <v>346070015</v>
      </c>
      <c r="C160" t="str">
        <f>+'[2]por cuent'!C160</f>
        <v>Fontana, Rocío Micaela</v>
      </c>
      <c r="D160" s="35">
        <f>+'[2]por cuent'!G160</f>
        <v>57558476</v>
      </c>
      <c r="E160" s="35">
        <f>+'[2]por cuent'!H160</f>
        <v>57558476</v>
      </c>
      <c r="F160" t="str">
        <f>+'[2]por cuent'!I160</f>
        <v>346</v>
      </c>
    </row>
    <row r="161" spans="1:6" x14ac:dyDescent="0.35">
      <c r="A161" t="str">
        <f>+'[2]por cuent'!A161</f>
        <v>ARS</v>
      </c>
      <c r="B161" t="str">
        <f>+'[2]por cuent'!B161</f>
        <v>346200001</v>
      </c>
      <c r="C161" t="str">
        <f>+'[2]por cuent'!C161</f>
        <v>Espinosa, Rodrigo Fernando</v>
      </c>
      <c r="D161" s="35">
        <f>+'[2]por cuent'!G161</f>
        <v>21218423</v>
      </c>
      <c r="E161" s="35">
        <f>+'[2]por cuent'!H161</f>
        <v>21218423</v>
      </c>
      <c r="F161" t="str">
        <f>+'[2]por cuent'!I161</f>
        <v>346</v>
      </c>
    </row>
    <row r="162" spans="1:6" x14ac:dyDescent="0.35">
      <c r="A162" t="str">
        <f>+'[2]por cuent'!A162</f>
        <v>ARS</v>
      </c>
      <c r="B162" t="str">
        <f>+'[2]por cuent'!B162</f>
        <v>346200002</v>
      </c>
      <c r="C162" t="str">
        <f>+'[2]por cuent'!C162</f>
        <v>Espinosa, Karina Elizabeth</v>
      </c>
      <c r="D162" s="35">
        <f>+'[2]por cuent'!G162</f>
        <v>4468291</v>
      </c>
      <c r="E162" s="35">
        <f>+'[2]por cuent'!H162</f>
        <v>4468291</v>
      </c>
      <c r="F162" t="str">
        <f>+'[2]por cuent'!I162</f>
        <v>346</v>
      </c>
    </row>
    <row r="163" spans="1:6" x14ac:dyDescent="0.35">
      <c r="A163" t="str">
        <f>+'[2]por cuent'!A163</f>
        <v>ARS</v>
      </c>
      <c r="B163" t="str">
        <f>+'[2]por cuent'!B163</f>
        <v>346200003</v>
      </c>
      <c r="C163" t="str">
        <f>+'[2]por cuent'!C163</f>
        <v>Tramontina, Mauro Alejandro</v>
      </c>
      <c r="D163" s="35">
        <f>+'[2]por cuent'!G163</f>
        <v>7905.3</v>
      </c>
      <c r="E163" s="35">
        <f>+'[2]por cuent'!H163</f>
        <v>7905.3</v>
      </c>
      <c r="F163" t="str">
        <f>+'[2]por cuent'!I163</f>
        <v>346</v>
      </c>
    </row>
    <row r="164" spans="1:6" x14ac:dyDescent="0.35">
      <c r="A164" t="str">
        <f>+'[2]por cuent'!A164</f>
        <v>ARS</v>
      </c>
      <c r="B164" t="str">
        <f>+'[2]por cuent'!B164</f>
        <v>346200004</v>
      </c>
      <c r="C164" t="str">
        <f>+'[2]por cuent'!C164</f>
        <v>Peña Manibardo, Matías Gonzalo</v>
      </c>
      <c r="D164" s="35">
        <f>+'[2]por cuent'!G164</f>
        <v>8248900</v>
      </c>
      <c r="E164" s="35">
        <f>+'[2]por cuent'!H164</f>
        <v>8248900</v>
      </c>
      <c r="F164" t="str">
        <f>+'[2]por cuent'!I164</f>
        <v>346</v>
      </c>
    </row>
    <row r="165" spans="1:6" x14ac:dyDescent="0.35">
      <c r="A165" t="str">
        <f>+'[2]por cuent'!A165</f>
        <v>ARS</v>
      </c>
      <c r="B165" t="str">
        <f>+'[2]por cuent'!B165</f>
        <v>346200005</v>
      </c>
      <c r="C165" t="str">
        <f>+'[2]por cuent'!C165</f>
        <v>Honeker, Pedro Maximiliano</v>
      </c>
      <c r="D165" s="35">
        <f>+'[2]por cuent'!G165</f>
        <v>1232334</v>
      </c>
      <c r="E165" s="35">
        <f>+'[2]por cuent'!H165</f>
        <v>1232334</v>
      </c>
      <c r="F165" t="str">
        <f>+'[2]por cuent'!I165</f>
        <v>346</v>
      </c>
    </row>
    <row r="166" spans="1:6" x14ac:dyDescent="0.35">
      <c r="A166" t="str">
        <f>+'[2]por cuent'!A166</f>
        <v>ARS</v>
      </c>
      <c r="B166" t="str">
        <f>+'[2]por cuent'!B166</f>
        <v>346200007</v>
      </c>
      <c r="C166" t="str">
        <f>+'[2]por cuent'!C166</f>
        <v>Espinosa, Fernando Héctor</v>
      </c>
      <c r="D166" s="35">
        <f>+'[2]por cuent'!G166</f>
        <v>10380103</v>
      </c>
      <c r="E166" s="35">
        <f>+'[2]por cuent'!H166</f>
        <v>10380103</v>
      </c>
      <c r="F166" t="str">
        <f>+'[2]por cuent'!I166</f>
        <v>346</v>
      </c>
    </row>
    <row r="167" spans="1:6" x14ac:dyDescent="0.35">
      <c r="A167" t="str">
        <f>+'[2]por cuent'!A167</f>
        <v>ARS</v>
      </c>
      <c r="B167" t="str">
        <f>+'[2]por cuent'!B167</f>
        <v>346200010</v>
      </c>
      <c r="C167" t="str">
        <f>+'[2]por cuent'!C167</f>
        <v>Cinalli, Telma Cora</v>
      </c>
      <c r="D167" s="35">
        <f>+'[2]por cuent'!G167</f>
        <v>60273741</v>
      </c>
      <c r="E167" s="35">
        <f>+'[2]por cuent'!H167</f>
        <v>60273741</v>
      </c>
      <c r="F167" t="str">
        <f>+'[2]por cuent'!I167</f>
        <v>346</v>
      </c>
    </row>
    <row r="168" spans="1:6" x14ac:dyDescent="0.35">
      <c r="A168" t="str">
        <f>+'[2]por cuent'!A168</f>
        <v>ARS</v>
      </c>
      <c r="B168" t="str">
        <f>+'[2]por cuent'!B168</f>
        <v>346310004</v>
      </c>
      <c r="C168" t="str">
        <f>+'[2]por cuent'!C168</f>
        <v>CHASSART LA ESMERALDA S.A.</v>
      </c>
      <c r="D168" s="35">
        <f>+'[2]por cuent'!G168</f>
        <v>27993000</v>
      </c>
      <c r="E168" s="35">
        <f>+'[2]por cuent'!H168</f>
        <v>27993000</v>
      </c>
      <c r="F168" t="str">
        <f>+'[2]por cuent'!I168</f>
        <v>346</v>
      </c>
    </row>
    <row r="169" spans="1:6" x14ac:dyDescent="0.35">
      <c r="A169" t="str">
        <f>+'[2]por cuent'!A169</f>
        <v>ARS</v>
      </c>
      <c r="B169" t="str">
        <f>+'[2]por cuent'!B169</f>
        <v>346310007</v>
      </c>
      <c r="C169" t="str">
        <f>+'[2]por cuent'!C169</f>
        <v>Cerini, Mariano Gabriel</v>
      </c>
      <c r="D169" s="35">
        <f>+'[2]por cuent'!G169</f>
        <v>265540</v>
      </c>
      <c r="E169" s="35">
        <f>+'[2]por cuent'!H169</f>
        <v>265540</v>
      </c>
      <c r="F169" t="str">
        <f>+'[2]por cuent'!I169</f>
        <v>346</v>
      </c>
    </row>
    <row r="170" spans="1:6" x14ac:dyDescent="0.35">
      <c r="A170" t="str">
        <f>+'[2]por cuent'!A170</f>
        <v>ARS</v>
      </c>
      <c r="B170" t="str">
        <f>+'[2]por cuent'!B170</f>
        <v>346310010</v>
      </c>
      <c r="C170" t="str">
        <f>+'[2]por cuent'!C170</f>
        <v>Favero, Johana Belén</v>
      </c>
      <c r="D170" s="35">
        <f>+'[2]por cuent'!G170</f>
        <v>5740763</v>
      </c>
      <c r="E170" s="35">
        <f>+'[2]por cuent'!H170</f>
        <v>5740763</v>
      </c>
      <c r="F170" t="str">
        <f>+'[2]por cuent'!I170</f>
        <v>346</v>
      </c>
    </row>
    <row r="171" spans="1:6" x14ac:dyDescent="0.35">
      <c r="A171" t="str">
        <f>+'[2]por cuent'!A171</f>
        <v>ARS</v>
      </c>
      <c r="B171" t="str">
        <f>+'[2]por cuent'!B171</f>
        <v>346310013</v>
      </c>
      <c r="C171" t="str">
        <f>+'[2]por cuent'!C171</f>
        <v>FUNDACIÓN ARRAIGAR</v>
      </c>
      <c r="D171" s="35">
        <f>+'[2]por cuent'!G171</f>
        <v>67818</v>
      </c>
      <c r="E171" s="35">
        <f>+'[2]por cuent'!H171</f>
        <v>67818</v>
      </c>
      <c r="F171" t="str">
        <f>+'[2]por cuent'!I171</f>
        <v>346</v>
      </c>
    </row>
    <row r="172" spans="1:6" x14ac:dyDescent="0.35">
      <c r="A172" t="str">
        <f>+'[2]por cuent'!A172</f>
        <v>ARS</v>
      </c>
      <c r="B172" t="str">
        <f>+'[2]por cuent'!B172</f>
        <v>346310019</v>
      </c>
      <c r="C172" t="str">
        <f>+'[2]por cuent'!C172</f>
        <v>VITAL CAMPO S.R.L.</v>
      </c>
      <c r="D172" s="35">
        <f>+'[2]por cuent'!G172</f>
        <v>52590814</v>
      </c>
      <c r="E172" s="35">
        <f>+'[2]por cuent'!H172</f>
        <v>52590814</v>
      </c>
      <c r="F172" t="str">
        <f>+'[2]por cuent'!I172</f>
        <v>346</v>
      </c>
    </row>
    <row r="173" spans="1:6" x14ac:dyDescent="0.35">
      <c r="A173" t="str">
        <f>+'[2]por cuent'!A173</f>
        <v>ARS</v>
      </c>
      <c r="B173" t="str">
        <f>+'[2]por cuent'!B173</f>
        <v>346310022</v>
      </c>
      <c r="C173" t="str">
        <f>+'[2]por cuent'!C173</f>
        <v>Marcante, Amparo Cristina</v>
      </c>
      <c r="D173" s="35">
        <f>+'[2]por cuent'!G173</f>
        <v>4352</v>
      </c>
      <c r="E173" s="35">
        <f>+'[2]por cuent'!H173</f>
        <v>4352</v>
      </c>
      <c r="F173" t="str">
        <f>+'[2]por cuent'!I173</f>
        <v>346</v>
      </c>
    </row>
    <row r="174" spans="1:6" x14ac:dyDescent="0.35">
      <c r="A174" t="str">
        <f>+'[2]por cuent'!A174</f>
        <v>ARS</v>
      </c>
      <c r="B174" t="str">
        <f>+'[2]por cuent'!B174</f>
        <v>346310026</v>
      </c>
      <c r="C174" t="str">
        <f>+'[2]por cuent'!C174</f>
        <v>Keiner, Edgardo Daniel</v>
      </c>
      <c r="D174" s="35">
        <f>+'[2]por cuent'!G174</f>
        <v>661999442</v>
      </c>
      <c r="E174" s="35">
        <f>+'[2]por cuent'!H174</f>
        <v>661999442</v>
      </c>
      <c r="F174" t="str">
        <f>+'[2]por cuent'!I174</f>
        <v>346</v>
      </c>
    </row>
    <row r="175" spans="1:6" x14ac:dyDescent="0.35">
      <c r="A175" t="str">
        <f>+'[2]por cuent'!A175</f>
        <v>ARS</v>
      </c>
      <c r="B175" t="str">
        <f>+'[2]por cuent'!B175</f>
        <v>346310033</v>
      </c>
      <c r="C175" t="str">
        <f>+'[2]por cuent'!C175</f>
        <v>Darrichon, Viviana Amelia</v>
      </c>
      <c r="D175" s="35">
        <f>+'[2]por cuent'!G175</f>
        <v>553595</v>
      </c>
      <c r="E175" s="35">
        <f>+'[2]por cuent'!H175</f>
        <v>553595</v>
      </c>
      <c r="F175" t="str">
        <f>+'[2]por cuent'!I175</f>
        <v>346</v>
      </c>
    </row>
    <row r="176" spans="1:6" x14ac:dyDescent="0.35">
      <c r="A176" t="str">
        <f>+'[2]por cuent'!A176</f>
        <v>ARS</v>
      </c>
      <c r="B176" t="str">
        <f>+'[2]por cuent'!B176</f>
        <v>346310045</v>
      </c>
      <c r="C176" t="str">
        <f>+'[2]por cuent'!C176</f>
        <v>Romero, Walter Emanuel</v>
      </c>
      <c r="D176" s="35">
        <f>+'[2]por cuent'!G176</f>
        <v>268587337</v>
      </c>
      <c r="E176" s="35">
        <f>+'[2]por cuent'!H176</f>
        <v>268587337</v>
      </c>
      <c r="F176" t="str">
        <f>+'[2]por cuent'!I176</f>
        <v>346</v>
      </c>
    </row>
    <row r="177" spans="1:6" x14ac:dyDescent="0.35">
      <c r="A177" t="str">
        <f>+'[2]por cuent'!A177</f>
        <v>ARS</v>
      </c>
      <c r="B177" t="str">
        <f>+'[2]por cuent'!B177</f>
        <v>346311000</v>
      </c>
      <c r="C177" t="str">
        <f>+'[2]por cuent'!C177</f>
        <v>Dabin, Ignacio Pablo</v>
      </c>
      <c r="D177" s="35">
        <f>+'[2]por cuent'!G177</f>
        <v>84920</v>
      </c>
      <c r="E177" s="35">
        <f>+'[2]por cuent'!H177</f>
        <v>84920</v>
      </c>
      <c r="F177" t="str">
        <f>+'[2]por cuent'!I177</f>
        <v>346</v>
      </c>
    </row>
    <row r="178" spans="1:6" x14ac:dyDescent="0.35">
      <c r="A178" t="str">
        <f>+'[2]por cuent'!A178</f>
        <v>ARS</v>
      </c>
      <c r="B178" t="str">
        <f>+'[2]por cuent'!B178</f>
        <v>346311011</v>
      </c>
      <c r="C178" t="str">
        <f>+'[2]por cuent'!C178</f>
        <v>Martinessi, Luciano Andrés</v>
      </c>
      <c r="D178" s="35">
        <f>+'[2]por cuent'!G178</f>
        <v>2464898.6</v>
      </c>
      <c r="E178" s="35">
        <f>+'[2]por cuent'!H178</f>
        <v>2464898.6</v>
      </c>
      <c r="F178" t="str">
        <f>+'[2]por cuent'!I178</f>
        <v>346</v>
      </c>
    </row>
    <row r="179" spans="1:6" x14ac:dyDescent="0.35">
      <c r="A179" t="str">
        <f>+'[2]por cuent'!A179</f>
        <v>ARS</v>
      </c>
      <c r="B179" t="str">
        <f>+'[2]por cuent'!B179</f>
        <v>346311012</v>
      </c>
      <c r="C179" t="str">
        <f>+'[2]por cuent'!C179</f>
        <v>Peña, Lucy Guadalupe</v>
      </c>
      <c r="D179" s="35">
        <f>+'[2]por cuent'!G179</f>
        <v>267100</v>
      </c>
      <c r="E179" s="35">
        <f>+'[2]por cuent'!H179</f>
        <v>267100</v>
      </c>
      <c r="F179" t="str">
        <f>+'[2]por cuent'!I179</f>
        <v>346</v>
      </c>
    </row>
    <row r="180" spans="1:6" x14ac:dyDescent="0.35">
      <c r="A180" t="str">
        <f>+'[2]por cuent'!A180</f>
        <v>ARS</v>
      </c>
      <c r="B180" t="str">
        <f>+'[2]por cuent'!B180</f>
        <v>346311013</v>
      </c>
      <c r="C180" t="str">
        <f>+'[2]por cuent'!C180</f>
        <v>Bel, Alfredo Fabián</v>
      </c>
      <c r="D180" s="35">
        <f>+'[2]por cuent'!G180</f>
        <v>8005800</v>
      </c>
      <c r="E180" s="35">
        <f>+'[2]por cuent'!H180</f>
        <v>8005800</v>
      </c>
      <c r="F180" t="str">
        <f>+'[2]por cuent'!I180</f>
        <v>346</v>
      </c>
    </row>
    <row r="181" spans="1:6" x14ac:dyDescent="0.35">
      <c r="A181" t="str">
        <f>+'[2]por cuent'!A181</f>
        <v>ARS</v>
      </c>
      <c r="B181" t="str">
        <f>+'[2]por cuent'!B181</f>
        <v>346311014</v>
      </c>
      <c r="C181" t="str">
        <f>+'[2]por cuent'!C181</f>
        <v>Gastaldi, Juan José</v>
      </c>
      <c r="D181" s="35">
        <f>+'[2]por cuent'!G181</f>
        <v>312210</v>
      </c>
      <c r="E181" s="35">
        <f>+'[2]por cuent'!H181</f>
        <v>312210</v>
      </c>
      <c r="F181" t="str">
        <f>+'[2]por cuent'!I181</f>
        <v>346</v>
      </c>
    </row>
    <row r="182" spans="1:6" x14ac:dyDescent="0.35">
      <c r="A182" t="str">
        <f>+'[2]por cuent'!A182</f>
        <v>ARS</v>
      </c>
      <c r="B182" t="str">
        <f>+'[2]por cuent'!B182</f>
        <v>346311016</v>
      </c>
      <c r="C182" t="str">
        <f>+'[2]por cuent'!C182</f>
        <v>Cooperativa de Servicios Públicos "El Supremo Entrerriano" Ltda.</v>
      </c>
      <c r="D182" s="35">
        <f>+'[2]por cuent'!G182</f>
        <v>78556180</v>
      </c>
      <c r="E182" s="35">
        <f>+'[2]por cuent'!H182</f>
        <v>78556180</v>
      </c>
      <c r="F182" t="str">
        <f>+'[2]por cuent'!I182</f>
        <v>346</v>
      </c>
    </row>
    <row r="183" spans="1:6" x14ac:dyDescent="0.35">
      <c r="A183" t="str">
        <f>+'[2]por cuent'!A183</f>
        <v>ARS</v>
      </c>
      <c r="B183" t="str">
        <f>+'[2]por cuent'!B183</f>
        <v>346320101</v>
      </c>
      <c r="C183" t="str">
        <f>+'[2]por cuent'!C183</f>
        <v>Arce, Gabriel Arnoldo</v>
      </c>
      <c r="D183" s="35">
        <f>+'[2]por cuent'!G183</f>
        <v>8934710</v>
      </c>
      <c r="E183" s="35">
        <f>+'[2]por cuent'!H183</f>
        <v>8934710</v>
      </c>
      <c r="F183" t="str">
        <f>+'[2]por cuent'!I183</f>
        <v>346</v>
      </c>
    </row>
    <row r="184" spans="1:6" x14ac:dyDescent="0.35">
      <c r="A184" t="str">
        <f>+'[2]por cuent'!A184</f>
        <v>ARS</v>
      </c>
      <c r="B184" t="str">
        <f>+'[2]por cuent'!B184</f>
        <v>346320103</v>
      </c>
      <c r="C184" t="str">
        <f>+'[2]por cuent'!C184</f>
        <v>Maidana, Flavia Gisela</v>
      </c>
      <c r="D184" s="35">
        <f>+'[2]por cuent'!G184</f>
        <v>13175580</v>
      </c>
      <c r="E184" s="35">
        <f>+'[2]por cuent'!H184</f>
        <v>13175580</v>
      </c>
      <c r="F184" t="str">
        <f>+'[2]por cuent'!I184</f>
        <v>346</v>
      </c>
    </row>
    <row r="185" spans="1:6" x14ac:dyDescent="0.35">
      <c r="A185" t="str">
        <f>+'[2]por cuent'!A185</f>
        <v>ARS</v>
      </c>
      <c r="B185" t="str">
        <f>+'[2]por cuent'!B185</f>
        <v>346320203</v>
      </c>
      <c r="C185" t="str">
        <f>+'[2]por cuent'!C185</f>
        <v>Adente, Rita Mariela</v>
      </c>
      <c r="D185" s="35">
        <f>+'[2]por cuent'!G185</f>
        <v>74000</v>
      </c>
      <c r="E185" s="35">
        <f>+'[2]por cuent'!H185</f>
        <v>74000</v>
      </c>
      <c r="F185" t="str">
        <f>+'[2]por cuent'!I185</f>
        <v>346</v>
      </c>
    </row>
    <row r="186" spans="1:6" x14ac:dyDescent="0.35">
      <c r="A186" t="str">
        <f>+'[2]por cuent'!A186</f>
        <v>ARS</v>
      </c>
      <c r="B186" t="str">
        <f>+'[2]por cuent'!B186</f>
        <v>346320204</v>
      </c>
      <c r="C186" t="str">
        <f>+'[2]por cuent'!C186</f>
        <v>Aguerreberre, Débora Georgina</v>
      </c>
      <c r="D186" s="35">
        <f>+'[2]por cuent'!G186</f>
        <v>42664</v>
      </c>
      <c r="E186" s="35">
        <f>+'[2]por cuent'!H186</f>
        <v>42664</v>
      </c>
      <c r="F186" t="str">
        <f>+'[2]por cuent'!I186</f>
        <v>346</v>
      </c>
    </row>
    <row r="187" spans="1:6" x14ac:dyDescent="0.35">
      <c r="A187" t="str">
        <f>+'[2]por cuent'!A187</f>
        <v>ARS</v>
      </c>
      <c r="B187" t="str">
        <f>+'[2]por cuent'!B187</f>
        <v>346320401</v>
      </c>
      <c r="C187" t="str">
        <f>+'[2]por cuent'!C187</f>
        <v>Videla, Vanessa Siomara Alejandra</v>
      </c>
      <c r="D187" s="35">
        <f>+'[2]por cuent'!G187</f>
        <v>963818.8</v>
      </c>
      <c r="E187" s="35">
        <f>+'[2]por cuent'!H187</f>
        <v>963818.8</v>
      </c>
      <c r="F187" t="str">
        <f>+'[2]por cuent'!I187</f>
        <v>346</v>
      </c>
    </row>
    <row r="188" spans="1:6" x14ac:dyDescent="0.35">
      <c r="A188" t="str">
        <f>+'[2]por cuent'!A188</f>
        <v>ARS</v>
      </c>
      <c r="B188" t="str">
        <f>+'[2]por cuent'!B188</f>
        <v>346800006</v>
      </c>
      <c r="C188" t="str">
        <f>+'[2]por cuent'!C188</f>
        <v>Aladio, Adolfo Juan Pedro</v>
      </c>
      <c r="D188" s="35">
        <f>+'[2]por cuent'!G188</f>
        <v>6413200</v>
      </c>
      <c r="E188" s="35">
        <f>+'[2]por cuent'!H188</f>
        <v>6413200</v>
      </c>
      <c r="F188" t="str">
        <f>+'[2]por cuent'!I188</f>
        <v>346</v>
      </c>
    </row>
    <row r="189" spans="1:6" x14ac:dyDescent="0.35">
      <c r="A189" t="str">
        <f>+'[2]por cuent'!A189</f>
        <v>ARS</v>
      </c>
      <c r="B189" t="str">
        <f>+'[2]por cuent'!B189</f>
        <v>401000007</v>
      </c>
      <c r="C189" t="str">
        <f>+'[2]por cuent'!C189</f>
        <v>MACIEL ENRIQUE</v>
      </c>
      <c r="D189" s="35">
        <f>+'[2]por cuent'!G189</f>
        <v>3339260.82</v>
      </c>
      <c r="E189" s="35">
        <f>+'[2]por cuent'!H189</f>
        <v>3339260.82</v>
      </c>
      <c r="F189" t="str">
        <f>+'[2]por cuent'!I189</f>
        <v>401</v>
      </c>
    </row>
    <row r="190" spans="1:6" x14ac:dyDescent="0.35">
      <c r="A190" t="str">
        <f>+'[2]por cuent'!A190</f>
        <v>ARS</v>
      </c>
      <c r="B190" t="str">
        <f>+'[2]por cuent'!B190</f>
        <v>401000008</v>
      </c>
      <c r="C190" t="str">
        <f>+'[2]por cuent'!C190</f>
        <v>AVANTIA VALORES SA</v>
      </c>
      <c r="D190" s="35">
        <f>+'[2]por cuent'!G190</f>
        <v>26225799841.91</v>
      </c>
      <c r="E190" s="35">
        <f>+'[2]por cuent'!H190</f>
        <v>26225799841.91</v>
      </c>
      <c r="F190" t="str">
        <f>+'[2]por cuent'!I190</f>
        <v>401</v>
      </c>
    </row>
    <row r="191" spans="1:6" x14ac:dyDescent="0.35">
      <c r="A191" t="str">
        <f>+'[2]por cuent'!A191</f>
        <v>ARS</v>
      </c>
      <c r="B191" t="str">
        <f>+'[2]por cuent'!B191</f>
        <v>401000009</v>
      </c>
      <c r="C191" t="str">
        <f>+'[2]por cuent'!C191</f>
        <v>O´DONNELL JUAN MANUEL</v>
      </c>
      <c r="D191" s="35">
        <f>+'[2]por cuent'!G191</f>
        <v>10685446.93</v>
      </c>
      <c r="E191" s="35">
        <f>+'[2]por cuent'!H191</f>
        <v>10685446.93</v>
      </c>
      <c r="F191" t="str">
        <f>+'[2]por cuent'!I191</f>
        <v>401</v>
      </c>
    </row>
    <row r="192" spans="1:6" x14ac:dyDescent="0.35">
      <c r="A192" t="str">
        <f>+'[2]por cuent'!A192</f>
        <v>ARS</v>
      </c>
      <c r="B192" t="str">
        <f>+'[2]por cuent'!B192</f>
        <v>401000011</v>
      </c>
      <c r="C192" t="str">
        <f>+'[2]por cuent'!C192</f>
        <v>MICOLAND S.A.</v>
      </c>
      <c r="D192" s="35">
        <f>+'[2]por cuent'!G192</f>
        <v>12483710.199999999</v>
      </c>
      <c r="E192" s="35">
        <f>+'[2]por cuent'!H192</f>
        <v>12483710.199999999</v>
      </c>
      <c r="F192" t="str">
        <f>+'[2]por cuent'!I192</f>
        <v>401</v>
      </c>
    </row>
    <row r="193" spans="1:6" x14ac:dyDescent="0.35">
      <c r="A193" t="str">
        <f>+'[2]por cuent'!A193</f>
        <v>ARS</v>
      </c>
      <c r="B193" t="str">
        <f>+'[2]por cuent'!B193</f>
        <v>401000012</v>
      </c>
      <c r="C193" t="str">
        <f>+'[2]por cuent'!C193</f>
        <v>GUNDESEN PEDRO NICOLAS</v>
      </c>
      <c r="D193" s="35">
        <f>+'[2]por cuent'!G193</f>
        <v>8315</v>
      </c>
      <c r="E193" s="35">
        <f>+'[2]por cuent'!H193</f>
        <v>8315</v>
      </c>
      <c r="F193" t="str">
        <f>+'[2]por cuent'!I193</f>
        <v>401</v>
      </c>
    </row>
    <row r="194" spans="1:6" x14ac:dyDescent="0.35">
      <c r="A194" t="str">
        <f>+'[2]por cuent'!A194</f>
        <v>ARS</v>
      </c>
      <c r="B194" t="str">
        <f>+'[2]por cuent'!B194</f>
        <v>401000014</v>
      </c>
      <c r="C194" t="str">
        <f>+'[2]por cuent'!C194</f>
        <v>HERRERA VEGAS DE GAINZA SARA</v>
      </c>
      <c r="D194" s="35">
        <f>+'[2]por cuent'!G194</f>
        <v>2741144</v>
      </c>
      <c r="E194" s="35">
        <f>+'[2]por cuent'!H194</f>
        <v>2741144</v>
      </c>
      <c r="F194" t="str">
        <f>+'[2]por cuent'!I194</f>
        <v>401</v>
      </c>
    </row>
    <row r="195" spans="1:6" x14ac:dyDescent="0.35">
      <c r="A195" t="str">
        <f>+'[2]por cuent'!A195</f>
        <v>ARS</v>
      </c>
      <c r="B195" t="str">
        <f>+'[2]por cuent'!B195</f>
        <v>401000016</v>
      </c>
      <c r="C195" t="str">
        <f>+'[2]por cuent'!C195</f>
        <v>GRANOS Y SEMILLAS S.A.</v>
      </c>
      <c r="D195" s="35">
        <f>+'[2]por cuent'!G195</f>
        <v>302235574.48000002</v>
      </c>
      <c r="E195" s="35">
        <f>+'[2]por cuent'!H195</f>
        <v>302235574.48000002</v>
      </c>
      <c r="F195" t="str">
        <f>+'[2]por cuent'!I195</f>
        <v>401</v>
      </c>
    </row>
    <row r="196" spans="1:6" x14ac:dyDescent="0.35">
      <c r="A196" t="str">
        <f>+'[2]por cuent'!A196</f>
        <v>ARS</v>
      </c>
      <c r="B196" t="str">
        <f>+'[2]por cuent'!B196</f>
        <v>401000018</v>
      </c>
      <c r="C196" t="str">
        <f>+'[2]por cuent'!C196</f>
        <v>TORO DIGITAL S.A.</v>
      </c>
      <c r="D196" s="35">
        <f>+'[2]por cuent'!G196</f>
        <v>928653184.64999998</v>
      </c>
      <c r="E196" s="35">
        <f>+'[2]por cuent'!H196</f>
        <v>928653184.64999998</v>
      </c>
      <c r="F196" t="str">
        <f>+'[2]por cuent'!I196</f>
        <v>401</v>
      </c>
    </row>
    <row r="197" spans="1:6" x14ac:dyDescent="0.35">
      <c r="A197" t="str">
        <f>+'[2]por cuent'!A197</f>
        <v>ARS</v>
      </c>
      <c r="B197" t="str">
        <f>+'[2]por cuent'!B197</f>
        <v>401000019</v>
      </c>
      <c r="C197" t="str">
        <f>+'[2]por cuent'!C197</f>
        <v>PMP CONSTRUCCIONES S.R.L.</v>
      </c>
      <c r="D197" s="35">
        <f>+'[2]por cuent'!G197</f>
        <v>140312660.16999999</v>
      </c>
      <c r="E197" s="35">
        <f>+'[2]por cuent'!H197</f>
        <v>140312660.16999999</v>
      </c>
      <c r="F197" t="str">
        <f>+'[2]por cuent'!I197</f>
        <v>401</v>
      </c>
    </row>
    <row r="198" spans="1:6" x14ac:dyDescent="0.35">
      <c r="A198" t="str">
        <f>+'[2]por cuent'!A198</f>
        <v>ARS</v>
      </c>
      <c r="B198" t="str">
        <f>+'[2]por cuent'!B198</f>
        <v>401000020</v>
      </c>
      <c r="C198" t="str">
        <f>+'[2]por cuent'!C198</f>
        <v>VENTO CAPITAL S.A.</v>
      </c>
      <c r="D198" s="35">
        <f>+'[2]por cuent'!G198</f>
        <v>111946502284.61</v>
      </c>
      <c r="E198" s="35">
        <f>+'[2]por cuent'!H198</f>
        <v>111946502284.61</v>
      </c>
      <c r="F198" t="str">
        <f>+'[2]por cuent'!I198</f>
        <v>401</v>
      </c>
    </row>
    <row r="199" spans="1:6" x14ac:dyDescent="0.35">
      <c r="A199" t="str">
        <f>+'[2]por cuent'!A199</f>
        <v>ARS</v>
      </c>
      <c r="B199" t="str">
        <f>+'[2]por cuent'!B199</f>
        <v>401000022</v>
      </c>
      <c r="C199" t="str">
        <f>+'[2]por cuent'!C199</f>
        <v>BENITEZ GUILLERMO</v>
      </c>
      <c r="D199" s="35">
        <f>+'[2]por cuent'!G199</f>
        <v>191557278.59999999</v>
      </c>
      <c r="E199" s="35">
        <f>+'[2]por cuent'!H199</f>
        <v>191557278.59999999</v>
      </c>
      <c r="F199" t="str">
        <f>+'[2]por cuent'!I199</f>
        <v>401</v>
      </c>
    </row>
    <row r="200" spans="1:6" x14ac:dyDescent="0.35">
      <c r="A200" t="str">
        <f>+'[2]por cuent'!A200</f>
        <v>ARS</v>
      </c>
      <c r="B200" t="str">
        <f>+'[2]por cuent'!B200</f>
        <v>401000027</v>
      </c>
      <c r="C200" t="str">
        <f>+'[2]por cuent'!C200</f>
        <v>LP AGROPECUARIA S.R.L.</v>
      </c>
      <c r="D200" s="35">
        <f>+'[2]por cuent'!G200</f>
        <v>35204803.399999999</v>
      </c>
      <c r="E200" s="35">
        <f>+'[2]por cuent'!H200</f>
        <v>35204803.399999999</v>
      </c>
      <c r="F200" t="str">
        <f>+'[2]por cuent'!I200</f>
        <v>401</v>
      </c>
    </row>
    <row r="201" spans="1:6" x14ac:dyDescent="0.35">
      <c r="A201" t="str">
        <f>+'[2]por cuent'!A201</f>
        <v>ARS</v>
      </c>
      <c r="B201" t="str">
        <f>+'[2]por cuent'!B201</f>
        <v>401000030</v>
      </c>
      <c r="C201" t="str">
        <f>+'[2]por cuent'!C201</f>
        <v>AUTOSERVICIO MAYORISTA DIARCO S.A.</v>
      </c>
      <c r="D201" s="35">
        <f>+'[2]por cuent'!G201</f>
        <v>31193739861</v>
      </c>
      <c r="E201" s="35">
        <f>+'[2]por cuent'!H201</f>
        <v>31193739861</v>
      </c>
      <c r="F201" t="str">
        <f>+'[2]por cuent'!I201</f>
        <v>401</v>
      </c>
    </row>
    <row r="202" spans="1:6" x14ac:dyDescent="0.35">
      <c r="A202" t="str">
        <f>+'[2]por cuent'!A202</f>
        <v>ARS</v>
      </c>
      <c r="B202" t="str">
        <f>+'[2]por cuent'!B202</f>
        <v>401000032</v>
      </c>
      <c r="C202" t="str">
        <f>+'[2]por cuent'!C202</f>
        <v>PLOTTERDOC. COM S.R.L.</v>
      </c>
      <c r="D202" s="35">
        <f>+'[2]por cuent'!G202</f>
        <v>1308042295</v>
      </c>
      <c r="E202" s="35">
        <f>+'[2]por cuent'!H202</f>
        <v>1308042295</v>
      </c>
      <c r="F202" t="str">
        <f>+'[2]por cuent'!I202</f>
        <v>401</v>
      </c>
    </row>
    <row r="203" spans="1:6" x14ac:dyDescent="0.35">
      <c r="A203" t="str">
        <f>+'[2]por cuent'!A203</f>
        <v>ARS</v>
      </c>
      <c r="B203" t="str">
        <f>+'[2]por cuent'!B203</f>
        <v>401000035</v>
      </c>
      <c r="C203" t="str">
        <f>+'[2]por cuent'!C203</f>
        <v>AGROPECUARIA LA GANDARA S.R.L.</v>
      </c>
      <c r="D203" s="35">
        <f>+'[2]por cuent'!G203</f>
        <v>746160035.52999997</v>
      </c>
      <c r="E203" s="35">
        <f>+'[2]por cuent'!H203</f>
        <v>746160035.52999997</v>
      </c>
      <c r="F203" t="str">
        <f>+'[2]por cuent'!I203</f>
        <v>401</v>
      </c>
    </row>
    <row r="204" spans="1:6" x14ac:dyDescent="0.35">
      <c r="A204" t="str">
        <f>+'[2]por cuent'!A204</f>
        <v>ARS</v>
      </c>
      <c r="B204" t="str">
        <f>+'[2]por cuent'!B204</f>
        <v>401000036</v>
      </c>
      <c r="C204" t="str">
        <f>+'[2]por cuent'!C204</f>
        <v>MISCELIO S.A.</v>
      </c>
      <c r="D204" s="35">
        <f>+'[2]por cuent'!G204</f>
        <v>32533051.800000001</v>
      </c>
      <c r="E204" s="35">
        <f>+'[2]por cuent'!H204</f>
        <v>32533051.800000001</v>
      </c>
      <c r="F204" t="str">
        <f>+'[2]por cuent'!I204</f>
        <v>401</v>
      </c>
    </row>
    <row r="205" spans="1:6" x14ac:dyDescent="0.35">
      <c r="A205" t="str">
        <f>+'[2]por cuent'!A205</f>
        <v>ARS</v>
      </c>
      <c r="B205" t="str">
        <f>+'[2]por cuent'!B205</f>
        <v>401000037</v>
      </c>
      <c r="C205" t="str">
        <f>+'[2]por cuent'!C205</f>
        <v>GOTION ARGENTINA S.A.</v>
      </c>
      <c r="D205" s="35">
        <f>+'[2]por cuent'!G205</f>
        <v>277745506.64999998</v>
      </c>
      <c r="E205" s="35">
        <f>+'[2]por cuent'!H205</f>
        <v>277745506.64999998</v>
      </c>
      <c r="F205" t="str">
        <f>+'[2]por cuent'!I205</f>
        <v>401</v>
      </c>
    </row>
    <row r="206" spans="1:6" x14ac:dyDescent="0.35">
      <c r="A206" t="str">
        <f>+'[2]por cuent'!A206</f>
        <v>ARS</v>
      </c>
      <c r="B206" t="str">
        <f>+'[2]por cuent'!B206</f>
        <v>401000040</v>
      </c>
      <c r="C206" t="str">
        <f>+'[2]por cuent'!C206</f>
        <v>DIVARA NOVITEX S.A</v>
      </c>
      <c r="D206" s="35">
        <f>+'[2]por cuent'!G206</f>
        <v>1340287096</v>
      </c>
      <c r="E206" s="35">
        <f>+'[2]por cuent'!H206</f>
        <v>1340287096</v>
      </c>
      <c r="F206" t="str">
        <f>+'[2]por cuent'!I206</f>
        <v>401</v>
      </c>
    </row>
    <row r="207" spans="1:6" x14ac:dyDescent="0.35">
      <c r="A207" t="str">
        <f>+'[2]por cuent'!A207</f>
        <v>ARS</v>
      </c>
      <c r="B207" t="str">
        <f>+'[2]por cuent'!B207</f>
        <v>401000050</v>
      </c>
      <c r="C207" t="str">
        <f>+'[2]por cuent'!C207</f>
        <v>FRIGORIFICO ALBERDI S.A.</v>
      </c>
      <c r="D207" s="35">
        <f>+'[2]por cuent'!G207</f>
        <v>520900000.36000001</v>
      </c>
      <c r="E207" s="35">
        <f>+'[2]por cuent'!H207</f>
        <v>520900000.36000001</v>
      </c>
      <c r="F207" t="str">
        <f>+'[2]por cuent'!I207</f>
        <v>401</v>
      </c>
    </row>
    <row r="208" spans="1:6" x14ac:dyDescent="0.35">
      <c r="A208" t="str">
        <f>+'[2]por cuent'!A208</f>
        <v>ARS</v>
      </c>
      <c r="B208" t="str">
        <f>+'[2]por cuent'!B208</f>
        <v>401000051</v>
      </c>
      <c r="C208" t="str">
        <f>+'[2]por cuent'!C208</f>
        <v>EMPRESA NAVIERA PETROLERA ATLANTICA S.A.</v>
      </c>
      <c r="D208" s="35">
        <f>+'[2]por cuent'!G208</f>
        <v>228591221</v>
      </c>
      <c r="E208" s="35">
        <f>+'[2]por cuent'!H208</f>
        <v>228591221</v>
      </c>
      <c r="F208" t="str">
        <f>+'[2]por cuent'!I208</f>
        <v>401</v>
      </c>
    </row>
    <row r="209" spans="1:6" x14ac:dyDescent="0.35">
      <c r="A209" t="str">
        <f>+'[2]por cuent'!A209</f>
        <v>ARS</v>
      </c>
      <c r="B209" t="str">
        <f>+'[2]por cuent'!B209</f>
        <v>401000052</v>
      </c>
      <c r="C209" t="str">
        <f>+'[2]por cuent'!C209</f>
        <v>LA COMODA S.A.</v>
      </c>
      <c r="D209" s="35">
        <f>+'[2]por cuent'!G209</f>
        <v>100152.7</v>
      </c>
      <c r="E209" s="35">
        <f>+'[2]por cuent'!H209</f>
        <v>100152.7</v>
      </c>
      <c r="F209" t="str">
        <f>+'[2]por cuent'!I209</f>
        <v>401</v>
      </c>
    </row>
    <row r="210" spans="1:6" x14ac:dyDescent="0.35">
      <c r="A210" t="str">
        <f>+'[2]por cuent'!A210</f>
        <v>ARS</v>
      </c>
      <c r="B210" t="str">
        <f>+'[2]por cuent'!B210</f>
        <v>401000054</v>
      </c>
      <c r="C210" t="str">
        <f>+'[2]por cuent'!C210</f>
        <v>COMUNICACION INTEGRAL 360 S.R.L.</v>
      </c>
      <c r="D210" s="35">
        <f>+'[2]por cuent'!G210</f>
        <v>1055835517</v>
      </c>
      <c r="E210" s="35">
        <f>+'[2]por cuent'!H210</f>
        <v>1055835517</v>
      </c>
      <c r="F210" t="str">
        <f>+'[2]por cuent'!I210</f>
        <v>401</v>
      </c>
    </row>
    <row r="211" spans="1:6" x14ac:dyDescent="0.35">
      <c r="A211" t="str">
        <f>+'[2]por cuent'!A211</f>
        <v>ARS</v>
      </c>
      <c r="B211" t="str">
        <f>+'[2]por cuent'!B211</f>
        <v>401000056</v>
      </c>
      <c r="C211" t="str">
        <f>+'[2]por cuent'!C211</f>
        <v>SOCIEDAD ANONIMA CARNES PAMPEANAS SA</v>
      </c>
      <c r="D211" s="35">
        <f>+'[2]por cuent'!G211</f>
        <v>47528250</v>
      </c>
      <c r="E211" s="35">
        <f>+'[2]por cuent'!H211</f>
        <v>47528250</v>
      </c>
      <c r="F211" t="str">
        <f>+'[2]por cuent'!I211</f>
        <v>401</v>
      </c>
    </row>
    <row r="212" spans="1:6" x14ac:dyDescent="0.35">
      <c r="A212" t="str">
        <f>+'[2]por cuent'!A212</f>
        <v>ARS</v>
      </c>
      <c r="B212" t="str">
        <f>+'[2]por cuent'!B212</f>
        <v>401000057</v>
      </c>
      <c r="C212" t="str">
        <f>+'[2]por cuent'!C212</f>
        <v xml:space="preserve">GL S.A </v>
      </c>
      <c r="D212" s="35">
        <f>+'[2]por cuent'!G212</f>
        <v>1115399999.6300001</v>
      </c>
      <c r="E212" s="35">
        <f>+'[2]por cuent'!H212</f>
        <v>1115399999.6300001</v>
      </c>
      <c r="F212" t="str">
        <f>+'[2]por cuent'!I212</f>
        <v>401</v>
      </c>
    </row>
    <row r="213" spans="1:6" x14ac:dyDescent="0.35">
      <c r="A213" t="str">
        <f>+'[2]por cuent'!A213</f>
        <v>ARS</v>
      </c>
      <c r="B213" t="str">
        <f>+'[2]por cuent'!B213</f>
        <v>401000058</v>
      </c>
      <c r="C213" t="str">
        <f>+'[2]por cuent'!C213</f>
        <v>POTIGIAN GOLOSINAS S.A.C.I.F.I.</v>
      </c>
      <c r="D213" s="35">
        <f>+'[2]por cuent'!G213</f>
        <v>14019769736</v>
      </c>
      <c r="E213" s="35">
        <f>+'[2]por cuent'!H213</f>
        <v>14019769736</v>
      </c>
      <c r="F213" t="str">
        <f>+'[2]por cuent'!I213</f>
        <v>401</v>
      </c>
    </row>
    <row r="214" spans="1:6" x14ac:dyDescent="0.35">
      <c r="A214" t="str">
        <f>+'[2]por cuent'!A214</f>
        <v>ARS</v>
      </c>
      <c r="B214" t="str">
        <f>+'[2]por cuent'!B214</f>
        <v>401000060</v>
      </c>
      <c r="C214" t="str">
        <f>+'[2]por cuent'!C214</f>
        <v>WODEN ENERGIA SAU</v>
      </c>
      <c r="D214" s="35">
        <f>+'[2]por cuent'!G214</f>
        <v>13983439975.33</v>
      </c>
      <c r="E214" s="35">
        <f>+'[2]por cuent'!H214</f>
        <v>13983439975.33</v>
      </c>
      <c r="F214" t="str">
        <f>+'[2]por cuent'!I214</f>
        <v>401</v>
      </c>
    </row>
    <row r="215" spans="1:6" x14ac:dyDescent="0.35">
      <c r="A215" t="str">
        <f>+'[2]por cuent'!A215</f>
        <v>ARS</v>
      </c>
      <c r="B215" t="str">
        <f>+'[2]por cuent'!B215</f>
        <v>401000062</v>
      </c>
      <c r="C215" t="str">
        <f>+'[2]por cuent'!C215</f>
        <v>BLANCO ALICIA AMALIA</v>
      </c>
      <c r="D215" s="35">
        <f>+'[2]por cuent'!G215</f>
        <v>9138147.5999999996</v>
      </c>
      <c r="E215" s="35">
        <f>+'[2]por cuent'!H215</f>
        <v>9138147.5999999996</v>
      </c>
      <c r="F215" t="str">
        <f>+'[2]por cuent'!I215</f>
        <v>401</v>
      </c>
    </row>
    <row r="216" spans="1:6" x14ac:dyDescent="0.35">
      <c r="A216" t="str">
        <f>+'[2]por cuent'!A216</f>
        <v>ARS</v>
      </c>
      <c r="B216" t="str">
        <f>+'[2]por cuent'!B216</f>
        <v>401000065</v>
      </c>
      <c r="C216" t="str">
        <f>+'[2]por cuent'!C216</f>
        <v>INMAC INGENIERIA Y ARQUITECTURA S.A.</v>
      </c>
      <c r="D216" s="35">
        <f>+'[2]por cuent'!G216</f>
        <v>280380869.19</v>
      </c>
      <c r="E216" s="35">
        <f>+'[2]por cuent'!H216</f>
        <v>280380869.19</v>
      </c>
      <c r="F216" t="str">
        <f>+'[2]por cuent'!I216</f>
        <v>401</v>
      </c>
    </row>
    <row r="217" spans="1:6" x14ac:dyDescent="0.35">
      <c r="A217" t="str">
        <f>+'[2]por cuent'!A217</f>
        <v>ARS</v>
      </c>
      <c r="B217" t="str">
        <f>+'[2]por cuent'!B217</f>
        <v>401000066</v>
      </c>
      <c r="C217" t="str">
        <f>+'[2]por cuent'!C217</f>
        <v xml:space="preserve">EMPRESA DE ENERGIA RIO NEGRO S.A. </v>
      </c>
      <c r="D217" s="35">
        <f>+'[2]por cuent'!G217</f>
        <v>102708242167</v>
      </c>
      <c r="E217" s="35">
        <f>+'[2]por cuent'!H217</f>
        <v>102708242167</v>
      </c>
      <c r="F217" t="str">
        <f>+'[2]por cuent'!I217</f>
        <v>401</v>
      </c>
    </row>
    <row r="218" spans="1:6" x14ac:dyDescent="0.35">
      <c r="A218" t="str">
        <f>+'[2]por cuent'!A218</f>
        <v>ARS</v>
      </c>
      <c r="B218" t="str">
        <f>+'[2]por cuent'!B218</f>
        <v>401000085</v>
      </c>
      <c r="C218" t="str">
        <f>+'[2]por cuent'!C218</f>
        <v>CORRALES PEDRO MANUEL</v>
      </c>
      <c r="D218" s="35">
        <f>+'[2]por cuent'!G218</f>
        <v>25135064.5</v>
      </c>
      <c r="E218" s="35">
        <f>+'[2]por cuent'!H218</f>
        <v>25135064.5</v>
      </c>
      <c r="F218" t="str">
        <f>+'[2]por cuent'!I218</f>
        <v>401</v>
      </c>
    </row>
    <row r="219" spans="1:6" x14ac:dyDescent="0.35">
      <c r="A219" t="str">
        <f>+'[2]por cuent'!A219</f>
        <v>ARS</v>
      </c>
      <c r="B219" t="str">
        <f>+'[2]por cuent'!B219</f>
        <v>401000089</v>
      </c>
      <c r="C219" t="str">
        <f>+'[2]por cuent'!C219</f>
        <v>BLANCO ELENA HERMINIA</v>
      </c>
      <c r="D219" s="35">
        <f>+'[2]por cuent'!G219</f>
        <v>6456980</v>
      </c>
      <c r="E219" s="35">
        <f>+'[2]por cuent'!H219</f>
        <v>6456980</v>
      </c>
      <c r="F219" t="str">
        <f>+'[2]por cuent'!I219</f>
        <v>401</v>
      </c>
    </row>
    <row r="220" spans="1:6" x14ac:dyDescent="0.35">
      <c r="A220" t="str">
        <f>+'[2]por cuent'!A220</f>
        <v>ARS</v>
      </c>
      <c r="B220" t="str">
        <f>+'[2]por cuent'!B220</f>
        <v>401000097</v>
      </c>
      <c r="C220" t="str">
        <f>+'[2]por cuent'!C220</f>
        <v>CASA DEMARIA TEOFILO RAUL</v>
      </c>
      <c r="D220" s="35">
        <f>+'[2]por cuent'!G220</f>
        <v>30244441.300000001</v>
      </c>
      <c r="E220" s="35">
        <f>+'[2]por cuent'!H220</f>
        <v>30244441.300000001</v>
      </c>
      <c r="F220" t="str">
        <f>+'[2]por cuent'!I220</f>
        <v>401</v>
      </c>
    </row>
    <row r="221" spans="1:6" x14ac:dyDescent="0.35">
      <c r="A221" t="str">
        <f>+'[2]por cuent'!A221</f>
        <v>ARS</v>
      </c>
      <c r="B221" t="str">
        <f>+'[2]por cuent'!B221</f>
        <v>401000100</v>
      </c>
      <c r="C221" t="str">
        <f>+'[2]por cuent'!C221</f>
        <v>AURA CAPITAL S.A.</v>
      </c>
      <c r="D221" s="35">
        <f>+'[2]por cuent'!G221</f>
        <v>349446357</v>
      </c>
      <c r="E221" s="35">
        <f>+'[2]por cuent'!H221</f>
        <v>349446357</v>
      </c>
      <c r="F221" t="str">
        <f>+'[2]por cuent'!I221</f>
        <v>401</v>
      </c>
    </row>
    <row r="222" spans="1:6" x14ac:dyDescent="0.35">
      <c r="A222" t="str">
        <f>+'[2]por cuent'!A222</f>
        <v>ARS</v>
      </c>
      <c r="B222" t="str">
        <f>+'[2]por cuent'!B222</f>
        <v>401000108</v>
      </c>
      <c r="C222" t="str">
        <f>+'[2]por cuent'!C222</f>
        <v>THE TRADE MAP S.R.L.</v>
      </c>
      <c r="D222" s="35">
        <f>+'[2]por cuent'!G222</f>
        <v>194786295</v>
      </c>
      <c r="E222" s="35">
        <f>+'[2]por cuent'!H222</f>
        <v>194786295</v>
      </c>
      <c r="F222" t="str">
        <f>+'[2]por cuent'!I222</f>
        <v>401</v>
      </c>
    </row>
    <row r="223" spans="1:6" x14ac:dyDescent="0.35">
      <c r="A223" t="str">
        <f>+'[2]por cuent'!A223</f>
        <v>ARS</v>
      </c>
      <c r="B223" t="str">
        <f>+'[2]por cuent'!B223</f>
        <v>401000111</v>
      </c>
      <c r="C223" t="str">
        <f>+'[2]por cuent'!C223</f>
        <v>FANTASÍA JORGE LUIS</v>
      </c>
      <c r="D223" s="35">
        <f>+'[2]por cuent'!G223</f>
        <v>25617046.600000001</v>
      </c>
      <c r="E223" s="35">
        <f>+'[2]por cuent'!H223</f>
        <v>25617046.600000001</v>
      </c>
      <c r="F223" t="str">
        <f>+'[2]por cuent'!I223</f>
        <v>401</v>
      </c>
    </row>
    <row r="224" spans="1:6" x14ac:dyDescent="0.35">
      <c r="A224" t="str">
        <f>+'[2]por cuent'!A224</f>
        <v>ARS</v>
      </c>
      <c r="B224" t="str">
        <f>+'[2]por cuent'!B224</f>
        <v>401000116</v>
      </c>
      <c r="C224" t="str">
        <f>+'[2]por cuent'!C224</f>
        <v>ITZCOVICH MARIANA</v>
      </c>
      <c r="D224" s="35">
        <f>+'[2]por cuent'!G224</f>
        <v>46902</v>
      </c>
      <c r="E224" s="35">
        <f>+'[2]por cuent'!H224</f>
        <v>46902</v>
      </c>
      <c r="F224" t="str">
        <f>+'[2]por cuent'!I224</f>
        <v>401</v>
      </c>
    </row>
    <row r="225" spans="1:6" x14ac:dyDescent="0.35">
      <c r="A225" t="str">
        <f>+'[2]por cuent'!A225</f>
        <v>ARS</v>
      </c>
      <c r="B225" t="str">
        <f>+'[2]por cuent'!B225</f>
        <v>401000128</v>
      </c>
      <c r="C225" t="str">
        <f>+'[2]por cuent'!C225</f>
        <v>MALIC ESTANISLAO</v>
      </c>
      <c r="D225" s="35">
        <f>+'[2]por cuent'!G225</f>
        <v>10638860.119999999</v>
      </c>
      <c r="E225" s="35">
        <f>+'[2]por cuent'!H225</f>
        <v>10638860.119999999</v>
      </c>
      <c r="F225" t="str">
        <f>+'[2]por cuent'!I225</f>
        <v>401</v>
      </c>
    </row>
    <row r="226" spans="1:6" x14ac:dyDescent="0.35">
      <c r="A226" t="str">
        <f>+'[2]por cuent'!A226</f>
        <v>ARS</v>
      </c>
      <c r="B226" t="str">
        <f>+'[2]por cuent'!B226</f>
        <v>401000131</v>
      </c>
      <c r="C226" t="str">
        <f>+'[2]por cuent'!C226</f>
        <v>ZUBIAURRE ALBERTO</v>
      </c>
      <c r="D226" s="35">
        <f>+'[2]por cuent'!G226</f>
        <v>145054091.5</v>
      </c>
      <c r="E226" s="35">
        <f>+'[2]por cuent'!H226</f>
        <v>145054091.5</v>
      </c>
      <c r="F226" t="str">
        <f>+'[2]por cuent'!I226</f>
        <v>401</v>
      </c>
    </row>
    <row r="227" spans="1:6" x14ac:dyDescent="0.35">
      <c r="A227" t="str">
        <f>+'[2]por cuent'!A227</f>
        <v>ARS</v>
      </c>
      <c r="B227" t="str">
        <f>+'[2]por cuent'!B227</f>
        <v>401000134</v>
      </c>
      <c r="C227" t="str">
        <f>+'[2]por cuent'!C227</f>
        <v>ROJAS PANELO FERNANDO MARIO</v>
      </c>
      <c r="D227" s="35">
        <f>+'[2]por cuent'!G227</f>
        <v>115761298</v>
      </c>
      <c r="E227" s="35">
        <f>+'[2]por cuent'!H227</f>
        <v>115761298</v>
      </c>
      <c r="F227" t="str">
        <f>+'[2]por cuent'!I227</f>
        <v>401</v>
      </c>
    </row>
    <row r="228" spans="1:6" x14ac:dyDescent="0.35">
      <c r="A228" t="str">
        <f>+'[2]por cuent'!A228</f>
        <v>ARS</v>
      </c>
      <c r="B228" t="str">
        <f>+'[2]por cuent'!B228</f>
        <v>401000143</v>
      </c>
      <c r="C228" t="str">
        <f>+'[2]por cuent'!C228</f>
        <v>FERNANDEZ MARIA CECILIA</v>
      </c>
      <c r="D228" s="35">
        <f>+'[2]por cuent'!G228</f>
        <v>799336149</v>
      </c>
      <c r="E228" s="35">
        <f>+'[2]por cuent'!H228</f>
        <v>799336149</v>
      </c>
      <c r="F228" t="str">
        <f>+'[2]por cuent'!I228</f>
        <v>401</v>
      </c>
    </row>
    <row r="229" spans="1:6" x14ac:dyDescent="0.35">
      <c r="A229" t="str">
        <f>+'[2]por cuent'!A229</f>
        <v>ARS</v>
      </c>
      <c r="B229" t="str">
        <f>+'[2]por cuent'!B229</f>
        <v>401000144</v>
      </c>
      <c r="C229" t="str">
        <f>+'[2]por cuent'!C229</f>
        <v>TADIOLI FABIAN OMAR</v>
      </c>
      <c r="D229" s="35">
        <f>+'[2]por cuent'!G229</f>
        <v>1063118764</v>
      </c>
      <c r="E229" s="35">
        <f>+'[2]por cuent'!H229</f>
        <v>1063118764</v>
      </c>
      <c r="F229" t="str">
        <f>+'[2]por cuent'!I229</f>
        <v>401</v>
      </c>
    </row>
    <row r="230" spans="1:6" x14ac:dyDescent="0.35">
      <c r="A230" t="str">
        <f>+'[2]por cuent'!A230</f>
        <v>ARS</v>
      </c>
      <c r="B230" t="str">
        <f>+'[2]por cuent'!B230</f>
        <v>401000151</v>
      </c>
      <c r="C230" t="str">
        <f>+'[2]por cuent'!C230</f>
        <v>ZUBIAURRE MARIA  FLORENTINA</v>
      </c>
      <c r="D230" s="35">
        <f>+'[2]por cuent'!G230</f>
        <v>11335110.1</v>
      </c>
      <c r="E230" s="35">
        <f>+'[2]por cuent'!H230</f>
        <v>11335110.1</v>
      </c>
      <c r="F230" t="str">
        <f>+'[2]por cuent'!I230</f>
        <v>401</v>
      </c>
    </row>
    <row r="231" spans="1:6" x14ac:dyDescent="0.35">
      <c r="A231" t="str">
        <f>+'[2]por cuent'!A231</f>
        <v>ARS</v>
      </c>
      <c r="B231" t="str">
        <f>+'[2]por cuent'!B231</f>
        <v>401000153</v>
      </c>
      <c r="C231" t="str">
        <f>+'[2]por cuent'!C231</f>
        <v xml:space="preserve">AVANTIA VALORES SA - CUENTA ERROR </v>
      </c>
      <c r="D231" s="35">
        <f>+'[2]por cuent'!G231</f>
        <v>10096378.6</v>
      </c>
      <c r="E231" s="35">
        <f>+'[2]por cuent'!H231</f>
        <v>10096378.6</v>
      </c>
      <c r="F231" t="str">
        <f>+'[2]por cuent'!I231</f>
        <v>401</v>
      </c>
    </row>
    <row r="232" spans="1:6" x14ac:dyDescent="0.35">
      <c r="A232" t="str">
        <f>+'[2]por cuent'!A232</f>
        <v>ARS</v>
      </c>
      <c r="B232" t="str">
        <f>+'[2]por cuent'!B232</f>
        <v>401000154</v>
      </c>
      <c r="C232" t="str">
        <f>+'[2]por cuent'!C232</f>
        <v>SCHAER JUAN JOSE  Y FERNANDEZ MARIA DE LAS MERCEDES</v>
      </c>
      <c r="D232" s="35">
        <f>+'[2]por cuent'!G232</f>
        <v>17631.599999999999</v>
      </c>
      <c r="E232" s="35">
        <f>+'[2]por cuent'!H232</f>
        <v>17631.599999999999</v>
      </c>
      <c r="F232" t="str">
        <f>+'[2]por cuent'!I232</f>
        <v>401</v>
      </c>
    </row>
    <row r="233" spans="1:6" x14ac:dyDescent="0.35">
      <c r="A233" t="str">
        <f>+'[2]por cuent'!A233</f>
        <v>ARS</v>
      </c>
      <c r="B233" t="str">
        <f>+'[2]por cuent'!B233</f>
        <v>401000155</v>
      </c>
      <c r="C233" t="str">
        <f>+'[2]por cuent'!C233</f>
        <v>SCALA LUIS MARTÍN</v>
      </c>
      <c r="D233" s="35">
        <f>+'[2]por cuent'!G233</f>
        <v>1577228489.75</v>
      </c>
      <c r="E233" s="35">
        <f>+'[2]por cuent'!H233</f>
        <v>1577228489.75</v>
      </c>
      <c r="F233" t="str">
        <f>+'[2]por cuent'!I233</f>
        <v>401</v>
      </c>
    </row>
    <row r="234" spans="1:6" x14ac:dyDescent="0.35">
      <c r="A234" t="str">
        <f>+'[2]por cuent'!A234</f>
        <v>ARS</v>
      </c>
      <c r="B234" t="str">
        <f>+'[2]por cuent'!B234</f>
        <v>401000160</v>
      </c>
      <c r="C234" t="str">
        <f>+'[2]por cuent'!C234</f>
        <v xml:space="preserve">AGRO GUÍRA PITA S.A. </v>
      </c>
      <c r="D234" s="35">
        <f>+'[2]por cuent'!G234</f>
        <v>7638519.5</v>
      </c>
      <c r="E234" s="35">
        <f>+'[2]por cuent'!H234</f>
        <v>7638519.5</v>
      </c>
      <c r="F234" t="str">
        <f>+'[2]por cuent'!I234</f>
        <v>401</v>
      </c>
    </row>
    <row r="235" spans="1:6" x14ac:dyDescent="0.35">
      <c r="A235" t="str">
        <f>+'[2]por cuent'!A235</f>
        <v>ARS</v>
      </c>
      <c r="B235" t="str">
        <f>+'[2]por cuent'!B235</f>
        <v>401000161</v>
      </c>
      <c r="C235" t="str">
        <f>+'[2]por cuent'!C235</f>
        <v>FUNDACIÓN FARO ARGENTINA</v>
      </c>
      <c r="D235" s="35">
        <f>+'[2]por cuent'!G235</f>
        <v>30595614249.450001</v>
      </c>
      <c r="E235" s="35">
        <f>+'[2]por cuent'!H235</f>
        <v>30595614249.450001</v>
      </c>
      <c r="F235" t="str">
        <f>+'[2]por cuent'!I235</f>
        <v>401</v>
      </c>
    </row>
    <row r="236" spans="1:6" x14ac:dyDescent="0.35">
      <c r="A236" t="str">
        <f>+'[2]por cuent'!A236</f>
        <v>ARS</v>
      </c>
      <c r="B236" t="str">
        <f>+'[2]por cuent'!B236</f>
        <v>401000164</v>
      </c>
      <c r="C236" t="str">
        <f>+'[2]por cuent'!C236</f>
        <v>CIAMPI LIONEL JUAN Y SENATORE LELIA CRISTINA</v>
      </c>
      <c r="D236" s="35">
        <f>+'[2]por cuent'!G236</f>
        <v>39380</v>
      </c>
      <c r="E236" s="35">
        <f>+'[2]por cuent'!H236</f>
        <v>39380</v>
      </c>
      <c r="F236" t="str">
        <f>+'[2]por cuent'!I236</f>
        <v>401</v>
      </c>
    </row>
    <row r="237" spans="1:6" x14ac:dyDescent="0.35">
      <c r="A237" t="str">
        <f>+'[2]por cuent'!A237</f>
        <v>ARS</v>
      </c>
      <c r="B237" t="str">
        <f>+'[2]por cuent'!B237</f>
        <v>401000168</v>
      </c>
      <c r="C237" t="str">
        <f>+'[2]por cuent'!C237</f>
        <v>GENTA JUAN CRUZ</v>
      </c>
      <c r="D237" s="35">
        <f>+'[2]por cuent'!G237</f>
        <v>5955639.96</v>
      </c>
      <c r="E237" s="35">
        <f>+'[2]por cuent'!H237</f>
        <v>5955639.96</v>
      </c>
      <c r="F237" t="str">
        <f>+'[2]por cuent'!I237</f>
        <v>401</v>
      </c>
    </row>
    <row r="238" spans="1:6" x14ac:dyDescent="0.35">
      <c r="A238" t="str">
        <f>+'[2]por cuent'!A238</f>
        <v>ARS</v>
      </c>
      <c r="B238" t="str">
        <f>+'[2]por cuent'!B238</f>
        <v>401000171</v>
      </c>
      <c r="C238" t="str">
        <f>+'[2]por cuent'!C238</f>
        <v>SUCESION DE AMAND DE MENDIETA MIGUEL JUAN MARIA</v>
      </c>
      <c r="D238" s="35">
        <f>+'[2]por cuent'!G238</f>
        <v>336644946.94999999</v>
      </c>
      <c r="E238" s="35">
        <f>+'[2]por cuent'!H238</f>
        <v>336644946.94999999</v>
      </c>
      <c r="F238" t="str">
        <f>+'[2]por cuent'!I238</f>
        <v>401</v>
      </c>
    </row>
    <row r="239" spans="1:6" x14ac:dyDescent="0.35">
      <c r="A239" t="str">
        <f>+'[2]por cuent'!A239</f>
        <v>ARS</v>
      </c>
      <c r="B239" t="str">
        <f>+'[2]por cuent'!B239</f>
        <v>401000182</v>
      </c>
      <c r="C239" t="str">
        <f>+'[2]por cuent'!C239</f>
        <v xml:space="preserve">BIANCHINI HUGO EDGARDO Y DESPOSITO LILIANA </v>
      </c>
      <c r="D239" s="35">
        <f>+'[2]por cuent'!G239</f>
        <v>20446906</v>
      </c>
      <c r="E239" s="35">
        <f>+'[2]por cuent'!H239</f>
        <v>20446906</v>
      </c>
      <c r="F239" t="str">
        <f>+'[2]por cuent'!I239</f>
        <v>401</v>
      </c>
    </row>
    <row r="240" spans="1:6" x14ac:dyDescent="0.35">
      <c r="A240" t="str">
        <f>+'[2]por cuent'!A240</f>
        <v>ARS</v>
      </c>
      <c r="B240" t="str">
        <f>+'[2]por cuent'!B240</f>
        <v>401000187</v>
      </c>
      <c r="C240" t="str">
        <f>+'[2]por cuent'!C240</f>
        <v>FERNANDEZ JULIO MAXIMILIANO</v>
      </c>
      <c r="D240" s="35">
        <f>+'[2]por cuent'!G240</f>
        <v>22202538.649999999</v>
      </c>
      <c r="E240" s="35">
        <f>+'[2]por cuent'!H240</f>
        <v>22202538.649999999</v>
      </c>
      <c r="F240" t="str">
        <f>+'[2]por cuent'!I240</f>
        <v>401</v>
      </c>
    </row>
    <row r="241" spans="1:6" x14ac:dyDescent="0.35">
      <c r="A241" t="str">
        <f>+'[2]por cuent'!A241</f>
        <v>ARS</v>
      </c>
      <c r="B241" t="str">
        <f>+'[2]por cuent'!B241</f>
        <v>401000191</v>
      </c>
      <c r="C241" t="str">
        <f>+'[2]por cuent'!C241</f>
        <v>REYES ANA ELIZABETH</v>
      </c>
      <c r="D241" s="35">
        <f>+'[2]por cuent'!G241</f>
        <v>6809648.9500000002</v>
      </c>
      <c r="E241" s="35">
        <f>+'[2]por cuent'!H241</f>
        <v>6809648.9500000002</v>
      </c>
      <c r="F241" t="str">
        <f>+'[2]por cuent'!I241</f>
        <v>401</v>
      </c>
    </row>
    <row r="242" spans="1:6" x14ac:dyDescent="0.35">
      <c r="A242" t="str">
        <f>+'[2]por cuent'!A242</f>
        <v>ARS</v>
      </c>
      <c r="B242" t="str">
        <f>+'[2]por cuent'!B242</f>
        <v>401000192</v>
      </c>
      <c r="C242" t="str">
        <f>+'[2]por cuent'!C242</f>
        <v>SATUS AGER S. A</v>
      </c>
      <c r="D242" s="35">
        <f>+'[2]por cuent'!G242</f>
        <v>1580000000.1700001</v>
      </c>
      <c r="E242" s="35">
        <f>+'[2]por cuent'!H242</f>
        <v>1580000000.1700001</v>
      </c>
      <c r="F242" t="str">
        <f>+'[2]por cuent'!I242</f>
        <v>401</v>
      </c>
    </row>
    <row r="243" spans="1:6" x14ac:dyDescent="0.35">
      <c r="A243" t="str">
        <f>+'[2]por cuent'!A243</f>
        <v>ARS</v>
      </c>
      <c r="B243" t="str">
        <f>+'[2]por cuent'!B243</f>
        <v>401000194</v>
      </c>
      <c r="C243" t="str">
        <f>+'[2]por cuent'!C243</f>
        <v>MAQUINARIAS Y SERVICIOS DEL NORTE S.A.</v>
      </c>
      <c r="D243" s="35">
        <f>+'[2]por cuent'!G243</f>
        <v>1562026.5</v>
      </c>
      <c r="E243" s="35">
        <f>+'[2]por cuent'!H243</f>
        <v>1562026.5</v>
      </c>
      <c r="F243" t="str">
        <f>+'[2]por cuent'!I243</f>
        <v>401</v>
      </c>
    </row>
    <row r="244" spans="1:6" x14ac:dyDescent="0.35">
      <c r="A244" t="str">
        <f>+'[2]por cuent'!A244</f>
        <v>ARS</v>
      </c>
      <c r="B244" t="str">
        <f>+'[2]por cuent'!B244</f>
        <v>401000201</v>
      </c>
      <c r="C244" t="str">
        <f>+'[2]por cuent'!C244</f>
        <v>SIRGA S.R.L.</v>
      </c>
      <c r="D244" s="35">
        <f>+'[2]por cuent'!G244</f>
        <v>8007713.8499999996</v>
      </c>
      <c r="E244" s="35">
        <f>+'[2]por cuent'!H244</f>
        <v>8007713.8499999996</v>
      </c>
      <c r="F244" t="str">
        <f>+'[2]por cuent'!I244</f>
        <v>401</v>
      </c>
    </row>
    <row r="245" spans="1:6" x14ac:dyDescent="0.35">
      <c r="A245" t="str">
        <f>+'[2]por cuent'!A245</f>
        <v>ARS</v>
      </c>
      <c r="B245" t="str">
        <f>+'[2]por cuent'!B245</f>
        <v>401000203</v>
      </c>
      <c r="C245" t="str">
        <f>+'[2]por cuent'!C245</f>
        <v>CACACE MARIA CARMEN</v>
      </c>
      <c r="D245" s="35">
        <f>+'[2]por cuent'!G245</f>
        <v>14094</v>
      </c>
      <c r="E245" s="35">
        <f>+'[2]por cuent'!H245</f>
        <v>14094</v>
      </c>
      <c r="F245" t="str">
        <f>+'[2]por cuent'!I245</f>
        <v>401</v>
      </c>
    </row>
    <row r="246" spans="1:6" x14ac:dyDescent="0.35">
      <c r="A246" t="str">
        <f>+'[2]por cuent'!A246</f>
        <v>ARS</v>
      </c>
      <c r="B246" t="str">
        <f>+'[2]por cuent'!B246</f>
        <v>401000222</v>
      </c>
      <c r="C246" t="str">
        <f>+'[2]por cuent'!C246</f>
        <v>AVANTIA VALORES SA - PROP</v>
      </c>
      <c r="D246" s="35">
        <f>+'[2]por cuent'!G246</f>
        <v>730560552.40999997</v>
      </c>
      <c r="E246" s="35">
        <f>+'[2]por cuent'!H246</f>
        <v>730560552.40999997</v>
      </c>
      <c r="F246" t="str">
        <f>+'[2]por cuent'!I246</f>
        <v>401</v>
      </c>
    </row>
    <row r="247" spans="1:6" x14ac:dyDescent="0.35">
      <c r="A247" t="str">
        <f>+'[2]por cuent'!A247</f>
        <v>ARS</v>
      </c>
      <c r="B247" t="str">
        <f>+'[2]por cuent'!B247</f>
        <v>401000233</v>
      </c>
      <c r="C247" t="str">
        <f>+'[2]por cuent'!C247</f>
        <v>GONZALEZ BENEGAS ISABEL MARTINA</v>
      </c>
      <c r="D247" s="35">
        <f>+'[2]por cuent'!G247</f>
        <v>20892594.899999999</v>
      </c>
      <c r="E247" s="35">
        <f>+'[2]por cuent'!H247</f>
        <v>20892594.899999999</v>
      </c>
      <c r="F247" t="str">
        <f>+'[2]por cuent'!I247</f>
        <v>401</v>
      </c>
    </row>
    <row r="248" spans="1:6" x14ac:dyDescent="0.35">
      <c r="A248" t="str">
        <f>+'[2]por cuent'!A248</f>
        <v>ARS</v>
      </c>
      <c r="B248" t="str">
        <f>+'[2]por cuent'!B248</f>
        <v>401000237</v>
      </c>
      <c r="C248" t="str">
        <f>+'[2]por cuent'!C248</f>
        <v>CANALE LUIS BERNARDO</v>
      </c>
      <c r="D248" s="35">
        <f>+'[2]por cuent'!G248</f>
        <v>17226</v>
      </c>
      <c r="E248" s="35">
        <f>+'[2]por cuent'!H248</f>
        <v>17226</v>
      </c>
      <c r="F248" t="str">
        <f>+'[2]por cuent'!I248</f>
        <v>401</v>
      </c>
    </row>
    <row r="249" spans="1:6" x14ac:dyDescent="0.35">
      <c r="A249" t="str">
        <f>+'[2]por cuent'!A249</f>
        <v>ARS</v>
      </c>
      <c r="B249" t="str">
        <f>+'[2]por cuent'!B249</f>
        <v>401000245</v>
      </c>
      <c r="C249" t="str">
        <f>+'[2]por cuent'!C249</f>
        <v>SILVA PACHECO LUIS ALEJANDRO</v>
      </c>
      <c r="D249" s="35">
        <f>+'[2]por cuent'!G249</f>
        <v>403587526.57999998</v>
      </c>
      <c r="E249" s="35">
        <f>+'[2]por cuent'!H249</f>
        <v>403587526.57999998</v>
      </c>
      <c r="F249" t="str">
        <f>+'[2]por cuent'!I249</f>
        <v>401</v>
      </c>
    </row>
    <row r="250" spans="1:6" x14ac:dyDescent="0.35">
      <c r="A250" t="str">
        <f>+'[2]por cuent'!A250</f>
        <v>ARS</v>
      </c>
      <c r="B250" t="str">
        <f>+'[2]por cuent'!B250</f>
        <v>401000246</v>
      </c>
      <c r="C250" t="str">
        <f>+'[2]por cuent'!C250</f>
        <v>CAMPION IRENE MARTA</v>
      </c>
      <c r="D250" s="35">
        <f>+'[2]por cuent'!G250</f>
        <v>28555.1</v>
      </c>
      <c r="E250" s="35">
        <f>+'[2]por cuent'!H250</f>
        <v>28555.1</v>
      </c>
      <c r="F250" t="str">
        <f>+'[2]por cuent'!I250</f>
        <v>401</v>
      </c>
    </row>
    <row r="251" spans="1:6" x14ac:dyDescent="0.35">
      <c r="A251" t="str">
        <f>+'[2]por cuent'!A251</f>
        <v>ARS</v>
      </c>
      <c r="B251" t="str">
        <f>+'[2]por cuent'!B251</f>
        <v>401000247</v>
      </c>
      <c r="C251" t="str">
        <f>+'[2]por cuent'!C251</f>
        <v>CONTA WALTER MARIO</v>
      </c>
      <c r="D251" s="35">
        <f>+'[2]por cuent'!G251</f>
        <v>33003756.170000002</v>
      </c>
      <c r="E251" s="35">
        <f>+'[2]por cuent'!H251</f>
        <v>33003756.170000002</v>
      </c>
      <c r="F251" t="str">
        <f>+'[2]por cuent'!I251</f>
        <v>401</v>
      </c>
    </row>
    <row r="252" spans="1:6" x14ac:dyDescent="0.35">
      <c r="A252" t="str">
        <f>+'[2]por cuent'!A252</f>
        <v>ARS</v>
      </c>
      <c r="B252" t="str">
        <f>+'[2]por cuent'!B252</f>
        <v>401000252</v>
      </c>
      <c r="C252" t="str">
        <f>+'[2]por cuent'!C252</f>
        <v>CIMINO CLAUDIA MARIA</v>
      </c>
      <c r="D252" s="35">
        <f>+'[2]por cuent'!G252</f>
        <v>14094</v>
      </c>
      <c r="E252" s="35">
        <f>+'[2]por cuent'!H252</f>
        <v>14094</v>
      </c>
      <c r="F252" t="str">
        <f>+'[2]por cuent'!I252</f>
        <v>401</v>
      </c>
    </row>
    <row r="253" spans="1:6" x14ac:dyDescent="0.35">
      <c r="A253" t="str">
        <f>+'[2]por cuent'!A253</f>
        <v>ARS</v>
      </c>
      <c r="B253" t="str">
        <f>+'[2]por cuent'!B253</f>
        <v>401000258</v>
      </c>
      <c r="C253" t="str">
        <f>+'[2]por cuent'!C253</f>
        <v>BANCO COMAFI SD AVANTIA MULTIESTRATEGIA</v>
      </c>
      <c r="D253" s="35">
        <f>+'[2]por cuent'!G253</f>
        <v>24030335256.82</v>
      </c>
      <c r="E253" s="35">
        <f>+'[2]por cuent'!H253</f>
        <v>24030335256.82</v>
      </c>
      <c r="F253" t="str">
        <f>+'[2]por cuent'!I253</f>
        <v>401</v>
      </c>
    </row>
    <row r="254" spans="1:6" x14ac:dyDescent="0.35">
      <c r="A254" t="str">
        <f>+'[2]por cuent'!A254</f>
        <v>ARS</v>
      </c>
      <c r="B254" t="str">
        <f>+'[2]por cuent'!B254</f>
        <v>401000261</v>
      </c>
      <c r="C254" t="str">
        <f>+'[2]por cuent'!C254</f>
        <v>TANCO CARLOS ARIEL</v>
      </c>
      <c r="D254" s="35">
        <f>+'[2]por cuent'!G254</f>
        <v>5028012.5</v>
      </c>
      <c r="E254" s="35">
        <f>+'[2]por cuent'!H254</f>
        <v>5028012.5</v>
      </c>
      <c r="F254" t="str">
        <f>+'[2]por cuent'!I254</f>
        <v>401</v>
      </c>
    </row>
    <row r="255" spans="1:6" x14ac:dyDescent="0.35">
      <c r="A255" t="str">
        <f>+'[2]por cuent'!A255</f>
        <v>ARS</v>
      </c>
      <c r="B255" t="str">
        <f>+'[2]por cuent'!B255</f>
        <v>401000263</v>
      </c>
      <c r="C255" t="str">
        <f>+'[2]por cuent'!C255</f>
        <v>COOPERATIVA DE TABACALEROS DE JUJUY LTDA</v>
      </c>
      <c r="D255" s="35">
        <f>+'[2]por cuent'!G255</f>
        <v>493237580.74000001</v>
      </c>
      <c r="E255" s="35">
        <f>+'[2]por cuent'!H255</f>
        <v>493237580.74000001</v>
      </c>
      <c r="F255" t="str">
        <f>+'[2]por cuent'!I255</f>
        <v>401</v>
      </c>
    </row>
    <row r="256" spans="1:6" x14ac:dyDescent="0.35">
      <c r="A256" t="str">
        <f>+'[2]por cuent'!A256</f>
        <v>ARS</v>
      </c>
      <c r="B256" t="str">
        <f>+'[2]por cuent'!B256</f>
        <v>401000266</v>
      </c>
      <c r="C256" t="str">
        <f>+'[2]por cuent'!C256</f>
        <v>FINLATINA SA</v>
      </c>
      <c r="D256" s="35">
        <f>+'[2]por cuent'!G256</f>
        <v>61464170.399999999</v>
      </c>
      <c r="E256" s="35">
        <f>+'[2]por cuent'!H256</f>
        <v>61464170.399999999</v>
      </c>
      <c r="F256" t="str">
        <f>+'[2]por cuent'!I256</f>
        <v>401</v>
      </c>
    </row>
    <row r="257" spans="1:6" x14ac:dyDescent="0.35">
      <c r="A257" t="str">
        <f>+'[2]por cuent'!A257</f>
        <v>ARS</v>
      </c>
      <c r="B257" t="str">
        <f>+'[2]por cuent'!B257</f>
        <v>401000268</v>
      </c>
      <c r="C257" t="str">
        <f>+'[2]por cuent'!C257</f>
        <v>WAYNICOIN SA</v>
      </c>
      <c r="D257" s="35">
        <f>+'[2]por cuent'!G257</f>
        <v>4765087047.3699999</v>
      </c>
      <c r="E257" s="35">
        <f>+'[2]por cuent'!H257</f>
        <v>4765087047.3699999</v>
      </c>
      <c r="F257" t="str">
        <f>+'[2]por cuent'!I257</f>
        <v>401</v>
      </c>
    </row>
    <row r="258" spans="1:6" x14ac:dyDescent="0.35">
      <c r="A258" t="str">
        <f>+'[2]por cuent'!A258</f>
        <v>ARS</v>
      </c>
      <c r="B258" t="str">
        <f>+'[2]por cuent'!B258</f>
        <v>401000269</v>
      </c>
      <c r="C258" t="str">
        <f>+'[2]por cuent'!C258</f>
        <v>MONTES DE OCA DOLORES MARIA</v>
      </c>
      <c r="D258" s="35">
        <f>+'[2]por cuent'!G258</f>
        <v>14094</v>
      </c>
      <c r="E258" s="35">
        <f>+'[2]por cuent'!H258</f>
        <v>14094</v>
      </c>
      <c r="F258" t="str">
        <f>+'[2]por cuent'!I258</f>
        <v>401</v>
      </c>
    </row>
    <row r="259" spans="1:6" x14ac:dyDescent="0.35">
      <c r="A259" t="str">
        <f>+'[2]por cuent'!A259</f>
        <v>ARS</v>
      </c>
      <c r="B259" t="str">
        <f>+'[2]por cuent'!B259</f>
        <v>401000275</v>
      </c>
      <c r="C259" t="str">
        <f>+'[2]por cuent'!C259</f>
        <v>BEOTEGUI CAROLINA BELEN</v>
      </c>
      <c r="D259" s="35">
        <f>+'[2]por cuent'!G259</f>
        <v>8147402.0499999998</v>
      </c>
      <c r="E259" s="35">
        <f>+'[2]por cuent'!H259</f>
        <v>8147402.0499999998</v>
      </c>
      <c r="F259" t="str">
        <f>+'[2]por cuent'!I259</f>
        <v>401</v>
      </c>
    </row>
    <row r="260" spans="1:6" x14ac:dyDescent="0.35">
      <c r="A260" t="str">
        <f>+'[2]por cuent'!A260</f>
        <v>ARS</v>
      </c>
      <c r="B260" t="str">
        <f>+'[2]por cuent'!B260</f>
        <v>401000278</v>
      </c>
      <c r="C260" t="str">
        <f>+'[2]por cuent'!C260</f>
        <v>FINELLI FERRAZZINI JAVIER</v>
      </c>
      <c r="D260" s="35">
        <f>+'[2]por cuent'!G260</f>
        <v>8454695</v>
      </c>
      <c r="E260" s="35">
        <f>+'[2]por cuent'!H260</f>
        <v>8454695</v>
      </c>
      <c r="F260" t="str">
        <f>+'[2]por cuent'!I260</f>
        <v>401</v>
      </c>
    </row>
    <row r="261" spans="1:6" x14ac:dyDescent="0.35">
      <c r="A261" t="str">
        <f>+'[2]por cuent'!A261</f>
        <v>ARS</v>
      </c>
      <c r="B261" t="str">
        <f>+'[2]por cuent'!B261</f>
        <v>401000288</v>
      </c>
      <c r="C261" t="str">
        <f>+'[2]por cuent'!C261</f>
        <v>WIBOND SAS</v>
      </c>
      <c r="D261" s="35">
        <f>+'[2]por cuent'!G261</f>
        <v>28145482.59</v>
      </c>
      <c r="E261" s="35">
        <f>+'[2]por cuent'!H261</f>
        <v>28145482.59</v>
      </c>
      <c r="F261" t="str">
        <f>+'[2]por cuent'!I261</f>
        <v>401</v>
      </c>
    </row>
    <row r="262" spans="1:6" x14ac:dyDescent="0.35">
      <c r="A262" t="str">
        <f>+'[2]por cuent'!A262</f>
        <v>ARS</v>
      </c>
      <c r="B262" t="str">
        <f>+'[2]por cuent'!B262</f>
        <v>401000293</v>
      </c>
      <c r="C262" t="str">
        <f>+'[2]por cuent'!C262</f>
        <v>PENSANDO EN GRANDE S.A.S.</v>
      </c>
      <c r="D262" s="35">
        <f>+'[2]por cuent'!G262</f>
        <v>15800</v>
      </c>
      <c r="E262" s="35">
        <f>+'[2]por cuent'!H262</f>
        <v>15800</v>
      </c>
      <c r="F262" t="str">
        <f>+'[2]por cuent'!I262</f>
        <v>401</v>
      </c>
    </row>
    <row r="263" spans="1:6" x14ac:dyDescent="0.35">
      <c r="A263" t="str">
        <f>+'[2]por cuent'!A263</f>
        <v>ARS</v>
      </c>
      <c r="B263" t="str">
        <f>+'[2]por cuent'!B263</f>
        <v>401000301</v>
      </c>
      <c r="C263" t="str">
        <f>+'[2]por cuent'!C263</f>
        <v>AMANDA ALVARADO MARTINEZ</v>
      </c>
      <c r="D263" s="35">
        <f>+'[2]por cuent'!G263</f>
        <v>22619174.100000001</v>
      </c>
      <c r="E263" s="35">
        <f>+'[2]por cuent'!H263</f>
        <v>22619174.100000001</v>
      </c>
      <c r="F263" t="str">
        <f>+'[2]por cuent'!I263</f>
        <v>401</v>
      </c>
    </row>
    <row r="264" spans="1:6" x14ac:dyDescent="0.35">
      <c r="A264" t="str">
        <f>+'[2]por cuent'!A264</f>
        <v>ARS</v>
      </c>
      <c r="B264" t="str">
        <f>+'[2]por cuent'!B264</f>
        <v>401000302</v>
      </c>
      <c r="C264" t="str">
        <f>+'[2]por cuent'!C264</f>
        <v>PARRAVICINI IGNACIO MANUEL</v>
      </c>
      <c r="D264" s="35">
        <f>+'[2]por cuent'!G264</f>
        <v>55575925.380000003</v>
      </c>
      <c r="E264" s="35">
        <f>+'[2]por cuent'!H264</f>
        <v>55575925.380000003</v>
      </c>
      <c r="F264" t="str">
        <f>+'[2]por cuent'!I264</f>
        <v>401</v>
      </c>
    </row>
    <row r="265" spans="1:6" x14ac:dyDescent="0.35">
      <c r="A265" t="str">
        <f>+'[2]por cuent'!A265</f>
        <v>ARS</v>
      </c>
      <c r="B265" t="str">
        <f>+'[2]por cuent'!B265</f>
        <v>401000305</v>
      </c>
      <c r="C265" t="str">
        <f>+'[2]por cuent'!C265</f>
        <v>BARRETO, MARIA VICTORIA</v>
      </c>
      <c r="D265" s="35">
        <f>+'[2]por cuent'!G265</f>
        <v>1989653.21</v>
      </c>
      <c r="E265" s="35">
        <f>+'[2]por cuent'!H265</f>
        <v>1989653.21</v>
      </c>
      <c r="F265" t="str">
        <f>+'[2]por cuent'!I265</f>
        <v>401</v>
      </c>
    </row>
    <row r="266" spans="1:6" x14ac:dyDescent="0.35">
      <c r="A266" t="str">
        <f>+'[2]por cuent'!A266</f>
        <v>ARS</v>
      </c>
      <c r="B266" t="str">
        <f>+'[2]por cuent'!B266</f>
        <v>401000307</v>
      </c>
      <c r="C266" t="str">
        <f>+'[2]por cuent'!C266</f>
        <v>AUTOMOVILES SAN JORGE S.A.</v>
      </c>
      <c r="D266" s="35">
        <f>+'[2]por cuent'!G266</f>
        <v>35730093958.949997</v>
      </c>
      <c r="E266" s="35">
        <f>+'[2]por cuent'!H266</f>
        <v>35730093958.949997</v>
      </c>
      <c r="F266" t="str">
        <f>+'[2]por cuent'!I266</f>
        <v>401</v>
      </c>
    </row>
    <row r="267" spans="1:6" x14ac:dyDescent="0.35">
      <c r="A267" t="str">
        <f>+'[2]por cuent'!A267</f>
        <v>ARS</v>
      </c>
      <c r="B267" t="str">
        <f>+'[2]por cuent'!B267</f>
        <v>401000309</v>
      </c>
      <c r="C267" t="str">
        <f>+'[2]por cuent'!C267</f>
        <v>KALKSTEN S.A.</v>
      </c>
      <c r="D267" s="35">
        <f>+'[2]por cuent'!G267</f>
        <v>28128995770.009998</v>
      </c>
      <c r="E267" s="35">
        <f>+'[2]por cuent'!H267</f>
        <v>28128995770.009998</v>
      </c>
      <c r="F267" t="str">
        <f>+'[2]por cuent'!I267</f>
        <v>401</v>
      </c>
    </row>
    <row r="268" spans="1:6" x14ac:dyDescent="0.35">
      <c r="A268" t="str">
        <f>+'[2]por cuent'!A268</f>
        <v>ARS</v>
      </c>
      <c r="B268" t="str">
        <f>+'[2]por cuent'!B268</f>
        <v>401000313</v>
      </c>
      <c r="C268" t="str">
        <f>+'[2]por cuent'!C268</f>
        <v>CORNEJO COSTAS FRANCISCO JAVIER</v>
      </c>
      <c r="D268" s="35">
        <f>+'[2]por cuent'!G268</f>
        <v>576498.53</v>
      </c>
      <c r="E268" s="35">
        <f>+'[2]por cuent'!H268</f>
        <v>576498.53</v>
      </c>
      <c r="F268" t="str">
        <f>+'[2]por cuent'!I268</f>
        <v>401</v>
      </c>
    </row>
    <row r="269" spans="1:6" x14ac:dyDescent="0.35">
      <c r="A269" t="str">
        <f>+'[2]por cuent'!A269</f>
        <v>ARS</v>
      </c>
      <c r="B269" t="str">
        <f>+'[2]por cuent'!B269</f>
        <v>401000317</v>
      </c>
      <c r="C269" t="str">
        <f>+'[2]por cuent'!C269</f>
        <v>TRADELOG SAU</v>
      </c>
      <c r="D269" s="35">
        <f>+'[2]por cuent'!G269</f>
        <v>980500887.84000003</v>
      </c>
      <c r="E269" s="35">
        <f>+'[2]por cuent'!H269</f>
        <v>980500887.84000003</v>
      </c>
      <c r="F269" t="str">
        <f>+'[2]por cuent'!I269</f>
        <v>401</v>
      </c>
    </row>
    <row r="270" spans="1:6" x14ac:dyDescent="0.35">
      <c r="A270" t="str">
        <f>+'[2]por cuent'!A270</f>
        <v>ARS</v>
      </c>
      <c r="B270" t="str">
        <f>+'[2]por cuent'!B270</f>
        <v>401000328</v>
      </c>
      <c r="C270" t="str">
        <f>+'[2]por cuent'!C270</f>
        <v>INSUA PEDRO JUAN Y CARREGAL VIRGINIA</v>
      </c>
      <c r="D270" s="35">
        <f>+'[2]por cuent'!G270</f>
        <v>6250</v>
      </c>
      <c r="E270" s="35">
        <f>+'[2]por cuent'!H270</f>
        <v>6250</v>
      </c>
      <c r="F270" t="str">
        <f>+'[2]por cuent'!I270</f>
        <v>401</v>
      </c>
    </row>
    <row r="271" spans="1:6" x14ac:dyDescent="0.35">
      <c r="A271" t="str">
        <f>+'[2]por cuent'!A271</f>
        <v>ARS</v>
      </c>
      <c r="B271" t="str">
        <f>+'[2]por cuent'!B271</f>
        <v>401000330</v>
      </c>
      <c r="C271" t="str">
        <f>+'[2]por cuent'!C271</f>
        <v>ALAMEDAS SRL</v>
      </c>
      <c r="D271" s="35">
        <f>+'[2]por cuent'!G271</f>
        <v>619562733.01999998</v>
      </c>
      <c r="E271" s="35">
        <f>+'[2]por cuent'!H271</f>
        <v>619562733.01999998</v>
      </c>
      <c r="F271" t="str">
        <f>+'[2]por cuent'!I271</f>
        <v>401</v>
      </c>
    </row>
    <row r="272" spans="1:6" x14ac:dyDescent="0.35">
      <c r="A272" t="str">
        <f>+'[2]por cuent'!A272</f>
        <v>ARS</v>
      </c>
      <c r="B272" t="str">
        <f>+'[2]por cuent'!B272</f>
        <v>401000337</v>
      </c>
      <c r="C272" t="str">
        <f>+'[2]por cuent'!C272</f>
        <v>GUARDIA VANESA ANDREA</v>
      </c>
      <c r="D272" s="35">
        <f>+'[2]por cuent'!G272</f>
        <v>17121762</v>
      </c>
      <c r="E272" s="35">
        <f>+'[2]por cuent'!H272</f>
        <v>17121762</v>
      </c>
      <c r="F272" t="str">
        <f>+'[2]por cuent'!I272</f>
        <v>401</v>
      </c>
    </row>
    <row r="273" spans="1:6" x14ac:dyDescent="0.35">
      <c r="A273" t="str">
        <f>+'[2]por cuent'!A273</f>
        <v>ARS</v>
      </c>
      <c r="B273" t="str">
        <f>+'[2]por cuent'!B273</f>
        <v>401000355</v>
      </c>
      <c r="C273" t="str">
        <f>+'[2]por cuent'!C273</f>
        <v>LINEAS DE TRANSMISION DEL LITORAL SA S. A.</v>
      </c>
      <c r="D273" s="35">
        <f>+'[2]por cuent'!G273</f>
        <v>1496000000.72</v>
      </c>
      <c r="E273" s="35">
        <f>+'[2]por cuent'!H273</f>
        <v>1496000000.72</v>
      </c>
      <c r="F273" t="str">
        <f>+'[2]por cuent'!I273</f>
        <v>401</v>
      </c>
    </row>
    <row r="274" spans="1:6" x14ac:dyDescent="0.35">
      <c r="A274" t="str">
        <f>+'[2]por cuent'!A274</f>
        <v>ARS</v>
      </c>
      <c r="B274" t="str">
        <f>+'[2]por cuent'!B274</f>
        <v>401000359</v>
      </c>
      <c r="C274" t="str">
        <f>+'[2]por cuent'!C274</f>
        <v>GOMEZ IZA HORACIO</v>
      </c>
      <c r="D274" s="35">
        <f>+'[2]por cuent'!G274</f>
        <v>40044547.520000003</v>
      </c>
      <c r="E274" s="35">
        <f>+'[2]por cuent'!H274</f>
        <v>40044547.520000003</v>
      </c>
      <c r="F274" t="str">
        <f>+'[2]por cuent'!I274</f>
        <v>401</v>
      </c>
    </row>
    <row r="275" spans="1:6" x14ac:dyDescent="0.35">
      <c r="A275" t="str">
        <f>+'[2]por cuent'!A275</f>
        <v>ARS</v>
      </c>
      <c r="B275" t="str">
        <f>+'[2]por cuent'!B275</f>
        <v>401000363</v>
      </c>
      <c r="C275" t="str">
        <f>+'[2]por cuent'!C275</f>
        <v>AGRUPACION DE COLABORACION GRUPO PARAMEDIC A DE C</v>
      </c>
      <c r="D275" s="35">
        <f>+'[2]por cuent'!G275</f>
        <v>240087472.96000001</v>
      </c>
      <c r="E275" s="35">
        <f>+'[2]por cuent'!H275</f>
        <v>240087472.96000001</v>
      </c>
      <c r="F275" t="str">
        <f>+'[2]por cuent'!I275</f>
        <v>401</v>
      </c>
    </row>
    <row r="276" spans="1:6" x14ac:dyDescent="0.35">
      <c r="A276" t="str">
        <f>+'[2]por cuent'!A276</f>
        <v>ARS</v>
      </c>
      <c r="B276" t="str">
        <f>+'[2]por cuent'!B276</f>
        <v>401000364</v>
      </c>
      <c r="C276" t="str">
        <f>+'[2]por cuent'!C276</f>
        <v>FREIJE MATIAS</v>
      </c>
      <c r="D276" s="35">
        <f>+'[2]por cuent'!G276</f>
        <v>552215.19999999995</v>
      </c>
      <c r="E276" s="35">
        <f>+'[2]por cuent'!H276</f>
        <v>552215.19999999995</v>
      </c>
      <c r="F276" t="str">
        <f>+'[2]por cuent'!I276</f>
        <v>401</v>
      </c>
    </row>
    <row r="277" spans="1:6" x14ac:dyDescent="0.35">
      <c r="A277" t="str">
        <f>+'[2]por cuent'!A277</f>
        <v>ARS</v>
      </c>
      <c r="B277" t="str">
        <f>+'[2]por cuent'!B277</f>
        <v>401000365</v>
      </c>
      <c r="C277" t="str">
        <f>+'[2]por cuent'!C277</f>
        <v>LH TRADING SRL</v>
      </c>
      <c r="D277" s="35">
        <f>+'[2]por cuent'!G277</f>
        <v>28728903.989999998</v>
      </c>
      <c r="E277" s="35">
        <f>+'[2]por cuent'!H277</f>
        <v>28728903.989999998</v>
      </c>
      <c r="F277" t="str">
        <f>+'[2]por cuent'!I277</f>
        <v>401</v>
      </c>
    </row>
    <row r="278" spans="1:6" x14ac:dyDescent="0.35">
      <c r="A278" t="str">
        <f>+'[2]por cuent'!A278</f>
        <v>ARS</v>
      </c>
      <c r="B278" t="str">
        <f>+'[2]por cuent'!B278</f>
        <v>401000367</v>
      </c>
      <c r="C278" t="str">
        <f>+'[2]por cuent'!C278</f>
        <v xml:space="preserve">LUPONE ALBANO SEBASTIAN </v>
      </c>
      <c r="D278" s="35">
        <f>+'[2]por cuent'!G278</f>
        <v>983865220.77999997</v>
      </c>
      <c r="E278" s="35">
        <f>+'[2]por cuent'!H278</f>
        <v>983865220.77999997</v>
      </c>
      <c r="F278" t="str">
        <f>+'[2]por cuent'!I278</f>
        <v>401</v>
      </c>
    </row>
    <row r="279" spans="1:6" x14ac:dyDescent="0.35">
      <c r="A279" t="str">
        <f>+'[2]por cuent'!A279</f>
        <v>ARS</v>
      </c>
      <c r="B279" t="str">
        <f>+'[2]por cuent'!B279</f>
        <v>401000370</v>
      </c>
      <c r="C279" t="str">
        <f>+'[2]por cuent'!C279</f>
        <v xml:space="preserve">YACOPINI INVERSORA S.A. </v>
      </c>
      <c r="D279" s="35">
        <f>+'[2]por cuent'!G279</f>
        <v>427667599.35000002</v>
      </c>
      <c r="E279" s="35">
        <f>+'[2]por cuent'!H279</f>
        <v>427667599.35000002</v>
      </c>
      <c r="F279" t="str">
        <f>+'[2]por cuent'!I279</f>
        <v>401</v>
      </c>
    </row>
    <row r="280" spans="1:6" x14ac:dyDescent="0.35">
      <c r="A280" t="str">
        <f>+'[2]por cuent'!A280</f>
        <v>ARS</v>
      </c>
      <c r="B280" t="str">
        <f>+'[2]por cuent'!B280</f>
        <v>401000371</v>
      </c>
      <c r="C280" t="str">
        <f>+'[2]por cuent'!C280</f>
        <v>GREEN CONSULT S.R.L.</v>
      </c>
      <c r="D280" s="35">
        <f>+'[2]por cuent'!G280</f>
        <v>699922049</v>
      </c>
      <c r="E280" s="35">
        <f>+'[2]por cuent'!H280</f>
        <v>699922049</v>
      </c>
      <c r="F280" t="str">
        <f>+'[2]por cuent'!I280</f>
        <v>401</v>
      </c>
    </row>
    <row r="281" spans="1:6" x14ac:dyDescent="0.35">
      <c r="A281" t="str">
        <f>+'[2]por cuent'!A281</f>
        <v>ARS</v>
      </c>
      <c r="B281" t="str">
        <f>+'[2]por cuent'!B281</f>
        <v>401000374</v>
      </c>
      <c r="C281" t="str">
        <f>+'[2]por cuent'!C281</f>
        <v>PADILLA TIBURCIO</v>
      </c>
      <c r="D281" s="35">
        <f>+'[2]por cuent'!G281</f>
        <v>598017.5</v>
      </c>
      <c r="E281" s="35">
        <f>+'[2]por cuent'!H281</f>
        <v>598017.5</v>
      </c>
      <c r="F281" t="str">
        <f>+'[2]por cuent'!I281</f>
        <v>401</v>
      </c>
    </row>
    <row r="282" spans="1:6" x14ac:dyDescent="0.35">
      <c r="A282" t="str">
        <f>+'[2]por cuent'!A282</f>
        <v>ARS</v>
      </c>
      <c r="B282" t="str">
        <f>+'[2]por cuent'!B282</f>
        <v>401000375</v>
      </c>
      <c r="C282" t="str">
        <f>+'[2]por cuent'!C282</f>
        <v>INAP S.R.L.</v>
      </c>
      <c r="D282" s="35">
        <f>+'[2]por cuent'!G282</f>
        <v>91974297.590000004</v>
      </c>
      <c r="E282" s="35">
        <f>+'[2]por cuent'!H282</f>
        <v>91974297.590000004</v>
      </c>
      <c r="F282" t="str">
        <f>+'[2]por cuent'!I282</f>
        <v>401</v>
      </c>
    </row>
    <row r="283" spans="1:6" x14ac:dyDescent="0.35">
      <c r="A283" t="str">
        <f>+'[2]por cuent'!A283</f>
        <v>ARS</v>
      </c>
      <c r="B283" t="str">
        <f>+'[2]por cuent'!B283</f>
        <v>401000379</v>
      </c>
      <c r="C283" t="str">
        <f>+'[2]por cuent'!C283</f>
        <v>BODEGA ANTIGAL S.A.</v>
      </c>
      <c r="D283" s="35">
        <f>+'[2]por cuent'!G283</f>
        <v>94666814.989999995</v>
      </c>
      <c r="E283" s="35">
        <f>+'[2]por cuent'!H283</f>
        <v>94666814.989999995</v>
      </c>
      <c r="F283" t="str">
        <f>+'[2]por cuent'!I283</f>
        <v>401</v>
      </c>
    </row>
    <row r="284" spans="1:6" x14ac:dyDescent="0.35">
      <c r="A284" t="str">
        <f>+'[2]por cuent'!A284</f>
        <v>ARS</v>
      </c>
      <c r="B284" t="str">
        <f>+'[2]por cuent'!B284</f>
        <v>405000006</v>
      </c>
      <c r="C284" t="str">
        <f>+'[2]por cuent'!C284</f>
        <v>PUERTOS SRL (CARTERA PROPIA)</v>
      </c>
      <c r="D284" s="35">
        <f>+'[2]por cuent'!G284</f>
        <v>1530586994.1300001</v>
      </c>
      <c r="E284" s="35">
        <f>+'[2]por cuent'!H284</f>
        <v>1530586994.1300001</v>
      </c>
      <c r="F284" t="str">
        <f>+'[2]por cuent'!I284</f>
        <v>405</v>
      </c>
    </row>
    <row r="285" spans="1:6" x14ac:dyDescent="0.35">
      <c r="A285" t="str">
        <f>+'[2]por cuent'!A285</f>
        <v>ARS</v>
      </c>
      <c r="B285" t="str">
        <f>+'[2]por cuent'!B285</f>
        <v>405000010</v>
      </c>
      <c r="C285" t="str">
        <f>+'[2]por cuent'!C285</f>
        <v>Agroproducciones Torresi SRL</v>
      </c>
      <c r="D285" s="35">
        <f>+'[2]por cuent'!G285</f>
        <v>1320158694.8299999</v>
      </c>
      <c r="E285" s="35">
        <f>+'[2]por cuent'!H285</f>
        <v>1320158694.8299999</v>
      </c>
      <c r="F285" t="str">
        <f>+'[2]por cuent'!I285</f>
        <v>405</v>
      </c>
    </row>
    <row r="286" spans="1:6" x14ac:dyDescent="0.35">
      <c r="A286" t="str">
        <f>+'[2]por cuent'!A286</f>
        <v>ARS</v>
      </c>
      <c r="B286" t="str">
        <f>+'[2]por cuent'!B286</f>
        <v>405000012</v>
      </c>
      <c r="C286" t="str">
        <f>+'[2]por cuent'!C286</f>
        <v>Galleano, Juan Pablo, Gabetta Matta, Georgina Mariela y/o Galleano, Bautista</v>
      </c>
      <c r="D286" s="35">
        <f>+'[2]por cuent'!G286</f>
        <v>697634.26</v>
      </c>
      <c r="E286" s="35">
        <f>+'[2]por cuent'!H286</f>
        <v>697634.26</v>
      </c>
      <c r="F286" t="str">
        <f>+'[2]por cuent'!I286</f>
        <v>405</v>
      </c>
    </row>
    <row r="287" spans="1:6" x14ac:dyDescent="0.35">
      <c r="A287" t="str">
        <f>+'[2]por cuent'!A287</f>
        <v>ARS</v>
      </c>
      <c r="B287" t="str">
        <f>+'[2]por cuent'!B287</f>
        <v>405000013</v>
      </c>
      <c r="C287" t="str">
        <f>+'[2]por cuent'!C287</f>
        <v>SERRI, JERONIMO</v>
      </c>
      <c r="D287" s="35">
        <f>+'[2]por cuent'!G287</f>
        <v>406976906.30000001</v>
      </c>
      <c r="E287" s="35">
        <f>+'[2]por cuent'!H287</f>
        <v>406976906.30000001</v>
      </c>
      <c r="F287" t="str">
        <f>+'[2]por cuent'!I287</f>
        <v>405</v>
      </c>
    </row>
    <row r="288" spans="1:6" x14ac:dyDescent="0.35">
      <c r="A288" t="str">
        <f>+'[2]por cuent'!A288</f>
        <v>ARS</v>
      </c>
      <c r="B288" t="str">
        <f>+'[2]por cuent'!B288</f>
        <v>405000015</v>
      </c>
      <c r="C288" t="str">
        <f>+'[2]por cuent'!C288</f>
        <v>TEO, CASTIGLIONI</v>
      </c>
      <c r="D288" s="35">
        <f>+'[2]por cuent'!G288</f>
        <v>118887101.48</v>
      </c>
      <c r="E288" s="35">
        <f>+'[2]por cuent'!H288</f>
        <v>118887101.48</v>
      </c>
      <c r="F288" t="str">
        <f>+'[2]por cuent'!I288</f>
        <v>405</v>
      </c>
    </row>
    <row r="289" spans="1:6" x14ac:dyDescent="0.35">
      <c r="A289" t="str">
        <f>+'[2]por cuent'!A289</f>
        <v>ARS</v>
      </c>
      <c r="B289" t="str">
        <f>+'[2]por cuent'!B289</f>
        <v>405000016</v>
      </c>
      <c r="C289" t="str">
        <f>+'[2]por cuent'!C289</f>
        <v>SPEZIALI, ANDRES</v>
      </c>
      <c r="D289" s="35">
        <f>+'[2]por cuent'!G289</f>
        <v>65533493.18</v>
      </c>
      <c r="E289" s="35">
        <f>+'[2]por cuent'!H289</f>
        <v>65533493.18</v>
      </c>
      <c r="F289" t="str">
        <f>+'[2]por cuent'!I289</f>
        <v>405</v>
      </c>
    </row>
    <row r="290" spans="1:6" x14ac:dyDescent="0.35">
      <c r="A290" t="str">
        <f>+'[2]por cuent'!A290</f>
        <v>ARS</v>
      </c>
      <c r="B290" t="str">
        <f>+'[2]por cuent'!B290</f>
        <v>405000017</v>
      </c>
      <c r="C290" t="str">
        <f>+'[2]por cuent'!C290</f>
        <v>VIGNAU, MATEO</v>
      </c>
      <c r="D290" s="35">
        <f>+'[2]por cuent'!G290</f>
        <v>613098410.86000001</v>
      </c>
      <c r="E290" s="35">
        <f>+'[2]por cuent'!H290</f>
        <v>613098410.86000001</v>
      </c>
      <c r="F290" t="str">
        <f>+'[2]por cuent'!I290</f>
        <v>405</v>
      </c>
    </row>
    <row r="291" spans="1:6" x14ac:dyDescent="0.35">
      <c r="A291" t="str">
        <f>+'[2]por cuent'!A291</f>
        <v>ARS</v>
      </c>
      <c r="B291" t="str">
        <f>+'[2]por cuent'!B291</f>
        <v>405000018</v>
      </c>
      <c r="C291" t="str">
        <f>+'[2]por cuent'!C291</f>
        <v>COVELLA, MANUEL</v>
      </c>
      <c r="D291" s="35">
        <f>+'[2]por cuent'!G291</f>
        <v>145174212.75</v>
      </c>
      <c r="E291" s="35">
        <f>+'[2]por cuent'!H291</f>
        <v>145174212.75</v>
      </c>
      <c r="F291" t="str">
        <f>+'[2]por cuent'!I291</f>
        <v>405</v>
      </c>
    </row>
    <row r="292" spans="1:6" x14ac:dyDescent="0.35">
      <c r="A292" t="str">
        <f>+'[2]por cuent'!A292</f>
        <v>ARS</v>
      </c>
      <c r="B292" t="str">
        <f>+'[2]por cuent'!B292</f>
        <v>405000019</v>
      </c>
      <c r="C292" t="str">
        <f>+'[2]por cuent'!C292</f>
        <v>BRUSCHINI, LUCIA</v>
      </c>
      <c r="D292" s="35">
        <f>+'[2]por cuent'!G292</f>
        <v>686687544.58000004</v>
      </c>
      <c r="E292" s="35">
        <f>+'[2]por cuent'!H292</f>
        <v>686687544.58000004</v>
      </c>
      <c r="F292" t="str">
        <f>+'[2]por cuent'!I292</f>
        <v>405</v>
      </c>
    </row>
    <row r="293" spans="1:6" x14ac:dyDescent="0.35">
      <c r="A293" t="str">
        <f>+'[2]por cuent'!A293</f>
        <v>ARS</v>
      </c>
      <c r="B293" t="str">
        <f>+'[2]por cuent'!B293</f>
        <v>405000020</v>
      </c>
      <c r="C293" t="str">
        <f>+'[2]por cuent'!C293</f>
        <v>NOLAN, GUILLERMO ISIDRO GERARDO y/o TIRABASSO, MARIANA CECILIA</v>
      </c>
      <c r="D293" s="35">
        <f>+'[2]por cuent'!G293</f>
        <v>13820625.529999999</v>
      </c>
      <c r="E293" s="35">
        <f>+'[2]por cuent'!H293</f>
        <v>13820625.529999999</v>
      </c>
      <c r="F293" t="str">
        <f>+'[2]por cuent'!I293</f>
        <v>405</v>
      </c>
    </row>
    <row r="294" spans="1:6" x14ac:dyDescent="0.35">
      <c r="A294" t="str">
        <f>+'[2]por cuent'!A294</f>
        <v>ARS</v>
      </c>
      <c r="B294" t="str">
        <f>+'[2]por cuent'!B294</f>
        <v>405000022</v>
      </c>
      <c r="C294" t="str">
        <f>+'[2]por cuent'!C294</f>
        <v>AINBINDER, JONATAN URIEL</v>
      </c>
      <c r="D294" s="35">
        <f>+'[2]por cuent'!G294</f>
        <v>355638830.5</v>
      </c>
      <c r="E294" s="35">
        <f>+'[2]por cuent'!H294</f>
        <v>355638830.5</v>
      </c>
      <c r="F294" t="str">
        <f>+'[2]por cuent'!I294</f>
        <v>405</v>
      </c>
    </row>
    <row r="295" spans="1:6" x14ac:dyDescent="0.35">
      <c r="A295" t="str">
        <f>+'[2]por cuent'!A295</f>
        <v>ARS</v>
      </c>
      <c r="B295" t="str">
        <f>+'[2]por cuent'!B295</f>
        <v>405000023</v>
      </c>
      <c r="C295" t="str">
        <f>+'[2]por cuent'!C295</f>
        <v>SERRI, SERAFIN</v>
      </c>
      <c r="D295" s="35">
        <f>+'[2]por cuent'!G295</f>
        <v>109960516.90000001</v>
      </c>
      <c r="E295" s="35">
        <f>+'[2]por cuent'!H295</f>
        <v>109960516.90000001</v>
      </c>
      <c r="F295" t="str">
        <f>+'[2]por cuent'!I295</f>
        <v>405</v>
      </c>
    </row>
    <row r="296" spans="1:6" x14ac:dyDescent="0.35">
      <c r="A296" t="str">
        <f>+'[2]por cuent'!A296</f>
        <v>ARS</v>
      </c>
      <c r="B296" t="str">
        <f>+'[2]por cuent'!B296</f>
        <v>405000026</v>
      </c>
      <c r="C296" t="str">
        <f>+'[2]por cuent'!C296</f>
        <v>FASOLETTI, LUCIANO</v>
      </c>
      <c r="D296" s="35">
        <f>+'[2]por cuent'!G296</f>
        <v>435869606.17000002</v>
      </c>
      <c r="E296" s="35">
        <f>+'[2]por cuent'!H296</f>
        <v>435869606.17000002</v>
      </c>
      <c r="F296" t="str">
        <f>+'[2]por cuent'!I296</f>
        <v>405</v>
      </c>
    </row>
    <row r="297" spans="1:6" x14ac:dyDescent="0.35">
      <c r="A297" t="str">
        <f>+'[2]por cuent'!A297</f>
        <v>ARS</v>
      </c>
      <c r="B297" t="str">
        <f>+'[2]por cuent'!B297</f>
        <v>405000027</v>
      </c>
      <c r="C297" t="str">
        <f>+'[2]por cuent'!C297</f>
        <v>RIDOLFO, LUCAS MANUEL</v>
      </c>
      <c r="D297" s="35">
        <f>+'[2]por cuent'!G297</f>
        <v>55401780.710000001</v>
      </c>
      <c r="E297" s="35">
        <f>+'[2]por cuent'!H297</f>
        <v>55401780.710000001</v>
      </c>
      <c r="F297" t="str">
        <f>+'[2]por cuent'!I297</f>
        <v>405</v>
      </c>
    </row>
    <row r="298" spans="1:6" x14ac:dyDescent="0.35">
      <c r="A298" t="str">
        <f>+'[2]por cuent'!A298</f>
        <v>ARS</v>
      </c>
      <c r="B298" t="str">
        <f>+'[2]por cuent'!B298</f>
        <v>405000028</v>
      </c>
      <c r="C298" t="str">
        <f>+'[2]por cuent'!C298</f>
        <v>SPEZIALI, TOMAS</v>
      </c>
      <c r="D298" s="35">
        <f>+'[2]por cuent'!G298</f>
        <v>46647942.479999997</v>
      </c>
      <c r="E298" s="35">
        <f>+'[2]por cuent'!H298</f>
        <v>46647942.479999997</v>
      </c>
      <c r="F298" t="str">
        <f>+'[2]por cuent'!I298</f>
        <v>405</v>
      </c>
    </row>
    <row r="299" spans="1:6" x14ac:dyDescent="0.35">
      <c r="A299" t="str">
        <f>+'[2]por cuent'!A299</f>
        <v>ARS</v>
      </c>
      <c r="B299" t="str">
        <f>+'[2]por cuent'!B299</f>
        <v>405000029</v>
      </c>
      <c r="C299" t="str">
        <f>+'[2]por cuent'!C299</f>
        <v>VINES &amp; CO S.A.S.</v>
      </c>
      <c r="D299" s="35">
        <f>+'[2]por cuent'!G299</f>
        <v>8281212.6500000004</v>
      </c>
      <c r="E299" s="35">
        <f>+'[2]por cuent'!H299</f>
        <v>8281212.6500000004</v>
      </c>
      <c r="F299" t="str">
        <f>+'[2]por cuent'!I299</f>
        <v>405</v>
      </c>
    </row>
    <row r="300" spans="1:6" x14ac:dyDescent="0.35">
      <c r="A300" t="str">
        <f>+'[2]por cuent'!A300</f>
        <v>ARS</v>
      </c>
      <c r="B300" t="str">
        <f>+'[2]por cuent'!B300</f>
        <v>405000030</v>
      </c>
      <c r="C300" t="str">
        <f>+'[2]por cuent'!C300</f>
        <v>LOMBARDI , BRUNO</v>
      </c>
      <c r="D300" s="35">
        <f>+'[2]por cuent'!G300</f>
        <v>5999931.2599999998</v>
      </c>
      <c r="E300" s="35">
        <f>+'[2]por cuent'!H300</f>
        <v>5999931.2599999998</v>
      </c>
      <c r="F300" t="str">
        <f>+'[2]por cuent'!I300</f>
        <v>405</v>
      </c>
    </row>
    <row r="301" spans="1:6" x14ac:dyDescent="0.35">
      <c r="A301" t="str">
        <f>+'[2]por cuent'!A301</f>
        <v>ARS</v>
      </c>
      <c r="B301" t="str">
        <f>+'[2]por cuent'!B301</f>
        <v>405000032</v>
      </c>
      <c r="C301" t="str">
        <f>+'[2]por cuent'!C301</f>
        <v>BRUGNONI, RAUL BUENAVENTURA</v>
      </c>
      <c r="D301" s="35">
        <f>+'[2]por cuent'!G301</f>
        <v>11504678944.85</v>
      </c>
      <c r="E301" s="35">
        <f>+'[2]por cuent'!H301</f>
        <v>11504678944.85</v>
      </c>
      <c r="F301" t="str">
        <f>+'[2]por cuent'!I301</f>
        <v>405</v>
      </c>
    </row>
    <row r="302" spans="1:6" x14ac:dyDescent="0.35">
      <c r="A302" t="str">
        <f>+'[2]por cuent'!A302</f>
        <v>ARS</v>
      </c>
      <c r="B302" t="str">
        <f>+'[2]por cuent'!B302</f>
        <v>405000036</v>
      </c>
      <c r="C302" t="str">
        <f>+'[2]por cuent'!C302</f>
        <v>CUCCHIARA, LUCIO</v>
      </c>
      <c r="D302" s="35">
        <f>+'[2]por cuent'!G302</f>
        <v>2898116469.9200001</v>
      </c>
      <c r="E302" s="35">
        <f>+'[2]por cuent'!H302</f>
        <v>2898116469.9200001</v>
      </c>
      <c r="F302" t="str">
        <f>+'[2]por cuent'!I302</f>
        <v>405</v>
      </c>
    </row>
    <row r="303" spans="1:6" x14ac:dyDescent="0.35">
      <c r="A303" t="str">
        <f>+'[2]por cuent'!A303</f>
        <v>ARS</v>
      </c>
      <c r="B303" t="str">
        <f>+'[2]por cuent'!B303</f>
        <v>405000055</v>
      </c>
      <c r="C303" t="str">
        <f>+'[2]por cuent'!C303</f>
        <v>BRUPE SRL</v>
      </c>
      <c r="D303" s="35">
        <f>+'[2]por cuent'!G303</f>
        <v>473759421.74000001</v>
      </c>
      <c r="E303" s="35">
        <f>+'[2]por cuent'!H303</f>
        <v>473759421.74000001</v>
      </c>
      <c r="F303" t="str">
        <f>+'[2]por cuent'!I303</f>
        <v>405</v>
      </c>
    </row>
    <row r="304" spans="1:6" x14ac:dyDescent="0.35">
      <c r="A304" t="str">
        <f>+'[2]por cuent'!A304</f>
        <v>ARS</v>
      </c>
      <c r="B304" t="str">
        <f>+'[2]por cuent'!B304</f>
        <v>405000056</v>
      </c>
      <c r="C304" t="str">
        <f>+'[2]por cuent'!C304</f>
        <v>ROCCA, ROSANA INES</v>
      </c>
      <c r="D304" s="35">
        <f>+'[2]por cuent'!G304</f>
        <v>3422736.14</v>
      </c>
      <c r="E304" s="35">
        <f>+'[2]por cuent'!H304</f>
        <v>3422736.14</v>
      </c>
      <c r="F304" t="str">
        <f>+'[2]por cuent'!I304</f>
        <v>405</v>
      </c>
    </row>
    <row r="305" spans="1:6" x14ac:dyDescent="0.35">
      <c r="A305" t="str">
        <f>+'[2]por cuent'!A305</f>
        <v>ARS</v>
      </c>
      <c r="B305" t="str">
        <f>+'[2]por cuent'!B305</f>
        <v>405000058</v>
      </c>
      <c r="C305" t="str">
        <f>+'[2]por cuent'!C305</f>
        <v>TORRESI, MIGUEL ANGEL</v>
      </c>
      <c r="D305" s="35">
        <f>+'[2]por cuent'!G305</f>
        <v>48048521.619999997</v>
      </c>
      <c r="E305" s="35">
        <f>+'[2]por cuent'!H305</f>
        <v>48048521.619999997</v>
      </c>
      <c r="F305" t="str">
        <f>+'[2]por cuent'!I305</f>
        <v>405</v>
      </c>
    </row>
    <row r="306" spans="1:6" x14ac:dyDescent="0.35">
      <c r="A306" t="str">
        <f>+'[2]por cuent'!A306</f>
        <v>ARS</v>
      </c>
      <c r="B306" t="str">
        <f>+'[2]por cuent'!B306</f>
        <v>405000066</v>
      </c>
      <c r="C306" t="str">
        <f>+'[2]por cuent'!C306</f>
        <v>ONGUINO ESTEBAN y/o ONGUINO EZEQUIEL</v>
      </c>
      <c r="D306" s="35">
        <f>+'[2]por cuent'!G306</f>
        <v>99872544.959999993</v>
      </c>
      <c r="E306" s="35">
        <f>+'[2]por cuent'!H306</f>
        <v>99872544.959999993</v>
      </c>
      <c r="F306" t="str">
        <f>+'[2]por cuent'!I306</f>
        <v>405</v>
      </c>
    </row>
    <row r="307" spans="1:6" x14ac:dyDescent="0.35">
      <c r="A307" t="str">
        <f>+'[2]por cuent'!A307</f>
        <v>ARS</v>
      </c>
      <c r="B307" t="str">
        <f>+'[2]por cuent'!B307</f>
        <v>405000067</v>
      </c>
      <c r="C307" t="str">
        <f>+'[2]por cuent'!C307</f>
        <v>Moutin, Phillipe</v>
      </c>
      <c r="D307" s="35">
        <f>+'[2]por cuent'!G307</f>
        <v>176196934.49000001</v>
      </c>
      <c r="E307" s="35">
        <f>+'[2]por cuent'!H307</f>
        <v>176196934.49000001</v>
      </c>
      <c r="F307" t="str">
        <f>+'[2]por cuent'!I307</f>
        <v>405</v>
      </c>
    </row>
    <row r="308" spans="1:6" x14ac:dyDescent="0.35">
      <c r="A308" t="str">
        <f>+'[2]por cuent'!A308</f>
        <v>ARS</v>
      </c>
      <c r="B308" t="str">
        <f>+'[2]por cuent'!B308</f>
        <v>405000070</v>
      </c>
      <c r="C308" t="str">
        <f>+'[2]por cuent'!C308</f>
        <v>Juan Pablo Gobbo</v>
      </c>
      <c r="D308" s="35">
        <f>+'[2]por cuent'!G308</f>
        <v>3064205.43</v>
      </c>
      <c r="E308" s="35">
        <f>+'[2]por cuent'!H308</f>
        <v>3064205.43</v>
      </c>
      <c r="F308" t="str">
        <f>+'[2]por cuent'!I308</f>
        <v>405</v>
      </c>
    </row>
    <row r="309" spans="1:6" x14ac:dyDescent="0.35">
      <c r="A309" t="str">
        <f>+'[2]por cuent'!A309</f>
        <v>ARS</v>
      </c>
      <c r="B309" t="str">
        <f>+'[2]por cuent'!B309</f>
        <v>405000072</v>
      </c>
      <c r="C309" t="str">
        <f>+'[2]por cuent'!C309</f>
        <v>MARTIN , PAULO MIGUEL</v>
      </c>
      <c r="D309" s="35">
        <f>+'[2]por cuent'!G309</f>
        <v>3584050.01</v>
      </c>
      <c r="E309" s="35">
        <f>+'[2]por cuent'!H309</f>
        <v>3584050.01</v>
      </c>
      <c r="F309" t="str">
        <f>+'[2]por cuent'!I309</f>
        <v>405</v>
      </c>
    </row>
    <row r="310" spans="1:6" x14ac:dyDescent="0.35">
      <c r="A310" t="str">
        <f>+'[2]por cuent'!A310</f>
        <v>ARS</v>
      </c>
      <c r="B310" t="str">
        <f>+'[2]por cuent'!B310</f>
        <v>405000074</v>
      </c>
      <c r="C310" t="str">
        <f>+'[2]por cuent'!C310</f>
        <v>Tomas Pettit</v>
      </c>
      <c r="D310" s="35">
        <f>+'[2]por cuent'!G310</f>
        <v>114214646.20999999</v>
      </c>
      <c r="E310" s="35">
        <f>+'[2]por cuent'!H310</f>
        <v>114214646.20999999</v>
      </c>
      <c r="F310" t="str">
        <f>+'[2]por cuent'!I310</f>
        <v>405</v>
      </c>
    </row>
    <row r="311" spans="1:6" x14ac:dyDescent="0.35">
      <c r="A311" t="str">
        <f>+'[2]por cuent'!A311</f>
        <v>ARS</v>
      </c>
      <c r="B311" t="str">
        <f>+'[2]por cuent'!B311</f>
        <v>405000075</v>
      </c>
      <c r="C311" t="str">
        <f>+'[2]por cuent'!C311</f>
        <v>Sonsini Ramiro</v>
      </c>
      <c r="D311" s="35">
        <f>+'[2]por cuent'!G311</f>
        <v>2243117.0099999998</v>
      </c>
      <c r="E311" s="35">
        <f>+'[2]por cuent'!H311</f>
        <v>2243117.0099999998</v>
      </c>
      <c r="F311" t="str">
        <f>+'[2]por cuent'!I311</f>
        <v>405</v>
      </c>
    </row>
    <row r="312" spans="1:6" x14ac:dyDescent="0.35">
      <c r="A312" t="str">
        <f>+'[2]por cuent'!A312</f>
        <v>ARS</v>
      </c>
      <c r="B312" t="str">
        <f>+'[2]por cuent'!B312</f>
        <v>405000076</v>
      </c>
      <c r="C312" t="str">
        <f>+'[2]por cuent'!C312</f>
        <v>PORCIMONTE SA</v>
      </c>
      <c r="D312" s="35">
        <f>+'[2]por cuent'!G312</f>
        <v>5853588818.5100002</v>
      </c>
      <c r="E312" s="35">
        <f>+'[2]por cuent'!H312</f>
        <v>5853588818.5100002</v>
      </c>
      <c r="F312" t="str">
        <f>+'[2]por cuent'!I312</f>
        <v>405</v>
      </c>
    </row>
    <row r="313" spans="1:6" x14ac:dyDescent="0.35">
      <c r="A313" t="str">
        <f>+'[2]por cuent'!A313</f>
        <v>ARS</v>
      </c>
      <c r="B313" t="str">
        <f>+'[2]por cuent'!B313</f>
        <v>405000080</v>
      </c>
      <c r="C313" t="str">
        <f>+'[2]por cuent'!C313</f>
        <v>BRUGNONI LEONARDO DAVID</v>
      </c>
      <c r="D313" s="35">
        <f>+'[2]por cuent'!G313</f>
        <v>5553638219.8299999</v>
      </c>
      <c r="E313" s="35">
        <f>+'[2]por cuent'!H313</f>
        <v>5553638219.8299999</v>
      </c>
      <c r="F313" t="str">
        <f>+'[2]por cuent'!I313</f>
        <v>405</v>
      </c>
    </row>
    <row r="314" spans="1:6" x14ac:dyDescent="0.35">
      <c r="A314" t="str">
        <f>+'[2]por cuent'!A314</f>
        <v>ARS</v>
      </c>
      <c r="B314" t="str">
        <f>+'[2]por cuent'!B314</f>
        <v>405000082</v>
      </c>
      <c r="C314" t="str">
        <f>+'[2]por cuent'!C314</f>
        <v>SAVAIDIS EMMANUEL</v>
      </c>
      <c r="D314" s="35">
        <f>+'[2]por cuent'!G314</f>
        <v>153252307.69</v>
      </c>
      <c r="E314" s="35">
        <f>+'[2]por cuent'!H314</f>
        <v>153252307.69</v>
      </c>
      <c r="F314" t="str">
        <f>+'[2]por cuent'!I314</f>
        <v>405</v>
      </c>
    </row>
    <row r="315" spans="1:6" x14ac:dyDescent="0.35">
      <c r="A315" t="str">
        <f>+'[2]por cuent'!A315</f>
        <v>ARS</v>
      </c>
      <c r="B315" t="str">
        <f>+'[2]por cuent'!B315</f>
        <v>405000086</v>
      </c>
      <c r="C315" t="str">
        <f>+'[2]por cuent'!C315</f>
        <v>Casella Pedro</v>
      </c>
      <c r="D315" s="35">
        <f>+'[2]por cuent'!G315</f>
        <v>346921874.81</v>
      </c>
      <c r="E315" s="35">
        <f>+'[2]por cuent'!H315</f>
        <v>346921874.81</v>
      </c>
      <c r="F315" t="str">
        <f>+'[2]por cuent'!I315</f>
        <v>405</v>
      </c>
    </row>
    <row r="316" spans="1:6" x14ac:dyDescent="0.35">
      <c r="A316" t="str">
        <f>+'[2]por cuent'!A316</f>
        <v>ARS</v>
      </c>
      <c r="B316" t="str">
        <f>+'[2]por cuent'!B316</f>
        <v>405000102</v>
      </c>
      <c r="C316" t="str">
        <f>+'[2]por cuent'!C316</f>
        <v>Gustavo Tomas Speziali y/o Maria Graciela Capon</v>
      </c>
      <c r="D316" s="35">
        <f>+'[2]por cuent'!G316</f>
        <v>685973.75</v>
      </c>
      <c r="E316" s="35">
        <f>+'[2]por cuent'!H316</f>
        <v>685973.75</v>
      </c>
      <c r="F316" t="str">
        <f>+'[2]por cuent'!I316</f>
        <v>405</v>
      </c>
    </row>
    <row r="317" spans="1:6" x14ac:dyDescent="0.35">
      <c r="A317" t="str">
        <f>+'[2]por cuent'!A317</f>
        <v>ARS</v>
      </c>
      <c r="B317" t="str">
        <f>+'[2]por cuent'!B317</f>
        <v>405000104</v>
      </c>
      <c r="C317" t="str">
        <f>+'[2]por cuent'!C317</f>
        <v>Lidia Beatriz Sfregola y/o Marcelo Ricardo Cucchiara</v>
      </c>
      <c r="D317" s="35">
        <f>+'[2]por cuent'!G317</f>
        <v>1409905816.5799999</v>
      </c>
      <c r="E317" s="35">
        <f>+'[2]por cuent'!H317</f>
        <v>1409905816.5799999</v>
      </c>
      <c r="F317" t="str">
        <f>+'[2]por cuent'!I317</f>
        <v>405</v>
      </c>
    </row>
    <row r="318" spans="1:6" x14ac:dyDescent="0.35">
      <c r="A318" t="str">
        <f>+'[2]por cuent'!A318</f>
        <v>ARS</v>
      </c>
      <c r="B318" t="str">
        <f>+'[2]por cuent'!B318</f>
        <v>405000107</v>
      </c>
      <c r="C318" t="str">
        <f>+'[2]por cuent'!C318</f>
        <v>Ruggiero, Alejandra Beatriz</v>
      </c>
      <c r="D318" s="35">
        <f>+'[2]por cuent'!G318</f>
        <v>2089354.17</v>
      </c>
      <c r="E318" s="35">
        <f>+'[2]por cuent'!H318</f>
        <v>2089354.17</v>
      </c>
      <c r="F318" t="str">
        <f>+'[2]por cuent'!I318</f>
        <v>405</v>
      </c>
    </row>
    <row r="319" spans="1:6" x14ac:dyDescent="0.35">
      <c r="A319" t="str">
        <f>+'[2]por cuent'!A319</f>
        <v>ARS</v>
      </c>
      <c r="B319" t="str">
        <f>+'[2]por cuent'!B319</f>
        <v>405000110</v>
      </c>
      <c r="C319" t="str">
        <f>+'[2]por cuent'!C319</f>
        <v>Reiton SRL</v>
      </c>
      <c r="D319" s="35">
        <f>+'[2]por cuent'!G319</f>
        <v>460908</v>
      </c>
      <c r="E319" s="35">
        <f>+'[2]por cuent'!H319</f>
        <v>460908</v>
      </c>
      <c r="F319" t="str">
        <f>+'[2]por cuent'!I319</f>
        <v>405</v>
      </c>
    </row>
    <row r="320" spans="1:6" x14ac:dyDescent="0.35">
      <c r="A320" t="str">
        <f>+'[2]por cuent'!A320</f>
        <v>ARS</v>
      </c>
      <c r="B320" t="str">
        <f>+'[2]por cuent'!B320</f>
        <v>405000112</v>
      </c>
      <c r="C320" t="str">
        <f>+'[2]por cuent'!C320</f>
        <v>Ricci Mirta Graciela CERA</v>
      </c>
      <c r="D320" s="35">
        <f>+'[2]por cuent'!G320</f>
        <v>134069265.06999999</v>
      </c>
      <c r="E320" s="35">
        <f>+'[2]por cuent'!H320</f>
        <v>134069265.06999999</v>
      </c>
      <c r="F320" t="str">
        <f>+'[2]por cuent'!I320</f>
        <v>405</v>
      </c>
    </row>
    <row r="321" spans="1:6" x14ac:dyDescent="0.35">
      <c r="A321" t="str">
        <f>+'[2]por cuent'!A321</f>
        <v>ARS</v>
      </c>
      <c r="B321" t="str">
        <f>+'[2]por cuent'!B321</f>
        <v>405000113</v>
      </c>
      <c r="C321" t="str">
        <f>+'[2]por cuent'!C321</f>
        <v>Martinez Gonzalo Damian</v>
      </c>
      <c r="D321" s="35">
        <f>+'[2]por cuent'!G321</f>
        <v>78031323.090000004</v>
      </c>
      <c r="E321" s="35">
        <f>+'[2]por cuent'!H321</f>
        <v>78031323.090000004</v>
      </c>
      <c r="F321" t="str">
        <f>+'[2]por cuent'!I321</f>
        <v>405</v>
      </c>
    </row>
    <row r="322" spans="1:6" x14ac:dyDescent="0.35">
      <c r="A322" t="str">
        <f>+'[2]por cuent'!A322</f>
        <v>ARS</v>
      </c>
      <c r="B322" t="str">
        <f>+'[2]por cuent'!B322</f>
        <v>405000115</v>
      </c>
      <c r="C322" t="str">
        <f>+'[2]por cuent'!C322</f>
        <v>Pettit, Josefina</v>
      </c>
      <c r="D322" s="35">
        <f>+'[2]por cuent'!G322</f>
        <v>460102997.30000001</v>
      </c>
      <c r="E322" s="35">
        <f>+'[2]por cuent'!H322</f>
        <v>460102997.30000001</v>
      </c>
      <c r="F322" t="str">
        <f>+'[2]por cuent'!I322</f>
        <v>405</v>
      </c>
    </row>
    <row r="323" spans="1:6" x14ac:dyDescent="0.35">
      <c r="A323" t="str">
        <f>+'[2]por cuent'!A323</f>
        <v>ARS</v>
      </c>
      <c r="B323" t="str">
        <f>+'[2]por cuent'!B323</f>
        <v>405000116</v>
      </c>
      <c r="C323" t="str">
        <f>+'[2]por cuent'!C323</f>
        <v>Rassol, Juan Ignacio</v>
      </c>
      <c r="D323" s="35">
        <f>+'[2]por cuent'!G323</f>
        <v>211635.24</v>
      </c>
      <c r="E323" s="35">
        <f>+'[2]por cuent'!H323</f>
        <v>211635.24</v>
      </c>
      <c r="F323" t="str">
        <f>+'[2]por cuent'!I323</f>
        <v>405</v>
      </c>
    </row>
    <row r="324" spans="1:6" x14ac:dyDescent="0.35">
      <c r="A324" t="str">
        <f>+'[2]por cuent'!A324</f>
        <v>ARS</v>
      </c>
      <c r="B324" t="str">
        <f>+'[2]por cuent'!B324</f>
        <v>405000117</v>
      </c>
      <c r="C324" t="str">
        <f>+'[2]por cuent'!C324</f>
        <v>Giudice, Hernan Enrique</v>
      </c>
      <c r="D324" s="35">
        <f>+'[2]por cuent'!G324</f>
        <v>667883627.40999997</v>
      </c>
      <c r="E324" s="35">
        <f>+'[2]por cuent'!H324</f>
        <v>667883627.40999997</v>
      </c>
      <c r="F324" t="str">
        <f>+'[2]por cuent'!I324</f>
        <v>405</v>
      </c>
    </row>
    <row r="325" spans="1:6" x14ac:dyDescent="0.35">
      <c r="A325" t="str">
        <f>+'[2]por cuent'!A325</f>
        <v>ARS</v>
      </c>
      <c r="B325" t="str">
        <f>+'[2]por cuent'!B325</f>
        <v>405000121</v>
      </c>
      <c r="C325" t="str">
        <f>+'[2]por cuent'!C325</f>
        <v>Sello, Franco  Agustin</v>
      </c>
      <c r="D325" s="35">
        <f>+'[2]por cuent'!G325</f>
        <v>10407658.82</v>
      </c>
      <c r="E325" s="35">
        <f>+'[2]por cuent'!H325</f>
        <v>10407658.82</v>
      </c>
      <c r="F325" t="str">
        <f>+'[2]por cuent'!I325</f>
        <v>405</v>
      </c>
    </row>
    <row r="326" spans="1:6" x14ac:dyDescent="0.35">
      <c r="A326" t="str">
        <f>+'[2]por cuent'!A326</f>
        <v>ARS</v>
      </c>
      <c r="B326" t="str">
        <f>+'[2]por cuent'!B326</f>
        <v>405000122</v>
      </c>
      <c r="C326" t="str">
        <f>+'[2]por cuent'!C326</f>
        <v xml:space="preserve">Onguino, Marcos Ezequiel </v>
      </c>
      <c r="D326" s="35">
        <f>+'[2]por cuent'!G326</f>
        <v>1312174403.76</v>
      </c>
      <c r="E326" s="35">
        <f>+'[2]por cuent'!H326</f>
        <v>1312174403.76</v>
      </c>
      <c r="F326" t="str">
        <f>+'[2]por cuent'!I326</f>
        <v>405</v>
      </c>
    </row>
    <row r="327" spans="1:6" x14ac:dyDescent="0.35">
      <c r="A327" t="str">
        <f>+'[2]por cuent'!A327</f>
        <v>ARS</v>
      </c>
      <c r="B327" t="str">
        <f>+'[2]por cuent'!B327</f>
        <v>405000124</v>
      </c>
      <c r="C327" t="str">
        <f>+'[2]por cuent'!C327</f>
        <v>Taborga, Maria Deidamia y/o Moutin, Pol Rene</v>
      </c>
      <c r="D327" s="35">
        <f>+'[2]por cuent'!G327</f>
        <v>20251387.43</v>
      </c>
      <c r="E327" s="35">
        <f>+'[2]por cuent'!H327</f>
        <v>20251387.43</v>
      </c>
      <c r="F327" t="str">
        <f>+'[2]por cuent'!I327</f>
        <v>405</v>
      </c>
    </row>
    <row r="328" spans="1:6" x14ac:dyDescent="0.35">
      <c r="A328" t="str">
        <f>+'[2]por cuent'!A328</f>
        <v>ARS</v>
      </c>
      <c r="B328" t="str">
        <f>+'[2]por cuent'!B328</f>
        <v>405000127</v>
      </c>
      <c r="C328" t="str">
        <f>+'[2]por cuent'!C328</f>
        <v>Bambu Japones S.A.S</v>
      </c>
      <c r="D328" s="35">
        <f>+'[2]por cuent'!G328</f>
        <v>246781.03</v>
      </c>
      <c r="E328" s="35">
        <f>+'[2]por cuent'!H328</f>
        <v>246781.03</v>
      </c>
      <c r="F328" t="str">
        <f>+'[2]por cuent'!I328</f>
        <v>405</v>
      </c>
    </row>
    <row r="329" spans="1:6" x14ac:dyDescent="0.35">
      <c r="A329" t="str">
        <f>+'[2]por cuent'!A329</f>
        <v>ARS</v>
      </c>
      <c r="B329" t="str">
        <f>+'[2]por cuent'!B329</f>
        <v>405000132</v>
      </c>
      <c r="C329" t="str">
        <f>+'[2]por cuent'!C329</f>
        <v>Sandra Susana Bonaldi</v>
      </c>
      <c r="D329" s="35">
        <f>+'[2]por cuent'!G329</f>
        <v>382198750.20999998</v>
      </c>
      <c r="E329" s="35">
        <f>+'[2]por cuent'!H329</f>
        <v>382198750.20999998</v>
      </c>
      <c r="F329" t="str">
        <f>+'[2]por cuent'!I329</f>
        <v>405</v>
      </c>
    </row>
    <row r="330" spans="1:6" x14ac:dyDescent="0.35">
      <c r="A330" t="str">
        <f>+'[2]por cuent'!A330</f>
        <v>ARS</v>
      </c>
      <c r="B330" t="str">
        <f>+'[2]por cuent'!B330</f>
        <v>405000134</v>
      </c>
      <c r="C330" t="str">
        <f>+'[2]por cuent'!C330</f>
        <v>Gallay, Magin Miguel</v>
      </c>
      <c r="D330" s="35">
        <f>+'[2]por cuent'!G330</f>
        <v>301861464.23000002</v>
      </c>
      <c r="E330" s="35">
        <f>+'[2]por cuent'!H330</f>
        <v>301861464.23000002</v>
      </c>
      <c r="F330" t="str">
        <f>+'[2]por cuent'!I330</f>
        <v>405</v>
      </c>
    </row>
    <row r="331" spans="1:6" x14ac:dyDescent="0.35">
      <c r="A331" t="str">
        <f>+'[2]por cuent'!A331</f>
        <v>ARS</v>
      </c>
      <c r="B331" t="str">
        <f>+'[2]por cuent'!B331</f>
        <v>405000137</v>
      </c>
      <c r="C331" t="str">
        <f>+'[2]por cuent'!C331</f>
        <v>Miralles, Victoria</v>
      </c>
      <c r="D331" s="35">
        <f>+'[2]por cuent'!G331</f>
        <v>2187487.2200000002</v>
      </c>
      <c r="E331" s="35">
        <f>+'[2]por cuent'!H331</f>
        <v>2187487.2200000002</v>
      </c>
      <c r="F331" t="str">
        <f>+'[2]por cuent'!I331</f>
        <v>405</v>
      </c>
    </row>
    <row r="332" spans="1:6" x14ac:dyDescent="0.35">
      <c r="A332" t="str">
        <f>+'[2]por cuent'!A332</f>
        <v>ARS</v>
      </c>
      <c r="B332" t="str">
        <f>+'[2]por cuent'!B332</f>
        <v>405000139</v>
      </c>
      <c r="C332" t="str">
        <f>+'[2]por cuent'!C332</f>
        <v xml:space="preserve">Horcada, Federico </v>
      </c>
      <c r="D332" s="35">
        <f>+'[2]por cuent'!G332</f>
        <v>608500</v>
      </c>
      <c r="E332" s="35">
        <f>+'[2]por cuent'!H332</f>
        <v>608500</v>
      </c>
      <c r="F332" t="str">
        <f>+'[2]por cuent'!I332</f>
        <v>405</v>
      </c>
    </row>
    <row r="333" spans="1:6" x14ac:dyDescent="0.35">
      <c r="A333" t="str">
        <f>+'[2]por cuent'!A333</f>
        <v>ARS</v>
      </c>
      <c r="B333" t="str">
        <f>+'[2]por cuent'!B333</f>
        <v>405000140</v>
      </c>
      <c r="C333" t="str">
        <f>+'[2]por cuent'!C333</f>
        <v>CANNES FIDEICOMISO</v>
      </c>
      <c r="D333" s="35">
        <f>+'[2]por cuent'!G333</f>
        <v>82569007.260000005</v>
      </c>
      <c r="E333" s="35">
        <f>+'[2]por cuent'!H333</f>
        <v>82569007.260000005</v>
      </c>
      <c r="F333" t="str">
        <f>+'[2]por cuent'!I333</f>
        <v>405</v>
      </c>
    </row>
    <row r="334" spans="1:6" x14ac:dyDescent="0.35">
      <c r="A334" t="str">
        <f>+'[2]por cuent'!A334</f>
        <v>ARS</v>
      </c>
      <c r="B334" t="str">
        <f>+'[2]por cuent'!B334</f>
        <v>405000143</v>
      </c>
      <c r="C334" t="str">
        <f>+'[2]por cuent'!C334</f>
        <v>Moutin, Maria De Lourdes</v>
      </c>
      <c r="D334" s="35">
        <f>+'[2]por cuent'!G334</f>
        <v>9490530.1799999997</v>
      </c>
      <c r="E334" s="35">
        <f>+'[2]por cuent'!H334</f>
        <v>9490530.1799999997</v>
      </c>
      <c r="F334" t="str">
        <f>+'[2]por cuent'!I334</f>
        <v>405</v>
      </c>
    </row>
    <row r="335" spans="1:6" x14ac:dyDescent="0.35">
      <c r="A335" t="str">
        <f>+'[2]por cuent'!A335</f>
        <v>ARS</v>
      </c>
      <c r="B335" t="str">
        <f>+'[2]por cuent'!B335</f>
        <v>410000455</v>
      </c>
      <c r="C335" t="str">
        <f>+'[2]por cuent'!C335</f>
        <v>Don Leonardo S.A.S</v>
      </c>
      <c r="D335" s="35">
        <f>+'[2]por cuent'!G335</f>
        <v>558904639.19000006</v>
      </c>
      <c r="E335" s="35">
        <f>+'[2]por cuent'!H335</f>
        <v>558904639.19000006</v>
      </c>
      <c r="F335" t="str">
        <f>+'[2]por cuent'!I335</f>
        <v>410</v>
      </c>
    </row>
    <row r="336" spans="1:6" x14ac:dyDescent="0.35">
      <c r="A336" t="str">
        <f>+'[2]por cuent'!A336</f>
        <v>ARS</v>
      </c>
      <c r="B336" t="str">
        <f>+'[2]por cuent'!B336</f>
        <v>410009090</v>
      </c>
      <c r="C336" t="str">
        <f>+'[2]por cuent'!C336</f>
        <v>Pietrani, Ariel Ricardo</v>
      </c>
      <c r="D336" s="35">
        <f>+'[2]por cuent'!G336</f>
        <v>17057311.420000002</v>
      </c>
      <c r="E336" s="35">
        <f>+'[2]por cuent'!H336</f>
        <v>17057311.420000002</v>
      </c>
      <c r="F336" t="str">
        <f>+'[2]por cuent'!I336</f>
        <v>410</v>
      </c>
    </row>
    <row r="337" spans="1:6" x14ac:dyDescent="0.35">
      <c r="A337" t="str">
        <f>+'[2]por cuent'!A337</f>
        <v>ARS</v>
      </c>
      <c r="B337" t="str">
        <f>+'[2]por cuent'!B337</f>
        <v>410020586</v>
      </c>
      <c r="C337" t="str">
        <f>+'[2]por cuent'!C337</f>
        <v>Borsini S.A</v>
      </c>
      <c r="D337" s="35">
        <f>+'[2]por cuent'!G337</f>
        <v>21000000</v>
      </c>
      <c r="E337" s="35">
        <f>+'[2]por cuent'!H337</f>
        <v>21000000</v>
      </c>
      <c r="F337" t="str">
        <f>+'[2]por cuent'!I337</f>
        <v>410</v>
      </c>
    </row>
    <row r="338" spans="1:6" x14ac:dyDescent="0.35">
      <c r="A338" t="str">
        <f>+'[2]por cuent'!A338</f>
        <v>ARS</v>
      </c>
      <c r="B338" t="str">
        <f>+'[2]por cuent'!B338</f>
        <v>410101010</v>
      </c>
      <c r="C338" t="str">
        <f>+'[2]por cuent'!C338</f>
        <v>Natali, Omar Emilio Ramon</v>
      </c>
      <c r="D338" s="35">
        <f>+'[2]por cuent'!G338</f>
        <v>13871903.1</v>
      </c>
      <c r="E338" s="35">
        <f>+'[2]por cuent'!H338</f>
        <v>13871903.1</v>
      </c>
      <c r="F338" t="str">
        <f>+'[2]por cuent'!I338</f>
        <v>410</v>
      </c>
    </row>
    <row r="339" spans="1:6" x14ac:dyDescent="0.35">
      <c r="A339" t="str">
        <f>+'[2]por cuent'!A339</f>
        <v>ARS</v>
      </c>
      <c r="B339" t="str">
        <f>+'[2]por cuent'!B339</f>
        <v>410149168</v>
      </c>
      <c r="C339" t="str">
        <f>+'[2]por cuent'!C339</f>
        <v>Vozzi, Agustín Marcos</v>
      </c>
      <c r="D339" s="35">
        <f>+'[2]por cuent'!G339</f>
        <v>785757.83</v>
      </c>
      <c r="E339" s="35">
        <f>+'[2]por cuent'!H339</f>
        <v>785757.83</v>
      </c>
      <c r="F339" t="str">
        <f>+'[2]por cuent'!I339</f>
        <v>410</v>
      </c>
    </row>
    <row r="340" spans="1:6" x14ac:dyDescent="0.35">
      <c r="A340" t="str">
        <f>+'[2]por cuent'!A340</f>
        <v>ARS</v>
      </c>
      <c r="B340" t="str">
        <f>+'[2]por cuent'!B340</f>
        <v>410149176</v>
      </c>
      <c r="C340" t="str">
        <f>+'[2]por cuent'!C340</f>
        <v>Hugo y Arnoldo Calcaterra S.S</v>
      </c>
      <c r="D340" s="35">
        <f>+'[2]por cuent'!G340</f>
        <v>106852463.73999999</v>
      </c>
      <c r="E340" s="35">
        <f>+'[2]por cuent'!H340</f>
        <v>106852463.73999999</v>
      </c>
      <c r="F340" t="str">
        <f>+'[2]por cuent'!I340</f>
        <v>410</v>
      </c>
    </row>
    <row r="341" spans="1:6" x14ac:dyDescent="0.35">
      <c r="A341" t="str">
        <f>+'[2]por cuent'!A341</f>
        <v>ARS</v>
      </c>
      <c r="B341" t="str">
        <f>+'[2]por cuent'!B341</f>
        <v>410149189</v>
      </c>
      <c r="C341" t="str">
        <f>+'[2]por cuent'!C341</f>
        <v xml:space="preserve">Bo Mauro Nicolas </v>
      </c>
      <c r="D341" s="35">
        <f>+'[2]por cuent'!G341</f>
        <v>47952961.140000001</v>
      </c>
      <c r="E341" s="35">
        <f>+'[2]por cuent'!H341</f>
        <v>47952961.140000001</v>
      </c>
      <c r="F341" t="str">
        <f>+'[2]por cuent'!I341</f>
        <v>410</v>
      </c>
    </row>
    <row r="342" spans="1:6" x14ac:dyDescent="0.35">
      <c r="A342" t="str">
        <f>+'[2]por cuent'!A342</f>
        <v>ARS</v>
      </c>
      <c r="B342" t="str">
        <f>+'[2]por cuent'!B342</f>
        <v>410149190</v>
      </c>
      <c r="C342" t="str">
        <f>+'[2]por cuent'!C342</f>
        <v>Natali Ruben Dario Ramón</v>
      </c>
      <c r="D342" s="35">
        <f>+'[2]por cuent'!G342</f>
        <v>11899402.699999999</v>
      </c>
      <c r="E342" s="35">
        <f>+'[2]por cuent'!H342</f>
        <v>11899402.699999999</v>
      </c>
      <c r="F342" t="str">
        <f>+'[2]por cuent'!I342</f>
        <v>410</v>
      </c>
    </row>
    <row r="343" spans="1:6" x14ac:dyDescent="0.35">
      <c r="A343" t="str">
        <f>+'[2]por cuent'!A343</f>
        <v>ARS</v>
      </c>
      <c r="B343" t="str">
        <f>+'[2]por cuent'!B343</f>
        <v>410149194</v>
      </c>
      <c r="C343" t="str">
        <f>+'[2]por cuent'!C343</f>
        <v>María Julia Ferrari Gomez</v>
      </c>
      <c r="D343" s="35">
        <f>+'[2]por cuent'!G343</f>
        <v>40034743.649999999</v>
      </c>
      <c r="E343" s="35">
        <f>+'[2]por cuent'!H343</f>
        <v>40034743.649999999</v>
      </c>
      <c r="F343" t="str">
        <f>+'[2]por cuent'!I343</f>
        <v>410</v>
      </c>
    </row>
    <row r="344" spans="1:6" x14ac:dyDescent="0.35">
      <c r="A344" t="str">
        <f>+'[2]por cuent'!A344</f>
        <v>ARS</v>
      </c>
      <c r="B344" t="str">
        <f>+'[2]por cuent'!B344</f>
        <v>410149199</v>
      </c>
      <c r="C344" t="str">
        <f>+'[2]por cuent'!C344</f>
        <v>LOAL SERVICIOS INTEGRALES S. R. L.</v>
      </c>
      <c r="D344" s="35">
        <f>+'[2]por cuent'!G344</f>
        <v>22539398.289999999</v>
      </c>
      <c r="E344" s="35">
        <f>+'[2]por cuent'!H344</f>
        <v>22539398.289999999</v>
      </c>
      <c r="F344" t="str">
        <f>+'[2]por cuent'!I344</f>
        <v>410</v>
      </c>
    </row>
    <row r="345" spans="1:6" x14ac:dyDescent="0.35">
      <c r="A345" t="str">
        <f>+'[2]por cuent'!A345</f>
        <v>ARS</v>
      </c>
      <c r="B345" t="str">
        <f>+'[2]por cuent'!B345</f>
        <v>410149200</v>
      </c>
      <c r="C345" t="str">
        <f>+'[2]por cuent'!C345</f>
        <v>Tornotti Leonel Hector</v>
      </c>
      <c r="D345" s="35">
        <f>+'[2]por cuent'!G345</f>
        <v>72349836.269999996</v>
      </c>
      <c r="E345" s="35">
        <f>+'[2]por cuent'!H345</f>
        <v>72349836.269999996</v>
      </c>
      <c r="F345" t="str">
        <f>+'[2]por cuent'!I345</f>
        <v>410</v>
      </c>
    </row>
    <row r="346" spans="1:6" x14ac:dyDescent="0.35">
      <c r="A346" t="str">
        <f>+'[2]por cuent'!A346</f>
        <v>ARS</v>
      </c>
      <c r="B346" t="str">
        <f>+'[2]por cuent'!B346</f>
        <v>410149213</v>
      </c>
      <c r="C346" t="str">
        <f>+'[2]por cuent'!C346</f>
        <v>Ferrari Silvina Lujan</v>
      </c>
      <c r="D346" s="35">
        <f>+'[2]por cuent'!G346</f>
        <v>12753094</v>
      </c>
      <c r="E346" s="35">
        <f>+'[2]por cuent'!H346</f>
        <v>12753094</v>
      </c>
      <c r="F346" t="str">
        <f>+'[2]por cuent'!I346</f>
        <v>410</v>
      </c>
    </row>
    <row r="347" spans="1:6" x14ac:dyDescent="0.35">
      <c r="A347" t="str">
        <f>+'[2]por cuent'!A347</f>
        <v>ARS</v>
      </c>
      <c r="B347" t="str">
        <f>+'[2]por cuent'!B347</f>
        <v>410149216</v>
      </c>
      <c r="C347" t="str">
        <f>+'[2]por cuent'!C347</f>
        <v>Fernández, Julio Cesar</v>
      </c>
      <c r="D347" s="35">
        <f>+'[2]por cuent'!G347</f>
        <v>16310527.289999999</v>
      </c>
      <c r="E347" s="35">
        <f>+'[2]por cuent'!H347</f>
        <v>16310527.289999999</v>
      </c>
      <c r="F347" t="str">
        <f>+'[2]por cuent'!I347</f>
        <v>410</v>
      </c>
    </row>
    <row r="348" spans="1:6" x14ac:dyDescent="0.35">
      <c r="A348" t="str">
        <f>+'[2]por cuent'!A348</f>
        <v>ARS</v>
      </c>
      <c r="B348" t="str">
        <f>+'[2]por cuent'!B348</f>
        <v>410149217</v>
      </c>
      <c r="C348" t="str">
        <f>+'[2]por cuent'!C348</f>
        <v>Fernández, Javier Julio</v>
      </c>
      <c r="D348" s="35">
        <f>+'[2]por cuent'!G348</f>
        <v>7010639.9299999997</v>
      </c>
      <c r="E348" s="35">
        <f>+'[2]por cuent'!H348</f>
        <v>7010639.9299999997</v>
      </c>
      <c r="F348" t="str">
        <f>+'[2]por cuent'!I348</f>
        <v>410</v>
      </c>
    </row>
    <row r="349" spans="1:6" x14ac:dyDescent="0.35">
      <c r="A349" t="str">
        <f>+'[2]por cuent'!A349</f>
        <v>ARS</v>
      </c>
      <c r="B349" t="str">
        <f>+'[2]por cuent'!B349</f>
        <v>410149218</v>
      </c>
      <c r="C349" t="str">
        <f>+'[2]por cuent'!C349</f>
        <v>Vozzi, Lucia Magdalena</v>
      </c>
      <c r="D349" s="35">
        <f>+'[2]por cuent'!G349</f>
        <v>882006.88</v>
      </c>
      <c r="E349" s="35">
        <f>+'[2]por cuent'!H349</f>
        <v>882006.88</v>
      </c>
      <c r="F349" t="str">
        <f>+'[2]por cuent'!I349</f>
        <v>410</v>
      </c>
    </row>
    <row r="350" spans="1:6" x14ac:dyDescent="0.35">
      <c r="A350" t="str">
        <f>+'[2]por cuent'!A350</f>
        <v>ARS</v>
      </c>
      <c r="B350" t="str">
        <f>+'[2]por cuent'!B350</f>
        <v>412031050</v>
      </c>
      <c r="C350" t="str">
        <f>+'[2]por cuent'!C350</f>
        <v>BAILLERES COMERCIAL S.A.</v>
      </c>
      <c r="D350" s="35">
        <f>+'[2]por cuent'!G350</f>
        <v>14985000</v>
      </c>
      <c r="E350" s="35">
        <f>+'[2]por cuent'!H350</f>
        <v>14985000</v>
      </c>
      <c r="F350" t="str">
        <f>+'[2]por cuent'!I350</f>
        <v>412</v>
      </c>
    </row>
    <row r="351" spans="1:6" x14ac:dyDescent="0.35">
      <c r="A351" t="str">
        <f>+'[2]por cuent'!A351</f>
        <v>ARS</v>
      </c>
      <c r="B351" t="str">
        <f>+'[2]por cuent'!B351</f>
        <v>417001013</v>
      </c>
      <c r="C351" t="str">
        <f>+'[2]por cuent'!C351</f>
        <v>LEMESOFF IVAN</v>
      </c>
      <c r="D351" s="35">
        <f>+'[2]por cuent'!G351</f>
        <v>3287674</v>
      </c>
      <c r="E351" s="35">
        <f>+'[2]por cuent'!H351</f>
        <v>3287674</v>
      </c>
      <c r="F351" t="str">
        <f>+'[2]por cuent'!I351</f>
        <v>417</v>
      </c>
    </row>
    <row r="352" spans="1:6" x14ac:dyDescent="0.35">
      <c r="A352" t="str">
        <f>+'[2]por cuent'!A352</f>
        <v>ARS</v>
      </c>
      <c r="B352" t="str">
        <f>+'[2]por cuent'!B352</f>
        <v>417001422</v>
      </c>
      <c r="C352" t="str">
        <f>+'[2]por cuent'!C352</f>
        <v>ROTUNNO EMILIANO MARCOS</v>
      </c>
      <c r="D352" s="35">
        <f>+'[2]por cuent'!G352</f>
        <v>188225434</v>
      </c>
      <c r="E352" s="35">
        <f>+'[2]por cuent'!H352</f>
        <v>188225434</v>
      </c>
      <c r="F352" t="str">
        <f>+'[2]por cuent'!I352</f>
        <v>417</v>
      </c>
    </row>
    <row r="353" spans="1:6" x14ac:dyDescent="0.35">
      <c r="A353" t="str">
        <f>+'[2]por cuent'!A353</f>
        <v>ARS</v>
      </c>
      <c r="B353" t="str">
        <f>+'[2]por cuent'!B353</f>
        <v>417001701</v>
      </c>
      <c r="C353" t="str">
        <f>+'[2]por cuent'!C353</f>
        <v>ESTRELLA JUAN NAZARIO</v>
      </c>
      <c r="D353" s="35">
        <f>+'[2]por cuent'!G353</f>
        <v>5763286</v>
      </c>
      <c r="E353" s="35">
        <f>+'[2]por cuent'!H353</f>
        <v>5763286</v>
      </c>
      <c r="F353" t="str">
        <f>+'[2]por cuent'!I353</f>
        <v>417</v>
      </c>
    </row>
    <row r="354" spans="1:6" x14ac:dyDescent="0.35">
      <c r="A354" t="str">
        <f>+'[2]por cuent'!A354</f>
        <v>ARS</v>
      </c>
      <c r="B354" t="str">
        <f>+'[2]por cuent'!B354</f>
        <v>417002419</v>
      </c>
      <c r="C354" t="str">
        <f>+'[2]por cuent'!C354</f>
        <v>GONZALEZ SITYAR CARLOS AL</v>
      </c>
      <c r="D354" s="35">
        <f>+'[2]por cuent'!G354</f>
        <v>3992309</v>
      </c>
      <c r="E354" s="35">
        <f>+'[2]por cuent'!H354</f>
        <v>3992309</v>
      </c>
      <c r="F354" t="str">
        <f>+'[2]por cuent'!I354</f>
        <v>417</v>
      </c>
    </row>
    <row r="355" spans="1:6" x14ac:dyDescent="0.35">
      <c r="A355" t="str">
        <f>+'[2]por cuent'!A355</f>
        <v>ARS</v>
      </c>
      <c r="B355" t="str">
        <f>+'[2]por cuent'!B355</f>
        <v>417005268</v>
      </c>
      <c r="C355" t="str">
        <f>+'[2]por cuent'!C355</f>
        <v>DOMINGUEZ FELIX JAVIER</v>
      </c>
      <c r="D355" s="35">
        <f>+'[2]por cuent'!G355</f>
        <v>54632033</v>
      </c>
      <c r="E355" s="35">
        <f>+'[2]por cuent'!H355</f>
        <v>54632033</v>
      </c>
      <c r="F355" t="str">
        <f>+'[2]por cuent'!I355</f>
        <v>417</v>
      </c>
    </row>
    <row r="356" spans="1:6" x14ac:dyDescent="0.35">
      <c r="A356" t="str">
        <f>+'[2]por cuent'!A356</f>
        <v>ARS</v>
      </c>
      <c r="B356" t="str">
        <f>+'[2]por cuent'!B356</f>
        <v>417005479</v>
      </c>
      <c r="C356" t="str">
        <f>+'[2]por cuent'!C356</f>
        <v>FANTASIA MACCHI MAXIMILIA</v>
      </c>
      <c r="D356" s="35">
        <f>+'[2]por cuent'!G356</f>
        <v>60201992.5</v>
      </c>
      <c r="E356" s="35">
        <f>+'[2]por cuent'!H356</f>
        <v>60201992.5</v>
      </c>
      <c r="F356" t="str">
        <f>+'[2]por cuent'!I356</f>
        <v>417</v>
      </c>
    </row>
    <row r="357" spans="1:6" x14ac:dyDescent="0.35">
      <c r="A357" t="str">
        <f>+'[2]por cuent'!A357</f>
        <v>ARS</v>
      </c>
      <c r="B357" t="str">
        <f>+'[2]por cuent'!B357</f>
        <v>417005699</v>
      </c>
      <c r="C357" t="str">
        <f>+'[2]por cuent'!C357</f>
        <v>TRONCOSO SANTIAGO</v>
      </c>
      <c r="D357" s="35">
        <f>+'[2]por cuent'!G357</f>
        <v>153869</v>
      </c>
      <c r="E357" s="35">
        <f>+'[2]por cuent'!H357</f>
        <v>153869</v>
      </c>
      <c r="F357" t="str">
        <f>+'[2]por cuent'!I357</f>
        <v>417</v>
      </c>
    </row>
    <row r="358" spans="1:6" x14ac:dyDescent="0.35">
      <c r="A358" t="str">
        <f>+'[2]por cuent'!A358</f>
        <v>ARS</v>
      </c>
      <c r="B358" t="str">
        <f>+'[2]por cuent'!B358</f>
        <v>417008296</v>
      </c>
      <c r="C358" t="str">
        <f>+'[2]por cuent'!C358</f>
        <v>Casco Orlando Saul</v>
      </c>
      <c r="D358" s="35">
        <f>+'[2]por cuent'!G358</f>
        <v>6721501</v>
      </c>
      <c r="E358" s="35">
        <f>+'[2]por cuent'!H358</f>
        <v>6721501</v>
      </c>
      <c r="F358" t="str">
        <f>+'[2]por cuent'!I358</f>
        <v>417</v>
      </c>
    </row>
    <row r="359" spans="1:6" x14ac:dyDescent="0.35">
      <c r="A359" t="str">
        <f>+'[2]por cuent'!A359</f>
        <v>ARS</v>
      </c>
      <c r="B359" t="str">
        <f>+'[2]por cuent'!B359</f>
        <v>417008410</v>
      </c>
      <c r="C359" t="str">
        <f>+'[2]por cuent'!C359</f>
        <v>[C.E.R.A.] Rotunno, Emiliano Marcos</v>
      </c>
      <c r="D359" s="35">
        <f>+'[2]por cuent'!G359</f>
        <v>339532194.19999999</v>
      </c>
      <c r="E359" s="35">
        <f>+'[2]por cuent'!H359</f>
        <v>339532194.19999999</v>
      </c>
      <c r="F359" t="str">
        <f>+'[2]por cuent'!I359</f>
        <v>417</v>
      </c>
    </row>
    <row r="360" spans="1:6" x14ac:dyDescent="0.35">
      <c r="A360" t="str">
        <f>+'[2]por cuent'!A360</f>
        <v>ARS</v>
      </c>
      <c r="B360" t="str">
        <f>+'[2]por cuent'!B360</f>
        <v>417008411</v>
      </c>
      <c r="C360" t="str">
        <f>+'[2]por cuent'!C360</f>
        <v>[C.E.R.A.] Lemesoff, Federico</v>
      </c>
      <c r="D360" s="35">
        <f>+'[2]por cuent'!G360</f>
        <v>113610018</v>
      </c>
      <c r="E360" s="35">
        <f>+'[2]por cuent'!H360</f>
        <v>113610018</v>
      </c>
      <c r="F360" t="str">
        <f>+'[2]por cuent'!I360</f>
        <v>417</v>
      </c>
    </row>
    <row r="361" spans="1:6" x14ac:dyDescent="0.35">
      <c r="A361" t="str">
        <f>+'[2]por cuent'!A361</f>
        <v>ARS</v>
      </c>
      <c r="B361" t="str">
        <f>+'[2]por cuent'!B361</f>
        <v>423000005</v>
      </c>
      <c r="C361" t="str">
        <f>+'[2]por cuent'!C361</f>
        <v>REAL MARKET S.A.</v>
      </c>
      <c r="D361" s="35">
        <f>+'[2]por cuent'!G361</f>
        <v>2385770442.77</v>
      </c>
      <c r="E361" s="35">
        <f>+'[2]por cuent'!H361</f>
        <v>2385770442.77</v>
      </c>
      <c r="F361" t="str">
        <f>+'[2]por cuent'!I361</f>
        <v>423</v>
      </c>
    </row>
    <row r="362" spans="1:6" x14ac:dyDescent="0.35">
      <c r="A362" t="str">
        <f>+'[2]por cuent'!A362</f>
        <v>ARS</v>
      </c>
      <c r="B362" t="str">
        <f>+'[2]por cuent'!B362</f>
        <v>423001001</v>
      </c>
      <c r="C362" t="str">
        <f>+'[2]por cuent'!C362</f>
        <v>DONDO, DIEGO MATIAS</v>
      </c>
      <c r="D362" s="35">
        <f>+'[2]por cuent'!G362</f>
        <v>10288409</v>
      </c>
      <c r="E362" s="35">
        <f>+'[2]por cuent'!H362</f>
        <v>10288409</v>
      </c>
      <c r="F362" t="str">
        <f>+'[2]por cuent'!I362</f>
        <v>423</v>
      </c>
    </row>
    <row r="363" spans="1:6" x14ac:dyDescent="0.35">
      <c r="A363" t="str">
        <f>+'[2]por cuent'!A363</f>
        <v>ARS</v>
      </c>
      <c r="B363" t="str">
        <f>+'[2]por cuent'!B363</f>
        <v>423001002</v>
      </c>
      <c r="C363" t="str">
        <f>+'[2]por cuent'!C363</f>
        <v>DINALE SA</v>
      </c>
      <c r="D363" s="35">
        <f>+'[2]por cuent'!G363</f>
        <v>2204798258.5999999</v>
      </c>
      <c r="E363" s="35">
        <f>+'[2]por cuent'!H363</f>
        <v>2204798258.5999999</v>
      </c>
      <c r="F363" t="str">
        <f>+'[2]por cuent'!I363</f>
        <v>423</v>
      </c>
    </row>
    <row r="364" spans="1:6" x14ac:dyDescent="0.35">
      <c r="A364" t="str">
        <f>+'[2]por cuent'!A364</f>
        <v>ARS</v>
      </c>
      <c r="B364" t="str">
        <f>+'[2]por cuent'!B364</f>
        <v>423001003</v>
      </c>
      <c r="C364" t="str">
        <f>+'[2]por cuent'!C364</f>
        <v>EL LITORAL SRL</v>
      </c>
      <c r="D364" s="35">
        <f>+'[2]por cuent'!G364</f>
        <v>32109762</v>
      </c>
      <c r="E364" s="35">
        <f>+'[2]por cuent'!H364</f>
        <v>32109762</v>
      </c>
      <c r="F364" t="str">
        <f>+'[2]por cuent'!I364</f>
        <v>423</v>
      </c>
    </row>
    <row r="365" spans="1:6" x14ac:dyDescent="0.35">
      <c r="A365" t="str">
        <f>+'[2]por cuent'!A365</f>
        <v>ARS</v>
      </c>
      <c r="B365" t="str">
        <f>+'[2]por cuent'!B365</f>
        <v>423001005</v>
      </c>
      <c r="C365" t="str">
        <f>+'[2]por cuent'!C365</f>
        <v>PRECON SA</v>
      </c>
      <c r="D365" s="35">
        <f>+'[2]por cuent'!G365</f>
        <v>13654758.189999999</v>
      </c>
      <c r="E365" s="35">
        <f>+'[2]por cuent'!H365</f>
        <v>13654758.189999999</v>
      </c>
      <c r="F365" t="str">
        <f>+'[2]por cuent'!I365</f>
        <v>423</v>
      </c>
    </row>
    <row r="366" spans="1:6" x14ac:dyDescent="0.35">
      <c r="A366" t="str">
        <f>+'[2]por cuent'!A366</f>
        <v>ARS</v>
      </c>
      <c r="B366" t="str">
        <f>+'[2]por cuent'!B366</f>
        <v>423001007</v>
      </c>
      <c r="C366" t="str">
        <f>+'[2]por cuent'!C366</f>
        <v>SANATORIO LAPRIDA SA</v>
      </c>
      <c r="D366" s="35">
        <f>+'[2]por cuent'!G366</f>
        <v>651498806.67999995</v>
      </c>
      <c r="E366" s="35">
        <f>+'[2]por cuent'!H366</f>
        <v>651498806.67999995</v>
      </c>
      <c r="F366" t="str">
        <f>+'[2]por cuent'!I366</f>
        <v>423</v>
      </c>
    </row>
    <row r="367" spans="1:6" x14ac:dyDescent="0.35">
      <c r="A367" t="str">
        <f>+'[2]por cuent'!A367</f>
        <v>ARS</v>
      </c>
      <c r="B367" t="str">
        <f>+'[2]por cuent'!B367</f>
        <v>423001010</v>
      </c>
      <c r="C367" t="str">
        <f>+'[2]por cuent'!C367</f>
        <v>PIGHIN, HECTOR DANIEL</v>
      </c>
      <c r="D367" s="35">
        <f>+'[2]por cuent'!G367</f>
        <v>7200193</v>
      </c>
      <c r="E367" s="35">
        <f>+'[2]por cuent'!H367</f>
        <v>7200193</v>
      </c>
      <c r="F367" t="str">
        <f>+'[2]por cuent'!I367</f>
        <v>423</v>
      </c>
    </row>
    <row r="368" spans="1:6" x14ac:dyDescent="0.35">
      <c r="A368" t="str">
        <f>+'[2]por cuent'!A368</f>
        <v>ARS</v>
      </c>
      <c r="B368" t="str">
        <f>+'[2]por cuent'!B368</f>
        <v>423001012</v>
      </c>
      <c r="C368" t="str">
        <f>+'[2]por cuent'!C368</f>
        <v>BOTTI, ENRIQUE JESUS</v>
      </c>
      <c r="D368" s="35">
        <f>+'[2]por cuent'!G368</f>
        <v>77633923</v>
      </c>
      <c r="E368" s="35">
        <f>+'[2]por cuent'!H368</f>
        <v>77633923</v>
      </c>
      <c r="F368" t="str">
        <f>+'[2]por cuent'!I368</f>
        <v>423</v>
      </c>
    </row>
    <row r="369" spans="1:6" x14ac:dyDescent="0.35">
      <c r="A369" t="str">
        <f>+'[2]por cuent'!A369</f>
        <v>ARS</v>
      </c>
      <c r="B369" t="str">
        <f>+'[2]por cuent'!B369</f>
        <v>423001013</v>
      </c>
      <c r="C369" t="str">
        <f>+'[2]por cuent'!C369</f>
        <v>PIATTI, CRISTIAN LEONARDO</v>
      </c>
      <c r="D369" s="35">
        <f>+'[2]por cuent'!G369</f>
        <v>298771231.55000001</v>
      </c>
      <c r="E369" s="35">
        <f>+'[2]por cuent'!H369</f>
        <v>298771231.55000001</v>
      </c>
      <c r="F369" t="str">
        <f>+'[2]por cuent'!I369</f>
        <v>423</v>
      </c>
    </row>
    <row r="370" spans="1:6" x14ac:dyDescent="0.35">
      <c r="A370" t="str">
        <f>+'[2]por cuent'!A370</f>
        <v>ARS</v>
      </c>
      <c r="B370" t="str">
        <f>+'[2]por cuent'!B370</f>
        <v>423001016</v>
      </c>
      <c r="C370" t="str">
        <f>+'[2]por cuent'!C370</f>
        <v>BRIGNONE, PABLO</v>
      </c>
      <c r="D370" s="35">
        <f>+'[2]por cuent'!G370</f>
        <v>1478466</v>
      </c>
      <c r="E370" s="35">
        <f>+'[2]por cuent'!H370</f>
        <v>1478466</v>
      </c>
      <c r="F370" t="str">
        <f>+'[2]por cuent'!I370</f>
        <v>423</v>
      </c>
    </row>
    <row r="371" spans="1:6" x14ac:dyDescent="0.35">
      <c r="A371" t="str">
        <f>+'[2]por cuent'!A371</f>
        <v>ARS</v>
      </c>
      <c r="B371" t="str">
        <f>+'[2]por cuent'!B371</f>
        <v>423001018</v>
      </c>
      <c r="C371" t="str">
        <f>+'[2]por cuent'!C371</f>
        <v xml:space="preserve">VRANICICH, MARIA CECILIA </v>
      </c>
      <c r="D371" s="35">
        <f>+'[2]por cuent'!G371</f>
        <v>1180853.5</v>
      </c>
      <c r="E371" s="35">
        <f>+'[2]por cuent'!H371</f>
        <v>1180853.5</v>
      </c>
      <c r="F371" t="str">
        <f>+'[2]por cuent'!I371</f>
        <v>423</v>
      </c>
    </row>
    <row r="372" spans="1:6" x14ac:dyDescent="0.35">
      <c r="A372" t="str">
        <f>+'[2]por cuent'!A372</f>
        <v>ARS</v>
      </c>
      <c r="B372" t="str">
        <f>+'[2]por cuent'!B372</f>
        <v>423001019</v>
      </c>
      <c r="C372" t="str">
        <f>+'[2]por cuent'!C372</f>
        <v>LOSADA, FERNANDO RAMIRO</v>
      </c>
      <c r="D372" s="35">
        <f>+'[2]por cuent'!G372</f>
        <v>3643900</v>
      </c>
      <c r="E372" s="35">
        <f>+'[2]por cuent'!H372</f>
        <v>3643900</v>
      </c>
      <c r="F372" t="str">
        <f>+'[2]por cuent'!I372</f>
        <v>423</v>
      </c>
    </row>
    <row r="373" spans="1:6" x14ac:dyDescent="0.35">
      <c r="A373" t="str">
        <f>+'[2]por cuent'!A373</f>
        <v>ARS</v>
      </c>
      <c r="B373" t="str">
        <f>+'[2]por cuent'!B373</f>
        <v>423001025</v>
      </c>
      <c r="C373" t="str">
        <f>+'[2]por cuent'!C373</f>
        <v>COVIELLO, ALEJANDRO ANDRES</v>
      </c>
      <c r="D373" s="35">
        <f>+'[2]por cuent'!G373</f>
        <v>19890</v>
      </c>
      <c r="E373" s="35">
        <f>+'[2]por cuent'!H373</f>
        <v>19890</v>
      </c>
      <c r="F373" t="str">
        <f>+'[2]por cuent'!I373</f>
        <v>423</v>
      </c>
    </row>
    <row r="374" spans="1:6" x14ac:dyDescent="0.35">
      <c r="A374" t="str">
        <f>+'[2]por cuent'!A374</f>
        <v>ARS</v>
      </c>
      <c r="B374" t="str">
        <f>+'[2]por cuent'!B374</f>
        <v>423001026</v>
      </c>
      <c r="C374" t="str">
        <f>+'[2]por cuent'!C374</f>
        <v>AUDISALUD SRL</v>
      </c>
      <c r="D374" s="35">
        <f>+'[2]por cuent'!G374</f>
        <v>5707200450</v>
      </c>
      <c r="E374" s="35">
        <f>+'[2]por cuent'!H374</f>
        <v>5707200450</v>
      </c>
      <c r="F374" t="str">
        <f>+'[2]por cuent'!I374</f>
        <v>423</v>
      </c>
    </row>
    <row r="375" spans="1:6" x14ac:dyDescent="0.35">
      <c r="A375" t="str">
        <f>+'[2]por cuent'!A375</f>
        <v>ARS</v>
      </c>
      <c r="B375" t="str">
        <f>+'[2]por cuent'!B375</f>
        <v>423001032</v>
      </c>
      <c r="C375" t="str">
        <f>+'[2]por cuent'!C375</f>
        <v>MANNO, GUIDO JOSE</v>
      </c>
      <c r="D375" s="35">
        <f>+'[2]por cuent'!G375</f>
        <v>1555800</v>
      </c>
      <c r="E375" s="35">
        <f>+'[2]por cuent'!H375</f>
        <v>1555800</v>
      </c>
      <c r="F375" t="str">
        <f>+'[2]por cuent'!I375</f>
        <v>423</v>
      </c>
    </row>
    <row r="376" spans="1:6" x14ac:dyDescent="0.35">
      <c r="A376" t="str">
        <f>+'[2]por cuent'!A376</f>
        <v>ARS</v>
      </c>
      <c r="B376" t="str">
        <f>+'[2]por cuent'!B376</f>
        <v>423001038</v>
      </c>
      <c r="C376" t="str">
        <f>+'[2]por cuent'!C376</f>
        <v>PECAM SA</v>
      </c>
      <c r="D376" s="35">
        <f>+'[2]por cuent'!G376</f>
        <v>371747515.52999997</v>
      </c>
      <c r="E376" s="35">
        <f>+'[2]por cuent'!H376</f>
        <v>371747515.52999997</v>
      </c>
      <c r="F376" t="str">
        <f>+'[2]por cuent'!I376</f>
        <v>423</v>
      </c>
    </row>
    <row r="377" spans="1:6" x14ac:dyDescent="0.35">
      <c r="A377" t="str">
        <f>+'[2]por cuent'!A377</f>
        <v>ARS</v>
      </c>
      <c r="B377" t="str">
        <f>+'[2]por cuent'!B377</f>
        <v>423001040</v>
      </c>
      <c r="C377" t="str">
        <f>+'[2]por cuent'!C377</f>
        <v>BOERIS, DIEGO NICOLAS</v>
      </c>
      <c r="D377" s="35">
        <f>+'[2]por cuent'!G377</f>
        <v>42300898</v>
      </c>
      <c r="E377" s="35">
        <f>+'[2]por cuent'!H377</f>
        <v>42300898</v>
      </c>
      <c r="F377" t="str">
        <f>+'[2]por cuent'!I377</f>
        <v>423</v>
      </c>
    </row>
    <row r="378" spans="1:6" x14ac:dyDescent="0.35">
      <c r="A378" t="str">
        <f>+'[2]por cuent'!A378</f>
        <v>ARS</v>
      </c>
      <c r="B378" t="str">
        <f>+'[2]por cuent'!B378</f>
        <v>423001048</v>
      </c>
      <c r="C378" t="str">
        <f>+'[2]por cuent'!C378</f>
        <v>DONDO, BRUNO MARTIN</v>
      </c>
      <c r="D378" s="35">
        <f>+'[2]por cuent'!G378</f>
        <v>94319726.010000005</v>
      </c>
      <c r="E378" s="35">
        <f>+'[2]por cuent'!H378</f>
        <v>94319726.010000005</v>
      </c>
      <c r="F378" t="str">
        <f>+'[2]por cuent'!I378</f>
        <v>423</v>
      </c>
    </row>
    <row r="379" spans="1:6" x14ac:dyDescent="0.35">
      <c r="A379" t="str">
        <f>+'[2]por cuent'!A379</f>
        <v>ARS</v>
      </c>
      <c r="B379" t="str">
        <f>+'[2]por cuent'!B379</f>
        <v>423001059</v>
      </c>
      <c r="C379" t="str">
        <f>+'[2]por cuent'!C379</f>
        <v>COLLINO, GASTÓN GERMÁN</v>
      </c>
      <c r="D379" s="35">
        <f>+'[2]por cuent'!G379</f>
        <v>16335198</v>
      </c>
      <c r="E379" s="35">
        <f>+'[2]por cuent'!H379</f>
        <v>16335198</v>
      </c>
      <c r="F379" t="str">
        <f>+'[2]por cuent'!I379</f>
        <v>423</v>
      </c>
    </row>
    <row r="380" spans="1:6" x14ac:dyDescent="0.35">
      <c r="A380" t="str">
        <f>+'[2]por cuent'!A380</f>
        <v>ARS</v>
      </c>
      <c r="B380" t="str">
        <f>+'[2]por cuent'!B380</f>
        <v>423001069</v>
      </c>
      <c r="C380" t="str">
        <f>+'[2]por cuent'!C380</f>
        <v>CALDO, BALTASAR JEREMIAS</v>
      </c>
      <c r="D380" s="35">
        <f>+'[2]por cuent'!G380</f>
        <v>326596585.69999999</v>
      </c>
      <c r="E380" s="35">
        <f>+'[2]por cuent'!H380</f>
        <v>326596585.69999999</v>
      </c>
      <c r="F380" t="str">
        <f>+'[2]por cuent'!I380</f>
        <v>423</v>
      </c>
    </row>
    <row r="381" spans="1:6" x14ac:dyDescent="0.35">
      <c r="A381" t="str">
        <f>+'[2]por cuent'!A381</f>
        <v>ARS</v>
      </c>
      <c r="B381" t="str">
        <f>+'[2]por cuent'!B381</f>
        <v>423001075</v>
      </c>
      <c r="C381" t="str">
        <f>+'[2]por cuent'!C381</f>
        <v xml:space="preserve">SALA SA </v>
      </c>
      <c r="D381" s="35">
        <f>+'[2]por cuent'!G381</f>
        <v>329634002</v>
      </c>
      <c r="E381" s="35">
        <f>+'[2]por cuent'!H381</f>
        <v>329634002</v>
      </c>
      <c r="F381" t="str">
        <f>+'[2]por cuent'!I381</f>
        <v>423</v>
      </c>
    </row>
    <row r="382" spans="1:6" x14ac:dyDescent="0.35">
      <c r="A382" t="str">
        <f>+'[2]por cuent'!A382</f>
        <v>ARS</v>
      </c>
      <c r="B382" t="str">
        <f>+'[2]por cuent'!B382</f>
        <v>423001083</v>
      </c>
      <c r="C382" t="str">
        <f>+'[2]por cuent'!C382</f>
        <v>ALBERDI, CARLOS RUBEN</v>
      </c>
      <c r="D382" s="35">
        <f>+'[2]por cuent'!G382</f>
        <v>46988798.5</v>
      </c>
      <c r="E382" s="35">
        <f>+'[2]por cuent'!H382</f>
        <v>46988798.5</v>
      </c>
      <c r="F382" t="str">
        <f>+'[2]por cuent'!I382</f>
        <v>423</v>
      </c>
    </row>
    <row r="383" spans="1:6" x14ac:dyDescent="0.35">
      <c r="A383" t="str">
        <f>+'[2]por cuent'!A383</f>
        <v>ARS</v>
      </c>
      <c r="B383" t="str">
        <f>+'[2]por cuent'!B383</f>
        <v>423001084</v>
      </c>
      <c r="C383" t="str">
        <f>+'[2]por cuent'!C383</f>
        <v>ARAMBURU, JORGE LUIS</v>
      </c>
      <c r="D383" s="35">
        <f>+'[2]por cuent'!G383</f>
        <v>4483212</v>
      </c>
      <c r="E383" s="35">
        <f>+'[2]por cuent'!H383</f>
        <v>4483212</v>
      </c>
      <c r="F383" t="str">
        <f>+'[2]por cuent'!I383</f>
        <v>423</v>
      </c>
    </row>
    <row r="384" spans="1:6" x14ac:dyDescent="0.35">
      <c r="A384" t="str">
        <f>+'[2]por cuent'!A384</f>
        <v>ARS</v>
      </c>
      <c r="B384" t="str">
        <f>+'[2]por cuent'!B384</f>
        <v>423001098</v>
      </c>
      <c r="C384" t="str">
        <f>+'[2]por cuent'!C384</f>
        <v>BORDÓ ARQUITECTURA SRL</v>
      </c>
      <c r="D384" s="35">
        <f>+'[2]por cuent'!G384</f>
        <v>18741976.890000001</v>
      </c>
      <c r="E384" s="35">
        <f>+'[2]por cuent'!H384</f>
        <v>18741976.890000001</v>
      </c>
      <c r="F384" t="str">
        <f>+'[2]por cuent'!I384</f>
        <v>423</v>
      </c>
    </row>
    <row r="385" spans="1:6" x14ac:dyDescent="0.35">
      <c r="A385" t="str">
        <f>+'[2]por cuent'!A385</f>
        <v>ARS</v>
      </c>
      <c r="B385" t="str">
        <f>+'[2]por cuent'!B385</f>
        <v>423001099</v>
      </c>
      <c r="C385" t="str">
        <f>+'[2]por cuent'!C385</f>
        <v>VIA DEL SUR SRL</v>
      </c>
      <c r="D385" s="35">
        <f>+'[2]por cuent'!G385</f>
        <v>578755784</v>
      </c>
      <c r="E385" s="35">
        <f>+'[2]por cuent'!H385</f>
        <v>578755784</v>
      </c>
      <c r="F385" t="str">
        <f>+'[2]por cuent'!I385</f>
        <v>423</v>
      </c>
    </row>
    <row r="386" spans="1:6" x14ac:dyDescent="0.35">
      <c r="A386" t="str">
        <f>+'[2]por cuent'!A386</f>
        <v>ARS</v>
      </c>
      <c r="B386" t="str">
        <f>+'[2]por cuent'!B386</f>
        <v>423001110</v>
      </c>
      <c r="C386" t="str">
        <f>+'[2]por cuent'!C386</f>
        <v>PLEC CONSULTING SA</v>
      </c>
      <c r="D386" s="35">
        <f>+'[2]por cuent'!G386</f>
        <v>482855871</v>
      </c>
      <c r="E386" s="35">
        <f>+'[2]por cuent'!H386</f>
        <v>482855871</v>
      </c>
      <c r="F386" t="str">
        <f>+'[2]por cuent'!I386</f>
        <v>423</v>
      </c>
    </row>
    <row r="387" spans="1:6" x14ac:dyDescent="0.35">
      <c r="A387" t="str">
        <f>+'[2]por cuent'!A387</f>
        <v>ARS</v>
      </c>
      <c r="B387" t="str">
        <f>+'[2]por cuent'!B387</f>
        <v>423001115</v>
      </c>
      <c r="C387" t="str">
        <f>+'[2]por cuent'!C387</f>
        <v>SCHOR, MARCELO ADRIAN</v>
      </c>
      <c r="D387" s="35">
        <f>+'[2]por cuent'!G387</f>
        <v>343011505.18000001</v>
      </c>
      <c r="E387" s="35">
        <f>+'[2]por cuent'!H387</f>
        <v>343011505.18000001</v>
      </c>
      <c r="F387" t="str">
        <f>+'[2]por cuent'!I387</f>
        <v>423</v>
      </c>
    </row>
    <row r="388" spans="1:6" x14ac:dyDescent="0.35">
      <c r="A388" t="str">
        <f>+'[2]por cuent'!A388</f>
        <v>ARS</v>
      </c>
      <c r="B388" t="str">
        <f>+'[2]por cuent'!B388</f>
        <v>423001117</v>
      </c>
      <c r="C388" t="str">
        <f>+'[2]por cuent'!C388</f>
        <v>CAREAGA HNOS Y TEGLIA SRL</v>
      </c>
      <c r="D388" s="35">
        <f>+'[2]por cuent'!G388</f>
        <v>119112657.62</v>
      </c>
      <c r="E388" s="35">
        <f>+'[2]por cuent'!H388</f>
        <v>119112657.62</v>
      </c>
      <c r="F388" t="str">
        <f>+'[2]por cuent'!I388</f>
        <v>423</v>
      </c>
    </row>
    <row r="389" spans="1:6" x14ac:dyDescent="0.35">
      <c r="A389" t="str">
        <f>+'[2]por cuent'!A389</f>
        <v>ARS</v>
      </c>
      <c r="B389" t="str">
        <f>+'[2]por cuent'!B389</f>
        <v>423001123</v>
      </c>
      <c r="C389" t="str">
        <f>+'[2]por cuent'!C389</f>
        <v>FUNDACION PARA EL ESTUDIO E INVESTIGACION DE LOS SISTEMAS DE SALUD</v>
      </c>
      <c r="D389" s="35">
        <f>+'[2]por cuent'!G389</f>
        <v>606879</v>
      </c>
      <c r="E389" s="35">
        <f>+'[2]por cuent'!H389</f>
        <v>606879</v>
      </c>
      <c r="F389" t="str">
        <f>+'[2]por cuent'!I389</f>
        <v>423</v>
      </c>
    </row>
    <row r="390" spans="1:6" x14ac:dyDescent="0.35">
      <c r="A390" t="str">
        <f>+'[2]por cuent'!A390</f>
        <v>ARS</v>
      </c>
      <c r="B390" t="str">
        <f>+'[2]por cuent'!B390</f>
        <v>423001126</v>
      </c>
      <c r="C390" t="str">
        <f>+'[2]por cuent'!C390</f>
        <v>LOSADA, IMANOL</v>
      </c>
      <c r="D390" s="35">
        <f>+'[2]por cuent'!G390</f>
        <v>4927226</v>
      </c>
      <c r="E390" s="35">
        <f>+'[2]por cuent'!H390</f>
        <v>4927226</v>
      </c>
      <c r="F390" t="str">
        <f>+'[2]por cuent'!I390</f>
        <v>423</v>
      </c>
    </row>
    <row r="391" spans="1:6" x14ac:dyDescent="0.35">
      <c r="A391" t="str">
        <f>+'[2]por cuent'!A391</f>
        <v>ARS</v>
      </c>
      <c r="B391" t="str">
        <f>+'[2]por cuent'!B391</f>
        <v>423001131</v>
      </c>
      <c r="C391" t="str">
        <f>+'[2]por cuent'!C391</f>
        <v>PORRI, CLAUDIA LUCÍA</v>
      </c>
      <c r="D391" s="35">
        <f>+'[2]por cuent'!G391</f>
        <v>50885190.280000001</v>
      </c>
      <c r="E391" s="35">
        <f>+'[2]por cuent'!H391</f>
        <v>50885190.280000001</v>
      </c>
      <c r="F391" t="str">
        <f>+'[2]por cuent'!I391</f>
        <v>423</v>
      </c>
    </row>
    <row r="392" spans="1:6" x14ac:dyDescent="0.35">
      <c r="A392" t="str">
        <f>+'[2]por cuent'!A392</f>
        <v>ARS</v>
      </c>
      <c r="B392" t="str">
        <f>+'[2]por cuent'!B392</f>
        <v>423001134</v>
      </c>
      <c r="C392" t="str">
        <f>+'[2]por cuent'!C392</f>
        <v>DONDO, JUAN JOSE</v>
      </c>
      <c r="D392" s="35">
        <f>+'[2]por cuent'!G392</f>
        <v>115594585.06</v>
      </c>
      <c r="E392" s="35">
        <f>+'[2]por cuent'!H392</f>
        <v>115594585.06</v>
      </c>
      <c r="F392" t="str">
        <f>+'[2]por cuent'!I392</f>
        <v>423</v>
      </c>
    </row>
    <row r="393" spans="1:6" x14ac:dyDescent="0.35">
      <c r="A393" t="str">
        <f>+'[2]por cuent'!A393</f>
        <v>ARS</v>
      </c>
      <c r="B393" t="str">
        <f>+'[2]por cuent'!B393</f>
        <v>423001145</v>
      </c>
      <c r="C393" t="str">
        <f>+'[2]por cuent'!C393</f>
        <v xml:space="preserve">MONTECHIARINI, HERNÁN DARÍO </v>
      </c>
      <c r="D393" s="35">
        <f>+'[2]por cuent'!G393</f>
        <v>18025557</v>
      </c>
      <c r="E393" s="35">
        <f>+'[2]por cuent'!H393</f>
        <v>18025557</v>
      </c>
      <c r="F393" t="str">
        <f>+'[2]por cuent'!I393</f>
        <v>423</v>
      </c>
    </row>
    <row r="394" spans="1:6" x14ac:dyDescent="0.35">
      <c r="A394" t="str">
        <f>+'[2]por cuent'!A394</f>
        <v>ARS</v>
      </c>
      <c r="B394" t="str">
        <f>+'[2]por cuent'!B394</f>
        <v>423001148</v>
      </c>
      <c r="C394" t="str">
        <f>+'[2]por cuent'!C394</f>
        <v>RE, MARIA ELISA</v>
      </c>
      <c r="D394" s="35">
        <f>+'[2]por cuent'!G394</f>
        <v>205097621.33000001</v>
      </c>
      <c r="E394" s="35">
        <f>+'[2]por cuent'!H394</f>
        <v>205097621.33000001</v>
      </c>
      <c r="F394" t="str">
        <f>+'[2]por cuent'!I394</f>
        <v>423</v>
      </c>
    </row>
    <row r="395" spans="1:6" x14ac:dyDescent="0.35">
      <c r="A395" t="str">
        <f>+'[2]por cuent'!A395</f>
        <v>ARS</v>
      </c>
      <c r="B395" t="str">
        <f>+'[2]por cuent'!B395</f>
        <v>423001149</v>
      </c>
      <c r="C395" t="str">
        <f>+'[2]por cuent'!C395</f>
        <v>ALDONY SRL</v>
      </c>
      <c r="D395" s="35">
        <f>+'[2]por cuent'!G395</f>
        <v>5526821</v>
      </c>
      <c r="E395" s="35">
        <f>+'[2]por cuent'!H395</f>
        <v>5526821</v>
      </c>
      <c r="F395" t="str">
        <f>+'[2]por cuent'!I395</f>
        <v>423</v>
      </c>
    </row>
    <row r="396" spans="1:6" x14ac:dyDescent="0.35">
      <c r="A396" t="str">
        <f>+'[2]por cuent'!A396</f>
        <v>ARS</v>
      </c>
      <c r="B396" t="str">
        <f>+'[2]por cuent'!B396</f>
        <v>423001154</v>
      </c>
      <c r="C396" t="str">
        <f>+'[2]por cuent'!C396</f>
        <v>DE VINCENZO, SILVIA ANDREA</v>
      </c>
      <c r="D396" s="35">
        <f>+'[2]por cuent'!G396</f>
        <v>25486297</v>
      </c>
      <c r="E396" s="35">
        <f>+'[2]por cuent'!H396</f>
        <v>25486297</v>
      </c>
      <c r="F396" t="str">
        <f>+'[2]por cuent'!I396</f>
        <v>423</v>
      </c>
    </row>
    <row r="397" spans="1:6" x14ac:dyDescent="0.35">
      <c r="A397" t="str">
        <f>+'[2]por cuent'!A397</f>
        <v>ARS</v>
      </c>
      <c r="B397" t="str">
        <f>+'[2]por cuent'!B397</f>
        <v>423001155</v>
      </c>
      <c r="C397" t="str">
        <f>+'[2]por cuent'!C397</f>
        <v>VENINI, JULIA</v>
      </c>
      <c r="D397" s="35">
        <f>+'[2]por cuent'!G397</f>
        <v>3471541.5</v>
      </c>
      <c r="E397" s="35">
        <f>+'[2]por cuent'!H397</f>
        <v>3471541.5</v>
      </c>
      <c r="F397" t="str">
        <f>+'[2]por cuent'!I397</f>
        <v>423</v>
      </c>
    </row>
    <row r="398" spans="1:6" x14ac:dyDescent="0.35">
      <c r="A398" t="str">
        <f>+'[2]por cuent'!A398</f>
        <v>ARS</v>
      </c>
      <c r="B398" t="str">
        <f>+'[2]por cuent'!B398</f>
        <v>423001169</v>
      </c>
      <c r="C398" t="str">
        <f>+'[2]por cuent'!C398</f>
        <v>MÁS, FLORENCIA</v>
      </c>
      <c r="D398" s="35">
        <f>+'[2]por cuent'!G398</f>
        <v>172046460.31</v>
      </c>
      <c r="E398" s="35">
        <f>+'[2]por cuent'!H398</f>
        <v>172046460.31</v>
      </c>
      <c r="F398" t="str">
        <f>+'[2]por cuent'!I398</f>
        <v>423</v>
      </c>
    </row>
    <row r="399" spans="1:6" x14ac:dyDescent="0.35">
      <c r="A399" t="str">
        <f>+'[2]por cuent'!A399</f>
        <v>ARS</v>
      </c>
      <c r="B399" t="str">
        <f>+'[2]por cuent'!B399</f>
        <v>423001173</v>
      </c>
      <c r="C399" t="str">
        <f>+'[2]por cuent'!C399</f>
        <v>GOBBO, JUAN PABLO</v>
      </c>
      <c r="D399" s="35">
        <f>+'[2]por cuent'!G399</f>
        <v>3361876</v>
      </c>
      <c r="E399" s="35">
        <f>+'[2]por cuent'!H399</f>
        <v>3361876</v>
      </c>
      <c r="F399" t="str">
        <f>+'[2]por cuent'!I399</f>
        <v>423</v>
      </c>
    </row>
    <row r="400" spans="1:6" x14ac:dyDescent="0.35">
      <c r="A400" t="str">
        <f>+'[2]por cuent'!A400</f>
        <v>ARS</v>
      </c>
      <c r="B400" t="str">
        <f>+'[2]por cuent'!B400</f>
        <v>423001174</v>
      </c>
      <c r="C400" t="str">
        <f>+'[2]por cuent'!C400</f>
        <v>PLANES, JOSÉ LUIS | MARCUZZI, MARIA EUGENIA</v>
      </c>
      <c r="D400" s="35">
        <f>+'[2]por cuent'!G400</f>
        <v>4281780</v>
      </c>
      <c r="E400" s="35">
        <f>+'[2]por cuent'!H400</f>
        <v>4281780</v>
      </c>
      <c r="F400" t="str">
        <f>+'[2]por cuent'!I400</f>
        <v>423</v>
      </c>
    </row>
    <row r="401" spans="1:6" x14ac:dyDescent="0.35">
      <c r="A401" t="str">
        <f>+'[2]por cuent'!A401</f>
        <v>ARS</v>
      </c>
      <c r="B401" t="str">
        <f>+'[2]por cuent'!B401</f>
        <v>423001177</v>
      </c>
      <c r="C401" t="str">
        <f>+'[2]por cuent'!C401</f>
        <v>EXPRESO BRIO SRL</v>
      </c>
      <c r="D401" s="35">
        <f>+'[2]por cuent'!G401</f>
        <v>204718499.09</v>
      </c>
      <c r="E401" s="35">
        <f>+'[2]por cuent'!H401</f>
        <v>204718499.09</v>
      </c>
      <c r="F401" t="str">
        <f>+'[2]por cuent'!I401</f>
        <v>423</v>
      </c>
    </row>
    <row r="402" spans="1:6" x14ac:dyDescent="0.35">
      <c r="A402" t="str">
        <f>+'[2]por cuent'!A402</f>
        <v>ARS</v>
      </c>
      <c r="B402" t="str">
        <f>+'[2]por cuent'!B402</f>
        <v>423001178</v>
      </c>
      <c r="C402" t="str">
        <f>+'[2]por cuent'!C402</f>
        <v>DE VINCENZO, ALEJANDRA ROXANA</v>
      </c>
      <c r="D402" s="35">
        <f>+'[2]por cuent'!G402</f>
        <v>4453566</v>
      </c>
      <c r="E402" s="35">
        <f>+'[2]por cuent'!H402</f>
        <v>4453566</v>
      </c>
      <c r="F402" t="str">
        <f>+'[2]por cuent'!I402</f>
        <v>423</v>
      </c>
    </row>
    <row r="403" spans="1:6" x14ac:dyDescent="0.35">
      <c r="A403" t="str">
        <f>+'[2]por cuent'!A403</f>
        <v>ARS</v>
      </c>
      <c r="B403" t="str">
        <f>+'[2]por cuent'!B403</f>
        <v>423001179</v>
      </c>
      <c r="C403" t="str">
        <f>+'[2]por cuent'!C403</f>
        <v>DE VINCENZO, GERMAN FRANCISCO</v>
      </c>
      <c r="D403" s="35">
        <f>+'[2]por cuent'!G403</f>
        <v>136103061.58000001</v>
      </c>
      <c r="E403" s="35">
        <f>+'[2]por cuent'!H403</f>
        <v>136103061.58000001</v>
      </c>
      <c r="F403" t="str">
        <f>+'[2]por cuent'!I403</f>
        <v>423</v>
      </c>
    </row>
    <row r="404" spans="1:6" x14ac:dyDescent="0.35">
      <c r="A404" t="str">
        <f>+'[2]por cuent'!A404</f>
        <v>ARS</v>
      </c>
      <c r="B404" t="str">
        <f>+'[2]por cuent'!B404</f>
        <v>423001181</v>
      </c>
      <c r="C404" t="str">
        <f>+'[2]por cuent'!C404</f>
        <v xml:space="preserve">DE VINCENZO, SILVIA ANDREA | ALBRICHI DE VINCENZO, MARTINA | RICO, LIDIA CLELIA </v>
      </c>
      <c r="D404" s="35">
        <f>+'[2]por cuent'!G404</f>
        <v>3446380</v>
      </c>
      <c r="E404" s="35">
        <f>+'[2]por cuent'!H404</f>
        <v>3446380</v>
      </c>
      <c r="F404" t="str">
        <f>+'[2]por cuent'!I404</f>
        <v>423</v>
      </c>
    </row>
    <row r="405" spans="1:6" x14ac:dyDescent="0.35">
      <c r="A405" t="str">
        <f>+'[2]por cuent'!A405</f>
        <v>ARS</v>
      </c>
      <c r="B405" t="str">
        <f>+'[2]por cuent'!B405</f>
        <v>423001186</v>
      </c>
      <c r="C405" t="str">
        <f>+'[2]por cuent'!C405</f>
        <v>PH CONSTRUCTORA SRL</v>
      </c>
      <c r="D405" s="35">
        <f>+'[2]por cuent'!G405</f>
        <v>58255234.149999999</v>
      </c>
      <c r="E405" s="35">
        <f>+'[2]por cuent'!H405</f>
        <v>58255234.149999999</v>
      </c>
      <c r="F405" t="str">
        <f>+'[2]por cuent'!I405</f>
        <v>423</v>
      </c>
    </row>
    <row r="406" spans="1:6" x14ac:dyDescent="0.35">
      <c r="A406" t="str">
        <f>+'[2]por cuent'!A406</f>
        <v>ARS</v>
      </c>
      <c r="B406" t="str">
        <f>+'[2]por cuent'!B406</f>
        <v>423001193</v>
      </c>
      <c r="C406" t="str">
        <f>+'[2]por cuent'!C406</f>
        <v>JORGE, LUDMILA AILIN</v>
      </c>
      <c r="D406" s="35">
        <f>+'[2]por cuent'!G406</f>
        <v>610657</v>
      </c>
      <c r="E406" s="35">
        <f>+'[2]por cuent'!H406</f>
        <v>610657</v>
      </c>
      <c r="F406" t="str">
        <f>+'[2]por cuent'!I406</f>
        <v>423</v>
      </c>
    </row>
    <row r="407" spans="1:6" x14ac:dyDescent="0.35">
      <c r="A407" t="str">
        <f>+'[2]por cuent'!A407</f>
        <v>ARS</v>
      </c>
      <c r="B407" t="str">
        <f>+'[2]por cuent'!B407</f>
        <v>423001194</v>
      </c>
      <c r="C407" t="str">
        <f>+'[2]por cuent'!C407</f>
        <v>YUGUEROS, JUAN CARLOS | JORGE EDUARDO</v>
      </c>
      <c r="D407" s="35">
        <f>+'[2]por cuent'!G407</f>
        <v>177146335.72</v>
      </c>
      <c r="E407" s="35">
        <f>+'[2]por cuent'!H407</f>
        <v>177146335.72</v>
      </c>
      <c r="F407" t="str">
        <f>+'[2]por cuent'!I407</f>
        <v>423</v>
      </c>
    </row>
    <row r="408" spans="1:6" x14ac:dyDescent="0.35">
      <c r="A408" t="str">
        <f>+'[2]por cuent'!A408</f>
        <v>ARS</v>
      </c>
      <c r="B408" t="str">
        <f>+'[2]por cuent'!B408</f>
        <v>423001201</v>
      </c>
      <c r="C408" t="str">
        <f>+'[2]por cuent'!C408</f>
        <v>ABINAL, ARIEL DAMIAN</v>
      </c>
      <c r="D408" s="35">
        <f>+'[2]por cuent'!G408</f>
        <v>166534858.08000001</v>
      </c>
      <c r="E408" s="35">
        <f>+'[2]por cuent'!H408</f>
        <v>166534858.08000001</v>
      </c>
      <c r="F408" t="str">
        <f>+'[2]por cuent'!I408</f>
        <v>423</v>
      </c>
    </row>
    <row r="409" spans="1:6" x14ac:dyDescent="0.35">
      <c r="A409" t="str">
        <f>+'[2]por cuent'!A409</f>
        <v>ARS</v>
      </c>
      <c r="B409" t="str">
        <f>+'[2]por cuent'!B409</f>
        <v>423001204</v>
      </c>
      <c r="C409" t="str">
        <f>+'[2]por cuent'!C409</f>
        <v>CLERICI, EZEQUIEL ALBERTO | DE LOS SANTOS, GERMAN | CONTI, ANDRES</v>
      </c>
      <c r="D409" s="35">
        <f>+'[2]por cuent'!G409</f>
        <v>146595</v>
      </c>
      <c r="E409" s="35">
        <f>+'[2]por cuent'!H409</f>
        <v>146595</v>
      </c>
      <c r="F409" t="str">
        <f>+'[2]por cuent'!I409</f>
        <v>423</v>
      </c>
    </row>
    <row r="410" spans="1:6" x14ac:dyDescent="0.35">
      <c r="A410" t="str">
        <f>+'[2]por cuent'!A410</f>
        <v>ARS</v>
      </c>
      <c r="B410" t="str">
        <f>+'[2]por cuent'!B410</f>
        <v>423001218</v>
      </c>
      <c r="C410" t="str">
        <f>+'[2]por cuent'!C410</f>
        <v>LORENZATTI , DANIEL CARLOS</v>
      </c>
      <c r="D410" s="35">
        <f>+'[2]por cuent'!G410</f>
        <v>3115633</v>
      </c>
      <c r="E410" s="35">
        <f>+'[2]por cuent'!H410</f>
        <v>3115633</v>
      </c>
      <c r="F410" t="str">
        <f>+'[2]por cuent'!I410</f>
        <v>423</v>
      </c>
    </row>
    <row r="411" spans="1:6" x14ac:dyDescent="0.35">
      <c r="A411" t="str">
        <f>+'[2]por cuent'!A411</f>
        <v>ARS</v>
      </c>
      <c r="B411" t="str">
        <f>+'[2]por cuent'!B411</f>
        <v>423001219</v>
      </c>
      <c r="C411" t="str">
        <f>+'[2]por cuent'!C411</f>
        <v>AYALA SAMANIEGO, JORGE</v>
      </c>
      <c r="D411" s="35">
        <f>+'[2]por cuent'!G411</f>
        <v>2811170.06</v>
      </c>
      <c r="E411" s="35">
        <f>+'[2]por cuent'!H411</f>
        <v>2811170.06</v>
      </c>
      <c r="F411" t="str">
        <f>+'[2]por cuent'!I411</f>
        <v>423</v>
      </c>
    </row>
    <row r="412" spans="1:6" x14ac:dyDescent="0.35">
      <c r="A412" t="str">
        <f>+'[2]por cuent'!A412</f>
        <v>ARS</v>
      </c>
      <c r="B412" t="str">
        <f>+'[2]por cuent'!B412</f>
        <v>423001222</v>
      </c>
      <c r="C412" t="str">
        <f>+'[2]por cuent'!C412</f>
        <v xml:space="preserve">BRANCHESI, YANINA </v>
      </c>
      <c r="D412" s="35">
        <f>+'[2]por cuent'!G412</f>
        <v>491298</v>
      </c>
      <c r="E412" s="35">
        <f>+'[2]por cuent'!H412</f>
        <v>491298</v>
      </c>
      <c r="F412" t="str">
        <f>+'[2]por cuent'!I412</f>
        <v>423</v>
      </c>
    </row>
    <row r="413" spans="1:6" x14ac:dyDescent="0.35">
      <c r="A413" t="str">
        <f>+'[2]por cuent'!A413</f>
        <v>ARS</v>
      </c>
      <c r="B413" t="str">
        <f>+'[2]por cuent'!B413</f>
        <v>423001224</v>
      </c>
      <c r="C413" t="str">
        <f>+'[2]por cuent'!C413</f>
        <v>EPRECO SRL</v>
      </c>
      <c r="D413" s="35">
        <f>+'[2]por cuent'!G413</f>
        <v>2514663</v>
      </c>
      <c r="E413" s="35">
        <f>+'[2]por cuent'!H413</f>
        <v>2514663</v>
      </c>
      <c r="F413" t="str">
        <f>+'[2]por cuent'!I413</f>
        <v>423</v>
      </c>
    </row>
    <row r="414" spans="1:6" x14ac:dyDescent="0.35">
      <c r="A414" t="str">
        <f>+'[2]por cuent'!A414</f>
        <v>ARS</v>
      </c>
      <c r="B414" t="str">
        <f>+'[2]por cuent'!B414</f>
        <v>423001231</v>
      </c>
      <c r="C414" t="str">
        <f>+'[2]por cuent'!C414</f>
        <v>AVILA, JUAN PABLO</v>
      </c>
      <c r="D414" s="35">
        <f>+'[2]por cuent'!G414</f>
        <v>10149201.460000001</v>
      </c>
      <c r="E414" s="35">
        <f>+'[2]por cuent'!H414</f>
        <v>10149201.460000001</v>
      </c>
      <c r="F414" t="str">
        <f>+'[2]por cuent'!I414</f>
        <v>423</v>
      </c>
    </row>
    <row r="415" spans="1:6" x14ac:dyDescent="0.35">
      <c r="A415" t="str">
        <f>+'[2]por cuent'!A415</f>
        <v>ARS</v>
      </c>
      <c r="B415" t="str">
        <f>+'[2]por cuent'!B415</f>
        <v>423001236</v>
      </c>
      <c r="C415" t="str">
        <f>+'[2]por cuent'!C415</f>
        <v>CELOTTO CONSTRUCCIONES SRL</v>
      </c>
      <c r="D415" s="35">
        <f>+'[2]por cuent'!G415</f>
        <v>45120370.609999999</v>
      </c>
      <c r="E415" s="35">
        <f>+'[2]por cuent'!H415</f>
        <v>45120370.609999999</v>
      </c>
      <c r="F415" t="str">
        <f>+'[2]por cuent'!I415</f>
        <v>423</v>
      </c>
    </row>
    <row r="416" spans="1:6" x14ac:dyDescent="0.35">
      <c r="A416" t="str">
        <f>+'[2]por cuent'!A416</f>
        <v>ARS</v>
      </c>
      <c r="B416" t="str">
        <f>+'[2]por cuent'!B416</f>
        <v>423001237</v>
      </c>
      <c r="C416" t="str">
        <f>+'[2]por cuent'!C416</f>
        <v>STAHLGRAS SRL</v>
      </c>
      <c r="D416" s="35">
        <f>+'[2]por cuent'!G416</f>
        <v>23017091.57</v>
      </c>
      <c r="E416" s="35">
        <f>+'[2]por cuent'!H416</f>
        <v>23017091.57</v>
      </c>
      <c r="F416" t="str">
        <f>+'[2]por cuent'!I416</f>
        <v>423</v>
      </c>
    </row>
    <row r="417" spans="1:6" x14ac:dyDescent="0.35">
      <c r="A417" t="str">
        <f>+'[2]por cuent'!A417</f>
        <v>ARS</v>
      </c>
      <c r="B417" t="str">
        <f>+'[2]por cuent'!B417</f>
        <v>424000006</v>
      </c>
      <c r="C417" t="str">
        <f>+'[2]por cuent'!C417</f>
        <v>Katz, Marcelo Horacio</v>
      </c>
      <c r="D417" s="35">
        <f>+'[2]por cuent'!G417</f>
        <v>95363</v>
      </c>
      <c r="E417" s="35">
        <f>+'[2]por cuent'!H417</f>
        <v>95363</v>
      </c>
      <c r="F417" t="str">
        <f>+'[2]por cuent'!I417</f>
        <v>424</v>
      </c>
    </row>
    <row r="418" spans="1:6" x14ac:dyDescent="0.35">
      <c r="A418" t="str">
        <f>+'[2]por cuent'!A418</f>
        <v>ARS</v>
      </c>
      <c r="B418" t="str">
        <f>+'[2]por cuent'!B418</f>
        <v>424000013</v>
      </c>
      <c r="C418" t="str">
        <f>+'[2]por cuent'!C418</f>
        <v>Manufacturas Piel S.A</v>
      </c>
      <c r="D418" s="35">
        <f>+'[2]por cuent'!G418</f>
        <v>96165719.030000001</v>
      </c>
      <c r="E418" s="35">
        <f>+'[2]por cuent'!H418</f>
        <v>96165719.030000001</v>
      </c>
      <c r="F418" t="str">
        <f>+'[2]por cuent'!I418</f>
        <v>424</v>
      </c>
    </row>
    <row r="419" spans="1:6" x14ac:dyDescent="0.35">
      <c r="A419" t="str">
        <f>+'[2]por cuent'!A419</f>
        <v>ARS</v>
      </c>
      <c r="B419" t="str">
        <f>+'[2]por cuent'!B419</f>
        <v>424000015</v>
      </c>
      <c r="C419" t="str">
        <f>+'[2]por cuent'!C419</f>
        <v>Luciano Cueros S.A.</v>
      </c>
      <c r="D419" s="35">
        <f>+'[2]por cuent'!G419</f>
        <v>31919046.5</v>
      </c>
      <c r="E419" s="35">
        <f>+'[2]por cuent'!H419</f>
        <v>31919046.5</v>
      </c>
      <c r="F419" t="str">
        <f>+'[2]por cuent'!I419</f>
        <v>424</v>
      </c>
    </row>
    <row r="420" spans="1:6" x14ac:dyDescent="0.35">
      <c r="A420" t="str">
        <f>+'[2]por cuent'!A420</f>
        <v>ARS</v>
      </c>
      <c r="B420" t="str">
        <f>+'[2]por cuent'!B420</f>
        <v>424000019</v>
      </c>
      <c r="C420" t="str">
        <f>+'[2]por cuent'!C420</f>
        <v>Elley SA</v>
      </c>
      <c r="D420" s="35">
        <f>+'[2]por cuent'!G420</f>
        <v>146807158.56</v>
      </c>
      <c r="E420" s="35">
        <f>+'[2]por cuent'!H420</f>
        <v>146807158.56</v>
      </c>
      <c r="F420" t="str">
        <f>+'[2]por cuent'!I420</f>
        <v>424</v>
      </c>
    </row>
    <row r="421" spans="1:6" x14ac:dyDescent="0.35">
      <c r="A421" t="str">
        <f>+'[2]por cuent'!A421</f>
        <v>ARS</v>
      </c>
      <c r="B421" t="str">
        <f>+'[2]por cuent'!B421</f>
        <v>424000032</v>
      </c>
      <c r="C421" t="str">
        <f>+'[2]por cuent'!C421</f>
        <v>Diego Yabes</v>
      </c>
      <c r="D421" s="35">
        <f>+'[2]por cuent'!G421</f>
        <v>859.1</v>
      </c>
      <c r="E421" s="35">
        <f>+'[2]por cuent'!H421</f>
        <v>859.1</v>
      </c>
      <c r="F421" t="str">
        <f>+'[2]por cuent'!I421</f>
        <v>424</v>
      </c>
    </row>
    <row r="422" spans="1:6" x14ac:dyDescent="0.35">
      <c r="A422" t="str">
        <f>+'[2]por cuent'!A422</f>
        <v>ARS</v>
      </c>
      <c r="B422" t="str">
        <f>+'[2]por cuent'!B422</f>
        <v>424000036</v>
      </c>
      <c r="C422" t="str">
        <f>+'[2]por cuent'!C422</f>
        <v>Damian Ciocan</v>
      </c>
      <c r="D422" s="35">
        <f>+'[2]por cuent'!G422</f>
        <v>697567276.63</v>
      </c>
      <c r="E422" s="35">
        <f>+'[2]por cuent'!H422</f>
        <v>697567276.63</v>
      </c>
      <c r="F422" t="str">
        <f>+'[2]por cuent'!I422</f>
        <v>424</v>
      </c>
    </row>
    <row r="423" spans="1:6" x14ac:dyDescent="0.35">
      <c r="A423" t="str">
        <f>+'[2]por cuent'!A423</f>
        <v>ARS</v>
      </c>
      <c r="B423" t="str">
        <f>+'[2]por cuent'!B423</f>
        <v>424000041</v>
      </c>
      <c r="C423" t="str">
        <f>+'[2]por cuent'!C423</f>
        <v>Rebolucion S.A.</v>
      </c>
      <c r="D423" s="35">
        <f>+'[2]por cuent'!G423</f>
        <v>197657713.19999999</v>
      </c>
      <c r="E423" s="35">
        <f>+'[2]por cuent'!H423</f>
        <v>197657713.19999999</v>
      </c>
      <c r="F423" t="str">
        <f>+'[2]por cuent'!I423</f>
        <v>424</v>
      </c>
    </row>
    <row r="424" spans="1:6" x14ac:dyDescent="0.35">
      <c r="A424" t="str">
        <f>+'[2]por cuent'!A424</f>
        <v>ARS</v>
      </c>
      <c r="B424" t="str">
        <f>+'[2]por cuent'!B424</f>
        <v>424000054</v>
      </c>
      <c r="C424" t="str">
        <f>+'[2]por cuent'!C424</f>
        <v>Eco Box Int Group</v>
      </c>
      <c r="D424" s="35">
        <f>+'[2]por cuent'!G424</f>
        <v>497188374.80000001</v>
      </c>
      <c r="E424" s="35">
        <f>+'[2]por cuent'!H424</f>
        <v>497188374.80000001</v>
      </c>
      <c r="F424" t="str">
        <f>+'[2]por cuent'!I424</f>
        <v>424</v>
      </c>
    </row>
    <row r="425" spans="1:6" x14ac:dyDescent="0.35">
      <c r="A425" t="str">
        <f>+'[2]por cuent'!A425</f>
        <v>ARS</v>
      </c>
      <c r="B425" t="str">
        <f>+'[2]por cuent'!B425</f>
        <v>424000069</v>
      </c>
      <c r="C425" t="str">
        <f>+'[2]por cuent'!C425</f>
        <v>Humboldt Inversiones S.A.</v>
      </c>
      <c r="D425" s="35">
        <f>+'[2]por cuent'!G425</f>
        <v>13038892.5</v>
      </c>
      <c r="E425" s="35">
        <f>+'[2]por cuent'!H425</f>
        <v>13038892.5</v>
      </c>
      <c r="F425" t="str">
        <f>+'[2]por cuent'!I425</f>
        <v>424</v>
      </c>
    </row>
    <row r="426" spans="1:6" x14ac:dyDescent="0.35">
      <c r="A426" t="str">
        <f>+'[2]por cuent'!A426</f>
        <v>ARS</v>
      </c>
      <c r="B426" t="str">
        <f>+'[2]por cuent'!B426</f>
        <v>424000074</v>
      </c>
      <c r="C426" t="str">
        <f>+'[2]por cuent'!C426</f>
        <v>Maria Dolores Sarobe</v>
      </c>
      <c r="D426" s="35">
        <f>+'[2]por cuent'!G426</f>
        <v>508862659.56999999</v>
      </c>
      <c r="E426" s="35">
        <f>+'[2]por cuent'!H426</f>
        <v>508862659.56999999</v>
      </c>
      <c r="F426" t="str">
        <f>+'[2]por cuent'!I426</f>
        <v>424</v>
      </c>
    </row>
    <row r="427" spans="1:6" x14ac:dyDescent="0.35">
      <c r="A427" t="str">
        <f>+'[2]por cuent'!A427</f>
        <v>ARS</v>
      </c>
      <c r="B427" t="str">
        <f>+'[2]por cuent'!B427</f>
        <v>424000086</v>
      </c>
      <c r="C427" t="str">
        <f>+'[2]por cuent'!C427</f>
        <v>Alberto Cabuli</v>
      </c>
      <c r="D427" s="35">
        <f>+'[2]por cuent'!G427</f>
        <v>2519443931.27</v>
      </c>
      <c r="E427" s="35">
        <f>+'[2]por cuent'!H427</f>
        <v>2519443931.27</v>
      </c>
      <c r="F427" t="str">
        <f>+'[2]por cuent'!I427</f>
        <v>424</v>
      </c>
    </row>
    <row r="428" spans="1:6" x14ac:dyDescent="0.35">
      <c r="A428" t="str">
        <f>+'[2]por cuent'!A428</f>
        <v>ARS</v>
      </c>
      <c r="B428" t="str">
        <f>+'[2]por cuent'!B428</f>
        <v>424000091</v>
      </c>
      <c r="C428" t="str">
        <f>+'[2]por cuent'!C428</f>
        <v>Impresores SO MI AL SRL</v>
      </c>
      <c r="D428" s="35">
        <f>+'[2]por cuent'!G428</f>
        <v>137239442</v>
      </c>
      <c r="E428" s="35">
        <f>+'[2]por cuent'!H428</f>
        <v>137239442</v>
      </c>
      <c r="F428" t="str">
        <f>+'[2]por cuent'!I428</f>
        <v>424</v>
      </c>
    </row>
    <row r="429" spans="1:6" x14ac:dyDescent="0.35">
      <c r="A429" t="str">
        <f>+'[2]por cuent'!A429</f>
        <v>ARS</v>
      </c>
      <c r="B429" t="str">
        <f>+'[2]por cuent'!B429</f>
        <v>424000109</v>
      </c>
      <c r="C429" t="str">
        <f>+'[2]por cuent'!C429</f>
        <v>Eduardo, Weisz</v>
      </c>
      <c r="D429" s="35">
        <f>+'[2]por cuent'!G429</f>
        <v>4495436.8</v>
      </c>
      <c r="E429" s="35">
        <f>+'[2]por cuent'!H429</f>
        <v>4495436.8</v>
      </c>
      <c r="F429" t="str">
        <f>+'[2]por cuent'!I429</f>
        <v>424</v>
      </c>
    </row>
    <row r="430" spans="1:6" x14ac:dyDescent="0.35">
      <c r="A430" t="str">
        <f>+'[2]por cuent'!A430</f>
        <v>ARS</v>
      </c>
      <c r="B430" t="str">
        <f>+'[2]por cuent'!B430</f>
        <v>424000129</v>
      </c>
      <c r="C430" t="str">
        <f>+'[2]por cuent'!C430</f>
        <v>Maria Andrea Riquelme</v>
      </c>
      <c r="D430" s="35">
        <f>+'[2]por cuent'!G430</f>
        <v>8454030.4000000004</v>
      </c>
      <c r="E430" s="35">
        <f>+'[2]por cuent'!H430</f>
        <v>8454030.4000000004</v>
      </c>
      <c r="F430" t="str">
        <f>+'[2]por cuent'!I430</f>
        <v>424</v>
      </c>
    </row>
    <row r="431" spans="1:6" x14ac:dyDescent="0.35">
      <c r="A431" t="str">
        <f>+'[2]por cuent'!A431</f>
        <v>ARS</v>
      </c>
      <c r="B431" t="str">
        <f>+'[2]por cuent'!B431</f>
        <v>424000139</v>
      </c>
      <c r="C431" t="str">
        <f>+'[2]por cuent'!C431</f>
        <v>Bartolomé Doiny</v>
      </c>
      <c r="D431" s="35">
        <f>+'[2]por cuent'!G431</f>
        <v>25323893.109999999</v>
      </c>
      <c r="E431" s="35">
        <f>+'[2]por cuent'!H431</f>
        <v>25323893.109999999</v>
      </c>
      <c r="F431" t="str">
        <f>+'[2]por cuent'!I431</f>
        <v>424</v>
      </c>
    </row>
    <row r="432" spans="1:6" x14ac:dyDescent="0.35">
      <c r="A432" t="str">
        <f>+'[2]por cuent'!A432</f>
        <v>ARS</v>
      </c>
      <c r="B432" t="str">
        <f>+'[2]por cuent'!B432</f>
        <v>424000153</v>
      </c>
      <c r="C432" t="str">
        <f>+'[2]por cuent'!C432</f>
        <v>Etchevarne Quimbel, Julian Lionel</v>
      </c>
      <c r="D432" s="35">
        <f>+'[2]por cuent'!G432</f>
        <v>1654415</v>
      </c>
      <c r="E432" s="35">
        <f>+'[2]por cuent'!H432</f>
        <v>1654415</v>
      </c>
      <c r="F432" t="str">
        <f>+'[2]por cuent'!I432</f>
        <v>424</v>
      </c>
    </row>
    <row r="433" spans="1:6" x14ac:dyDescent="0.35">
      <c r="A433" t="str">
        <f>+'[2]por cuent'!A433</f>
        <v>ARS</v>
      </c>
      <c r="B433" t="str">
        <f>+'[2]por cuent'!B433</f>
        <v>424000156</v>
      </c>
      <c r="C433" t="str">
        <f>+'[2]por cuent'!C433</f>
        <v xml:space="preserve">5th Essence </v>
      </c>
      <c r="D433" s="35">
        <f>+'[2]por cuent'!G433</f>
        <v>14207564.300000001</v>
      </c>
      <c r="E433" s="35">
        <f>+'[2]por cuent'!H433</f>
        <v>14207564.300000001</v>
      </c>
      <c r="F433" t="str">
        <f>+'[2]por cuent'!I433</f>
        <v>424</v>
      </c>
    </row>
    <row r="434" spans="1:6" x14ac:dyDescent="0.35">
      <c r="A434" t="str">
        <f>+'[2]por cuent'!A434</f>
        <v>ARS</v>
      </c>
      <c r="B434" t="str">
        <f>+'[2]por cuent'!B434</f>
        <v>424000157</v>
      </c>
      <c r="C434" t="str">
        <f>+'[2]por cuent'!C434</f>
        <v>Nevola SA</v>
      </c>
      <c r="D434" s="35">
        <f>+'[2]por cuent'!G434</f>
        <v>332753563</v>
      </c>
      <c r="E434" s="35">
        <f>+'[2]por cuent'!H434</f>
        <v>332753563</v>
      </c>
      <c r="F434" t="str">
        <f>+'[2]por cuent'!I434</f>
        <v>424</v>
      </c>
    </row>
    <row r="435" spans="1:6" x14ac:dyDescent="0.35">
      <c r="A435" t="str">
        <f>+'[2]por cuent'!A435</f>
        <v>ARS</v>
      </c>
      <c r="B435" t="str">
        <f>+'[2]por cuent'!B435</f>
        <v>424000159</v>
      </c>
      <c r="C435" t="str">
        <f>+'[2]por cuent'!C435</f>
        <v>Alaci S.A.</v>
      </c>
      <c r="D435" s="35">
        <f>+'[2]por cuent'!G435</f>
        <v>150531988</v>
      </c>
      <c r="E435" s="35">
        <f>+'[2]por cuent'!H435</f>
        <v>150531988</v>
      </c>
      <c r="F435" t="str">
        <f>+'[2]por cuent'!I435</f>
        <v>424</v>
      </c>
    </row>
    <row r="436" spans="1:6" x14ac:dyDescent="0.35">
      <c r="A436" t="str">
        <f>+'[2]por cuent'!A436</f>
        <v>ARS</v>
      </c>
      <c r="B436" t="str">
        <f>+'[2]por cuent'!B436</f>
        <v>424000160</v>
      </c>
      <c r="C436" t="str">
        <f>+'[2]por cuent'!C436</f>
        <v>Damariel S.A.</v>
      </c>
      <c r="D436" s="35">
        <f>+'[2]por cuent'!G436</f>
        <v>33846612.520000003</v>
      </c>
      <c r="E436" s="35">
        <f>+'[2]por cuent'!H436</f>
        <v>33846612.520000003</v>
      </c>
      <c r="F436" t="str">
        <f>+'[2]por cuent'!I436</f>
        <v>424</v>
      </c>
    </row>
    <row r="437" spans="1:6" x14ac:dyDescent="0.35">
      <c r="A437" t="str">
        <f>+'[2]por cuent'!A437</f>
        <v>ARS</v>
      </c>
      <c r="B437" t="str">
        <f>+'[2]por cuent'!B437</f>
        <v>424000176</v>
      </c>
      <c r="C437" t="str">
        <f>+'[2]por cuent'!C437</f>
        <v>Aguilar, Fernando Martín</v>
      </c>
      <c r="D437" s="35">
        <f>+'[2]por cuent'!G437</f>
        <v>5171590</v>
      </c>
      <c r="E437" s="35">
        <f>+'[2]por cuent'!H437</f>
        <v>5171590</v>
      </c>
      <c r="F437" t="str">
        <f>+'[2]por cuent'!I437</f>
        <v>424</v>
      </c>
    </row>
    <row r="438" spans="1:6" x14ac:dyDescent="0.35">
      <c r="A438" t="str">
        <f>+'[2]por cuent'!A438</f>
        <v>ARS</v>
      </c>
      <c r="B438" t="str">
        <f>+'[2]por cuent'!B438</f>
        <v>424000186</v>
      </c>
      <c r="C438" t="str">
        <f>+'[2]por cuent'!C438</f>
        <v>ANIMA FILMS SRL</v>
      </c>
      <c r="D438" s="35">
        <f>+'[2]por cuent'!G438</f>
        <v>41189629</v>
      </c>
      <c r="E438" s="35">
        <f>+'[2]por cuent'!H438</f>
        <v>41189629</v>
      </c>
      <c r="F438" t="str">
        <f>+'[2]por cuent'!I438</f>
        <v>424</v>
      </c>
    </row>
    <row r="439" spans="1:6" x14ac:dyDescent="0.35">
      <c r="A439" t="str">
        <f>+'[2]por cuent'!A439</f>
        <v>ARS</v>
      </c>
      <c r="B439" t="str">
        <f>+'[2]por cuent'!B439</f>
        <v>424000201</v>
      </c>
      <c r="C439" t="str">
        <f>+'[2]por cuent'!C439</f>
        <v>Scheimberg Sebastian Alberto</v>
      </c>
      <c r="D439" s="35">
        <f>+'[2]por cuent'!G439</f>
        <v>1534319.7</v>
      </c>
      <c r="E439" s="35">
        <f>+'[2]por cuent'!H439</f>
        <v>1534319.7</v>
      </c>
      <c r="F439" t="str">
        <f>+'[2]por cuent'!I439</f>
        <v>424</v>
      </c>
    </row>
    <row r="440" spans="1:6" x14ac:dyDescent="0.35">
      <c r="A440" t="str">
        <f>+'[2]por cuent'!A440</f>
        <v>ARS</v>
      </c>
      <c r="B440" t="str">
        <f>+'[2]por cuent'!B440</f>
        <v>424000222</v>
      </c>
      <c r="C440" t="str">
        <f>+'[2]por cuent'!C440</f>
        <v>Paula Claudia Budich</v>
      </c>
      <c r="D440" s="35">
        <f>+'[2]por cuent'!G440</f>
        <v>46014.3</v>
      </c>
      <c r="E440" s="35">
        <f>+'[2]por cuent'!H440</f>
        <v>46014.3</v>
      </c>
      <c r="F440" t="str">
        <f>+'[2]por cuent'!I440</f>
        <v>424</v>
      </c>
    </row>
    <row r="441" spans="1:6" x14ac:dyDescent="0.35">
      <c r="A441" t="str">
        <f>+'[2]por cuent'!A441</f>
        <v>ARS</v>
      </c>
      <c r="B441" t="str">
        <f>+'[2]por cuent'!B441</f>
        <v>424000228</v>
      </c>
      <c r="C441" t="str">
        <f>+'[2]por cuent'!C441</f>
        <v>Lorenzo Azicri</v>
      </c>
      <c r="D441" s="35">
        <f>+'[2]por cuent'!G441</f>
        <v>259345</v>
      </c>
      <c r="E441" s="35">
        <f>+'[2]por cuent'!H441</f>
        <v>259345</v>
      </c>
      <c r="F441" t="str">
        <f>+'[2]por cuent'!I441</f>
        <v>424</v>
      </c>
    </row>
    <row r="442" spans="1:6" x14ac:dyDescent="0.35">
      <c r="A442" t="str">
        <f>+'[2]por cuent'!A442</f>
        <v>ARS</v>
      </c>
      <c r="B442" t="str">
        <f>+'[2]por cuent'!B442</f>
        <v>424000237</v>
      </c>
      <c r="C442" t="str">
        <f>+'[2]por cuent'!C442</f>
        <v>Tendencia Textil SA</v>
      </c>
      <c r="D442" s="35">
        <f>+'[2]por cuent'!G442</f>
        <v>13216446.029999999</v>
      </c>
      <c r="E442" s="35">
        <f>+'[2]por cuent'!H442</f>
        <v>13216446.029999999</v>
      </c>
      <c r="F442" t="str">
        <f>+'[2]por cuent'!I442</f>
        <v>424</v>
      </c>
    </row>
    <row r="443" spans="1:6" x14ac:dyDescent="0.35">
      <c r="A443" t="str">
        <f>+'[2]por cuent'!A443</f>
        <v>ARS</v>
      </c>
      <c r="B443" t="str">
        <f>+'[2]por cuent'!B443</f>
        <v>424000238</v>
      </c>
      <c r="C443" t="str">
        <f>+'[2]por cuent'!C443</f>
        <v>JI JI RETAIL SA</v>
      </c>
      <c r="D443" s="35">
        <f>+'[2]por cuent'!G443</f>
        <v>8794463.4700000007</v>
      </c>
      <c r="E443" s="35">
        <f>+'[2]por cuent'!H443</f>
        <v>8794463.4700000007</v>
      </c>
      <c r="F443" t="str">
        <f>+'[2]por cuent'!I443</f>
        <v>424</v>
      </c>
    </row>
    <row r="444" spans="1:6" x14ac:dyDescent="0.35">
      <c r="A444" t="str">
        <f>+'[2]por cuent'!A444</f>
        <v>ARS</v>
      </c>
      <c r="B444" t="str">
        <f>+'[2]por cuent'!B444</f>
        <v>424000239</v>
      </c>
      <c r="C444" t="str">
        <f>+'[2]por cuent'!C444</f>
        <v>Mariano Teubal</v>
      </c>
      <c r="D444" s="35">
        <f>+'[2]por cuent'!G444</f>
        <v>619647.5</v>
      </c>
      <c r="E444" s="35">
        <f>+'[2]por cuent'!H444</f>
        <v>619647.5</v>
      </c>
      <c r="F444" t="str">
        <f>+'[2]por cuent'!I444</f>
        <v>424</v>
      </c>
    </row>
    <row r="445" spans="1:6" x14ac:dyDescent="0.35">
      <c r="A445" t="str">
        <f>+'[2]por cuent'!A445</f>
        <v>ARS</v>
      </c>
      <c r="B445" t="str">
        <f>+'[2]por cuent'!B445</f>
        <v>424000241</v>
      </c>
      <c r="C445" t="str">
        <f>+'[2]por cuent'!C445</f>
        <v>Facundo Nahum</v>
      </c>
      <c r="D445" s="35">
        <f>+'[2]por cuent'!G445</f>
        <v>266257.82</v>
      </c>
      <c r="E445" s="35">
        <f>+'[2]por cuent'!H445</f>
        <v>266257.82</v>
      </c>
      <c r="F445" t="str">
        <f>+'[2]por cuent'!I445</f>
        <v>424</v>
      </c>
    </row>
    <row r="446" spans="1:6" x14ac:dyDescent="0.35">
      <c r="A446" t="str">
        <f>+'[2]por cuent'!A446</f>
        <v>ARS</v>
      </c>
      <c r="B446" t="str">
        <f>+'[2]por cuent'!B446</f>
        <v>424000242</v>
      </c>
      <c r="C446" t="str">
        <f>+'[2]por cuent'!C446</f>
        <v>Galo Szewkies</v>
      </c>
      <c r="D446" s="35">
        <f>+'[2]por cuent'!G446</f>
        <v>789432.5</v>
      </c>
      <c r="E446" s="35">
        <f>+'[2]por cuent'!H446</f>
        <v>789432.5</v>
      </c>
      <c r="F446" t="str">
        <f>+'[2]por cuent'!I446</f>
        <v>424</v>
      </c>
    </row>
    <row r="447" spans="1:6" x14ac:dyDescent="0.35">
      <c r="A447" t="str">
        <f>+'[2]por cuent'!A447</f>
        <v>ARS</v>
      </c>
      <c r="B447" t="str">
        <f>+'[2]por cuent'!B447</f>
        <v>424000243</v>
      </c>
      <c r="C447" t="str">
        <f>+'[2]por cuent'!C447</f>
        <v>FIDEICOMISO CIPRESALES</v>
      </c>
      <c r="D447" s="35">
        <f>+'[2]por cuent'!G447</f>
        <v>100700937.2</v>
      </c>
      <c r="E447" s="35">
        <f>+'[2]por cuent'!H447</f>
        <v>100700937.2</v>
      </c>
      <c r="F447" t="str">
        <f>+'[2]por cuent'!I447</f>
        <v>424</v>
      </c>
    </row>
    <row r="448" spans="1:6" x14ac:dyDescent="0.35">
      <c r="A448" t="str">
        <f>+'[2]por cuent'!A448</f>
        <v>ARS</v>
      </c>
      <c r="B448" t="str">
        <f>+'[2]por cuent'!B448</f>
        <v>424000300</v>
      </c>
      <c r="C448" t="str">
        <f>+'[2]por cuent'!C448</f>
        <v>[C.E.R.A.] Hugo Enrique Doiny</v>
      </c>
      <c r="D448" s="35">
        <f>+'[2]por cuent'!G448</f>
        <v>59778556.600000001</v>
      </c>
      <c r="E448" s="35">
        <f>+'[2]por cuent'!H448</f>
        <v>59778556.600000001</v>
      </c>
      <c r="F448" t="str">
        <f>+'[2]por cuent'!I448</f>
        <v>424</v>
      </c>
    </row>
    <row r="449" spans="1:6" x14ac:dyDescent="0.35">
      <c r="A449" t="str">
        <f>+'[2]por cuent'!A449</f>
        <v>ARS</v>
      </c>
      <c r="B449" t="str">
        <f>+'[2]por cuent'!B449</f>
        <v>424001000</v>
      </c>
      <c r="C449" t="str">
        <f>+'[2]por cuent'!C449</f>
        <v>Vector Investments S.A.</v>
      </c>
      <c r="D449" s="35">
        <f>+'[2]por cuent'!G449</f>
        <v>6255849.5</v>
      </c>
      <c r="E449" s="35">
        <f>+'[2]por cuent'!H449</f>
        <v>6255849.5</v>
      </c>
      <c r="F449" t="str">
        <f>+'[2]por cuent'!I449</f>
        <v>424</v>
      </c>
    </row>
    <row r="450" spans="1:6" x14ac:dyDescent="0.35">
      <c r="A450" t="str">
        <f>+'[2]por cuent'!A450</f>
        <v>ARS</v>
      </c>
      <c r="B450" t="str">
        <f>+'[2]por cuent'!B450</f>
        <v>432000006</v>
      </c>
      <c r="C450" t="str">
        <f>+'[2]por cuent'!C450</f>
        <v>Cristiá, Pedro Alejandro</v>
      </c>
      <c r="D450" s="35">
        <f>+'[2]por cuent'!G450</f>
        <v>3374649.05</v>
      </c>
      <c r="E450" s="35">
        <f>+'[2]por cuent'!H450</f>
        <v>3374649.05</v>
      </c>
      <c r="F450" t="str">
        <f>+'[2]por cuent'!I450</f>
        <v>432</v>
      </c>
    </row>
    <row r="451" spans="1:6" x14ac:dyDescent="0.35">
      <c r="A451" t="str">
        <f>+'[2]por cuent'!A451</f>
        <v>ARS</v>
      </c>
      <c r="B451" t="str">
        <f>+'[2]por cuent'!B451</f>
        <v>432000007</v>
      </c>
      <c r="C451" t="str">
        <f>+'[2]por cuent'!C451</f>
        <v>Garófalo, José Luis</v>
      </c>
      <c r="D451" s="35">
        <f>+'[2]por cuent'!G451</f>
        <v>405271119.89999998</v>
      </c>
      <c r="E451" s="35">
        <f>+'[2]por cuent'!H451</f>
        <v>405271119.89999998</v>
      </c>
      <c r="F451" t="str">
        <f>+'[2]por cuent'!I451</f>
        <v>432</v>
      </c>
    </row>
    <row r="452" spans="1:6" x14ac:dyDescent="0.35">
      <c r="A452" t="str">
        <f>+'[2]por cuent'!A452</f>
        <v>ARS</v>
      </c>
      <c r="B452" t="str">
        <f>+'[2]por cuent'!B452</f>
        <v>432000008</v>
      </c>
      <c r="C452" t="str">
        <f>+'[2]por cuent'!C452</f>
        <v>Arrigoni, Miguel Angel</v>
      </c>
      <c r="D452" s="35">
        <f>+'[2]por cuent'!G452</f>
        <v>491664921.19999999</v>
      </c>
      <c r="E452" s="35">
        <f>+'[2]por cuent'!H452</f>
        <v>491664921.19999999</v>
      </c>
      <c r="F452" t="str">
        <f>+'[2]por cuent'!I452</f>
        <v>432</v>
      </c>
    </row>
    <row r="453" spans="1:6" x14ac:dyDescent="0.35">
      <c r="A453" t="str">
        <f>+'[2]por cuent'!A453</f>
        <v>ARS</v>
      </c>
      <c r="B453" t="str">
        <f>+'[2]por cuent'!B453</f>
        <v>432000010</v>
      </c>
      <c r="C453" t="str">
        <f>+'[2]por cuent'!C453</f>
        <v>First Capital Markets SA</v>
      </c>
      <c r="D453" s="35">
        <f>+'[2]por cuent'!G453</f>
        <v>91976447461.679993</v>
      </c>
      <c r="E453" s="35">
        <f>+'[2]por cuent'!H453</f>
        <v>91976447461.679993</v>
      </c>
      <c r="F453" t="str">
        <f>+'[2]por cuent'!I453</f>
        <v>432</v>
      </c>
    </row>
    <row r="454" spans="1:6" x14ac:dyDescent="0.35">
      <c r="A454" t="str">
        <f>+'[2]por cuent'!A454</f>
        <v>ARS</v>
      </c>
      <c r="B454" t="str">
        <f>+'[2]por cuent'!B454</f>
        <v>432000011</v>
      </c>
      <c r="C454" t="str">
        <f>+'[2]por cuent'!C454</f>
        <v>Caramella, Alejandro Diego</v>
      </c>
      <c r="D454" s="35">
        <f>+'[2]por cuent'!G454</f>
        <v>2017948926.3699999</v>
      </c>
      <c r="E454" s="35">
        <f>+'[2]por cuent'!H454</f>
        <v>2017948926.3699999</v>
      </c>
      <c r="F454" t="str">
        <f>+'[2]por cuent'!I454</f>
        <v>432</v>
      </c>
    </row>
    <row r="455" spans="1:6" x14ac:dyDescent="0.35">
      <c r="A455" t="str">
        <f>+'[2]por cuent'!A455</f>
        <v>ARS</v>
      </c>
      <c r="B455" t="str">
        <f>+'[2]por cuent'!B455</f>
        <v>432000012</v>
      </c>
      <c r="C455" t="str">
        <f>+'[2]por cuent'!C455</f>
        <v>Barbero, Guillermo Alberto</v>
      </c>
      <c r="D455" s="35">
        <f>+'[2]por cuent'!G455</f>
        <v>202769452.84999999</v>
      </c>
      <c r="E455" s="35">
        <f>+'[2]por cuent'!H455</f>
        <v>202769452.84999999</v>
      </c>
      <c r="F455" t="str">
        <f>+'[2]por cuent'!I455</f>
        <v>432</v>
      </c>
    </row>
    <row r="456" spans="1:6" x14ac:dyDescent="0.35">
      <c r="A456" t="str">
        <f>+'[2]por cuent'!A456</f>
        <v>ARS</v>
      </c>
      <c r="B456" t="str">
        <f>+'[2]por cuent'!B456</f>
        <v>432000021</v>
      </c>
      <c r="C456" t="str">
        <f>+'[2]por cuent'!C456</f>
        <v>Dubiski, Luis Alberto o Gherman, Teresa Estefania</v>
      </c>
      <c r="D456" s="35">
        <f>+'[2]por cuent'!G456</f>
        <v>1830873.6</v>
      </c>
      <c r="E456" s="35">
        <f>+'[2]por cuent'!H456</f>
        <v>1830873.6</v>
      </c>
      <c r="F456" t="str">
        <f>+'[2]por cuent'!I456</f>
        <v>432</v>
      </c>
    </row>
    <row r="457" spans="1:6" x14ac:dyDescent="0.35">
      <c r="A457" t="str">
        <f>+'[2]por cuent'!A457</f>
        <v>ARS</v>
      </c>
      <c r="B457" t="str">
        <f>+'[2]por cuent'!B457</f>
        <v>432000025</v>
      </c>
      <c r="C457" t="str">
        <f>+'[2]por cuent'!C457</f>
        <v>Industrias John Deere Argentina S.A.</v>
      </c>
      <c r="D457" s="35">
        <f>+'[2]por cuent'!G457</f>
        <v>349000000</v>
      </c>
      <c r="E457" s="35">
        <f>+'[2]por cuent'!H457</f>
        <v>349000000</v>
      </c>
      <c r="F457" t="str">
        <f>+'[2]por cuent'!I457</f>
        <v>432</v>
      </c>
    </row>
    <row r="458" spans="1:6" x14ac:dyDescent="0.35">
      <c r="A458" t="str">
        <f>+'[2]por cuent'!A458</f>
        <v>ARS</v>
      </c>
      <c r="B458" t="str">
        <f>+'[2]por cuent'!B458</f>
        <v>432000036</v>
      </c>
      <c r="C458" t="str">
        <f>+'[2]por cuent'!C458</f>
        <v>Carsa S.A.</v>
      </c>
      <c r="D458" s="35">
        <f>+'[2]por cuent'!G458</f>
        <v>3487485747.8800001</v>
      </c>
      <c r="E458" s="35">
        <f>+'[2]por cuent'!H458</f>
        <v>3487485747.8800001</v>
      </c>
      <c r="F458" t="str">
        <f>+'[2]por cuent'!I458</f>
        <v>432</v>
      </c>
    </row>
    <row r="459" spans="1:6" x14ac:dyDescent="0.35">
      <c r="A459" t="str">
        <f>+'[2]por cuent'!A459</f>
        <v>ARS</v>
      </c>
      <c r="B459" t="str">
        <f>+'[2]por cuent'!B459</f>
        <v>432000043</v>
      </c>
      <c r="C459" t="str">
        <f>+'[2]por cuent'!C459</f>
        <v>Buyatti, Cristian Andres o De Abaroa, Florencia</v>
      </c>
      <c r="D459" s="35">
        <f>+'[2]por cuent'!G459</f>
        <v>1471289907.3099999</v>
      </c>
      <c r="E459" s="35">
        <f>+'[2]por cuent'!H459</f>
        <v>1471289907.3099999</v>
      </c>
      <c r="F459" t="str">
        <f>+'[2]por cuent'!I459</f>
        <v>432</v>
      </c>
    </row>
    <row r="460" spans="1:6" x14ac:dyDescent="0.35">
      <c r="A460" t="str">
        <f>+'[2]por cuent'!A460</f>
        <v>ARS</v>
      </c>
      <c r="B460" t="str">
        <f>+'[2]por cuent'!B460</f>
        <v>432000111</v>
      </c>
      <c r="C460" t="str">
        <f>+'[2]por cuent'!C460</f>
        <v xml:space="preserve">Alberio, Sebastián  </v>
      </c>
      <c r="D460" s="35">
        <f>+'[2]por cuent'!G460</f>
        <v>20423503.399999999</v>
      </c>
      <c r="E460" s="35">
        <f>+'[2]por cuent'!H460</f>
        <v>20423503.399999999</v>
      </c>
      <c r="F460" t="str">
        <f>+'[2]por cuent'!I460</f>
        <v>432</v>
      </c>
    </row>
    <row r="461" spans="1:6" x14ac:dyDescent="0.35">
      <c r="A461" t="str">
        <f>+'[2]por cuent'!A461</f>
        <v>ARS</v>
      </c>
      <c r="B461" t="str">
        <f>+'[2]por cuent'!B461</f>
        <v>432000125</v>
      </c>
      <c r="C461" t="str">
        <f>+'[2]por cuent'!C461</f>
        <v>Oyarzabal, Fermín o Ferranti, María Eugenia</v>
      </c>
      <c r="D461" s="35">
        <f>+'[2]por cuent'!G461</f>
        <v>91350</v>
      </c>
      <c r="E461" s="35">
        <f>+'[2]por cuent'!H461</f>
        <v>91350</v>
      </c>
      <c r="F461" t="str">
        <f>+'[2]por cuent'!I461</f>
        <v>432</v>
      </c>
    </row>
    <row r="462" spans="1:6" x14ac:dyDescent="0.35">
      <c r="A462" t="str">
        <f>+'[2]por cuent'!A462</f>
        <v>ARS</v>
      </c>
      <c r="B462" t="str">
        <f>+'[2]por cuent'!B462</f>
        <v>432000128</v>
      </c>
      <c r="C462" t="str">
        <f>+'[2]por cuent'!C462</f>
        <v>Petrolo, Eduardo Alberto (CARTERA)</v>
      </c>
      <c r="D462" s="35">
        <f>+'[2]por cuent'!G462</f>
        <v>29092.799999999999</v>
      </c>
      <c r="E462" s="35">
        <f>+'[2]por cuent'!H462</f>
        <v>29092.799999999999</v>
      </c>
      <c r="F462" t="str">
        <f>+'[2]por cuent'!I462</f>
        <v>432</v>
      </c>
    </row>
    <row r="463" spans="1:6" x14ac:dyDescent="0.35">
      <c r="A463" t="str">
        <f>+'[2]por cuent'!A463</f>
        <v>ARS</v>
      </c>
      <c r="B463" t="str">
        <f>+'[2]por cuent'!B463</f>
        <v>432000129</v>
      </c>
      <c r="C463" t="str">
        <f>+'[2]por cuent'!C463</f>
        <v>Fittante, Luciano</v>
      </c>
      <c r="D463" s="35">
        <f>+'[2]por cuent'!G463</f>
        <v>846960</v>
      </c>
      <c r="E463" s="35">
        <f>+'[2]por cuent'!H463</f>
        <v>846960</v>
      </c>
      <c r="F463" t="str">
        <f>+'[2]por cuent'!I463</f>
        <v>432</v>
      </c>
    </row>
    <row r="464" spans="1:6" x14ac:dyDescent="0.35">
      <c r="A464" t="str">
        <f>+'[2]por cuent'!A464</f>
        <v>ARS</v>
      </c>
      <c r="B464" t="str">
        <f>+'[2]por cuent'!B464</f>
        <v>432000130</v>
      </c>
      <c r="C464" t="str">
        <f>+'[2]por cuent'!C464</f>
        <v>Caramella, Federico Guillermo</v>
      </c>
      <c r="D464" s="35">
        <f>+'[2]por cuent'!G464</f>
        <v>28350</v>
      </c>
      <c r="E464" s="35">
        <f>+'[2]por cuent'!H464</f>
        <v>28350</v>
      </c>
      <c r="F464" t="str">
        <f>+'[2]por cuent'!I464</f>
        <v>432</v>
      </c>
    </row>
    <row r="465" spans="1:6" x14ac:dyDescent="0.35">
      <c r="A465" t="str">
        <f>+'[2]por cuent'!A465</f>
        <v>ARS</v>
      </c>
      <c r="B465" t="str">
        <f>+'[2]por cuent'!B465</f>
        <v>432000192</v>
      </c>
      <c r="C465" t="str">
        <f>+'[2]por cuent'!C465</f>
        <v>Alassia, Alejandro Jesús o Alassia, Marcelo Gustavo</v>
      </c>
      <c r="D465" s="35">
        <f>+'[2]por cuent'!G465</f>
        <v>496929110.39999998</v>
      </c>
      <c r="E465" s="35">
        <f>+'[2]por cuent'!H465</f>
        <v>496929110.39999998</v>
      </c>
      <c r="F465" t="str">
        <f>+'[2]por cuent'!I465</f>
        <v>432</v>
      </c>
    </row>
    <row r="466" spans="1:6" x14ac:dyDescent="0.35">
      <c r="A466" t="str">
        <f>+'[2]por cuent'!A466</f>
        <v>ARS</v>
      </c>
      <c r="B466" t="str">
        <f>+'[2]por cuent'!B466</f>
        <v>432000222</v>
      </c>
      <c r="C466" t="str">
        <f>+'[2]por cuent'!C466</f>
        <v>Romano, Alejandra Gabriela</v>
      </c>
      <c r="D466" s="35">
        <f>+'[2]por cuent'!G466</f>
        <v>480434.22</v>
      </c>
      <c r="E466" s="35">
        <f>+'[2]por cuent'!H466</f>
        <v>480434.22</v>
      </c>
      <c r="F466" t="str">
        <f>+'[2]por cuent'!I466</f>
        <v>432</v>
      </c>
    </row>
    <row r="467" spans="1:6" x14ac:dyDescent="0.35">
      <c r="A467" t="str">
        <f>+'[2]por cuent'!A467</f>
        <v>ARS</v>
      </c>
      <c r="B467" t="str">
        <f>+'[2]por cuent'!B467</f>
        <v>432000248</v>
      </c>
      <c r="C467" t="str">
        <f>+'[2]por cuent'!C467</f>
        <v>Rebecchi, Sergio Ricardo (CARTERA)</v>
      </c>
      <c r="D467" s="35">
        <f>+'[2]por cuent'!G467</f>
        <v>2919846.8</v>
      </c>
      <c r="E467" s="35">
        <f>+'[2]por cuent'!H467</f>
        <v>2919846.8</v>
      </c>
      <c r="F467" t="str">
        <f>+'[2]por cuent'!I467</f>
        <v>432</v>
      </c>
    </row>
    <row r="468" spans="1:6" x14ac:dyDescent="0.35">
      <c r="A468" t="str">
        <f>+'[2]por cuent'!A468</f>
        <v>ARS</v>
      </c>
      <c r="B468" t="str">
        <f>+'[2]por cuent'!B468</f>
        <v>432000259</v>
      </c>
      <c r="C468" t="str">
        <f>+'[2]por cuent'!C468</f>
        <v>Bustos, Javier Leonardo o Díaz, Marcela Adriana</v>
      </c>
      <c r="D468" s="35">
        <f>+'[2]por cuent'!G468</f>
        <v>14928431.699999999</v>
      </c>
      <c r="E468" s="35">
        <f>+'[2]por cuent'!H468</f>
        <v>14928431.699999999</v>
      </c>
      <c r="F468" t="str">
        <f>+'[2]por cuent'!I468</f>
        <v>432</v>
      </c>
    </row>
    <row r="469" spans="1:6" x14ac:dyDescent="0.35">
      <c r="A469" t="str">
        <f>+'[2]por cuent'!A469</f>
        <v>ARS</v>
      </c>
      <c r="B469" t="str">
        <f>+'[2]por cuent'!B469</f>
        <v>432000267</v>
      </c>
      <c r="C469" t="str">
        <f>+'[2]por cuent'!C469</f>
        <v>Calcagnino, Julio Roque</v>
      </c>
      <c r="D469" s="35">
        <f>+'[2]por cuent'!G469</f>
        <v>8098132.7699999996</v>
      </c>
      <c r="E469" s="35">
        <f>+'[2]por cuent'!H469</f>
        <v>8098132.7699999996</v>
      </c>
      <c r="F469" t="str">
        <f>+'[2]por cuent'!I469</f>
        <v>432</v>
      </c>
    </row>
    <row r="470" spans="1:6" x14ac:dyDescent="0.35">
      <c r="A470" t="str">
        <f>+'[2]por cuent'!A470</f>
        <v>ARS</v>
      </c>
      <c r="B470" t="str">
        <f>+'[2]por cuent'!B470</f>
        <v>432000285</v>
      </c>
      <c r="C470" t="str">
        <f>+'[2]por cuent'!C470</f>
        <v>MUTUAL INTEGRAL DE SERVICIOS</v>
      </c>
      <c r="D470" s="35">
        <f>+'[2]por cuent'!G470</f>
        <v>72504818.099999994</v>
      </c>
      <c r="E470" s="35">
        <f>+'[2]por cuent'!H470</f>
        <v>72504818.099999994</v>
      </c>
      <c r="F470" t="str">
        <f>+'[2]por cuent'!I470</f>
        <v>432</v>
      </c>
    </row>
    <row r="471" spans="1:6" x14ac:dyDescent="0.35">
      <c r="A471" t="str">
        <f>+'[2]por cuent'!A471</f>
        <v>ARS</v>
      </c>
      <c r="B471" t="str">
        <f>+'[2]por cuent'!B471</f>
        <v>432000286</v>
      </c>
      <c r="C471" t="str">
        <f>+'[2]por cuent'!C471</f>
        <v>Huayra Camargo, Cristian Abelardo</v>
      </c>
      <c r="D471" s="35">
        <f>+'[2]por cuent'!G471</f>
        <v>42037640.159999996</v>
      </c>
      <c r="E471" s="35">
        <f>+'[2]por cuent'!H471</f>
        <v>42037640.159999996</v>
      </c>
      <c r="F471" t="str">
        <f>+'[2]por cuent'!I471</f>
        <v>432</v>
      </c>
    </row>
    <row r="472" spans="1:6" x14ac:dyDescent="0.35">
      <c r="A472" t="str">
        <f>+'[2]por cuent'!A472</f>
        <v>ARS</v>
      </c>
      <c r="B472" t="str">
        <f>+'[2]por cuent'!B472</f>
        <v>432000297</v>
      </c>
      <c r="C472" t="str">
        <f>+'[2]por cuent'!C472</f>
        <v>Boveda, Roberto Fabian o Infantil, Daniela Alejandra</v>
      </c>
      <c r="D472" s="35">
        <f>+'[2]por cuent'!G472</f>
        <v>120316</v>
      </c>
      <c r="E472" s="35">
        <f>+'[2]por cuent'!H472</f>
        <v>120316</v>
      </c>
      <c r="F472" t="str">
        <f>+'[2]por cuent'!I472</f>
        <v>432</v>
      </c>
    </row>
    <row r="473" spans="1:6" x14ac:dyDescent="0.35">
      <c r="A473" t="str">
        <f>+'[2]por cuent'!A473</f>
        <v>ARS</v>
      </c>
      <c r="B473" t="str">
        <f>+'[2]por cuent'!B473</f>
        <v>432000305</v>
      </c>
      <c r="C473" t="str">
        <f>+'[2]por cuent'!C473</f>
        <v>Santana, Clarisa Mónica</v>
      </c>
      <c r="D473" s="35">
        <f>+'[2]por cuent'!G473</f>
        <v>2108000</v>
      </c>
      <c r="E473" s="35">
        <f>+'[2]por cuent'!H473</f>
        <v>2108000</v>
      </c>
      <c r="F473" t="str">
        <f>+'[2]por cuent'!I473</f>
        <v>432</v>
      </c>
    </row>
    <row r="474" spans="1:6" x14ac:dyDescent="0.35">
      <c r="A474" t="str">
        <f>+'[2]por cuent'!A474</f>
        <v>ARS</v>
      </c>
      <c r="B474" t="str">
        <f>+'[2]por cuent'!B474</f>
        <v>432000319</v>
      </c>
      <c r="C474" t="str">
        <f>+'[2]por cuent'!C474</f>
        <v>Dalla Bona Maini, Guido</v>
      </c>
      <c r="D474" s="35">
        <f>+'[2]por cuent'!G474</f>
        <v>335235774.60000002</v>
      </c>
      <c r="E474" s="35">
        <f>+'[2]por cuent'!H474</f>
        <v>335235774.60000002</v>
      </c>
      <c r="F474" t="str">
        <f>+'[2]por cuent'!I474</f>
        <v>432</v>
      </c>
    </row>
    <row r="475" spans="1:6" x14ac:dyDescent="0.35">
      <c r="A475" t="str">
        <f>+'[2]por cuent'!A475</f>
        <v>ARS</v>
      </c>
      <c r="B475" t="str">
        <f>+'[2]por cuent'!B475</f>
        <v>432000335</v>
      </c>
      <c r="C475" t="str">
        <f>+'[2]por cuent'!C475</f>
        <v>Alberio, Guillermo Roberto</v>
      </c>
      <c r="D475" s="35">
        <f>+'[2]por cuent'!G475</f>
        <v>128029719.48</v>
      </c>
      <c r="E475" s="35">
        <f>+'[2]por cuent'!H475</f>
        <v>128029719.48</v>
      </c>
      <c r="F475" t="str">
        <f>+'[2]por cuent'!I475</f>
        <v>432</v>
      </c>
    </row>
    <row r="476" spans="1:6" x14ac:dyDescent="0.35">
      <c r="A476" t="str">
        <f>+'[2]por cuent'!A476</f>
        <v>ARS</v>
      </c>
      <c r="B476" t="str">
        <f>+'[2]por cuent'!B476</f>
        <v>432000362</v>
      </c>
      <c r="C476" t="str">
        <f>+'[2]por cuent'!C476</f>
        <v>Blanco, Victoria Antonia o Balmas, Claudia Beatriz</v>
      </c>
      <c r="D476" s="35">
        <f>+'[2]por cuent'!G476</f>
        <v>656019</v>
      </c>
      <c r="E476" s="35">
        <f>+'[2]por cuent'!H476</f>
        <v>656019</v>
      </c>
      <c r="F476" t="str">
        <f>+'[2]por cuent'!I476</f>
        <v>432</v>
      </c>
    </row>
    <row r="477" spans="1:6" x14ac:dyDescent="0.35">
      <c r="A477" t="str">
        <f>+'[2]por cuent'!A477</f>
        <v>ARS</v>
      </c>
      <c r="B477" t="str">
        <f>+'[2]por cuent'!B477</f>
        <v>432000368</v>
      </c>
      <c r="C477" t="str">
        <f>+'[2]por cuent'!C477</f>
        <v>Duscher, Aldo Pedro</v>
      </c>
      <c r="D477" s="35">
        <f>+'[2]por cuent'!G477</f>
        <v>23297837.199999999</v>
      </c>
      <c r="E477" s="35">
        <f>+'[2]por cuent'!H477</f>
        <v>23297837.199999999</v>
      </c>
      <c r="F477" t="str">
        <f>+'[2]por cuent'!I477</f>
        <v>432</v>
      </c>
    </row>
    <row r="478" spans="1:6" x14ac:dyDescent="0.35">
      <c r="A478" t="str">
        <f>+'[2]por cuent'!A478</f>
        <v>ARS</v>
      </c>
      <c r="B478" t="str">
        <f>+'[2]por cuent'!B478</f>
        <v>432000384</v>
      </c>
      <c r="C478" t="str">
        <f>+'[2]por cuent'!C478</f>
        <v>Fundación Nuevo Hogar y Centro de Ancianos para la Comunidad Judía</v>
      </c>
      <c r="D478" s="35">
        <f>+'[2]por cuent'!G478</f>
        <v>178300209.80000001</v>
      </c>
      <c r="E478" s="35">
        <f>+'[2]por cuent'!H478</f>
        <v>178300209.80000001</v>
      </c>
      <c r="F478" t="str">
        <f>+'[2]por cuent'!I478</f>
        <v>432</v>
      </c>
    </row>
    <row r="479" spans="1:6" x14ac:dyDescent="0.35">
      <c r="A479" t="str">
        <f>+'[2]por cuent'!A479</f>
        <v>ARS</v>
      </c>
      <c r="B479" t="str">
        <f>+'[2]por cuent'!B479</f>
        <v>432000395</v>
      </c>
      <c r="C479" t="str">
        <f>+'[2]por cuent'!C479</f>
        <v>BVSA SD FIRST RENTA PESOS</v>
      </c>
      <c r="D479" s="35">
        <f>+'[2]por cuent'!G479</f>
        <v>18563403</v>
      </c>
      <c r="E479" s="35">
        <f>+'[2]por cuent'!H479</f>
        <v>18563403</v>
      </c>
      <c r="F479" t="str">
        <f>+'[2]por cuent'!I479</f>
        <v>432</v>
      </c>
    </row>
    <row r="480" spans="1:6" x14ac:dyDescent="0.35">
      <c r="A480" t="str">
        <f>+'[2]por cuent'!A480</f>
        <v>ARS</v>
      </c>
      <c r="B480" t="str">
        <f>+'[2]por cuent'!B480</f>
        <v>432000399</v>
      </c>
      <c r="C480" t="str">
        <f>+'[2]por cuent'!C480</f>
        <v>Di Loreto, Héctor Emir (CARTERA)</v>
      </c>
      <c r="D480" s="35">
        <f>+'[2]por cuent'!G480</f>
        <v>2924381</v>
      </c>
      <c r="E480" s="35">
        <f>+'[2]por cuent'!H480</f>
        <v>2924381</v>
      </c>
      <c r="F480" t="str">
        <f>+'[2]por cuent'!I480</f>
        <v>432</v>
      </c>
    </row>
    <row r="481" spans="1:6" x14ac:dyDescent="0.35">
      <c r="A481" t="str">
        <f>+'[2]por cuent'!A481</f>
        <v>ARS</v>
      </c>
      <c r="B481" t="str">
        <f>+'[2]por cuent'!B481</f>
        <v>432000422</v>
      </c>
      <c r="C481" t="str">
        <f>+'[2]por cuent'!C481</f>
        <v>Mapsa S.R.L</v>
      </c>
      <c r="D481" s="35">
        <f>+'[2]por cuent'!G481</f>
        <v>24477278054.779999</v>
      </c>
      <c r="E481" s="35">
        <f>+'[2]por cuent'!H481</f>
        <v>24477278054.779999</v>
      </c>
      <c r="F481" t="str">
        <f>+'[2]por cuent'!I481</f>
        <v>432</v>
      </c>
    </row>
    <row r="482" spans="1:6" x14ac:dyDescent="0.35">
      <c r="A482" t="str">
        <f>+'[2]por cuent'!A482</f>
        <v>ARS</v>
      </c>
      <c r="B482" t="str">
        <f>+'[2]por cuent'!B482</f>
        <v>432000498</v>
      </c>
      <c r="C482" t="str">
        <f>+'[2]por cuent'!C482</f>
        <v>Bazar Avenida S.A.</v>
      </c>
      <c r="D482" s="35">
        <f>+'[2]por cuent'!G482</f>
        <v>1644712320</v>
      </c>
      <c r="E482" s="35">
        <f>+'[2]por cuent'!H482</f>
        <v>1644712320</v>
      </c>
      <c r="F482" t="str">
        <f>+'[2]por cuent'!I482</f>
        <v>432</v>
      </c>
    </row>
    <row r="483" spans="1:6" x14ac:dyDescent="0.35">
      <c r="A483" t="str">
        <f>+'[2]por cuent'!A483</f>
        <v>ARS</v>
      </c>
      <c r="B483" t="str">
        <f>+'[2]por cuent'!B483</f>
        <v>432000525</v>
      </c>
      <c r="C483" t="str">
        <f>+'[2]por cuent'!C483</f>
        <v>BCSA SD GAINVEST CAPITAL III FCI</v>
      </c>
      <c r="D483" s="35">
        <f>+'[2]por cuent'!G483</f>
        <v>105164315.72</v>
      </c>
      <c r="E483" s="35">
        <f>+'[2]por cuent'!H483</f>
        <v>105164315.72</v>
      </c>
      <c r="F483" t="str">
        <f>+'[2]por cuent'!I483</f>
        <v>432</v>
      </c>
    </row>
    <row r="484" spans="1:6" x14ac:dyDescent="0.35">
      <c r="A484" t="str">
        <f>+'[2]por cuent'!A484</f>
        <v>ARS</v>
      </c>
      <c r="B484" t="str">
        <f>+'[2]por cuent'!B484</f>
        <v>432000533</v>
      </c>
      <c r="C484" t="str">
        <f>+'[2]por cuent'!C484</f>
        <v>Martinolich, Alejandro o Magri, María Soledad</v>
      </c>
      <c r="D484" s="35">
        <f>+'[2]por cuent'!G484</f>
        <v>8701</v>
      </c>
      <c r="E484" s="35">
        <f>+'[2]por cuent'!H484</f>
        <v>8701</v>
      </c>
      <c r="F484" t="str">
        <f>+'[2]por cuent'!I484</f>
        <v>432</v>
      </c>
    </row>
    <row r="485" spans="1:6" x14ac:dyDescent="0.35">
      <c r="A485" t="str">
        <f>+'[2]por cuent'!A485</f>
        <v>ARS</v>
      </c>
      <c r="B485" t="str">
        <f>+'[2]por cuent'!B485</f>
        <v>432000594</v>
      </c>
      <c r="C485" t="str">
        <f>+'[2]por cuent'!C485</f>
        <v>Montemurri, David Eduardo o Cisneros, Sonia del Carmen</v>
      </c>
      <c r="D485" s="35">
        <f>+'[2]por cuent'!G485</f>
        <v>13452349.6</v>
      </c>
      <c r="E485" s="35">
        <f>+'[2]por cuent'!H485</f>
        <v>13452349.6</v>
      </c>
      <c r="F485" t="str">
        <f>+'[2]por cuent'!I485</f>
        <v>432</v>
      </c>
    </row>
    <row r="486" spans="1:6" x14ac:dyDescent="0.35">
      <c r="A486" t="str">
        <f>+'[2]por cuent'!A486</f>
        <v>ARS</v>
      </c>
      <c r="B486" t="str">
        <f>+'[2]por cuent'!B486</f>
        <v>432000597</v>
      </c>
      <c r="C486" t="str">
        <f>+'[2]por cuent'!C486</f>
        <v>Tenaglia, Mauro Nicolás</v>
      </c>
      <c r="D486" s="35">
        <f>+'[2]por cuent'!G486</f>
        <v>600923.38</v>
      </c>
      <c r="E486" s="35">
        <f>+'[2]por cuent'!H486</f>
        <v>600923.38</v>
      </c>
      <c r="F486" t="str">
        <f>+'[2]por cuent'!I486</f>
        <v>432</v>
      </c>
    </row>
    <row r="487" spans="1:6" x14ac:dyDescent="0.35">
      <c r="A487" t="str">
        <f>+'[2]por cuent'!A487</f>
        <v>ARS</v>
      </c>
      <c r="B487" t="str">
        <f>+'[2]por cuent'!B487</f>
        <v>432000605</v>
      </c>
      <c r="C487" t="str">
        <f>+'[2]por cuent'!C487</f>
        <v xml:space="preserve">Bonino, Alicia Mónica </v>
      </c>
      <c r="D487" s="35">
        <f>+'[2]por cuent'!G487</f>
        <v>679678.9</v>
      </c>
      <c r="E487" s="35">
        <f>+'[2]por cuent'!H487</f>
        <v>679678.9</v>
      </c>
      <c r="F487" t="str">
        <f>+'[2]por cuent'!I487</f>
        <v>432</v>
      </c>
    </row>
    <row r="488" spans="1:6" x14ac:dyDescent="0.35">
      <c r="A488" t="str">
        <f>+'[2]por cuent'!A488</f>
        <v>ARS</v>
      </c>
      <c r="B488" t="str">
        <f>+'[2]por cuent'!B488</f>
        <v>432000612</v>
      </c>
      <c r="C488" t="str">
        <f>+'[2]por cuent'!C488</f>
        <v>IATEC S.A. (INDUSTRIA AUSTRAL DE TECNOLOGIA S.A.)</v>
      </c>
      <c r="D488" s="35">
        <f>+'[2]por cuent'!G488</f>
        <v>27314588207.029999</v>
      </c>
      <c r="E488" s="35">
        <f>+'[2]por cuent'!H488</f>
        <v>27314588207.029999</v>
      </c>
      <c r="F488" t="str">
        <f>+'[2]por cuent'!I488</f>
        <v>432</v>
      </c>
    </row>
    <row r="489" spans="1:6" x14ac:dyDescent="0.35">
      <c r="A489" t="str">
        <f>+'[2]por cuent'!A489</f>
        <v>ARS</v>
      </c>
      <c r="B489" t="str">
        <f>+'[2]por cuent'!B489</f>
        <v>432000620</v>
      </c>
      <c r="C489" t="str">
        <f>+'[2]por cuent'!C489</f>
        <v>BCSA SD GAINVEST CRECIMIENTO II FCI</v>
      </c>
      <c r="D489" s="35">
        <f>+'[2]por cuent'!G489</f>
        <v>420657262.87</v>
      </c>
      <c r="E489" s="35">
        <f>+'[2]por cuent'!H489</f>
        <v>420657262.87</v>
      </c>
      <c r="F489" t="str">
        <f>+'[2]por cuent'!I489</f>
        <v>432</v>
      </c>
    </row>
    <row r="490" spans="1:6" x14ac:dyDescent="0.35">
      <c r="A490" t="str">
        <f>+'[2]por cuent'!A490</f>
        <v>ARS</v>
      </c>
      <c r="B490" t="str">
        <f>+'[2]por cuent'!B490</f>
        <v>432000657</v>
      </c>
      <c r="C490" t="str">
        <f>+'[2]por cuent'!C490</f>
        <v>Córdoba, Sergio Luis</v>
      </c>
      <c r="D490" s="35">
        <f>+'[2]por cuent'!G490</f>
        <v>3360380</v>
      </c>
      <c r="E490" s="35">
        <f>+'[2]por cuent'!H490</f>
        <v>3360380</v>
      </c>
      <c r="F490" t="str">
        <f>+'[2]por cuent'!I490</f>
        <v>432</v>
      </c>
    </row>
    <row r="491" spans="1:6" x14ac:dyDescent="0.35">
      <c r="A491" t="str">
        <f>+'[2]por cuent'!A491</f>
        <v>ARS</v>
      </c>
      <c r="B491" t="str">
        <f>+'[2]por cuent'!B491</f>
        <v>432000659</v>
      </c>
      <c r="C491" t="str">
        <f>+'[2]por cuent'!C491</f>
        <v>ERO constructora S.A</v>
      </c>
      <c r="D491" s="35">
        <f>+'[2]por cuent'!G491</f>
        <v>137569632.19999999</v>
      </c>
      <c r="E491" s="35">
        <f>+'[2]por cuent'!H491</f>
        <v>137569632.19999999</v>
      </c>
      <c r="F491" t="str">
        <f>+'[2]por cuent'!I491</f>
        <v>432</v>
      </c>
    </row>
    <row r="492" spans="1:6" x14ac:dyDescent="0.35">
      <c r="A492" t="str">
        <f>+'[2]por cuent'!A492</f>
        <v>ARS</v>
      </c>
      <c r="B492" t="str">
        <f>+'[2]por cuent'!B492</f>
        <v>432000662</v>
      </c>
      <c r="C492" t="str">
        <f>+'[2]por cuent'!C492</f>
        <v>BANCO VALORES AG CUSTODIA FIRST RENTA PYMES I FCI ABIERTO PYMES</v>
      </c>
      <c r="D492" s="35">
        <f>+'[2]por cuent'!G492</f>
        <v>4245722670.1799998</v>
      </c>
      <c r="E492" s="35">
        <f>+'[2]por cuent'!H492</f>
        <v>4245722670.1799998</v>
      </c>
      <c r="F492" t="str">
        <f>+'[2]por cuent'!I492</f>
        <v>432</v>
      </c>
    </row>
    <row r="493" spans="1:6" x14ac:dyDescent="0.35">
      <c r="A493" t="str">
        <f>+'[2]por cuent'!A493</f>
        <v>ARS</v>
      </c>
      <c r="B493" t="str">
        <f>+'[2]por cuent'!B493</f>
        <v>432000677</v>
      </c>
      <c r="C493" t="str">
        <f>+'[2]por cuent'!C493</f>
        <v>FIRST CORPORATE FINANCE ADVISORS S.A.</v>
      </c>
      <c r="D493" s="35">
        <f>+'[2]por cuent'!G493</f>
        <v>200190572.40000001</v>
      </c>
      <c r="E493" s="35">
        <f>+'[2]por cuent'!H493</f>
        <v>200190572.40000001</v>
      </c>
      <c r="F493" t="str">
        <f>+'[2]por cuent'!I493</f>
        <v>432</v>
      </c>
    </row>
    <row r="494" spans="1:6" x14ac:dyDescent="0.35">
      <c r="A494" t="str">
        <f>+'[2]por cuent'!A494</f>
        <v>ARS</v>
      </c>
      <c r="B494" t="str">
        <f>+'[2]por cuent'!B494</f>
        <v>432000679</v>
      </c>
      <c r="C494" t="str">
        <f>+'[2]por cuent'!C494</f>
        <v>Castagnino, Mario Alejandro</v>
      </c>
      <c r="D494" s="35">
        <f>+'[2]por cuent'!G494</f>
        <v>4382440</v>
      </c>
      <c r="E494" s="35">
        <f>+'[2]por cuent'!H494</f>
        <v>4382440</v>
      </c>
      <c r="F494" t="str">
        <f>+'[2]por cuent'!I494</f>
        <v>432</v>
      </c>
    </row>
    <row r="495" spans="1:6" x14ac:dyDescent="0.35">
      <c r="A495" t="str">
        <f>+'[2]por cuent'!A495</f>
        <v>ARS</v>
      </c>
      <c r="B495" t="str">
        <f>+'[2]por cuent'!B495</f>
        <v>432000683</v>
      </c>
      <c r="C495" t="str">
        <f>+'[2]por cuent'!C495</f>
        <v>Interpack S.A.</v>
      </c>
      <c r="D495" s="35">
        <f>+'[2]por cuent'!G495</f>
        <v>3000000000</v>
      </c>
      <c r="E495" s="35">
        <f>+'[2]por cuent'!H495</f>
        <v>3000000000</v>
      </c>
      <c r="F495" t="str">
        <f>+'[2]por cuent'!I495</f>
        <v>432</v>
      </c>
    </row>
    <row r="496" spans="1:6" x14ac:dyDescent="0.35">
      <c r="A496" t="str">
        <f>+'[2]por cuent'!A496</f>
        <v>ARS</v>
      </c>
      <c r="B496" t="str">
        <f>+'[2]por cuent'!B496</f>
        <v>432000714</v>
      </c>
      <c r="C496" t="str">
        <f>+'[2]por cuent'!C496</f>
        <v>Oportunidad Microfinanciera Latinoamericana OMLA S.A</v>
      </c>
      <c r="D496" s="35">
        <f>+'[2]por cuent'!G496</f>
        <v>3519255</v>
      </c>
      <c r="E496" s="35">
        <f>+'[2]por cuent'!H496</f>
        <v>3519255</v>
      </c>
      <c r="F496" t="str">
        <f>+'[2]por cuent'!I496</f>
        <v>432</v>
      </c>
    </row>
    <row r="497" spans="1:6" x14ac:dyDescent="0.35">
      <c r="A497" t="str">
        <f>+'[2]por cuent'!A497</f>
        <v>ARS</v>
      </c>
      <c r="B497" t="str">
        <f>+'[2]por cuent'!B497</f>
        <v>432000723</v>
      </c>
      <c r="C497" t="str">
        <f>+'[2]por cuent'!C497</f>
        <v>BANCO VALORES AG CUSTODIA FIRST Crecimiento FCI</v>
      </c>
      <c r="D497" s="35">
        <f>+'[2]por cuent'!G497</f>
        <v>232042537.5</v>
      </c>
      <c r="E497" s="35">
        <f>+'[2]por cuent'!H497</f>
        <v>232042537.5</v>
      </c>
      <c r="F497" t="str">
        <f>+'[2]por cuent'!I497</f>
        <v>432</v>
      </c>
    </row>
    <row r="498" spans="1:6" x14ac:dyDescent="0.35">
      <c r="A498" t="str">
        <f>+'[2]por cuent'!A498</f>
        <v>ARS</v>
      </c>
      <c r="B498" t="str">
        <f>+'[2]por cuent'!B498</f>
        <v>432000726</v>
      </c>
      <c r="C498" t="str">
        <f>+'[2]por cuent'!C498</f>
        <v>SAN CRISTOBAL CAJA MUTUAL ENTRE ASOCIADOS DE SAN CRISTOBAL SMSG</v>
      </c>
      <c r="D498" s="35">
        <f>+'[2]por cuent'!G498</f>
        <v>8734955912.25</v>
      </c>
      <c r="E498" s="35">
        <f>+'[2]por cuent'!H498</f>
        <v>8734955912.25</v>
      </c>
      <c r="F498" t="str">
        <f>+'[2]por cuent'!I498</f>
        <v>432</v>
      </c>
    </row>
    <row r="499" spans="1:6" x14ac:dyDescent="0.35">
      <c r="A499" t="str">
        <f>+'[2]por cuent'!A499</f>
        <v>ARS</v>
      </c>
      <c r="B499" t="str">
        <f>+'[2]por cuent'!B499</f>
        <v>432000744</v>
      </c>
      <c r="C499" t="str">
        <f>+'[2]por cuent'!C499</f>
        <v>OYARZABAL , MARIA INES</v>
      </c>
      <c r="D499" s="35">
        <f>+'[2]por cuent'!G499</f>
        <v>4828489.57</v>
      </c>
      <c r="E499" s="35">
        <f>+'[2]por cuent'!H499</f>
        <v>4828489.57</v>
      </c>
      <c r="F499" t="str">
        <f>+'[2]por cuent'!I499</f>
        <v>432</v>
      </c>
    </row>
    <row r="500" spans="1:6" x14ac:dyDescent="0.35">
      <c r="A500" t="str">
        <f>+'[2]por cuent'!A500</f>
        <v>ARS</v>
      </c>
      <c r="B500" t="str">
        <f>+'[2]por cuent'!B500</f>
        <v>432000747</v>
      </c>
      <c r="C500" t="str">
        <f>+'[2]por cuent'!C500</f>
        <v>Seineldin, Fidel o Corbo, Daniela Claudia</v>
      </c>
      <c r="D500" s="35">
        <f>+'[2]por cuent'!G500</f>
        <v>12261715.800000001</v>
      </c>
      <c r="E500" s="35">
        <f>+'[2]por cuent'!H500</f>
        <v>12261715.800000001</v>
      </c>
      <c r="F500" t="str">
        <f>+'[2]por cuent'!I500</f>
        <v>432</v>
      </c>
    </row>
    <row r="501" spans="1:6" x14ac:dyDescent="0.35">
      <c r="A501" t="str">
        <f>+'[2]por cuent'!A501</f>
        <v>ARS</v>
      </c>
      <c r="B501" t="str">
        <f>+'[2]por cuent'!B501</f>
        <v>432000751</v>
      </c>
      <c r="C501" t="str">
        <f>+'[2]por cuent'!C501</f>
        <v>Franchino, José María</v>
      </c>
      <c r="D501" s="35">
        <f>+'[2]por cuent'!G501</f>
        <v>10253151.369999999</v>
      </c>
      <c r="E501" s="35">
        <f>+'[2]por cuent'!H501</f>
        <v>10253151.369999999</v>
      </c>
      <c r="F501" t="str">
        <f>+'[2]por cuent'!I501</f>
        <v>432</v>
      </c>
    </row>
    <row r="502" spans="1:6" x14ac:dyDescent="0.35">
      <c r="A502" t="str">
        <f>+'[2]por cuent'!A502</f>
        <v>ARS</v>
      </c>
      <c r="B502" t="str">
        <f>+'[2]por cuent'!B502</f>
        <v>432000752</v>
      </c>
      <c r="C502" t="str">
        <f>+'[2]por cuent'!C502</f>
        <v>Saez, Gines Roberto</v>
      </c>
      <c r="D502" s="35">
        <f>+'[2]por cuent'!G502</f>
        <v>8202521.0999999996</v>
      </c>
      <c r="E502" s="35">
        <f>+'[2]por cuent'!H502</f>
        <v>8202521.0999999996</v>
      </c>
      <c r="F502" t="str">
        <f>+'[2]por cuent'!I502</f>
        <v>432</v>
      </c>
    </row>
    <row r="503" spans="1:6" x14ac:dyDescent="0.35">
      <c r="A503" t="str">
        <f>+'[2]por cuent'!A503</f>
        <v>ARS</v>
      </c>
      <c r="B503" t="str">
        <f>+'[2]por cuent'!B503</f>
        <v>432000790</v>
      </c>
      <c r="C503" t="str">
        <f>+'[2]por cuent'!C503</f>
        <v xml:space="preserve">Ferrand, Fabián Marcelo o ROCCA, VANESA SUSANA </v>
      </c>
      <c r="D503" s="35">
        <f>+'[2]por cuent'!G503</f>
        <v>1437828864.9400001</v>
      </c>
      <c r="E503" s="35">
        <f>+'[2]por cuent'!H503</f>
        <v>1437828864.9400001</v>
      </c>
      <c r="F503" t="str">
        <f>+'[2]por cuent'!I503</f>
        <v>432</v>
      </c>
    </row>
    <row r="504" spans="1:6" x14ac:dyDescent="0.35">
      <c r="A504" t="str">
        <f>+'[2]por cuent'!A504</f>
        <v>ARS</v>
      </c>
      <c r="B504" t="str">
        <f>+'[2]por cuent'!B504</f>
        <v>432000799</v>
      </c>
      <c r="C504" t="str">
        <f>+'[2]por cuent'!C504</f>
        <v>Perez Edgardo Enrique Y Dolce Pablo Adrián Sociedad de Hecho</v>
      </c>
      <c r="D504" s="35">
        <f>+'[2]por cuent'!G504</f>
        <v>579441041.82000005</v>
      </c>
      <c r="E504" s="35">
        <f>+'[2]por cuent'!H504</f>
        <v>579441041.82000005</v>
      </c>
      <c r="F504" t="str">
        <f>+'[2]por cuent'!I504</f>
        <v>432</v>
      </c>
    </row>
    <row r="505" spans="1:6" x14ac:dyDescent="0.35">
      <c r="A505" t="str">
        <f>+'[2]por cuent'!A505</f>
        <v>ARS</v>
      </c>
      <c r="B505" t="str">
        <f>+'[2]por cuent'!B505</f>
        <v>432000811</v>
      </c>
      <c r="C505" t="str">
        <f>+'[2]por cuent'!C505</f>
        <v>Asociacion Mutual 23 de Septiembre</v>
      </c>
      <c r="D505" s="35">
        <f>+'[2]por cuent'!G505</f>
        <v>175156584.65000001</v>
      </c>
      <c r="E505" s="35">
        <f>+'[2]por cuent'!H505</f>
        <v>175156584.65000001</v>
      </c>
      <c r="F505" t="str">
        <f>+'[2]por cuent'!I505</f>
        <v>432</v>
      </c>
    </row>
    <row r="506" spans="1:6" x14ac:dyDescent="0.35">
      <c r="A506" t="str">
        <f>+'[2]por cuent'!A506</f>
        <v>ARS</v>
      </c>
      <c r="B506" t="str">
        <f>+'[2]por cuent'!B506</f>
        <v>432000812</v>
      </c>
      <c r="C506" t="str">
        <f>+'[2]por cuent'!C506</f>
        <v>SANTA MONICA SA</v>
      </c>
      <c r="D506" s="35">
        <f>+'[2]por cuent'!G506</f>
        <v>2246028340.6599998</v>
      </c>
      <c r="E506" s="35">
        <f>+'[2]por cuent'!H506</f>
        <v>2246028340.6599998</v>
      </c>
      <c r="F506" t="str">
        <f>+'[2]por cuent'!I506</f>
        <v>432</v>
      </c>
    </row>
    <row r="507" spans="1:6" x14ac:dyDescent="0.35">
      <c r="A507" t="str">
        <f>+'[2]por cuent'!A507</f>
        <v>ARS</v>
      </c>
      <c r="B507" t="str">
        <f>+'[2]por cuent'!B507</f>
        <v>432000825</v>
      </c>
      <c r="C507" t="str">
        <f>+'[2]por cuent'!C507</f>
        <v>TALLERES METALURGICOS CRUCIANELLI S.A</v>
      </c>
      <c r="D507" s="35">
        <f>+'[2]por cuent'!G507</f>
        <v>10922406420.540001</v>
      </c>
      <c r="E507" s="35">
        <f>+'[2]por cuent'!H507</f>
        <v>10922406420.540001</v>
      </c>
      <c r="F507" t="str">
        <f>+'[2]por cuent'!I507</f>
        <v>432</v>
      </c>
    </row>
    <row r="508" spans="1:6" x14ac:dyDescent="0.35">
      <c r="A508" t="str">
        <f>+'[2]por cuent'!A508</f>
        <v>ARS</v>
      </c>
      <c r="B508" t="str">
        <f>+'[2]por cuent'!B508</f>
        <v>432000867</v>
      </c>
      <c r="C508" t="str">
        <f>+'[2]por cuent'!C508</f>
        <v>OTOK SA</v>
      </c>
      <c r="D508" s="35">
        <f>+'[2]por cuent'!G508</f>
        <v>2934165049.75</v>
      </c>
      <c r="E508" s="35">
        <f>+'[2]por cuent'!H508</f>
        <v>2934165049.75</v>
      </c>
      <c r="F508" t="str">
        <f>+'[2]por cuent'!I508</f>
        <v>432</v>
      </c>
    </row>
    <row r="509" spans="1:6" x14ac:dyDescent="0.35">
      <c r="A509" t="str">
        <f>+'[2]por cuent'!A509</f>
        <v>ARS</v>
      </c>
      <c r="B509" t="str">
        <f>+'[2]por cuent'!B509</f>
        <v>432000868</v>
      </c>
      <c r="C509" t="str">
        <f>+'[2]por cuent'!C509</f>
        <v>Dellarossa, Maria Betina</v>
      </c>
      <c r="D509" s="35">
        <f>+'[2]por cuent'!G509</f>
        <v>7536344.4000000004</v>
      </c>
      <c r="E509" s="35">
        <f>+'[2]por cuent'!H509</f>
        <v>7536344.4000000004</v>
      </c>
      <c r="F509" t="str">
        <f>+'[2]por cuent'!I509</f>
        <v>432</v>
      </c>
    </row>
    <row r="510" spans="1:6" x14ac:dyDescent="0.35">
      <c r="A510" t="str">
        <f>+'[2]por cuent'!A510</f>
        <v>ARS</v>
      </c>
      <c r="B510" t="str">
        <f>+'[2]por cuent'!B510</f>
        <v>432000870</v>
      </c>
      <c r="C510" t="str">
        <f>+'[2]por cuent'!C510</f>
        <v>OVER ORGANIZACION VETERINARIA REGIONAL S.R.L.</v>
      </c>
      <c r="D510" s="35">
        <f>+'[2]por cuent'!G510</f>
        <v>782709715</v>
      </c>
      <c r="E510" s="35">
        <f>+'[2]por cuent'!H510</f>
        <v>782709715</v>
      </c>
      <c r="F510" t="str">
        <f>+'[2]por cuent'!I510</f>
        <v>432</v>
      </c>
    </row>
    <row r="511" spans="1:6" x14ac:dyDescent="0.35">
      <c r="A511" t="str">
        <f>+'[2]por cuent'!A511</f>
        <v>ARS</v>
      </c>
      <c r="B511" t="str">
        <f>+'[2]por cuent'!B511</f>
        <v>432000876</v>
      </c>
      <c r="C511" t="str">
        <f>+'[2]por cuent'!C511</f>
        <v>Giancaterino, Graciela Ethel</v>
      </c>
      <c r="D511" s="35">
        <f>+'[2]por cuent'!G511</f>
        <v>19762049.699999999</v>
      </c>
      <c r="E511" s="35">
        <f>+'[2]por cuent'!H511</f>
        <v>19762049.699999999</v>
      </c>
      <c r="F511" t="str">
        <f>+'[2]por cuent'!I511</f>
        <v>432</v>
      </c>
    </row>
    <row r="512" spans="1:6" x14ac:dyDescent="0.35">
      <c r="A512" t="str">
        <f>+'[2]por cuent'!A512</f>
        <v>ARS</v>
      </c>
      <c r="B512" t="str">
        <f>+'[2]por cuent'!B512</f>
        <v>432000878</v>
      </c>
      <c r="C512" t="str">
        <f>+'[2]por cuent'!C512</f>
        <v>MARCON, SUSANA BEATRIZ</v>
      </c>
      <c r="D512" s="35">
        <f>+'[2]por cuent'!G512</f>
        <v>2134498.7999999998</v>
      </c>
      <c r="E512" s="35">
        <f>+'[2]por cuent'!H512</f>
        <v>2134498.7999999998</v>
      </c>
      <c r="F512" t="str">
        <f>+'[2]por cuent'!I512</f>
        <v>432</v>
      </c>
    </row>
    <row r="513" spans="1:6" x14ac:dyDescent="0.35">
      <c r="A513" t="str">
        <f>+'[2]por cuent'!A513</f>
        <v>ARS</v>
      </c>
      <c r="B513" t="str">
        <f>+'[2]por cuent'!B513</f>
        <v>432000885</v>
      </c>
      <c r="C513" t="str">
        <f>+'[2]por cuent'!C513</f>
        <v>JAWORSKI, MARIA EUGENIA</v>
      </c>
      <c r="D513" s="35">
        <f>+'[2]por cuent'!G513</f>
        <v>74295.399999999994</v>
      </c>
      <c r="E513" s="35">
        <f>+'[2]por cuent'!H513</f>
        <v>74295.399999999994</v>
      </c>
      <c r="F513" t="str">
        <f>+'[2]por cuent'!I513</f>
        <v>432</v>
      </c>
    </row>
    <row r="514" spans="1:6" x14ac:dyDescent="0.35">
      <c r="A514" t="str">
        <f>+'[2]por cuent'!A514</f>
        <v>ARS</v>
      </c>
      <c r="B514" t="str">
        <f>+'[2]por cuent'!B514</f>
        <v>432000890</v>
      </c>
      <c r="C514" t="str">
        <f>+'[2]por cuent'!C514</f>
        <v>Jaworski, Maria Lucia</v>
      </c>
      <c r="D514" s="35">
        <f>+'[2]por cuent'!G514</f>
        <v>149979.4</v>
      </c>
      <c r="E514" s="35">
        <f>+'[2]por cuent'!H514</f>
        <v>149979.4</v>
      </c>
      <c r="F514" t="str">
        <f>+'[2]por cuent'!I514</f>
        <v>432</v>
      </c>
    </row>
    <row r="515" spans="1:6" x14ac:dyDescent="0.35">
      <c r="A515" t="str">
        <f>+'[2]por cuent'!A515</f>
        <v>ARS</v>
      </c>
      <c r="B515" t="str">
        <f>+'[2]por cuent'!B515</f>
        <v>432000904</v>
      </c>
      <c r="C515" t="str">
        <f>+'[2]por cuent'!C515</f>
        <v>AGRONORTE SRL</v>
      </c>
      <c r="D515" s="35">
        <f>+'[2]por cuent'!G515</f>
        <v>10424435154</v>
      </c>
      <c r="E515" s="35">
        <f>+'[2]por cuent'!H515</f>
        <v>10424435154</v>
      </c>
      <c r="F515" t="str">
        <f>+'[2]por cuent'!I515</f>
        <v>432</v>
      </c>
    </row>
    <row r="516" spans="1:6" x14ac:dyDescent="0.35">
      <c r="A516" t="str">
        <f>+'[2]por cuent'!A516</f>
        <v>ARS</v>
      </c>
      <c r="B516" t="str">
        <f>+'[2]por cuent'!B516</f>
        <v>432000908</v>
      </c>
      <c r="C516" t="str">
        <f>+'[2]por cuent'!C516</f>
        <v>Doña Tita SAS</v>
      </c>
      <c r="D516" s="35">
        <f>+'[2]por cuent'!G516</f>
        <v>193312240.09</v>
      </c>
      <c r="E516" s="35">
        <f>+'[2]por cuent'!H516</f>
        <v>193312240.09</v>
      </c>
      <c r="F516" t="str">
        <f>+'[2]por cuent'!I516</f>
        <v>432</v>
      </c>
    </row>
    <row r="517" spans="1:6" x14ac:dyDescent="0.35">
      <c r="A517" t="str">
        <f>+'[2]por cuent'!A517</f>
        <v>ARS</v>
      </c>
      <c r="B517" t="str">
        <f>+'[2]por cuent'!B517</f>
        <v>432000911</v>
      </c>
      <c r="C517" t="str">
        <f>+'[2]por cuent'!C517</f>
        <v>BANCO VALORES AG CUSTODIA FIRST RENTA MIXTA III FCI</v>
      </c>
      <c r="D517" s="35">
        <f>+'[2]por cuent'!G517</f>
        <v>3045134030</v>
      </c>
      <c r="E517" s="35">
        <f>+'[2]por cuent'!H517</f>
        <v>3045134030</v>
      </c>
      <c r="F517" t="str">
        <f>+'[2]por cuent'!I517</f>
        <v>432</v>
      </c>
    </row>
    <row r="518" spans="1:6" x14ac:dyDescent="0.35">
      <c r="A518" t="str">
        <f>+'[2]por cuent'!A518</f>
        <v>ARS</v>
      </c>
      <c r="B518" t="str">
        <f>+'[2]por cuent'!B518</f>
        <v>432000927</v>
      </c>
      <c r="C518" t="str">
        <f>+'[2]por cuent'!C518</f>
        <v>STAGNARO DI CROCE, CAMILA</v>
      </c>
      <c r="D518" s="35">
        <f>+'[2]por cuent'!G518</f>
        <v>593400</v>
      </c>
      <c r="E518" s="35">
        <f>+'[2]por cuent'!H518</f>
        <v>593400</v>
      </c>
      <c r="F518" t="str">
        <f>+'[2]por cuent'!I518</f>
        <v>432</v>
      </c>
    </row>
    <row r="519" spans="1:6" x14ac:dyDescent="0.35">
      <c r="A519" t="str">
        <f>+'[2]por cuent'!A519</f>
        <v>ARS</v>
      </c>
      <c r="B519" t="str">
        <f>+'[2]por cuent'!B519</f>
        <v>432000928</v>
      </c>
      <c r="C519" t="str">
        <f>+'[2]por cuent'!C519</f>
        <v xml:space="preserve">NIGRA, ALESSANDRO JOSE </v>
      </c>
      <c r="D519" s="35">
        <f>+'[2]por cuent'!G519</f>
        <v>29602.799999999999</v>
      </c>
      <c r="E519" s="35">
        <f>+'[2]por cuent'!H519</f>
        <v>29602.799999999999</v>
      </c>
      <c r="F519" t="str">
        <f>+'[2]por cuent'!I519</f>
        <v>432</v>
      </c>
    </row>
    <row r="520" spans="1:6" x14ac:dyDescent="0.35">
      <c r="A520" t="str">
        <f>+'[2]por cuent'!A520</f>
        <v>ARS</v>
      </c>
      <c r="B520" t="str">
        <f>+'[2]por cuent'!B520</f>
        <v>432000946</v>
      </c>
      <c r="C520" t="str">
        <f>+'[2]por cuent'!C520</f>
        <v>BUYATTI, GERARDO LUIS</v>
      </c>
      <c r="D520" s="35">
        <f>+'[2]por cuent'!G520</f>
        <v>149558146.91</v>
      </c>
      <c r="E520" s="35">
        <f>+'[2]por cuent'!H520</f>
        <v>149558146.91</v>
      </c>
      <c r="F520" t="str">
        <f>+'[2]por cuent'!I520</f>
        <v>432</v>
      </c>
    </row>
    <row r="521" spans="1:6" x14ac:dyDescent="0.35">
      <c r="A521" t="str">
        <f>+'[2]por cuent'!A521</f>
        <v>ARS</v>
      </c>
      <c r="B521" t="str">
        <f>+'[2]por cuent'!B521</f>
        <v>432000958</v>
      </c>
      <c r="C521" t="str">
        <f>+'[2]por cuent'!C521</f>
        <v>Dolce, Pablo Adrián</v>
      </c>
      <c r="D521" s="35">
        <f>+'[2]por cuent'!G521</f>
        <v>3121952713.8800001</v>
      </c>
      <c r="E521" s="35">
        <f>+'[2]por cuent'!H521</f>
        <v>3121952713.8800001</v>
      </c>
      <c r="F521" t="str">
        <f>+'[2]por cuent'!I521</f>
        <v>432</v>
      </c>
    </row>
    <row r="522" spans="1:6" x14ac:dyDescent="0.35">
      <c r="A522" t="str">
        <f>+'[2]por cuent'!A522</f>
        <v>ARS</v>
      </c>
      <c r="B522" t="str">
        <f>+'[2]por cuent'!B522</f>
        <v>432000966</v>
      </c>
      <c r="C522" t="str">
        <f>+'[2]por cuent'!C522</f>
        <v>CURIOTTI, ALFREDO JUAN o CURIOTTI, JORGELINA</v>
      </c>
      <c r="D522" s="35">
        <f>+'[2]por cuent'!G522</f>
        <v>774900</v>
      </c>
      <c r="E522" s="35">
        <f>+'[2]por cuent'!H522</f>
        <v>774900</v>
      </c>
      <c r="F522" t="str">
        <f>+'[2]por cuent'!I522</f>
        <v>432</v>
      </c>
    </row>
    <row r="523" spans="1:6" x14ac:dyDescent="0.35">
      <c r="A523" t="str">
        <f>+'[2]por cuent'!A523</f>
        <v>ARS</v>
      </c>
      <c r="B523" t="str">
        <f>+'[2]por cuent'!B523</f>
        <v>432000983</v>
      </c>
      <c r="C523" t="str">
        <f>+'[2]por cuent'!C523</f>
        <v>BANCO VALORES AG CUSTODIA FIRST RENTA MIXTA V FCI</v>
      </c>
      <c r="D523" s="35">
        <f>+'[2]por cuent'!G523</f>
        <v>46408507.5</v>
      </c>
      <c r="E523" s="35">
        <f>+'[2]por cuent'!H523</f>
        <v>46408507.5</v>
      </c>
      <c r="F523" t="str">
        <f>+'[2]por cuent'!I523</f>
        <v>432</v>
      </c>
    </row>
    <row r="524" spans="1:6" x14ac:dyDescent="0.35">
      <c r="A524" t="str">
        <f>+'[2]por cuent'!A524</f>
        <v>ARS</v>
      </c>
      <c r="B524" t="str">
        <f>+'[2]por cuent'!B524</f>
        <v>432000994</v>
      </c>
      <c r="C524" t="str">
        <f>+'[2]por cuent'!C524</f>
        <v>BVSA SD FIRST RENTA MIXTA IV</v>
      </c>
      <c r="D524" s="35">
        <f>+'[2]por cuent'!G524</f>
        <v>1961366380.52</v>
      </c>
      <c r="E524" s="35">
        <f>+'[2]por cuent'!H524</f>
        <v>1961366380.52</v>
      </c>
      <c r="F524" t="str">
        <f>+'[2]por cuent'!I524</f>
        <v>432</v>
      </c>
    </row>
    <row r="525" spans="1:6" x14ac:dyDescent="0.35">
      <c r="A525" t="str">
        <f>+'[2]por cuent'!A525</f>
        <v>ARS</v>
      </c>
      <c r="B525" t="str">
        <f>+'[2]por cuent'!B525</f>
        <v>432000995</v>
      </c>
      <c r="C525" t="str">
        <f>+'[2]por cuent'!C525</f>
        <v>BVSA SD FIRST RENTA MIXTA VI</v>
      </c>
      <c r="D525" s="35">
        <f>+'[2]por cuent'!G525</f>
        <v>110298414.06</v>
      </c>
      <c r="E525" s="35">
        <f>+'[2]por cuent'!H525</f>
        <v>110298414.06</v>
      </c>
      <c r="F525" t="str">
        <f>+'[2]por cuent'!I525</f>
        <v>432</v>
      </c>
    </row>
    <row r="526" spans="1:6" x14ac:dyDescent="0.35">
      <c r="A526" t="str">
        <f>+'[2]por cuent'!A526</f>
        <v>ARS</v>
      </c>
      <c r="B526" t="str">
        <f>+'[2]por cuent'!B526</f>
        <v>432001005</v>
      </c>
      <c r="C526" t="str">
        <f>+'[2]por cuent'!C526</f>
        <v>Boggione, Fernando Carlos</v>
      </c>
      <c r="D526" s="35">
        <f>+'[2]por cuent'!G526</f>
        <v>146368148.56</v>
      </c>
      <c r="E526" s="35">
        <f>+'[2]por cuent'!H526</f>
        <v>146368148.56</v>
      </c>
      <c r="F526" t="str">
        <f>+'[2]por cuent'!I526</f>
        <v>432</v>
      </c>
    </row>
    <row r="527" spans="1:6" x14ac:dyDescent="0.35">
      <c r="A527" t="str">
        <f>+'[2]por cuent'!A527</f>
        <v>ARS</v>
      </c>
      <c r="B527" t="str">
        <f>+'[2]por cuent'!B527</f>
        <v>432001027</v>
      </c>
      <c r="C527" t="str">
        <f>+'[2]por cuent'!C527</f>
        <v>BRION, MARIANA NOELIA</v>
      </c>
      <c r="D527" s="35">
        <f>+'[2]por cuent'!G527</f>
        <v>1160631</v>
      </c>
      <c r="E527" s="35">
        <f>+'[2]por cuent'!H527</f>
        <v>1160631</v>
      </c>
      <c r="F527" t="str">
        <f>+'[2]por cuent'!I527</f>
        <v>432</v>
      </c>
    </row>
    <row r="528" spans="1:6" x14ac:dyDescent="0.35">
      <c r="A528" t="str">
        <f>+'[2]por cuent'!A528</f>
        <v>ARS</v>
      </c>
      <c r="B528" t="str">
        <f>+'[2]por cuent'!B528</f>
        <v>432001029</v>
      </c>
      <c r="C528" t="str">
        <f>+'[2]por cuent'!C528</f>
        <v>DISEÑO, LUZ Y SENTIDO S.R.L.</v>
      </c>
      <c r="D528" s="35">
        <f>+'[2]por cuent'!G528</f>
        <v>45638752</v>
      </c>
      <c r="E528" s="35">
        <f>+'[2]por cuent'!H528</f>
        <v>45638752</v>
      </c>
      <c r="F528" t="str">
        <f>+'[2]por cuent'!I528</f>
        <v>432</v>
      </c>
    </row>
    <row r="529" spans="1:6" x14ac:dyDescent="0.35">
      <c r="A529" t="str">
        <f>+'[2]por cuent'!A529</f>
        <v>ARS</v>
      </c>
      <c r="B529" t="str">
        <f>+'[2]por cuent'!B529</f>
        <v>432001050</v>
      </c>
      <c r="C529" t="str">
        <f>+'[2]por cuent'!C529</f>
        <v>BAÑON, MARIA FLORENCIA o BAÑON, RAUL ALFREDO</v>
      </c>
      <c r="D529" s="35">
        <f>+'[2]por cuent'!G529</f>
        <v>8024648</v>
      </c>
      <c r="E529" s="35">
        <f>+'[2]por cuent'!H529</f>
        <v>8024648</v>
      </c>
      <c r="F529" t="str">
        <f>+'[2]por cuent'!I529</f>
        <v>432</v>
      </c>
    </row>
    <row r="530" spans="1:6" x14ac:dyDescent="0.35">
      <c r="A530" t="str">
        <f>+'[2]por cuent'!A530</f>
        <v>ARS</v>
      </c>
      <c r="B530" t="str">
        <f>+'[2]por cuent'!B530</f>
        <v>432001072</v>
      </c>
      <c r="C530" t="str">
        <f>+'[2]por cuent'!C530</f>
        <v>BVSA SD FIRST RENTA MIXTA VII</v>
      </c>
      <c r="D530" s="35">
        <f>+'[2]por cuent'!G530</f>
        <v>1952565497.5799999</v>
      </c>
      <c r="E530" s="35">
        <f>+'[2]por cuent'!H530</f>
        <v>1952565497.5799999</v>
      </c>
      <c r="F530" t="str">
        <f>+'[2]por cuent'!I530</f>
        <v>432</v>
      </c>
    </row>
    <row r="531" spans="1:6" x14ac:dyDescent="0.35">
      <c r="A531" t="str">
        <f>+'[2]por cuent'!A531</f>
        <v>ARS</v>
      </c>
      <c r="B531" t="str">
        <f>+'[2]por cuent'!B531</f>
        <v>432001087</v>
      </c>
      <c r="C531" t="str">
        <f>+'[2]por cuent'!C531</f>
        <v>De Abaroa, Florencia</v>
      </c>
      <c r="D531" s="35">
        <f>+'[2]por cuent'!G531</f>
        <v>2943793.1</v>
      </c>
      <c r="E531" s="35">
        <f>+'[2]por cuent'!H531</f>
        <v>2943793.1</v>
      </c>
      <c r="F531" t="str">
        <f>+'[2]por cuent'!I531</f>
        <v>432</v>
      </c>
    </row>
    <row r="532" spans="1:6" x14ac:dyDescent="0.35">
      <c r="A532" t="str">
        <f>+'[2]por cuent'!A532</f>
        <v>ARS</v>
      </c>
      <c r="B532" t="str">
        <f>+'[2]por cuent'!B532</f>
        <v>432001099</v>
      </c>
      <c r="C532" t="str">
        <f>+'[2]por cuent'!C532</f>
        <v xml:space="preserve">DALLA BONA, INES  o DALLA BONA, ANA </v>
      </c>
      <c r="D532" s="35">
        <f>+'[2]por cuent'!G532</f>
        <v>26374551.260000002</v>
      </c>
      <c r="E532" s="35">
        <f>+'[2]por cuent'!H532</f>
        <v>26374551.260000002</v>
      </c>
      <c r="F532" t="str">
        <f>+'[2]por cuent'!I532</f>
        <v>432</v>
      </c>
    </row>
    <row r="533" spans="1:6" x14ac:dyDescent="0.35">
      <c r="A533" t="str">
        <f>+'[2]por cuent'!A533</f>
        <v>ARS</v>
      </c>
      <c r="B533" t="str">
        <f>+'[2]por cuent'!B533</f>
        <v>432001120</v>
      </c>
      <c r="C533" t="str">
        <f>+'[2]por cuent'!C533</f>
        <v>SOLOVEI, THIAGO TOMAS</v>
      </c>
      <c r="D533" s="35">
        <f>+'[2]por cuent'!G533</f>
        <v>299203486.33999997</v>
      </c>
      <c r="E533" s="35">
        <f>+'[2]por cuent'!H533</f>
        <v>299203486.33999997</v>
      </c>
      <c r="F533" t="str">
        <f>+'[2]por cuent'!I533</f>
        <v>432</v>
      </c>
    </row>
    <row r="534" spans="1:6" x14ac:dyDescent="0.35">
      <c r="A534" t="str">
        <f>+'[2]por cuent'!A534</f>
        <v>ARS</v>
      </c>
      <c r="B534" t="str">
        <f>+'[2]por cuent'!B534</f>
        <v>432001141</v>
      </c>
      <c r="C534" t="str">
        <f>+'[2]por cuent'!C534</f>
        <v>SOLOVEI SRL</v>
      </c>
      <c r="D534" s="35">
        <f>+'[2]por cuent'!G534</f>
        <v>336739354.02999997</v>
      </c>
      <c r="E534" s="35">
        <f>+'[2]por cuent'!H534</f>
        <v>336739354.02999997</v>
      </c>
      <c r="F534" t="str">
        <f>+'[2]por cuent'!I534</f>
        <v>432</v>
      </c>
    </row>
    <row r="535" spans="1:6" x14ac:dyDescent="0.35">
      <c r="A535" t="str">
        <f>+'[2]por cuent'!A535</f>
        <v>ARS</v>
      </c>
      <c r="B535" t="str">
        <f>+'[2]por cuent'!B535</f>
        <v>432001162</v>
      </c>
      <c r="C535" t="str">
        <f>+'[2]por cuent'!C535</f>
        <v>FABRE, HECTOR EDUARDO o DIAZ, ANA MARIA</v>
      </c>
      <c r="D535" s="35">
        <f>+'[2]por cuent'!G535</f>
        <v>107323023.25</v>
      </c>
      <c r="E535" s="35">
        <f>+'[2]por cuent'!H535</f>
        <v>107323023.25</v>
      </c>
      <c r="F535" t="str">
        <f>+'[2]por cuent'!I535</f>
        <v>432</v>
      </c>
    </row>
    <row r="536" spans="1:6" x14ac:dyDescent="0.35">
      <c r="A536" t="str">
        <f>+'[2]por cuent'!A536</f>
        <v>ARS</v>
      </c>
      <c r="B536" t="str">
        <f>+'[2]por cuent'!B536</f>
        <v>432001164</v>
      </c>
      <c r="C536" t="str">
        <f>+'[2]por cuent'!C536</f>
        <v>BASSANINI, DIEGO OMAR</v>
      </c>
      <c r="D536" s="35">
        <f>+'[2]por cuent'!G536</f>
        <v>278235077.93000001</v>
      </c>
      <c r="E536" s="35">
        <f>+'[2]por cuent'!H536</f>
        <v>278235077.93000001</v>
      </c>
      <c r="F536" t="str">
        <f>+'[2]por cuent'!I536</f>
        <v>432</v>
      </c>
    </row>
    <row r="537" spans="1:6" x14ac:dyDescent="0.35">
      <c r="A537" t="str">
        <f>+'[2]por cuent'!A537</f>
        <v>ARS</v>
      </c>
      <c r="B537" t="str">
        <f>+'[2]por cuent'!B537</f>
        <v>432001165</v>
      </c>
      <c r="C537" t="str">
        <f>+'[2]por cuent'!C537</f>
        <v>BASSANINI, VANINA PAOLA</v>
      </c>
      <c r="D537" s="35">
        <f>+'[2]por cuent'!G537</f>
        <v>276235007.31</v>
      </c>
      <c r="E537" s="35">
        <f>+'[2]por cuent'!H537</f>
        <v>276235007.31</v>
      </c>
      <c r="F537" t="str">
        <f>+'[2]por cuent'!I537</f>
        <v>432</v>
      </c>
    </row>
    <row r="538" spans="1:6" x14ac:dyDescent="0.35">
      <c r="A538" t="str">
        <f>+'[2]por cuent'!A538</f>
        <v>ARS</v>
      </c>
      <c r="B538" t="str">
        <f>+'[2]por cuent'!B538</f>
        <v>432001185</v>
      </c>
      <c r="C538" t="str">
        <f>+'[2]por cuent'!C538</f>
        <v>MAISNER, CANDELA AGUSTINA</v>
      </c>
      <c r="D538" s="35">
        <f>+'[2]por cuent'!G538</f>
        <v>377947.5</v>
      </c>
      <c r="E538" s="35">
        <f>+'[2]por cuent'!H538</f>
        <v>377947.5</v>
      </c>
      <c r="F538" t="str">
        <f>+'[2]por cuent'!I538</f>
        <v>432</v>
      </c>
    </row>
    <row r="539" spans="1:6" x14ac:dyDescent="0.35">
      <c r="A539" t="str">
        <f>+'[2]por cuent'!A539</f>
        <v>ARS</v>
      </c>
      <c r="B539" t="str">
        <f>+'[2]por cuent'!B539</f>
        <v>432001188</v>
      </c>
      <c r="C539" t="str">
        <f>+'[2]por cuent'!C539</f>
        <v>PROCESOS INDUSTRIALES METALLO SA</v>
      </c>
      <c r="D539" s="35">
        <f>+'[2]por cuent'!G539</f>
        <v>3586741284.0900002</v>
      </c>
      <c r="E539" s="35">
        <f>+'[2]por cuent'!H539</f>
        <v>3586741284.0900002</v>
      </c>
      <c r="F539" t="str">
        <f>+'[2]por cuent'!I539</f>
        <v>432</v>
      </c>
    </row>
    <row r="540" spans="1:6" x14ac:dyDescent="0.35">
      <c r="A540" t="str">
        <f>+'[2]por cuent'!A540</f>
        <v>ARS</v>
      </c>
      <c r="B540" t="str">
        <f>+'[2]por cuent'!B540</f>
        <v>432001189</v>
      </c>
      <c r="C540" t="str">
        <f>+'[2]por cuent'!C540</f>
        <v xml:space="preserve">OPTILINK S.R.L. </v>
      </c>
      <c r="D540" s="35">
        <f>+'[2]por cuent'!G540</f>
        <v>69353345.599999994</v>
      </c>
      <c r="E540" s="35">
        <f>+'[2]por cuent'!H540</f>
        <v>69353345.599999994</v>
      </c>
      <c r="F540" t="str">
        <f>+'[2]por cuent'!I540</f>
        <v>432</v>
      </c>
    </row>
    <row r="541" spans="1:6" x14ac:dyDescent="0.35">
      <c r="A541" t="str">
        <f>+'[2]por cuent'!A541</f>
        <v>ARS</v>
      </c>
      <c r="B541" t="str">
        <f>+'[2]por cuent'!B541</f>
        <v>432001192</v>
      </c>
      <c r="C541" t="str">
        <f>+'[2]por cuent'!C541</f>
        <v xml:space="preserve"> DISTRIBUIDORA BASSANINI S.R.L. </v>
      </c>
      <c r="D541" s="35">
        <f>+'[2]por cuent'!G541</f>
        <v>6026150</v>
      </c>
      <c r="E541" s="35">
        <f>+'[2]por cuent'!H541</f>
        <v>6026150</v>
      </c>
      <c r="F541" t="str">
        <f>+'[2]por cuent'!I541</f>
        <v>432</v>
      </c>
    </row>
    <row r="542" spans="1:6" x14ac:dyDescent="0.35">
      <c r="A542" t="str">
        <f>+'[2]por cuent'!A542</f>
        <v>ARS</v>
      </c>
      <c r="B542" t="str">
        <f>+'[2]por cuent'!B542</f>
        <v>432001199</v>
      </c>
      <c r="C542" t="str">
        <f>+'[2]por cuent'!C542</f>
        <v>FONDO ARGENTINO SA</v>
      </c>
      <c r="D542" s="35">
        <f>+'[2]por cuent'!G542</f>
        <v>286226310.51999998</v>
      </c>
      <c r="E542" s="35">
        <f>+'[2]por cuent'!H542</f>
        <v>286226310.51999998</v>
      </c>
      <c r="F542" t="str">
        <f>+'[2]por cuent'!I542</f>
        <v>432</v>
      </c>
    </row>
    <row r="543" spans="1:6" x14ac:dyDescent="0.35">
      <c r="A543" t="str">
        <f>+'[2]por cuent'!A543</f>
        <v>ARS</v>
      </c>
      <c r="B543" t="str">
        <f>+'[2]por cuent'!B543</f>
        <v>432001207</v>
      </c>
      <c r="C543" t="str">
        <f>+'[2]por cuent'!C543</f>
        <v>ARRIGONI, BARBARA o ARRIGONI MIGUEL o BALMAS CLAUDIA</v>
      </c>
      <c r="D543" s="35">
        <f>+'[2]por cuent'!G543</f>
        <v>45684</v>
      </c>
      <c r="E543" s="35">
        <f>+'[2]por cuent'!H543</f>
        <v>45684</v>
      </c>
      <c r="F543" t="str">
        <f>+'[2]por cuent'!I543</f>
        <v>432</v>
      </c>
    </row>
    <row r="544" spans="1:6" x14ac:dyDescent="0.35">
      <c r="A544" t="str">
        <f>+'[2]por cuent'!A544</f>
        <v>ARS</v>
      </c>
      <c r="B544" t="str">
        <f>+'[2]por cuent'!B544</f>
        <v>432001214</v>
      </c>
      <c r="C544" t="str">
        <f>+'[2]por cuent'!C544</f>
        <v xml:space="preserve"> [C.E.R.A] Carsa S.A.</v>
      </c>
      <c r="D544" s="35">
        <f>+'[2]por cuent'!G544</f>
        <v>319084250.30000001</v>
      </c>
      <c r="E544" s="35">
        <f>+'[2]por cuent'!H544</f>
        <v>319084250.30000001</v>
      </c>
      <c r="F544" t="str">
        <f>+'[2]por cuent'!I544</f>
        <v>432</v>
      </c>
    </row>
    <row r="545" spans="1:6" x14ac:dyDescent="0.35">
      <c r="A545" t="str">
        <f>+'[2]por cuent'!A545</f>
        <v>ARS</v>
      </c>
      <c r="B545" t="str">
        <f>+'[2]por cuent'!B545</f>
        <v>432001242</v>
      </c>
      <c r="C545" t="str">
        <f>+'[2]por cuent'!C545</f>
        <v xml:space="preserve">MANSFIELD MINERA S A </v>
      </c>
      <c r="D545" s="35">
        <f>+'[2]por cuent'!G545</f>
        <v>43426456882.940002</v>
      </c>
      <c r="E545" s="35">
        <f>+'[2]por cuent'!H545</f>
        <v>43426456882.940002</v>
      </c>
      <c r="F545" t="str">
        <f>+'[2]por cuent'!I545</f>
        <v>432</v>
      </c>
    </row>
    <row r="546" spans="1:6" x14ac:dyDescent="0.35">
      <c r="A546" t="str">
        <f>+'[2]por cuent'!A546</f>
        <v>ARS</v>
      </c>
      <c r="B546" t="str">
        <f>+'[2]por cuent'!B546</f>
        <v>432001247</v>
      </c>
      <c r="C546" t="str">
        <f>+'[2]por cuent'!C546</f>
        <v>Bo, Diego Maximiliano</v>
      </c>
      <c r="D546" s="35">
        <f>+'[2]por cuent'!G546</f>
        <v>7263651.4699999997</v>
      </c>
      <c r="E546" s="35">
        <f>+'[2]por cuent'!H546</f>
        <v>7263651.4699999997</v>
      </c>
      <c r="F546" t="str">
        <f>+'[2]por cuent'!I546</f>
        <v>432</v>
      </c>
    </row>
    <row r="547" spans="1:6" x14ac:dyDescent="0.35">
      <c r="A547" t="str">
        <f>+'[2]por cuent'!A547</f>
        <v>ARS</v>
      </c>
      <c r="B547" t="str">
        <f>+'[2]por cuent'!B547</f>
        <v>432001248</v>
      </c>
      <c r="C547" t="str">
        <f>+'[2]por cuent'!C547</f>
        <v>BISCAY, MATIAS  o YERRO, MARISA SILVINA</v>
      </c>
      <c r="D547" s="35">
        <f>+'[2]por cuent'!G547</f>
        <v>126459413.7</v>
      </c>
      <c r="E547" s="35">
        <f>+'[2]por cuent'!H547</f>
        <v>126459413.7</v>
      </c>
      <c r="F547" t="str">
        <f>+'[2]por cuent'!I547</f>
        <v>432</v>
      </c>
    </row>
    <row r="548" spans="1:6" x14ac:dyDescent="0.35">
      <c r="A548" t="str">
        <f>+'[2]por cuent'!A548</f>
        <v>ARS</v>
      </c>
      <c r="B548" t="str">
        <f>+'[2]por cuent'!B548</f>
        <v>432001250</v>
      </c>
      <c r="C548" t="str">
        <f>+'[2]por cuent'!C548</f>
        <v>H&amp;S MANAGEMENT S. A. S.</v>
      </c>
      <c r="D548" s="35">
        <f>+'[2]por cuent'!G548</f>
        <v>1923700</v>
      </c>
      <c r="E548" s="35">
        <f>+'[2]por cuent'!H548</f>
        <v>1923700</v>
      </c>
      <c r="F548" t="str">
        <f>+'[2]por cuent'!I548</f>
        <v>432</v>
      </c>
    </row>
    <row r="549" spans="1:6" x14ac:dyDescent="0.35">
      <c r="A549" t="str">
        <f>+'[2]por cuent'!A549</f>
        <v>ARS</v>
      </c>
      <c r="B549" t="str">
        <f>+'[2]por cuent'!B549</f>
        <v>432001251</v>
      </c>
      <c r="C549" t="str">
        <f>+'[2]por cuent'!C549</f>
        <v>RODRIGUEZ, HUGO FERNANDO o Mendes Novo, Maisa</v>
      </c>
      <c r="D549" s="35">
        <f>+'[2]por cuent'!G549</f>
        <v>19690.3</v>
      </c>
      <c r="E549" s="35">
        <f>+'[2]por cuent'!H549</f>
        <v>19690.3</v>
      </c>
      <c r="F549" t="str">
        <f>+'[2]por cuent'!I549</f>
        <v>432</v>
      </c>
    </row>
    <row r="550" spans="1:6" x14ac:dyDescent="0.35">
      <c r="A550" t="str">
        <f>+'[2]por cuent'!A550</f>
        <v>ARS</v>
      </c>
      <c r="B550" t="str">
        <f>+'[2]por cuent'!B550</f>
        <v>432001269</v>
      </c>
      <c r="C550" t="str">
        <f>+'[2]por cuent'!C550</f>
        <v>GARFINKEL,  VICTOR BERNARDO o GARFINKEL, VICTORIA</v>
      </c>
      <c r="D550" s="35">
        <f>+'[2]por cuent'!G550</f>
        <v>4959855</v>
      </c>
      <c r="E550" s="35">
        <f>+'[2]por cuent'!H550</f>
        <v>4959855</v>
      </c>
      <c r="F550" t="str">
        <f>+'[2]por cuent'!I550</f>
        <v>432</v>
      </c>
    </row>
    <row r="551" spans="1:6" x14ac:dyDescent="0.35">
      <c r="A551" t="str">
        <f>+'[2]por cuent'!A551</f>
        <v>ARS</v>
      </c>
      <c r="B551" t="str">
        <f>+'[2]por cuent'!B551</f>
        <v>432001272</v>
      </c>
      <c r="C551" t="str">
        <f>+'[2]por cuent'!C551</f>
        <v>DI CROCE, SUSANA BEATRIZ</v>
      </c>
      <c r="D551" s="35">
        <f>+'[2]por cuent'!G551</f>
        <v>4428158.76</v>
      </c>
      <c r="E551" s="35">
        <f>+'[2]por cuent'!H551</f>
        <v>4428158.76</v>
      </c>
      <c r="F551" t="str">
        <f>+'[2]por cuent'!I551</f>
        <v>432</v>
      </c>
    </row>
    <row r="552" spans="1:6" x14ac:dyDescent="0.35">
      <c r="A552" t="str">
        <f>+'[2]por cuent'!A552</f>
        <v>ARS</v>
      </c>
      <c r="B552" t="str">
        <f>+'[2]por cuent'!B552</f>
        <v>432001273</v>
      </c>
      <c r="C552" t="str">
        <f>+'[2]por cuent'!C552</f>
        <v>STAGNARO, RANDY PAUL</v>
      </c>
      <c r="D552" s="35">
        <f>+'[2]por cuent'!G552</f>
        <v>21808344.399999999</v>
      </c>
      <c r="E552" s="35">
        <f>+'[2]por cuent'!H552</f>
        <v>21808344.399999999</v>
      </c>
      <c r="F552" t="str">
        <f>+'[2]por cuent'!I552</f>
        <v>432</v>
      </c>
    </row>
    <row r="553" spans="1:6" x14ac:dyDescent="0.35">
      <c r="A553" t="str">
        <f>+'[2]por cuent'!A553</f>
        <v>ARS</v>
      </c>
      <c r="B553" t="str">
        <f>+'[2]por cuent'!B553</f>
        <v>432001275</v>
      </c>
      <c r="C553" t="str">
        <f>+'[2]por cuent'!C553</f>
        <v>LOS GROBO AGROPECUARIA S. A. s/CONCURSO PREVENTIVO (Expte145/2025)</v>
      </c>
      <c r="D553" s="35">
        <f>+'[2]por cuent'!G553</f>
        <v>1689578</v>
      </c>
      <c r="E553" s="35">
        <f>+'[2]por cuent'!H553</f>
        <v>1689578</v>
      </c>
      <c r="F553" t="str">
        <f>+'[2]por cuent'!I553</f>
        <v>432</v>
      </c>
    </row>
    <row r="554" spans="1:6" x14ac:dyDescent="0.35">
      <c r="A554" t="str">
        <f>+'[2]por cuent'!A554</f>
        <v>ARS</v>
      </c>
      <c r="B554" t="str">
        <f>+'[2]por cuent'!B554</f>
        <v>432001280</v>
      </c>
      <c r="C554" t="str">
        <f>+'[2]por cuent'!C554</f>
        <v>100 BARES PRODUCCIONES SA</v>
      </c>
      <c r="D554" s="35">
        <f>+'[2]por cuent'!G554</f>
        <v>149557387.16999999</v>
      </c>
      <c r="E554" s="35">
        <f>+'[2]por cuent'!H554</f>
        <v>149557387.16999999</v>
      </c>
      <c r="F554" t="str">
        <f>+'[2]por cuent'!I554</f>
        <v>432</v>
      </c>
    </row>
    <row r="555" spans="1:6" x14ac:dyDescent="0.35">
      <c r="A555" t="str">
        <f>+'[2]por cuent'!A555</f>
        <v>ARS</v>
      </c>
      <c r="B555" t="str">
        <f>+'[2]por cuent'!B555</f>
        <v>435000005</v>
      </c>
      <c r="C555" t="str">
        <f>+'[2]por cuent'!C555</f>
        <v>Inverstart S.A.- Contrapartida Líquida -</v>
      </c>
      <c r="D555" s="35">
        <f>+'[2]por cuent'!G555</f>
        <v>6775</v>
      </c>
      <c r="E555" s="35">
        <f>+'[2]por cuent'!H555</f>
        <v>6775</v>
      </c>
      <c r="F555" t="str">
        <f>+'[2]por cuent'!I555</f>
        <v>435</v>
      </c>
    </row>
    <row r="556" spans="1:6" x14ac:dyDescent="0.35">
      <c r="A556" t="str">
        <f>+'[2]por cuent'!A556</f>
        <v>ARS</v>
      </c>
      <c r="B556" t="str">
        <f>+'[2]por cuent'!B556</f>
        <v>435000006</v>
      </c>
      <c r="C556" t="str">
        <f>+'[2]por cuent'!C556</f>
        <v>Inverstart S.A.</v>
      </c>
      <c r="D556" s="35">
        <f>+'[2]por cuent'!G556</f>
        <v>240995085.33000001</v>
      </c>
      <c r="E556" s="35">
        <f>+'[2]por cuent'!H556</f>
        <v>240995085.33000001</v>
      </c>
      <c r="F556" t="str">
        <f>+'[2]por cuent'!I556</f>
        <v>435</v>
      </c>
    </row>
    <row r="557" spans="1:6" x14ac:dyDescent="0.35">
      <c r="A557" t="str">
        <f>+'[2]por cuent'!A557</f>
        <v>ARS</v>
      </c>
      <c r="B557" t="str">
        <f>+'[2]por cuent'!B557</f>
        <v>435000007</v>
      </c>
      <c r="C557" t="str">
        <f>+'[2]por cuent'!C557</f>
        <v>Conti, Sergio Horacio o Dominguez, Viviana Beatriz</v>
      </c>
      <c r="D557" s="35">
        <f>+'[2]por cuent'!G557</f>
        <v>1897683573.04</v>
      </c>
      <c r="E557" s="35">
        <f>+'[2]por cuent'!H557</f>
        <v>1897683573.04</v>
      </c>
      <c r="F557" t="str">
        <f>+'[2]por cuent'!I557</f>
        <v>435</v>
      </c>
    </row>
    <row r="558" spans="1:6" x14ac:dyDescent="0.35">
      <c r="A558" t="str">
        <f>+'[2]por cuent'!A558</f>
        <v>ARS</v>
      </c>
      <c r="B558" t="str">
        <f>+'[2]por cuent'!B558</f>
        <v>435000009</v>
      </c>
      <c r="C558" t="str">
        <f>+'[2]por cuent'!C558</f>
        <v>Repuestos Pesados SAS</v>
      </c>
      <c r="D558" s="35">
        <f>+'[2]por cuent'!G558</f>
        <v>1986522553.05</v>
      </c>
      <c r="E558" s="35">
        <f>+'[2]por cuent'!H558</f>
        <v>1986522553.05</v>
      </c>
      <c r="F558" t="str">
        <f>+'[2]por cuent'!I558</f>
        <v>435</v>
      </c>
    </row>
    <row r="559" spans="1:6" x14ac:dyDescent="0.35">
      <c r="A559" t="str">
        <f>+'[2]por cuent'!A559</f>
        <v>ARS</v>
      </c>
      <c r="B559" t="str">
        <f>+'[2]por cuent'!B559</f>
        <v>435000010</v>
      </c>
      <c r="C559" t="str">
        <f>+'[2]por cuent'!C559</f>
        <v>Romero, Raúl Javier</v>
      </c>
      <c r="D559" s="35">
        <f>+'[2]por cuent'!G559</f>
        <v>6881672.8399999999</v>
      </c>
      <c r="E559" s="35">
        <f>+'[2]por cuent'!H559</f>
        <v>6881672.8399999999</v>
      </c>
      <c r="F559" t="str">
        <f>+'[2]por cuent'!I559</f>
        <v>435</v>
      </c>
    </row>
    <row r="560" spans="1:6" x14ac:dyDescent="0.35">
      <c r="A560" t="str">
        <f>+'[2]por cuent'!A560</f>
        <v>ARS</v>
      </c>
      <c r="B560" t="str">
        <f>+'[2]por cuent'!B560</f>
        <v>435000011</v>
      </c>
      <c r="C560" t="str">
        <f>+'[2]por cuent'!C560</f>
        <v>Diesel Service S.R.L.</v>
      </c>
      <c r="D560" s="35">
        <f>+'[2]por cuent'!G560</f>
        <v>53287001.329999998</v>
      </c>
      <c r="E560" s="35">
        <f>+'[2]por cuent'!H560</f>
        <v>53287001.329999998</v>
      </c>
      <c r="F560" t="str">
        <f>+'[2]por cuent'!I560</f>
        <v>435</v>
      </c>
    </row>
    <row r="561" spans="1:6" x14ac:dyDescent="0.35">
      <c r="A561" t="str">
        <f>+'[2]por cuent'!A561</f>
        <v>ARS</v>
      </c>
      <c r="B561" t="str">
        <f>+'[2]por cuent'!B561</f>
        <v>435000014</v>
      </c>
      <c r="C561" t="str">
        <f>+'[2]por cuent'!C561</f>
        <v>Muñoz, Leandro Adrián Evaristo  o Boulet, Marisol Liliana</v>
      </c>
      <c r="D561" s="35">
        <f>+'[2]por cuent'!G561</f>
        <v>123343337.56999999</v>
      </c>
      <c r="E561" s="35">
        <f>+'[2]por cuent'!H561</f>
        <v>123343337.56999999</v>
      </c>
      <c r="F561" t="str">
        <f>+'[2]por cuent'!I561</f>
        <v>435</v>
      </c>
    </row>
    <row r="562" spans="1:6" x14ac:dyDescent="0.35">
      <c r="A562" t="str">
        <f>+'[2]por cuent'!A562</f>
        <v>ARS</v>
      </c>
      <c r="B562" t="str">
        <f>+'[2]por cuent'!B562</f>
        <v>435000015</v>
      </c>
      <c r="C562" t="str">
        <f>+'[2]por cuent'!C562</f>
        <v>Nieto, Lucio Edgardo</v>
      </c>
      <c r="D562" s="35">
        <f>+'[2]por cuent'!G562</f>
        <v>172559019.30000001</v>
      </c>
      <c r="E562" s="35">
        <f>+'[2]por cuent'!H562</f>
        <v>172559019.30000001</v>
      </c>
      <c r="F562" t="str">
        <f>+'[2]por cuent'!I562</f>
        <v>435</v>
      </c>
    </row>
    <row r="563" spans="1:6" x14ac:dyDescent="0.35">
      <c r="A563" t="str">
        <f>+'[2]por cuent'!A563</f>
        <v>ARS</v>
      </c>
      <c r="B563" t="str">
        <f>+'[2]por cuent'!B563</f>
        <v>435000020</v>
      </c>
      <c r="C563" t="str">
        <f>+'[2]por cuent'!C563</f>
        <v>Bolognesi, Roberto Oscar o Massaro, Silvia Edith o Nieto, Lucio Edgardo</v>
      </c>
      <c r="D563" s="35">
        <f>+'[2]por cuent'!G563</f>
        <v>24060214</v>
      </c>
      <c r="E563" s="35">
        <f>+'[2]por cuent'!H563</f>
        <v>24060214</v>
      </c>
      <c r="F563" t="str">
        <f>+'[2]por cuent'!I563</f>
        <v>435</v>
      </c>
    </row>
    <row r="564" spans="1:6" x14ac:dyDescent="0.35">
      <c r="A564" t="str">
        <f>+'[2]por cuent'!A564</f>
        <v>ARS</v>
      </c>
      <c r="B564" t="str">
        <f>+'[2]por cuent'!B564</f>
        <v>435000023</v>
      </c>
      <c r="C564" t="str">
        <f>+'[2]por cuent'!C564</f>
        <v>Instecmec S.A.</v>
      </c>
      <c r="D564" s="35">
        <f>+'[2]por cuent'!G564</f>
        <v>224482823.75999999</v>
      </c>
      <c r="E564" s="35">
        <f>+'[2]por cuent'!H564</f>
        <v>224482823.75999999</v>
      </c>
      <c r="F564" t="str">
        <f>+'[2]por cuent'!I564</f>
        <v>435</v>
      </c>
    </row>
    <row r="565" spans="1:6" x14ac:dyDescent="0.35">
      <c r="A565" t="str">
        <f>+'[2]por cuent'!A565</f>
        <v>ARS</v>
      </c>
      <c r="B565" t="str">
        <f>+'[2]por cuent'!B565</f>
        <v>435000024</v>
      </c>
      <c r="C565" t="str">
        <f>+'[2]por cuent'!C565</f>
        <v xml:space="preserve">Aguilera, Domingo Vicente o Hidalgo, Susana </v>
      </c>
      <c r="D565" s="35">
        <f>+'[2]por cuent'!G565</f>
        <v>4524552.68</v>
      </c>
      <c r="E565" s="35">
        <f>+'[2]por cuent'!H565</f>
        <v>4524552.68</v>
      </c>
      <c r="F565" t="str">
        <f>+'[2]por cuent'!I565</f>
        <v>435</v>
      </c>
    </row>
    <row r="566" spans="1:6" x14ac:dyDescent="0.35">
      <c r="A566" t="str">
        <f>+'[2]por cuent'!A566</f>
        <v>ARS</v>
      </c>
      <c r="B566" t="str">
        <f>+'[2]por cuent'!B566</f>
        <v>435000027</v>
      </c>
      <c r="C566" t="str">
        <f>+'[2]por cuent'!C566</f>
        <v>Salaceta, Alberto Orlando o Muñoz, Leandro Adrián Evaristo  o Nieto, Lucio Edgardo</v>
      </c>
      <c r="D566" s="35">
        <f>+'[2]por cuent'!G566</f>
        <v>38319832.729999997</v>
      </c>
      <c r="E566" s="35">
        <f>+'[2]por cuent'!H566</f>
        <v>38319832.729999997</v>
      </c>
      <c r="F566" t="str">
        <f>+'[2]por cuent'!I566</f>
        <v>435</v>
      </c>
    </row>
    <row r="567" spans="1:6" x14ac:dyDescent="0.35">
      <c r="A567" t="str">
        <f>+'[2]por cuent'!A567</f>
        <v>ARS</v>
      </c>
      <c r="B567" t="str">
        <f>+'[2]por cuent'!B567</f>
        <v>435000028</v>
      </c>
      <c r="C567" t="str">
        <f>+'[2]por cuent'!C567</f>
        <v xml:space="preserve">Salaceta, Alberto Orlando o Salaceta Ortiz, Emilio Nicolas </v>
      </c>
      <c r="D567" s="35">
        <f>+'[2]por cuent'!G567</f>
        <v>175605390.94999999</v>
      </c>
      <c r="E567" s="35">
        <f>+'[2]por cuent'!H567</f>
        <v>175605390.94999999</v>
      </c>
      <c r="F567" t="str">
        <f>+'[2]por cuent'!I567</f>
        <v>435</v>
      </c>
    </row>
    <row r="568" spans="1:6" x14ac:dyDescent="0.35">
      <c r="A568" t="str">
        <f>+'[2]por cuent'!A568</f>
        <v>ARS</v>
      </c>
      <c r="B568" t="str">
        <f>+'[2]por cuent'!B568</f>
        <v>435000032</v>
      </c>
      <c r="C568" t="str">
        <f>+'[2]por cuent'!C568</f>
        <v>Muñoz, Leandro Adrián Evaristo  o Nieto, Lucio Edgardo o Salaceta, Alberto Orlando</v>
      </c>
      <c r="D568" s="35">
        <f>+'[2]por cuent'!G568</f>
        <v>26848932.039999999</v>
      </c>
      <c r="E568" s="35">
        <f>+'[2]por cuent'!H568</f>
        <v>26848932.039999999</v>
      </c>
      <c r="F568" t="str">
        <f>+'[2]por cuent'!I568</f>
        <v>435</v>
      </c>
    </row>
    <row r="569" spans="1:6" x14ac:dyDescent="0.35">
      <c r="A569" t="str">
        <f>+'[2]por cuent'!A569</f>
        <v>ARS</v>
      </c>
      <c r="B569" t="str">
        <f>+'[2]por cuent'!B569</f>
        <v>435000035</v>
      </c>
      <c r="C569" t="str">
        <f>+'[2]por cuent'!C569</f>
        <v>[C.E.R.A.] Conti, Sergio Horacio</v>
      </c>
      <c r="D569" s="35">
        <f>+'[2]por cuent'!G569</f>
        <v>284604.59999999998</v>
      </c>
      <c r="E569" s="35">
        <f>+'[2]por cuent'!H569</f>
        <v>284604.59999999998</v>
      </c>
      <c r="F569" t="str">
        <f>+'[2]por cuent'!I569</f>
        <v>435</v>
      </c>
    </row>
    <row r="570" spans="1:6" x14ac:dyDescent="0.35">
      <c r="A570" t="str">
        <f>+'[2]por cuent'!A570</f>
        <v>ARS</v>
      </c>
      <c r="B570" t="str">
        <f>+'[2]por cuent'!B570</f>
        <v>435000036</v>
      </c>
      <c r="C570" t="str">
        <f>+'[2]por cuent'!C570</f>
        <v>[C.E.R.A.] De Marchi Alejandra</v>
      </c>
      <c r="D570" s="35">
        <f>+'[2]por cuent'!G570</f>
        <v>2824197.5</v>
      </c>
      <c r="E570" s="35">
        <f>+'[2]por cuent'!H570</f>
        <v>2824197.5</v>
      </c>
      <c r="F570" t="str">
        <f>+'[2]por cuent'!I570</f>
        <v>435</v>
      </c>
    </row>
    <row r="571" spans="1:6" x14ac:dyDescent="0.35">
      <c r="A571" t="str">
        <f>+'[2]por cuent'!A571</f>
        <v>ARS</v>
      </c>
      <c r="B571" t="str">
        <f>+'[2]por cuent'!B571</f>
        <v>435000037</v>
      </c>
      <c r="C571" t="str">
        <f>+'[2]por cuent'!C571</f>
        <v xml:space="preserve"> [C.E.R.A.] De Marchi, Gabriel Luis</v>
      </c>
      <c r="D571" s="35">
        <f>+'[2]por cuent'!G571</f>
        <v>3088997.5</v>
      </c>
      <c r="E571" s="35">
        <f>+'[2]por cuent'!H571</f>
        <v>3088997.5</v>
      </c>
      <c r="F571" t="str">
        <f>+'[2]por cuent'!I571</f>
        <v>435</v>
      </c>
    </row>
    <row r="572" spans="1:6" x14ac:dyDescent="0.35">
      <c r="A572" t="str">
        <f>+'[2]por cuent'!A572</f>
        <v>ARS</v>
      </c>
      <c r="B572" t="str">
        <f>+'[2]por cuent'!B572</f>
        <v>435000038</v>
      </c>
      <c r="C572" t="str">
        <f>+'[2]por cuent'!C572</f>
        <v>[C.E.R.A.] Proyectar AC SRL</v>
      </c>
      <c r="D572" s="35">
        <f>+'[2]por cuent'!G572</f>
        <v>3268880</v>
      </c>
      <c r="E572" s="35">
        <f>+'[2]por cuent'!H572</f>
        <v>3268880</v>
      </c>
      <c r="F572" t="str">
        <f>+'[2]por cuent'!I572</f>
        <v>435</v>
      </c>
    </row>
    <row r="573" spans="1:6" x14ac:dyDescent="0.35">
      <c r="A573" t="str">
        <f>+'[2]por cuent'!A573</f>
        <v>ARS</v>
      </c>
      <c r="B573" t="str">
        <f>+'[2]por cuent'!B573</f>
        <v>435000087</v>
      </c>
      <c r="C573" t="str">
        <f>+'[2]por cuent'!C573</f>
        <v>Fabre, Eduardo Anselmo</v>
      </c>
      <c r="D573" s="35">
        <f>+'[2]por cuent'!G573</f>
        <v>14588</v>
      </c>
      <c r="E573" s="35">
        <f>+'[2]por cuent'!H573</f>
        <v>14588</v>
      </c>
      <c r="F573" t="str">
        <f>+'[2]por cuent'!I573</f>
        <v>435</v>
      </c>
    </row>
    <row r="574" spans="1:6" x14ac:dyDescent="0.35">
      <c r="A574" t="str">
        <f>+'[2]por cuent'!A574</f>
        <v>ARS</v>
      </c>
      <c r="B574" t="str">
        <f>+'[2]por cuent'!B574</f>
        <v>435000091</v>
      </c>
      <c r="C574" t="str">
        <f>+'[2]por cuent'!C574</f>
        <v>Garcia, Oscar Alberto o Garcia, Natacha Jimena del Rosario o Volpe, Darío Javier</v>
      </c>
      <c r="D574" s="35">
        <f>+'[2]por cuent'!G574</f>
        <v>59108560</v>
      </c>
      <c r="E574" s="35">
        <f>+'[2]por cuent'!H574</f>
        <v>59108560</v>
      </c>
      <c r="F574" t="str">
        <f>+'[2]por cuent'!I574</f>
        <v>435</v>
      </c>
    </row>
    <row r="575" spans="1:6" x14ac:dyDescent="0.35">
      <c r="A575" t="str">
        <f>+'[2]por cuent'!A575</f>
        <v>ARS</v>
      </c>
      <c r="B575" t="str">
        <f>+'[2]por cuent'!B575</f>
        <v>435000100</v>
      </c>
      <c r="C575" t="str">
        <f>+'[2]por cuent'!C575</f>
        <v>Paolantonio, Roque Arturo o Gamboa, Elisa Beatriz</v>
      </c>
      <c r="D575" s="35">
        <f>+'[2]por cuent'!G575</f>
        <v>47249648</v>
      </c>
      <c r="E575" s="35">
        <f>+'[2]por cuent'!H575</f>
        <v>47249648</v>
      </c>
      <c r="F575" t="str">
        <f>+'[2]por cuent'!I575</f>
        <v>435</v>
      </c>
    </row>
    <row r="576" spans="1:6" x14ac:dyDescent="0.35">
      <c r="A576" t="str">
        <f>+'[2]por cuent'!A576</f>
        <v>ARS</v>
      </c>
      <c r="B576" t="str">
        <f>+'[2]por cuent'!B576</f>
        <v>435000101</v>
      </c>
      <c r="C576" t="str">
        <f>+'[2]por cuent'!C576</f>
        <v>Fabre, Eduardo Anselmo o Fabre, Paula</v>
      </c>
      <c r="D576" s="35">
        <f>+'[2]por cuent'!G576</f>
        <v>83270649.200000003</v>
      </c>
      <c r="E576" s="35">
        <f>+'[2]por cuent'!H576</f>
        <v>83270649.200000003</v>
      </c>
      <c r="F576" t="str">
        <f>+'[2]por cuent'!I576</f>
        <v>435</v>
      </c>
    </row>
    <row r="577" spans="1:6" x14ac:dyDescent="0.35">
      <c r="A577" t="str">
        <f>+'[2]por cuent'!A577</f>
        <v>ARS</v>
      </c>
      <c r="B577" t="str">
        <f>+'[2]por cuent'!B577</f>
        <v>435000103</v>
      </c>
      <c r="C577" t="str">
        <f>+'[2]por cuent'!C577</f>
        <v>Cardenas, Gustavo Alfredo</v>
      </c>
      <c r="D577" s="35">
        <f>+'[2]por cuent'!G577</f>
        <v>33692787.159999996</v>
      </c>
      <c r="E577" s="35">
        <f>+'[2]por cuent'!H577</f>
        <v>33692787.159999996</v>
      </c>
      <c r="F577" t="str">
        <f>+'[2]por cuent'!I577</f>
        <v>435</v>
      </c>
    </row>
    <row r="578" spans="1:6" x14ac:dyDescent="0.35">
      <c r="A578" t="str">
        <f>+'[2]por cuent'!A578</f>
        <v>ARS</v>
      </c>
      <c r="B578" t="str">
        <f>+'[2]por cuent'!B578</f>
        <v>435000104</v>
      </c>
      <c r="C578" t="str">
        <f>+'[2]por cuent'!C578</f>
        <v>Peralta, Osvaldo Darío o Capotosti, Daniela</v>
      </c>
      <c r="D578" s="35">
        <f>+'[2]por cuent'!G578</f>
        <v>1731884.59</v>
      </c>
      <c r="E578" s="35">
        <f>+'[2]por cuent'!H578</f>
        <v>1731884.59</v>
      </c>
      <c r="F578" t="str">
        <f>+'[2]por cuent'!I578</f>
        <v>435</v>
      </c>
    </row>
    <row r="579" spans="1:6" x14ac:dyDescent="0.35">
      <c r="A579" t="str">
        <f>+'[2]por cuent'!A579</f>
        <v>ARS</v>
      </c>
      <c r="B579" t="str">
        <f>+'[2]por cuent'!B579</f>
        <v>435000105</v>
      </c>
      <c r="C579" t="str">
        <f>+'[2]por cuent'!C579</f>
        <v>Espinós, Mariela Andrea o Espinós, Eliseo Leopoldo Enrique</v>
      </c>
      <c r="D579" s="35">
        <f>+'[2]por cuent'!G579</f>
        <v>184414472.80000001</v>
      </c>
      <c r="E579" s="35">
        <f>+'[2]por cuent'!H579</f>
        <v>184414472.80000001</v>
      </c>
      <c r="F579" t="str">
        <f>+'[2]por cuent'!I579</f>
        <v>435</v>
      </c>
    </row>
    <row r="580" spans="1:6" x14ac:dyDescent="0.35">
      <c r="A580" t="str">
        <f>+'[2]por cuent'!A580</f>
        <v>ARS</v>
      </c>
      <c r="B580" t="str">
        <f>+'[2]por cuent'!B580</f>
        <v>435000112</v>
      </c>
      <c r="C580" t="str">
        <f>+'[2]por cuent'!C580</f>
        <v>Karup, Nora Cristina o Coletto, Federico Enrique o Coletto, Gianina Anabella</v>
      </c>
      <c r="D580" s="35">
        <f>+'[2]por cuent'!G580</f>
        <v>39081841.060000002</v>
      </c>
      <c r="E580" s="35">
        <f>+'[2]por cuent'!H580</f>
        <v>39081841.060000002</v>
      </c>
      <c r="F580" t="str">
        <f>+'[2]por cuent'!I580</f>
        <v>435</v>
      </c>
    </row>
    <row r="581" spans="1:6" x14ac:dyDescent="0.35">
      <c r="A581" t="str">
        <f>+'[2]por cuent'!A581</f>
        <v>ARS</v>
      </c>
      <c r="B581" t="str">
        <f>+'[2]por cuent'!B581</f>
        <v>435000119</v>
      </c>
      <c r="C581" t="str">
        <f>+'[2]por cuent'!C581</f>
        <v>Dominguez, Viviana Beatriz o Conti, Sergio Horacio</v>
      </c>
      <c r="D581" s="35">
        <f>+'[2]por cuent'!G581</f>
        <v>19375</v>
      </c>
      <c r="E581" s="35">
        <f>+'[2]por cuent'!H581</f>
        <v>19375</v>
      </c>
      <c r="F581" t="str">
        <f>+'[2]por cuent'!I581</f>
        <v>435</v>
      </c>
    </row>
    <row r="582" spans="1:6" x14ac:dyDescent="0.35">
      <c r="A582" t="str">
        <f>+'[2]por cuent'!A582</f>
        <v>ARS</v>
      </c>
      <c r="B582" t="str">
        <f>+'[2]por cuent'!B582</f>
        <v>435000120</v>
      </c>
      <c r="C582" t="str">
        <f>+'[2]por cuent'!C582</f>
        <v>Sudamericana de Servicios S.A.</v>
      </c>
      <c r="D582" s="35">
        <f>+'[2]por cuent'!G582</f>
        <v>7573659</v>
      </c>
      <c r="E582" s="35">
        <f>+'[2]por cuent'!H582</f>
        <v>7573659</v>
      </c>
      <c r="F582" t="str">
        <f>+'[2]por cuent'!I582</f>
        <v>435</v>
      </c>
    </row>
    <row r="583" spans="1:6" x14ac:dyDescent="0.35">
      <c r="A583" t="str">
        <f>+'[2]por cuent'!A583</f>
        <v>ARS</v>
      </c>
      <c r="B583" t="str">
        <f>+'[2]por cuent'!B583</f>
        <v>435000122</v>
      </c>
      <c r="C583" t="str">
        <f>+'[2]por cuent'!C583</f>
        <v>Andreu, Raúl Fabián</v>
      </c>
      <c r="D583" s="35">
        <f>+'[2]por cuent'!G583</f>
        <v>100602.36</v>
      </c>
      <c r="E583" s="35">
        <f>+'[2]por cuent'!H583</f>
        <v>100602.36</v>
      </c>
      <c r="F583" t="str">
        <f>+'[2]por cuent'!I583</f>
        <v>435</v>
      </c>
    </row>
    <row r="584" spans="1:6" x14ac:dyDescent="0.35">
      <c r="A584" t="str">
        <f>+'[2]por cuent'!A584</f>
        <v>ARS</v>
      </c>
      <c r="B584" t="str">
        <f>+'[2]por cuent'!B584</f>
        <v>435000123</v>
      </c>
      <c r="C584" t="str">
        <f>+'[2]por cuent'!C584</f>
        <v>Costanzo, José Tomás</v>
      </c>
      <c r="D584" s="35">
        <f>+'[2]por cuent'!G584</f>
        <v>31943.4</v>
      </c>
      <c r="E584" s="35">
        <f>+'[2]por cuent'!H584</f>
        <v>31943.4</v>
      </c>
      <c r="F584" t="str">
        <f>+'[2]por cuent'!I584</f>
        <v>435</v>
      </c>
    </row>
    <row r="585" spans="1:6" x14ac:dyDescent="0.35">
      <c r="A585" t="str">
        <f>+'[2]por cuent'!A585</f>
        <v>ARS</v>
      </c>
      <c r="B585" t="str">
        <f>+'[2]por cuent'!B585</f>
        <v>435000129</v>
      </c>
      <c r="C585" t="str">
        <f>+'[2]por cuent'!C585</f>
        <v>Orozco, Pedro Efrayn o Martinez, Brian Ariel u Olmos, Maria Rosa</v>
      </c>
      <c r="D585" s="35">
        <f>+'[2]por cuent'!G585</f>
        <v>116527</v>
      </c>
      <c r="E585" s="35">
        <f>+'[2]por cuent'!H585</f>
        <v>116527</v>
      </c>
      <c r="F585" t="str">
        <f>+'[2]por cuent'!I585</f>
        <v>435</v>
      </c>
    </row>
    <row r="586" spans="1:6" x14ac:dyDescent="0.35">
      <c r="A586" t="str">
        <f>+'[2]por cuent'!A586</f>
        <v>ARS</v>
      </c>
      <c r="B586" t="str">
        <f>+'[2]por cuent'!B586</f>
        <v>435000140</v>
      </c>
      <c r="C586" t="str">
        <f>+'[2]por cuent'!C586</f>
        <v>Espinosa, Raul Enrique o Espinosa, Maria Evelina</v>
      </c>
      <c r="D586" s="35">
        <f>+'[2]por cuent'!G586</f>
        <v>20167</v>
      </c>
      <c r="E586" s="35">
        <f>+'[2]por cuent'!H586</f>
        <v>20167</v>
      </c>
      <c r="F586" t="str">
        <f>+'[2]por cuent'!I586</f>
        <v>435</v>
      </c>
    </row>
    <row r="587" spans="1:6" x14ac:dyDescent="0.35">
      <c r="A587" t="str">
        <f>+'[2]por cuent'!A587</f>
        <v>ARS</v>
      </c>
      <c r="B587" t="str">
        <f>+'[2]por cuent'!B587</f>
        <v>435000144</v>
      </c>
      <c r="C587" t="str">
        <f>+'[2]por cuent'!C587</f>
        <v>Ambrosi, Luis Alfredo o Solorza, Alicia</v>
      </c>
      <c r="D587" s="35">
        <f>+'[2]por cuent'!G587</f>
        <v>699106</v>
      </c>
      <c r="E587" s="35">
        <f>+'[2]por cuent'!H587</f>
        <v>699106</v>
      </c>
      <c r="F587" t="str">
        <f>+'[2]por cuent'!I587</f>
        <v>435</v>
      </c>
    </row>
    <row r="588" spans="1:6" x14ac:dyDescent="0.35">
      <c r="A588" t="str">
        <f>+'[2]por cuent'!A588</f>
        <v>ARS</v>
      </c>
      <c r="B588" t="str">
        <f>+'[2]por cuent'!B588</f>
        <v>435000145</v>
      </c>
      <c r="C588" t="str">
        <f>+'[2]por cuent'!C588</f>
        <v>Gomila, Pedro Lorenzo</v>
      </c>
      <c r="D588" s="35">
        <f>+'[2]por cuent'!G588</f>
        <v>1051451</v>
      </c>
      <c r="E588" s="35">
        <f>+'[2]por cuent'!H588</f>
        <v>1051451</v>
      </c>
      <c r="F588" t="str">
        <f>+'[2]por cuent'!I588</f>
        <v>435</v>
      </c>
    </row>
    <row r="589" spans="1:6" x14ac:dyDescent="0.35">
      <c r="A589" t="str">
        <f>+'[2]por cuent'!A589</f>
        <v>ARS</v>
      </c>
      <c r="B589" t="str">
        <f>+'[2]por cuent'!B589</f>
        <v>435000146</v>
      </c>
      <c r="C589" t="str">
        <f>+'[2]por cuent'!C589</f>
        <v>Ortega, Leandro Martin</v>
      </c>
      <c r="D589" s="35">
        <f>+'[2]por cuent'!G589</f>
        <v>6079948.7000000002</v>
      </c>
      <c r="E589" s="35">
        <f>+'[2]por cuent'!H589</f>
        <v>6079948.7000000002</v>
      </c>
      <c r="F589" t="str">
        <f>+'[2]por cuent'!I589</f>
        <v>435</v>
      </c>
    </row>
    <row r="590" spans="1:6" x14ac:dyDescent="0.35">
      <c r="A590" t="str">
        <f>+'[2]por cuent'!A590</f>
        <v>ARS</v>
      </c>
      <c r="B590" t="str">
        <f>+'[2]por cuent'!B590</f>
        <v>435000147</v>
      </c>
      <c r="C590" t="str">
        <f>+'[2]por cuent'!C590</f>
        <v>Oyola, Ricardo Walter</v>
      </c>
      <c r="D590" s="35">
        <f>+'[2]por cuent'!G590</f>
        <v>19365</v>
      </c>
      <c r="E590" s="35">
        <f>+'[2]por cuent'!H590</f>
        <v>19365</v>
      </c>
      <c r="F590" t="str">
        <f>+'[2]por cuent'!I590</f>
        <v>435</v>
      </c>
    </row>
    <row r="591" spans="1:6" x14ac:dyDescent="0.35">
      <c r="A591" t="str">
        <f>+'[2]por cuent'!A591</f>
        <v>ARS</v>
      </c>
      <c r="B591" t="str">
        <f>+'[2]por cuent'!B591</f>
        <v>435000156</v>
      </c>
      <c r="C591" t="str">
        <f>+'[2]por cuent'!C591</f>
        <v>Boulet, Vanesa Lidia o Boulet, Magali Isabel</v>
      </c>
      <c r="D591" s="35">
        <f>+'[2]por cuent'!G591</f>
        <v>261828</v>
      </c>
      <c r="E591" s="35">
        <f>+'[2]por cuent'!H591</f>
        <v>261828</v>
      </c>
      <c r="F591" t="str">
        <f>+'[2]por cuent'!I591</f>
        <v>435</v>
      </c>
    </row>
    <row r="592" spans="1:6" x14ac:dyDescent="0.35">
      <c r="A592" t="str">
        <f>+'[2]por cuent'!A592</f>
        <v>ARS</v>
      </c>
      <c r="B592" t="str">
        <f>+'[2]por cuent'!B592</f>
        <v>435000158</v>
      </c>
      <c r="C592" t="str">
        <f>+'[2]por cuent'!C592</f>
        <v>Los Virreyes S.A.</v>
      </c>
      <c r="D592" s="35">
        <f>+'[2]por cuent'!G592</f>
        <v>1089620.5</v>
      </c>
      <c r="E592" s="35">
        <f>+'[2]por cuent'!H592</f>
        <v>1089620.5</v>
      </c>
      <c r="F592" t="str">
        <f>+'[2]por cuent'!I592</f>
        <v>435</v>
      </c>
    </row>
    <row r="593" spans="1:6" x14ac:dyDescent="0.35">
      <c r="A593" t="str">
        <f>+'[2]por cuent'!A593</f>
        <v>ARS</v>
      </c>
      <c r="B593" t="str">
        <f>+'[2]por cuent'!B593</f>
        <v>435000164</v>
      </c>
      <c r="C593" t="str">
        <f>+'[2]por cuent'!C593</f>
        <v xml:space="preserve">Ortiz, Myrna Beatriz o Salaceta Ortiz, Emilio Nicolas </v>
      </c>
      <c r="D593" s="35">
        <f>+'[2]por cuent'!G593</f>
        <v>1869475.4</v>
      </c>
      <c r="E593" s="35">
        <f>+'[2]por cuent'!H593</f>
        <v>1869475.4</v>
      </c>
      <c r="F593" t="str">
        <f>+'[2]por cuent'!I593</f>
        <v>435</v>
      </c>
    </row>
    <row r="594" spans="1:6" x14ac:dyDescent="0.35">
      <c r="A594" t="str">
        <f>+'[2]por cuent'!A594</f>
        <v>ARS</v>
      </c>
      <c r="B594" t="str">
        <f>+'[2]por cuent'!B594</f>
        <v>435000165</v>
      </c>
      <c r="C594" t="str">
        <f>+'[2]por cuent'!C594</f>
        <v>Staiti, Antonio Salvador o Staiti, Federico</v>
      </c>
      <c r="D594" s="35">
        <f>+'[2]por cuent'!G594</f>
        <v>171784.4</v>
      </c>
      <c r="E594" s="35">
        <f>+'[2]por cuent'!H594</f>
        <v>171784.4</v>
      </c>
      <c r="F594" t="str">
        <f>+'[2]por cuent'!I594</f>
        <v>435</v>
      </c>
    </row>
    <row r="595" spans="1:6" x14ac:dyDescent="0.35">
      <c r="A595" t="str">
        <f>+'[2]por cuent'!A595</f>
        <v>ARS</v>
      </c>
      <c r="B595" t="str">
        <f>+'[2]por cuent'!B595</f>
        <v>435000169</v>
      </c>
      <c r="C595" t="str">
        <f>+'[2]por cuent'!C595</f>
        <v>Aguilar, Norberto Eduardo o Aguilar, Rodrigo Eduardo</v>
      </c>
      <c r="D595" s="35">
        <f>+'[2]por cuent'!G595</f>
        <v>152652</v>
      </c>
      <c r="E595" s="35">
        <f>+'[2]por cuent'!H595</f>
        <v>152652</v>
      </c>
      <c r="F595" t="str">
        <f>+'[2]por cuent'!I595</f>
        <v>435</v>
      </c>
    </row>
    <row r="596" spans="1:6" x14ac:dyDescent="0.35">
      <c r="A596" t="str">
        <f>+'[2]por cuent'!A596</f>
        <v>ARS</v>
      </c>
      <c r="B596" t="str">
        <f>+'[2]por cuent'!B596</f>
        <v>435000181</v>
      </c>
      <c r="C596" t="str">
        <f>+'[2]por cuent'!C596</f>
        <v>Briones, Carlos Alberto o Matus, America Sulma</v>
      </c>
      <c r="D596" s="35">
        <f>+'[2]por cuent'!G596</f>
        <v>12388.8</v>
      </c>
      <c r="E596" s="35">
        <f>+'[2]por cuent'!H596</f>
        <v>12388.8</v>
      </c>
      <c r="F596" t="str">
        <f>+'[2]por cuent'!I596</f>
        <v>435</v>
      </c>
    </row>
    <row r="597" spans="1:6" x14ac:dyDescent="0.35">
      <c r="A597" t="str">
        <f>+'[2]por cuent'!A597</f>
        <v>ARS</v>
      </c>
      <c r="B597" t="str">
        <f>+'[2]por cuent'!B597</f>
        <v>435000183</v>
      </c>
      <c r="C597" t="str">
        <f>+'[2]por cuent'!C597</f>
        <v>Vissio, Daniel o Vissio, Daniel Claudio o Vissio, Franco Jesus</v>
      </c>
      <c r="D597" s="35">
        <f>+'[2]por cuent'!G597</f>
        <v>445374969</v>
      </c>
      <c r="E597" s="35">
        <f>+'[2]por cuent'!H597</f>
        <v>445374969</v>
      </c>
      <c r="F597" t="str">
        <f>+'[2]por cuent'!I597</f>
        <v>435</v>
      </c>
    </row>
    <row r="598" spans="1:6" x14ac:dyDescent="0.35">
      <c r="A598" t="str">
        <f>+'[2]por cuent'!A598</f>
        <v>ARS</v>
      </c>
      <c r="B598" t="str">
        <f>+'[2]por cuent'!B598</f>
        <v>435000184</v>
      </c>
      <c r="C598" t="str">
        <f>+'[2]por cuent'!C598</f>
        <v>Funes, Juan Aristides o Funes Marty, Juan Adolfo Javier  o Funes Marty, Gonzalo Jesus</v>
      </c>
      <c r="D598" s="35">
        <f>+'[2]por cuent'!G598</f>
        <v>737624.83</v>
      </c>
      <c r="E598" s="35">
        <f>+'[2]por cuent'!H598</f>
        <v>737624.83</v>
      </c>
      <c r="F598" t="str">
        <f>+'[2]por cuent'!I598</f>
        <v>435</v>
      </c>
    </row>
    <row r="599" spans="1:6" x14ac:dyDescent="0.35">
      <c r="A599" t="str">
        <f>+'[2]por cuent'!A599</f>
        <v>ARS</v>
      </c>
      <c r="B599" t="str">
        <f>+'[2]por cuent'!B599</f>
        <v>435000189</v>
      </c>
      <c r="C599" t="str">
        <f>+'[2]por cuent'!C599</f>
        <v>Castillo, Eduardo Ulises o Romero Hernandez, Gloria Helena</v>
      </c>
      <c r="D599" s="35">
        <f>+'[2]por cuent'!G599</f>
        <v>15911440</v>
      </c>
      <c r="E599" s="35">
        <f>+'[2]por cuent'!H599</f>
        <v>15911440</v>
      </c>
      <c r="F599" t="str">
        <f>+'[2]por cuent'!I599</f>
        <v>435</v>
      </c>
    </row>
    <row r="600" spans="1:6" x14ac:dyDescent="0.35">
      <c r="A600" t="str">
        <f>+'[2]por cuent'!A600</f>
        <v>ARS</v>
      </c>
      <c r="B600" t="str">
        <f>+'[2]por cuent'!B600</f>
        <v>435000191</v>
      </c>
      <c r="C600" t="str">
        <f>+'[2]por cuent'!C600</f>
        <v>Coletto, Mario Enrique o Coletto, Federico Enrique</v>
      </c>
      <c r="D600" s="35">
        <f>+'[2]por cuent'!G600</f>
        <v>3418664.7</v>
      </c>
      <c r="E600" s="35">
        <f>+'[2]por cuent'!H600</f>
        <v>3418664.7</v>
      </c>
      <c r="F600" t="str">
        <f>+'[2]por cuent'!I600</f>
        <v>435</v>
      </c>
    </row>
    <row r="601" spans="1:6" x14ac:dyDescent="0.35">
      <c r="A601" t="str">
        <f>+'[2]por cuent'!A601</f>
        <v>ARS</v>
      </c>
      <c r="B601" t="str">
        <f>+'[2]por cuent'!B601</f>
        <v>435000192</v>
      </c>
      <c r="C601" t="str">
        <f>+'[2]por cuent'!C601</f>
        <v>Zaniuk, Juan Ignacio Nicolas o Martin, Norma Susana Angelica</v>
      </c>
      <c r="D601" s="35">
        <f>+'[2]por cuent'!G601</f>
        <v>1757527</v>
      </c>
      <c r="E601" s="35">
        <f>+'[2]por cuent'!H601</f>
        <v>1757527</v>
      </c>
      <c r="F601" t="str">
        <f>+'[2]por cuent'!I601</f>
        <v>435</v>
      </c>
    </row>
    <row r="602" spans="1:6" x14ac:dyDescent="0.35">
      <c r="A602" t="str">
        <f>+'[2]por cuent'!A602</f>
        <v>ARS</v>
      </c>
      <c r="B602" t="str">
        <f>+'[2]por cuent'!B602</f>
        <v>435000215</v>
      </c>
      <c r="C602" t="str">
        <f>+'[2]por cuent'!C602</f>
        <v>Hawaii Distribucion S.A.</v>
      </c>
      <c r="D602" s="35">
        <f>+'[2]por cuent'!G602</f>
        <v>1519000</v>
      </c>
      <c r="E602" s="35">
        <f>+'[2]por cuent'!H602</f>
        <v>1519000</v>
      </c>
      <c r="F602" t="str">
        <f>+'[2]por cuent'!I602</f>
        <v>435</v>
      </c>
    </row>
    <row r="603" spans="1:6" x14ac:dyDescent="0.35">
      <c r="A603" t="str">
        <f>+'[2]por cuent'!A603</f>
        <v>ARS</v>
      </c>
      <c r="B603" t="str">
        <f>+'[2]por cuent'!B603</f>
        <v>435000222</v>
      </c>
      <c r="C603" t="str">
        <f>+'[2]por cuent'!C603</f>
        <v>Paez, Oscar Alexander o Lencina, Nancy Susana</v>
      </c>
      <c r="D603" s="35">
        <f>+'[2]por cuent'!G603</f>
        <v>85025</v>
      </c>
      <c r="E603" s="35">
        <f>+'[2]por cuent'!H603</f>
        <v>85025</v>
      </c>
      <c r="F603" t="str">
        <f>+'[2]por cuent'!I603</f>
        <v>435</v>
      </c>
    </row>
    <row r="604" spans="1:6" x14ac:dyDescent="0.35">
      <c r="A604" t="str">
        <f>+'[2]por cuent'!A604</f>
        <v>ARS</v>
      </c>
      <c r="B604" t="str">
        <f>+'[2]por cuent'!B604</f>
        <v>435000223</v>
      </c>
      <c r="C604" t="str">
        <f>+'[2]por cuent'!C604</f>
        <v>Lencina, Nancy Susana o Paez, Oscar Alexander</v>
      </c>
      <c r="D604" s="35">
        <f>+'[2]por cuent'!G604</f>
        <v>371129</v>
      </c>
      <c r="E604" s="35">
        <f>+'[2]por cuent'!H604</f>
        <v>371129</v>
      </c>
      <c r="F604" t="str">
        <f>+'[2]por cuent'!I604</f>
        <v>435</v>
      </c>
    </row>
    <row r="605" spans="1:6" x14ac:dyDescent="0.35">
      <c r="A605" t="str">
        <f>+'[2]por cuent'!A605</f>
        <v>ARS</v>
      </c>
      <c r="B605" t="str">
        <f>+'[2]por cuent'!B605</f>
        <v>435000232</v>
      </c>
      <c r="C605" t="str">
        <f>+'[2]por cuent'!C605</f>
        <v>Ruiz, María Gracia o Vasquez, Carlos Alberto o Vasquez Ruiz, Martín u otros</v>
      </c>
      <c r="D605" s="35">
        <f>+'[2]por cuent'!G605</f>
        <v>26232</v>
      </c>
      <c r="E605" s="35">
        <f>+'[2]por cuent'!H605</f>
        <v>26232</v>
      </c>
      <c r="F605" t="str">
        <f>+'[2]por cuent'!I605</f>
        <v>435</v>
      </c>
    </row>
    <row r="606" spans="1:6" x14ac:dyDescent="0.35">
      <c r="A606" t="str">
        <f>+'[2]por cuent'!A606</f>
        <v>ARS</v>
      </c>
      <c r="B606" t="str">
        <f>+'[2]por cuent'!B606</f>
        <v>435000235</v>
      </c>
      <c r="C606" t="str">
        <f>+'[2]por cuent'!C606</f>
        <v>Romano, Humberto Antonio o Romano, Mariano Hernan</v>
      </c>
      <c r="D606" s="35">
        <f>+'[2]por cuent'!G606</f>
        <v>8767479</v>
      </c>
      <c r="E606" s="35">
        <f>+'[2]por cuent'!H606</f>
        <v>8767479</v>
      </c>
      <c r="F606" t="str">
        <f>+'[2]por cuent'!I606</f>
        <v>435</v>
      </c>
    </row>
    <row r="607" spans="1:6" x14ac:dyDescent="0.35">
      <c r="A607" t="str">
        <f>+'[2]por cuent'!A607</f>
        <v>ARS</v>
      </c>
      <c r="B607" t="str">
        <f>+'[2]por cuent'!B607</f>
        <v>435000236</v>
      </c>
      <c r="C607" t="str">
        <f>+'[2]por cuent'!C607</f>
        <v>Abraham, Elena Maria de las Nieves</v>
      </c>
      <c r="D607" s="35">
        <f>+'[2]por cuent'!G607</f>
        <v>832587</v>
      </c>
      <c r="E607" s="35">
        <f>+'[2]por cuent'!H607</f>
        <v>832587</v>
      </c>
      <c r="F607" t="str">
        <f>+'[2]por cuent'!I607</f>
        <v>435</v>
      </c>
    </row>
    <row r="608" spans="1:6" x14ac:dyDescent="0.35">
      <c r="A608" t="str">
        <f>+'[2]por cuent'!A608</f>
        <v>ARS</v>
      </c>
      <c r="B608" t="str">
        <f>+'[2]por cuent'!B608</f>
        <v>435000239</v>
      </c>
      <c r="C608" t="str">
        <f>+'[2]por cuent'!C608</f>
        <v>Vasquez Ruiz, Martín o Ruiz, María Gracia o Vasquez, Carlos Alberto u otros</v>
      </c>
      <c r="D608" s="35">
        <f>+'[2]por cuent'!G608</f>
        <v>7064418</v>
      </c>
      <c r="E608" s="35">
        <f>+'[2]por cuent'!H608</f>
        <v>7064418</v>
      </c>
      <c r="F608" t="str">
        <f>+'[2]por cuent'!I608</f>
        <v>435</v>
      </c>
    </row>
    <row r="609" spans="1:6" x14ac:dyDescent="0.35">
      <c r="A609" t="str">
        <f>+'[2]por cuent'!A609</f>
        <v>ARS</v>
      </c>
      <c r="B609" t="str">
        <f>+'[2]por cuent'!B609</f>
        <v>435000245</v>
      </c>
      <c r="C609" t="str">
        <f>+'[2]por cuent'!C609</f>
        <v>Vedia, Francisco Ruperto o Barroso, Ester del Carmen</v>
      </c>
      <c r="D609" s="35">
        <f>+'[2]por cuent'!G609</f>
        <v>370840</v>
      </c>
      <c r="E609" s="35">
        <f>+'[2]por cuent'!H609</f>
        <v>370840</v>
      </c>
      <c r="F609" t="str">
        <f>+'[2]por cuent'!I609</f>
        <v>435</v>
      </c>
    </row>
    <row r="610" spans="1:6" x14ac:dyDescent="0.35">
      <c r="A610" t="str">
        <f>+'[2]por cuent'!A610</f>
        <v>ARS</v>
      </c>
      <c r="B610" t="str">
        <f>+'[2]por cuent'!B610</f>
        <v>435000251</v>
      </c>
      <c r="C610" t="str">
        <f>+'[2]por cuent'!C610</f>
        <v>Bolognesi, Hector Luis</v>
      </c>
      <c r="D610" s="35">
        <f>+'[2]por cuent'!G610</f>
        <v>29720181</v>
      </c>
      <c r="E610" s="35">
        <f>+'[2]por cuent'!H610</f>
        <v>29720181</v>
      </c>
      <c r="F610" t="str">
        <f>+'[2]por cuent'!I610</f>
        <v>435</v>
      </c>
    </row>
    <row r="611" spans="1:6" x14ac:dyDescent="0.35">
      <c r="A611" t="str">
        <f>+'[2]por cuent'!A611</f>
        <v>ARS</v>
      </c>
      <c r="B611" t="str">
        <f>+'[2]por cuent'!B611</f>
        <v>435000257</v>
      </c>
      <c r="C611" t="str">
        <f>+'[2]por cuent'!C611</f>
        <v>Muscara, Lorena Alejandra o Muscara, Sandra Elisabeth o Romano, Anunciada Carmela</v>
      </c>
      <c r="D611" s="35">
        <f>+'[2]por cuent'!G611</f>
        <v>2649310</v>
      </c>
      <c r="E611" s="35">
        <f>+'[2]por cuent'!H611</f>
        <v>2649310</v>
      </c>
      <c r="F611" t="str">
        <f>+'[2]por cuent'!I611</f>
        <v>435</v>
      </c>
    </row>
    <row r="612" spans="1:6" x14ac:dyDescent="0.35">
      <c r="A612" t="str">
        <f>+'[2]por cuent'!A612</f>
        <v>ARS</v>
      </c>
      <c r="B612" t="str">
        <f>+'[2]por cuent'!B612</f>
        <v>435000260</v>
      </c>
      <c r="C612" t="str">
        <f>+'[2]por cuent'!C612</f>
        <v>Papaianni Pose, Alejandro Raul</v>
      </c>
      <c r="D612" s="35">
        <f>+'[2]por cuent'!G612</f>
        <v>375663849.89999998</v>
      </c>
      <c r="E612" s="35">
        <f>+'[2]por cuent'!H612</f>
        <v>375663849.89999998</v>
      </c>
      <c r="F612" t="str">
        <f>+'[2]por cuent'!I612</f>
        <v>435</v>
      </c>
    </row>
    <row r="613" spans="1:6" x14ac:dyDescent="0.35">
      <c r="A613" t="str">
        <f>+'[2]por cuent'!A613</f>
        <v>ARS</v>
      </c>
      <c r="B613" t="str">
        <f>+'[2]por cuent'!B613</f>
        <v>435000263</v>
      </c>
      <c r="C613" t="str">
        <f>+'[2]por cuent'!C613</f>
        <v>Franco, Graciela Amalia o Mignani, Exequiel Agustin</v>
      </c>
      <c r="D613" s="35">
        <f>+'[2]por cuent'!G613</f>
        <v>342661</v>
      </c>
      <c r="E613" s="35">
        <f>+'[2]por cuent'!H613</f>
        <v>342661</v>
      </c>
      <c r="F613" t="str">
        <f>+'[2]por cuent'!I613</f>
        <v>435</v>
      </c>
    </row>
    <row r="614" spans="1:6" x14ac:dyDescent="0.35">
      <c r="A614" t="str">
        <f>+'[2]por cuent'!A614</f>
        <v>ARS</v>
      </c>
      <c r="B614" t="str">
        <f>+'[2]por cuent'!B614</f>
        <v>435000265</v>
      </c>
      <c r="C614" t="str">
        <f>+'[2]por cuent'!C614</f>
        <v xml:space="preserve">Vissio, Marcos Robertino </v>
      </c>
      <c r="D614" s="35">
        <f>+'[2]por cuent'!G614</f>
        <v>1567952.7</v>
      </c>
      <c r="E614" s="35">
        <f>+'[2]por cuent'!H614</f>
        <v>1567952.7</v>
      </c>
      <c r="F614" t="str">
        <f>+'[2]por cuent'!I614</f>
        <v>435</v>
      </c>
    </row>
    <row r="615" spans="1:6" x14ac:dyDescent="0.35">
      <c r="A615" t="str">
        <f>+'[2]por cuent'!A615</f>
        <v>ARS</v>
      </c>
      <c r="B615" t="str">
        <f>+'[2]por cuent'!B615</f>
        <v>435000271</v>
      </c>
      <c r="C615" t="str">
        <f>+'[2]por cuent'!C615</f>
        <v>Turcuman, Ronaldo German o Flaviani, Natalia Elizabeth o Perez, Graciela Alicia</v>
      </c>
      <c r="D615" s="35">
        <f>+'[2]por cuent'!G615</f>
        <v>20440343.68</v>
      </c>
      <c r="E615" s="35">
        <f>+'[2]por cuent'!H615</f>
        <v>20440343.68</v>
      </c>
      <c r="F615" t="str">
        <f>+'[2]por cuent'!I615</f>
        <v>435</v>
      </c>
    </row>
    <row r="616" spans="1:6" x14ac:dyDescent="0.35">
      <c r="A616" t="str">
        <f>+'[2]por cuent'!A616</f>
        <v>ARS</v>
      </c>
      <c r="B616" t="str">
        <f>+'[2]por cuent'!B616</f>
        <v>435000272</v>
      </c>
      <c r="C616" t="str">
        <f>+'[2]por cuent'!C616</f>
        <v xml:space="preserve">Olagaray, Esther Patricia </v>
      </c>
      <c r="D616" s="35">
        <f>+'[2]por cuent'!G616</f>
        <v>216244115</v>
      </c>
      <c r="E616" s="35">
        <f>+'[2]por cuent'!H616</f>
        <v>216244115</v>
      </c>
      <c r="F616" t="str">
        <f>+'[2]por cuent'!I616</f>
        <v>435</v>
      </c>
    </row>
    <row r="617" spans="1:6" x14ac:dyDescent="0.35">
      <c r="A617" t="str">
        <f>+'[2]por cuent'!A617</f>
        <v>ARS</v>
      </c>
      <c r="B617" t="str">
        <f>+'[2]por cuent'!B617</f>
        <v>435000273</v>
      </c>
      <c r="C617" t="str">
        <f>+'[2]por cuent'!C617</f>
        <v>Sosa, Gonzalo Agustin</v>
      </c>
      <c r="D617" s="35">
        <f>+'[2]por cuent'!G617</f>
        <v>1256263</v>
      </c>
      <c r="E617" s="35">
        <f>+'[2]por cuent'!H617</f>
        <v>1256263</v>
      </c>
      <c r="F617" t="str">
        <f>+'[2]por cuent'!I617</f>
        <v>435</v>
      </c>
    </row>
    <row r="618" spans="1:6" x14ac:dyDescent="0.35">
      <c r="A618" t="str">
        <f>+'[2]por cuent'!A618</f>
        <v>ARS</v>
      </c>
      <c r="B618" t="str">
        <f>+'[2]por cuent'!B618</f>
        <v>435000276</v>
      </c>
      <c r="C618" t="str">
        <f>+'[2]por cuent'!C618</f>
        <v>Gibbs, Jose Guillermo o Gibbs Moreira, Guillermo Damian o Gibbs Moreira, Andres Enrique</v>
      </c>
      <c r="D618" s="35">
        <f>+'[2]por cuent'!G618</f>
        <v>326277186</v>
      </c>
      <c r="E618" s="35">
        <f>+'[2]por cuent'!H618</f>
        <v>326277186</v>
      </c>
      <c r="F618" t="str">
        <f>+'[2]por cuent'!I618</f>
        <v>435</v>
      </c>
    </row>
    <row r="619" spans="1:6" x14ac:dyDescent="0.35">
      <c r="A619" t="str">
        <f>+'[2]por cuent'!A619</f>
        <v>ARS</v>
      </c>
      <c r="B619" t="str">
        <f>+'[2]por cuent'!B619</f>
        <v>435000291</v>
      </c>
      <c r="C619" t="str">
        <f>+'[2]por cuent'!C619</f>
        <v>Rutas del Sol S.A.</v>
      </c>
      <c r="D619" s="35">
        <f>+'[2]por cuent'!G619</f>
        <v>30838020.489999998</v>
      </c>
      <c r="E619" s="35">
        <f>+'[2]por cuent'!H619</f>
        <v>30838020.489999998</v>
      </c>
      <c r="F619" t="str">
        <f>+'[2]por cuent'!I619</f>
        <v>435</v>
      </c>
    </row>
    <row r="620" spans="1:6" x14ac:dyDescent="0.35">
      <c r="A620" t="str">
        <f>+'[2]por cuent'!A620</f>
        <v>ARS</v>
      </c>
      <c r="B620" t="str">
        <f>+'[2]por cuent'!B620</f>
        <v>435000292</v>
      </c>
      <c r="C620" t="str">
        <f>+'[2]por cuent'!C620</f>
        <v>Vignoni, Susana Vicenta o Gonzalez, Juan Horacio</v>
      </c>
      <c r="D620" s="35">
        <f>+'[2]por cuent'!G620</f>
        <v>85099.6</v>
      </c>
      <c r="E620" s="35">
        <f>+'[2]por cuent'!H620</f>
        <v>85099.6</v>
      </c>
      <c r="F620" t="str">
        <f>+'[2]por cuent'!I620</f>
        <v>435</v>
      </c>
    </row>
    <row r="621" spans="1:6" x14ac:dyDescent="0.35">
      <c r="A621" t="str">
        <f>+'[2]por cuent'!A621</f>
        <v>ARS</v>
      </c>
      <c r="B621" t="str">
        <f>+'[2]por cuent'!B621</f>
        <v>435000293</v>
      </c>
      <c r="C621" t="str">
        <f>+'[2]por cuent'!C621</f>
        <v>G y V S.A.</v>
      </c>
      <c r="D621" s="35">
        <f>+'[2]por cuent'!G621</f>
        <v>736208.8</v>
      </c>
      <c r="E621" s="35">
        <f>+'[2]por cuent'!H621</f>
        <v>736208.8</v>
      </c>
      <c r="F621" t="str">
        <f>+'[2]por cuent'!I621</f>
        <v>435</v>
      </c>
    </row>
    <row r="622" spans="1:6" x14ac:dyDescent="0.35">
      <c r="A622" t="str">
        <f>+'[2]por cuent'!A622</f>
        <v>ARS</v>
      </c>
      <c r="B622" t="str">
        <f>+'[2]por cuent'!B622</f>
        <v>435000296</v>
      </c>
      <c r="C622" t="str">
        <f>+'[2]por cuent'!C622</f>
        <v>Volpe, Darío Javier o Pelegrina, Maria Belen</v>
      </c>
      <c r="D622" s="35">
        <f>+'[2]por cuent'!G622</f>
        <v>3013317.4</v>
      </c>
      <c r="E622" s="35">
        <f>+'[2]por cuent'!H622</f>
        <v>3013317.4</v>
      </c>
      <c r="F622" t="str">
        <f>+'[2]por cuent'!I622</f>
        <v>435</v>
      </c>
    </row>
    <row r="623" spans="1:6" x14ac:dyDescent="0.35">
      <c r="A623" t="str">
        <f>+'[2]por cuent'!A623</f>
        <v>ARS</v>
      </c>
      <c r="B623" t="str">
        <f>+'[2]por cuent'!B623</f>
        <v>435000298</v>
      </c>
      <c r="C623" t="str">
        <f>+'[2]por cuent'!C623</f>
        <v>Volpe, Domingo Américo o Volpe, Darío Javier</v>
      </c>
      <c r="D623" s="35">
        <f>+'[2]por cuent'!G623</f>
        <v>78917</v>
      </c>
      <c r="E623" s="35">
        <f>+'[2]por cuent'!H623</f>
        <v>78917</v>
      </c>
      <c r="F623" t="str">
        <f>+'[2]por cuent'!I623</f>
        <v>435</v>
      </c>
    </row>
    <row r="624" spans="1:6" x14ac:dyDescent="0.35">
      <c r="A624" t="str">
        <f>+'[2]por cuent'!A624</f>
        <v>ARS</v>
      </c>
      <c r="B624" t="str">
        <f>+'[2]por cuent'!B624</f>
        <v>435000299</v>
      </c>
      <c r="C624" t="str">
        <f>+'[2]por cuent'!C624</f>
        <v>Pefer Construcciones S.A.</v>
      </c>
      <c r="D624" s="35">
        <f>+'[2]por cuent'!G624</f>
        <v>410959.3</v>
      </c>
      <c r="E624" s="35">
        <f>+'[2]por cuent'!H624</f>
        <v>410959.3</v>
      </c>
      <c r="F624" t="str">
        <f>+'[2]por cuent'!I624</f>
        <v>435</v>
      </c>
    </row>
    <row r="625" spans="1:6" x14ac:dyDescent="0.35">
      <c r="A625" t="str">
        <f>+'[2]por cuent'!A625</f>
        <v>ARS</v>
      </c>
      <c r="B625" t="str">
        <f>+'[2]por cuent'!B625</f>
        <v>435000305</v>
      </c>
      <c r="C625" t="str">
        <f>+'[2]por cuent'!C625</f>
        <v>Fredes, Adriana Cecilia  o Llaver, Rodolfo Jesus o Llaver Fredes, Fatima Yamila u otros</v>
      </c>
      <c r="D625" s="35">
        <f>+'[2]por cuent'!G625</f>
        <v>1600932</v>
      </c>
      <c r="E625" s="35">
        <f>+'[2]por cuent'!H625</f>
        <v>1600932</v>
      </c>
      <c r="F625" t="str">
        <f>+'[2]por cuent'!I625</f>
        <v>435</v>
      </c>
    </row>
    <row r="626" spans="1:6" x14ac:dyDescent="0.35">
      <c r="A626" t="str">
        <f>+'[2]por cuent'!A626</f>
        <v>ARS</v>
      </c>
      <c r="B626" t="str">
        <f>+'[2]por cuent'!B626</f>
        <v>435000310</v>
      </c>
      <c r="C626" t="str">
        <f>+'[2]por cuent'!C626</f>
        <v>Francica, Natalia Carolina</v>
      </c>
      <c r="D626" s="35">
        <f>+'[2]por cuent'!G626</f>
        <v>79422399</v>
      </c>
      <c r="E626" s="35">
        <f>+'[2]por cuent'!H626</f>
        <v>79422399</v>
      </c>
      <c r="F626" t="str">
        <f>+'[2]por cuent'!I626</f>
        <v>435</v>
      </c>
    </row>
    <row r="627" spans="1:6" x14ac:dyDescent="0.35">
      <c r="A627" t="str">
        <f>+'[2]por cuent'!A627</f>
        <v>ARS</v>
      </c>
      <c r="B627" t="str">
        <f>+'[2]por cuent'!B627</f>
        <v>435000311</v>
      </c>
      <c r="C627" t="str">
        <f>+'[2]por cuent'!C627</f>
        <v>Yanzon, Roberto Horacio</v>
      </c>
      <c r="D627" s="35">
        <f>+'[2]por cuent'!G627</f>
        <v>166792</v>
      </c>
      <c r="E627" s="35">
        <f>+'[2]por cuent'!H627</f>
        <v>166792</v>
      </c>
      <c r="F627" t="str">
        <f>+'[2]por cuent'!I627</f>
        <v>435</v>
      </c>
    </row>
    <row r="628" spans="1:6" x14ac:dyDescent="0.35">
      <c r="A628" t="str">
        <f>+'[2]por cuent'!A628</f>
        <v>ARS</v>
      </c>
      <c r="B628" t="str">
        <f>+'[2]por cuent'!B628</f>
        <v>435000322</v>
      </c>
      <c r="C628" t="str">
        <f>+'[2]por cuent'!C628</f>
        <v>Pozzi, Andres o Pozzi, Carolina</v>
      </c>
      <c r="D628" s="35">
        <f>+'[2]por cuent'!G628</f>
        <v>3821316</v>
      </c>
      <c r="E628" s="35">
        <f>+'[2]por cuent'!H628</f>
        <v>3821316</v>
      </c>
      <c r="F628" t="str">
        <f>+'[2]por cuent'!I628</f>
        <v>435</v>
      </c>
    </row>
    <row r="629" spans="1:6" x14ac:dyDescent="0.35">
      <c r="A629" t="str">
        <f>+'[2]por cuent'!A629</f>
        <v>ARS</v>
      </c>
      <c r="B629" t="str">
        <f>+'[2]por cuent'!B629</f>
        <v>435000326</v>
      </c>
      <c r="C629" t="str">
        <f>+'[2]por cuent'!C629</f>
        <v xml:space="preserve">Amerio, Andrea Fabiana </v>
      </c>
      <c r="D629" s="35">
        <f>+'[2]por cuent'!G629</f>
        <v>19774037</v>
      </c>
      <c r="E629" s="35">
        <f>+'[2]por cuent'!H629</f>
        <v>19774037</v>
      </c>
      <c r="F629" t="str">
        <f>+'[2]por cuent'!I629</f>
        <v>435</v>
      </c>
    </row>
    <row r="630" spans="1:6" x14ac:dyDescent="0.35">
      <c r="A630" t="str">
        <f>+'[2]por cuent'!A630</f>
        <v>ARS</v>
      </c>
      <c r="B630" t="str">
        <f>+'[2]por cuent'!B630</f>
        <v>435000329</v>
      </c>
      <c r="C630" t="str">
        <f>+'[2]por cuent'!C630</f>
        <v>Báscolo de Iriondo, Juán Martín o Bourguet, María Cecilia</v>
      </c>
      <c r="D630" s="35">
        <f>+'[2]por cuent'!G630</f>
        <v>10150</v>
      </c>
      <c r="E630" s="35">
        <f>+'[2]por cuent'!H630</f>
        <v>10150</v>
      </c>
      <c r="F630" t="str">
        <f>+'[2]por cuent'!I630</f>
        <v>435</v>
      </c>
    </row>
    <row r="631" spans="1:6" x14ac:dyDescent="0.35">
      <c r="A631" t="str">
        <f>+'[2]por cuent'!A631</f>
        <v>ARS</v>
      </c>
      <c r="B631" t="str">
        <f>+'[2]por cuent'!B631</f>
        <v>435000334</v>
      </c>
      <c r="C631" t="str">
        <f>+'[2]por cuent'!C631</f>
        <v>Bourguet, María Cecilia o Báscolo de Iriondo, José Luis</v>
      </c>
      <c r="D631" s="35">
        <f>+'[2]por cuent'!G631</f>
        <v>20293</v>
      </c>
      <c r="E631" s="35">
        <f>+'[2]por cuent'!H631</f>
        <v>20293</v>
      </c>
      <c r="F631" t="str">
        <f>+'[2]por cuent'!I631</f>
        <v>435</v>
      </c>
    </row>
    <row r="632" spans="1:6" x14ac:dyDescent="0.35">
      <c r="A632" t="str">
        <f>+'[2]por cuent'!A632</f>
        <v>ARS</v>
      </c>
      <c r="B632" t="str">
        <f>+'[2]por cuent'!B632</f>
        <v>435000338</v>
      </c>
      <c r="C632" t="str">
        <f>+'[2]por cuent'!C632</f>
        <v>Piulats, Elsa Libertad o Marin, Norma Beatriz</v>
      </c>
      <c r="D632" s="35">
        <f>+'[2]por cuent'!G632</f>
        <v>11427740</v>
      </c>
      <c r="E632" s="35">
        <f>+'[2]por cuent'!H632</f>
        <v>11427740</v>
      </c>
      <c r="F632" t="str">
        <f>+'[2]por cuent'!I632</f>
        <v>435</v>
      </c>
    </row>
    <row r="633" spans="1:6" x14ac:dyDescent="0.35">
      <c r="A633" t="str">
        <f>+'[2]por cuent'!A633</f>
        <v>ARS</v>
      </c>
      <c r="B633" t="str">
        <f>+'[2]por cuent'!B633</f>
        <v>435000340</v>
      </c>
      <c r="C633" t="str">
        <f>+'[2]por cuent'!C633</f>
        <v>Pelegrina, Carlos Alberto o Volpe, Darío Javier o Pelegrina, Maria Belen</v>
      </c>
      <c r="D633" s="35">
        <f>+'[2]por cuent'!G633</f>
        <v>16853288</v>
      </c>
      <c r="E633" s="35">
        <f>+'[2]por cuent'!H633</f>
        <v>16853288</v>
      </c>
      <c r="F633" t="str">
        <f>+'[2]por cuent'!I633</f>
        <v>435</v>
      </c>
    </row>
    <row r="634" spans="1:6" x14ac:dyDescent="0.35">
      <c r="A634" t="str">
        <f>+'[2]por cuent'!A634</f>
        <v>ARS</v>
      </c>
      <c r="B634" t="str">
        <f>+'[2]por cuent'!B634</f>
        <v>435000341</v>
      </c>
      <c r="C634" t="str">
        <f>+'[2]por cuent'!C634</f>
        <v>Ares Argentina S.R.L.</v>
      </c>
      <c r="D634" s="35">
        <f>+'[2]por cuent'!G634</f>
        <v>5821191.8099999996</v>
      </c>
      <c r="E634" s="35">
        <f>+'[2]por cuent'!H634</f>
        <v>5821191.8099999996</v>
      </c>
      <c r="F634" t="str">
        <f>+'[2]por cuent'!I634</f>
        <v>435</v>
      </c>
    </row>
    <row r="635" spans="1:6" x14ac:dyDescent="0.35">
      <c r="A635" t="str">
        <f>+'[2]por cuent'!A635</f>
        <v>ARS</v>
      </c>
      <c r="B635" t="str">
        <f>+'[2]por cuent'!B635</f>
        <v>435000347</v>
      </c>
      <c r="C635" t="str">
        <f>+'[2]por cuent'!C635</f>
        <v>Tecno Service S.R.L.</v>
      </c>
      <c r="D635" s="35">
        <f>+'[2]por cuent'!G635</f>
        <v>221053402</v>
      </c>
      <c r="E635" s="35">
        <f>+'[2]por cuent'!H635</f>
        <v>221053402</v>
      </c>
      <c r="F635" t="str">
        <f>+'[2]por cuent'!I635</f>
        <v>435</v>
      </c>
    </row>
    <row r="636" spans="1:6" x14ac:dyDescent="0.35">
      <c r="A636" t="str">
        <f>+'[2]por cuent'!A636</f>
        <v>ARS</v>
      </c>
      <c r="B636" t="str">
        <f>+'[2]por cuent'!B636</f>
        <v>435000361</v>
      </c>
      <c r="C636" t="str">
        <f>+'[2]por cuent'!C636</f>
        <v>Costigliolo, Luciano Andrea o Rodriguez, Claudia Patricia</v>
      </c>
      <c r="D636" s="35">
        <f>+'[2]por cuent'!G636</f>
        <v>18843.5</v>
      </c>
      <c r="E636" s="35">
        <f>+'[2]por cuent'!H636</f>
        <v>18843.5</v>
      </c>
      <c r="F636" t="str">
        <f>+'[2]por cuent'!I636</f>
        <v>435</v>
      </c>
    </row>
    <row r="637" spans="1:6" x14ac:dyDescent="0.35">
      <c r="A637" t="str">
        <f>+'[2]por cuent'!A637</f>
        <v>ARS</v>
      </c>
      <c r="B637" t="str">
        <f>+'[2]por cuent'!B637</f>
        <v>435000370</v>
      </c>
      <c r="C637" t="str">
        <f>+'[2]por cuent'!C637</f>
        <v>Frutofe SA</v>
      </c>
      <c r="D637" s="35">
        <f>+'[2]por cuent'!G637</f>
        <v>830079</v>
      </c>
      <c r="E637" s="35">
        <f>+'[2]por cuent'!H637</f>
        <v>830079</v>
      </c>
      <c r="F637" t="str">
        <f>+'[2]por cuent'!I637</f>
        <v>435</v>
      </c>
    </row>
    <row r="638" spans="1:6" x14ac:dyDescent="0.35">
      <c r="A638" t="str">
        <f>+'[2]por cuent'!A638</f>
        <v>ARS</v>
      </c>
      <c r="B638" t="str">
        <f>+'[2]por cuent'!B638</f>
        <v>435000372</v>
      </c>
      <c r="C638" t="str">
        <f>+'[2]por cuent'!C638</f>
        <v>Vicino, Esteban David</v>
      </c>
      <c r="D638" s="35">
        <f>+'[2]por cuent'!G638</f>
        <v>10231152</v>
      </c>
      <c r="E638" s="35">
        <f>+'[2]por cuent'!H638</f>
        <v>10231152</v>
      </c>
      <c r="F638" t="str">
        <f>+'[2]por cuent'!I638</f>
        <v>435</v>
      </c>
    </row>
    <row r="639" spans="1:6" x14ac:dyDescent="0.35">
      <c r="A639" t="str">
        <f>+'[2]por cuent'!A639</f>
        <v>ARS</v>
      </c>
      <c r="B639" t="str">
        <f>+'[2]por cuent'!B639</f>
        <v>435000379</v>
      </c>
      <c r="C639" t="str">
        <f>+'[2]por cuent'!C639</f>
        <v>ML Lonas y Carpas Maipú S.A.</v>
      </c>
      <c r="D639" s="35">
        <f>+'[2]por cuent'!G639</f>
        <v>551378637</v>
      </c>
      <c r="E639" s="35">
        <f>+'[2]por cuent'!H639</f>
        <v>551378637</v>
      </c>
      <c r="F639" t="str">
        <f>+'[2]por cuent'!I639</f>
        <v>435</v>
      </c>
    </row>
    <row r="640" spans="1:6" x14ac:dyDescent="0.35">
      <c r="A640" t="str">
        <f>+'[2]por cuent'!A640</f>
        <v>ARS</v>
      </c>
      <c r="B640" t="str">
        <f>+'[2]por cuent'!B640</f>
        <v>435000385</v>
      </c>
      <c r="C640" t="str">
        <f>+'[2]por cuent'!C640</f>
        <v>Malnis, Alejandro Antonio</v>
      </c>
      <c r="D640" s="35">
        <f>+'[2]por cuent'!G640</f>
        <v>71046733.200000003</v>
      </c>
      <c r="E640" s="35">
        <f>+'[2]por cuent'!H640</f>
        <v>71046733.200000003</v>
      </c>
      <c r="F640" t="str">
        <f>+'[2]por cuent'!I640</f>
        <v>435</v>
      </c>
    </row>
    <row r="641" spans="1:6" x14ac:dyDescent="0.35">
      <c r="A641" t="str">
        <f>+'[2]por cuent'!A641</f>
        <v>ARS</v>
      </c>
      <c r="B641" t="str">
        <f>+'[2]por cuent'!B641</f>
        <v>435000386</v>
      </c>
      <c r="C641" t="str">
        <f>+'[2]por cuent'!C641</f>
        <v>TRAIL S.A.</v>
      </c>
      <c r="D641" s="35">
        <f>+'[2]por cuent'!G641</f>
        <v>21402379.789999999</v>
      </c>
      <c r="E641" s="35">
        <f>+'[2]por cuent'!H641</f>
        <v>21402379.789999999</v>
      </c>
      <c r="F641" t="str">
        <f>+'[2]por cuent'!I641</f>
        <v>435</v>
      </c>
    </row>
    <row r="642" spans="1:6" x14ac:dyDescent="0.35">
      <c r="A642" t="str">
        <f>+'[2]por cuent'!A642</f>
        <v>ARS</v>
      </c>
      <c r="B642" t="str">
        <f>+'[2]por cuent'!B642</f>
        <v>435000397</v>
      </c>
      <c r="C642" t="str">
        <f>+'[2]por cuent'!C642</f>
        <v>Sarmiento, Sergio Mauricio</v>
      </c>
      <c r="D642" s="35">
        <f>+'[2]por cuent'!G642</f>
        <v>61307370</v>
      </c>
      <c r="E642" s="35">
        <f>+'[2]por cuent'!H642</f>
        <v>61307370</v>
      </c>
      <c r="F642" t="str">
        <f>+'[2]por cuent'!I642</f>
        <v>435</v>
      </c>
    </row>
    <row r="643" spans="1:6" x14ac:dyDescent="0.35">
      <c r="A643" t="str">
        <f>+'[2]por cuent'!A643</f>
        <v>ARS</v>
      </c>
      <c r="B643" t="str">
        <f>+'[2]por cuent'!B643</f>
        <v>435000402</v>
      </c>
      <c r="C643" t="str">
        <f>+'[2]por cuent'!C643</f>
        <v>Boninu, Silvia Rosana</v>
      </c>
      <c r="D643" s="35">
        <f>+'[2]por cuent'!G643</f>
        <v>6192592</v>
      </c>
      <c r="E643" s="35">
        <f>+'[2]por cuent'!H643</f>
        <v>6192592</v>
      </c>
      <c r="F643" t="str">
        <f>+'[2]por cuent'!I643</f>
        <v>435</v>
      </c>
    </row>
    <row r="644" spans="1:6" x14ac:dyDescent="0.35">
      <c r="A644" t="str">
        <f>+'[2]por cuent'!A644</f>
        <v>ARS</v>
      </c>
      <c r="B644" t="str">
        <f>+'[2]por cuent'!B644</f>
        <v>435000406</v>
      </c>
      <c r="C644" t="str">
        <f>+'[2]por cuent'!C644</f>
        <v xml:space="preserve">Fernandez Fernandez, Macarena </v>
      </c>
      <c r="D644" s="35">
        <f>+'[2]por cuent'!G644</f>
        <v>8921494</v>
      </c>
      <c r="E644" s="35">
        <f>+'[2]por cuent'!H644</f>
        <v>8921494</v>
      </c>
      <c r="F644" t="str">
        <f>+'[2]por cuent'!I644</f>
        <v>435</v>
      </c>
    </row>
    <row r="645" spans="1:6" x14ac:dyDescent="0.35">
      <c r="A645" t="str">
        <f>+'[2]por cuent'!A645</f>
        <v>ARS</v>
      </c>
      <c r="B645" t="str">
        <f>+'[2]por cuent'!B645</f>
        <v>435000409</v>
      </c>
      <c r="C645" t="str">
        <f>+'[2]por cuent'!C645</f>
        <v>Pellerano, Carlos Nicolas o Cunsolo, Antonella</v>
      </c>
      <c r="D645" s="35">
        <f>+'[2]por cuent'!G645</f>
        <v>1277252</v>
      </c>
      <c r="E645" s="35">
        <f>+'[2]por cuent'!H645</f>
        <v>1277252</v>
      </c>
      <c r="F645" t="str">
        <f>+'[2]por cuent'!I645</f>
        <v>435</v>
      </c>
    </row>
    <row r="646" spans="1:6" x14ac:dyDescent="0.35">
      <c r="A646" t="str">
        <f>+'[2]por cuent'!A646</f>
        <v>ARS</v>
      </c>
      <c r="B646" t="str">
        <f>+'[2]por cuent'!B646</f>
        <v>435000417</v>
      </c>
      <c r="C646" t="str">
        <f>+'[2]por cuent'!C646</f>
        <v xml:space="preserve">Aguilera, Natalia Carina </v>
      </c>
      <c r="D646" s="35">
        <f>+'[2]por cuent'!G646</f>
        <v>84935670</v>
      </c>
      <c r="E646" s="35">
        <f>+'[2]por cuent'!H646</f>
        <v>84935670</v>
      </c>
      <c r="F646" t="str">
        <f>+'[2]por cuent'!I646</f>
        <v>435</v>
      </c>
    </row>
    <row r="647" spans="1:6" x14ac:dyDescent="0.35">
      <c r="A647" t="str">
        <f>+'[2]por cuent'!A647</f>
        <v>ARS</v>
      </c>
      <c r="B647" t="str">
        <f>+'[2]por cuent'!B647</f>
        <v>435000422</v>
      </c>
      <c r="C647" t="str">
        <f>+'[2]por cuent'!C647</f>
        <v>Gil, Hector Jesus o Miranda, Mariela Alejandra</v>
      </c>
      <c r="D647" s="35">
        <f>+'[2]por cuent'!G647</f>
        <v>4175428</v>
      </c>
      <c r="E647" s="35">
        <f>+'[2]por cuent'!H647</f>
        <v>4175428</v>
      </c>
      <c r="F647" t="str">
        <f>+'[2]por cuent'!I647</f>
        <v>435</v>
      </c>
    </row>
    <row r="648" spans="1:6" x14ac:dyDescent="0.35">
      <c r="A648" t="str">
        <f>+'[2]por cuent'!A648</f>
        <v>ARS</v>
      </c>
      <c r="B648" t="str">
        <f>+'[2]por cuent'!B648</f>
        <v>435000426</v>
      </c>
      <c r="C648" t="str">
        <f>+'[2]por cuent'!C648</f>
        <v>Robello, Andrés Leonardo</v>
      </c>
      <c r="D648" s="35">
        <f>+'[2]por cuent'!G648</f>
        <v>14256525</v>
      </c>
      <c r="E648" s="35">
        <f>+'[2]por cuent'!H648</f>
        <v>14256525</v>
      </c>
      <c r="F648" t="str">
        <f>+'[2]por cuent'!I648</f>
        <v>435</v>
      </c>
    </row>
    <row r="649" spans="1:6" x14ac:dyDescent="0.35">
      <c r="A649" t="str">
        <f>+'[2]por cuent'!A649</f>
        <v>ARS</v>
      </c>
      <c r="B649" t="str">
        <f>+'[2]por cuent'!B649</f>
        <v>435000430</v>
      </c>
      <c r="C649" t="str">
        <f>+'[2]por cuent'!C649</f>
        <v>Dique Potrerillos S.A.</v>
      </c>
      <c r="D649" s="35">
        <f>+'[2]por cuent'!G649</f>
        <v>302677.64</v>
      </c>
      <c r="E649" s="35">
        <f>+'[2]por cuent'!H649</f>
        <v>302677.64</v>
      </c>
      <c r="F649" t="str">
        <f>+'[2]por cuent'!I649</f>
        <v>435</v>
      </c>
    </row>
    <row r="650" spans="1:6" x14ac:dyDescent="0.35">
      <c r="A650" t="str">
        <f>+'[2]por cuent'!A650</f>
        <v>ARS</v>
      </c>
      <c r="B650" t="str">
        <f>+'[2]por cuent'!B650</f>
        <v>435000433</v>
      </c>
      <c r="C650" t="str">
        <f>+'[2]por cuent'!C650</f>
        <v>Seoane, Leonardo Gaston</v>
      </c>
      <c r="D650" s="35">
        <f>+'[2]por cuent'!G650</f>
        <v>26639962.75</v>
      </c>
      <c r="E650" s="35">
        <f>+'[2]por cuent'!H650</f>
        <v>26639962.75</v>
      </c>
      <c r="F650" t="str">
        <f>+'[2]por cuent'!I650</f>
        <v>435</v>
      </c>
    </row>
    <row r="651" spans="1:6" x14ac:dyDescent="0.35">
      <c r="A651" t="str">
        <f>+'[2]por cuent'!A651</f>
        <v>ARS</v>
      </c>
      <c r="B651" t="str">
        <f>+'[2]por cuent'!B651</f>
        <v>435000436</v>
      </c>
      <c r="C651" t="str">
        <f>+'[2]por cuent'!C651</f>
        <v>Muscara, Lorena Alejandra</v>
      </c>
      <c r="D651" s="35">
        <f>+'[2]por cuent'!G651</f>
        <v>138939</v>
      </c>
      <c r="E651" s="35">
        <f>+'[2]por cuent'!H651</f>
        <v>138939</v>
      </c>
      <c r="F651" t="str">
        <f>+'[2]por cuent'!I651</f>
        <v>435</v>
      </c>
    </row>
    <row r="652" spans="1:6" x14ac:dyDescent="0.35">
      <c r="A652" t="str">
        <f>+'[2]por cuent'!A652</f>
        <v>ARS</v>
      </c>
      <c r="B652" t="str">
        <f>+'[2]por cuent'!B652</f>
        <v>435000437</v>
      </c>
      <c r="C652" t="str">
        <f>+'[2]por cuent'!C652</f>
        <v>Muscara, Sandra Elisabeth</v>
      </c>
      <c r="D652" s="35">
        <f>+'[2]por cuent'!G652</f>
        <v>62832</v>
      </c>
      <c r="E652" s="35">
        <f>+'[2]por cuent'!H652</f>
        <v>62832</v>
      </c>
      <c r="F652" t="str">
        <f>+'[2]por cuent'!I652</f>
        <v>435</v>
      </c>
    </row>
    <row r="653" spans="1:6" x14ac:dyDescent="0.35">
      <c r="A653" t="str">
        <f>+'[2]por cuent'!A653</f>
        <v>ARS</v>
      </c>
      <c r="B653" t="str">
        <f>+'[2]por cuent'!B653</f>
        <v>435000444</v>
      </c>
      <c r="C653" t="str">
        <f>+'[2]por cuent'!C653</f>
        <v>Sola, Maria Ines</v>
      </c>
      <c r="D653" s="35">
        <f>+'[2]por cuent'!G653</f>
        <v>2371704</v>
      </c>
      <c r="E653" s="35">
        <f>+'[2]por cuent'!H653</f>
        <v>2371704</v>
      </c>
      <c r="F653" t="str">
        <f>+'[2]por cuent'!I653</f>
        <v>435</v>
      </c>
    </row>
    <row r="654" spans="1:6" x14ac:dyDescent="0.35">
      <c r="A654" t="str">
        <f>+'[2]por cuent'!A654</f>
        <v>ARS</v>
      </c>
      <c r="B654" t="str">
        <f>+'[2]por cuent'!B654</f>
        <v>435000446</v>
      </c>
      <c r="C654" t="str">
        <f>+'[2]por cuent'!C654</f>
        <v>Manzano, Mabel o Sola, Maria Ines</v>
      </c>
      <c r="D654" s="35">
        <f>+'[2]por cuent'!G654</f>
        <v>17562314.100000001</v>
      </c>
      <c r="E654" s="35">
        <f>+'[2]por cuent'!H654</f>
        <v>17562314.100000001</v>
      </c>
      <c r="F654" t="str">
        <f>+'[2]por cuent'!I654</f>
        <v>435</v>
      </c>
    </row>
    <row r="655" spans="1:6" x14ac:dyDescent="0.35">
      <c r="A655" t="str">
        <f>+'[2]por cuent'!A655</f>
        <v>ARS</v>
      </c>
      <c r="B655" t="str">
        <f>+'[2]por cuent'!B655</f>
        <v>435000447</v>
      </c>
      <c r="C655" t="str">
        <f>+'[2]por cuent'!C655</f>
        <v>Muñoz, Rosana Emilce o Dellabarba, Agustin Daniel</v>
      </c>
      <c r="D655" s="35">
        <f>+'[2]por cuent'!G655</f>
        <v>26833414</v>
      </c>
      <c r="E655" s="35">
        <f>+'[2]por cuent'!H655</f>
        <v>26833414</v>
      </c>
      <c r="F655" t="str">
        <f>+'[2]por cuent'!I655</f>
        <v>435</v>
      </c>
    </row>
    <row r="656" spans="1:6" x14ac:dyDescent="0.35">
      <c r="A656" t="str">
        <f>+'[2]por cuent'!A656</f>
        <v>ARS</v>
      </c>
      <c r="B656" t="str">
        <f>+'[2]por cuent'!B656</f>
        <v>435000448</v>
      </c>
      <c r="C656" t="str">
        <f>+'[2]por cuent'!C656</f>
        <v>Peralta Calderón, Lucas José o De la Mota Marti, Rosario</v>
      </c>
      <c r="D656" s="35">
        <f>+'[2]por cuent'!G656</f>
        <v>7437572.3700000001</v>
      </c>
      <c r="E656" s="35">
        <f>+'[2]por cuent'!H656</f>
        <v>7437572.3700000001</v>
      </c>
      <c r="F656" t="str">
        <f>+'[2]por cuent'!I656</f>
        <v>435</v>
      </c>
    </row>
    <row r="657" spans="1:6" x14ac:dyDescent="0.35">
      <c r="A657" t="str">
        <f>+'[2]por cuent'!A657</f>
        <v>ARS</v>
      </c>
      <c r="B657" t="str">
        <f>+'[2]por cuent'!B657</f>
        <v>435000449</v>
      </c>
      <c r="C657" t="str">
        <f>+'[2]por cuent'!C657</f>
        <v>Bustos, Ignacio Alejandro o Calderon, Maria Celeste</v>
      </c>
      <c r="D657" s="35">
        <f>+'[2]por cuent'!G657</f>
        <v>2198737</v>
      </c>
      <c r="E657" s="35">
        <f>+'[2]por cuent'!H657</f>
        <v>2198737</v>
      </c>
      <c r="F657" t="str">
        <f>+'[2]por cuent'!I657</f>
        <v>435</v>
      </c>
    </row>
    <row r="658" spans="1:6" x14ac:dyDescent="0.35">
      <c r="A658" t="str">
        <f>+'[2]por cuent'!A658</f>
        <v>ARS</v>
      </c>
      <c r="B658" t="str">
        <f>+'[2]por cuent'!B658</f>
        <v>435000451</v>
      </c>
      <c r="C658" t="str">
        <f>+'[2]por cuent'!C658</f>
        <v>Seoane, Federico Martin o Duarte, Sabrina Elizabeth</v>
      </c>
      <c r="D658" s="35">
        <f>+'[2]por cuent'!G658</f>
        <v>3615448.89</v>
      </c>
      <c r="E658" s="35">
        <f>+'[2]por cuent'!H658</f>
        <v>3615448.89</v>
      </c>
      <c r="F658" t="str">
        <f>+'[2]por cuent'!I658</f>
        <v>435</v>
      </c>
    </row>
    <row r="659" spans="1:6" x14ac:dyDescent="0.35">
      <c r="A659" t="str">
        <f>+'[2]por cuent'!A659</f>
        <v>ARS</v>
      </c>
      <c r="B659" t="str">
        <f>+'[2]por cuent'!B659</f>
        <v>435000452</v>
      </c>
      <c r="C659" t="str">
        <f>+'[2]por cuent'!C659</f>
        <v>Pelegrina, Maria Belen o Volpe, Darío Javier</v>
      </c>
      <c r="D659" s="35">
        <f>+'[2]por cuent'!G659</f>
        <v>208534</v>
      </c>
      <c r="E659" s="35">
        <f>+'[2]por cuent'!H659</f>
        <v>208534</v>
      </c>
      <c r="F659" t="str">
        <f>+'[2]por cuent'!I659</f>
        <v>435</v>
      </c>
    </row>
    <row r="660" spans="1:6" x14ac:dyDescent="0.35">
      <c r="A660" t="str">
        <f>+'[2]por cuent'!A660</f>
        <v>ARS</v>
      </c>
      <c r="B660" t="str">
        <f>+'[2]por cuent'!B660</f>
        <v>435000453</v>
      </c>
      <c r="C660" t="str">
        <f>+'[2]por cuent'!C660</f>
        <v>Atencio, Anabela Janet o Atencio, Osvaldo Juan</v>
      </c>
      <c r="D660" s="35">
        <f>+'[2]por cuent'!G660</f>
        <v>35807065</v>
      </c>
      <c r="E660" s="35">
        <f>+'[2]por cuent'!H660</f>
        <v>35807065</v>
      </c>
      <c r="F660" t="str">
        <f>+'[2]por cuent'!I660</f>
        <v>435</v>
      </c>
    </row>
    <row r="661" spans="1:6" x14ac:dyDescent="0.35">
      <c r="A661" t="str">
        <f>+'[2]por cuent'!A661</f>
        <v>ARS</v>
      </c>
      <c r="B661" t="str">
        <f>+'[2]por cuent'!B661</f>
        <v>435000454</v>
      </c>
      <c r="C661" t="str">
        <f>+'[2]por cuent'!C661</f>
        <v xml:space="preserve">Vidal, Maria Alejandra o Cerraro, Edgardo Ruben </v>
      </c>
      <c r="D661" s="35">
        <f>+'[2]por cuent'!G661</f>
        <v>144527929</v>
      </c>
      <c r="E661" s="35">
        <f>+'[2]por cuent'!H661</f>
        <v>144527929</v>
      </c>
      <c r="F661" t="str">
        <f>+'[2]por cuent'!I661</f>
        <v>435</v>
      </c>
    </row>
    <row r="662" spans="1:6" x14ac:dyDescent="0.35">
      <c r="A662" t="str">
        <f>+'[2]por cuent'!A662</f>
        <v>ARS</v>
      </c>
      <c r="B662" t="str">
        <f>+'[2]por cuent'!B662</f>
        <v>435000455</v>
      </c>
      <c r="C662" t="str">
        <f>+'[2]por cuent'!C662</f>
        <v>Berman, Julieta o Berman, Andres</v>
      </c>
      <c r="D662" s="35">
        <f>+'[2]por cuent'!G662</f>
        <v>3676318</v>
      </c>
      <c r="E662" s="35">
        <f>+'[2]por cuent'!H662</f>
        <v>3676318</v>
      </c>
      <c r="F662" t="str">
        <f>+'[2]por cuent'!I662</f>
        <v>435</v>
      </c>
    </row>
    <row r="663" spans="1:6" x14ac:dyDescent="0.35">
      <c r="A663" t="str">
        <f>+'[2]por cuent'!A663</f>
        <v>ARS</v>
      </c>
      <c r="B663" t="str">
        <f>+'[2]por cuent'!B663</f>
        <v>435000456</v>
      </c>
      <c r="C663" t="str">
        <f>+'[2]por cuent'!C663</f>
        <v>Gibbs Moreira, Guillermo Damian o Gibbs Moreira, Andres Enrique</v>
      </c>
      <c r="D663" s="35">
        <f>+'[2]por cuent'!G663</f>
        <v>42719705</v>
      </c>
      <c r="E663" s="35">
        <f>+'[2]por cuent'!H663</f>
        <v>42719705</v>
      </c>
      <c r="F663" t="str">
        <f>+'[2]por cuent'!I663</f>
        <v>435</v>
      </c>
    </row>
    <row r="664" spans="1:6" x14ac:dyDescent="0.35">
      <c r="A664" t="str">
        <f>+'[2]por cuent'!A664</f>
        <v>ARS</v>
      </c>
      <c r="B664" t="str">
        <f>+'[2]por cuent'!B664</f>
        <v>435000457</v>
      </c>
      <c r="C664" t="str">
        <f>+'[2]por cuent'!C664</f>
        <v>Olivera Salomon, Marcelo Alejandro o Aranda, Aldana Natali</v>
      </c>
      <c r="D664" s="35">
        <f>+'[2]por cuent'!G664</f>
        <v>471900</v>
      </c>
      <c r="E664" s="35">
        <f>+'[2]por cuent'!H664</f>
        <v>471900</v>
      </c>
      <c r="F664" t="str">
        <f>+'[2]por cuent'!I664</f>
        <v>435</v>
      </c>
    </row>
    <row r="665" spans="1:6" x14ac:dyDescent="0.35">
      <c r="A665" t="str">
        <f>+'[2]por cuent'!A665</f>
        <v>ARS</v>
      </c>
      <c r="B665" t="str">
        <f>+'[2]por cuent'!B665</f>
        <v>435000458</v>
      </c>
      <c r="C665" t="str">
        <f>+'[2]por cuent'!C665</f>
        <v>Muyeruane, Patricio Gabriel o Gimenez, Analia Carina</v>
      </c>
      <c r="D665" s="35">
        <f>+'[2]por cuent'!G665</f>
        <v>583887</v>
      </c>
      <c r="E665" s="35">
        <f>+'[2]por cuent'!H665</f>
        <v>583887</v>
      </c>
      <c r="F665" t="str">
        <f>+'[2]por cuent'!I665</f>
        <v>435</v>
      </c>
    </row>
    <row r="666" spans="1:6" x14ac:dyDescent="0.35">
      <c r="A666" t="str">
        <f>+'[2]por cuent'!A666</f>
        <v>ARS</v>
      </c>
      <c r="B666" t="str">
        <f>+'[2]por cuent'!B666</f>
        <v>435000460</v>
      </c>
      <c r="C666" t="str">
        <f>+'[2]por cuent'!C666</f>
        <v>Santamaría Guevara, Marcos</v>
      </c>
      <c r="D666" s="35">
        <f>+'[2]por cuent'!G666</f>
        <v>6895192.0099999998</v>
      </c>
      <c r="E666" s="35">
        <f>+'[2]por cuent'!H666</f>
        <v>6895192.0099999998</v>
      </c>
      <c r="F666" t="str">
        <f>+'[2]por cuent'!I666</f>
        <v>435</v>
      </c>
    </row>
    <row r="667" spans="1:6" x14ac:dyDescent="0.35">
      <c r="A667" t="str">
        <f>+'[2]por cuent'!A667</f>
        <v>ARS</v>
      </c>
      <c r="B667" t="str">
        <f>+'[2]por cuent'!B667</f>
        <v>435000461</v>
      </c>
      <c r="C667" t="str">
        <f>+'[2]por cuent'!C667</f>
        <v>Solorza, Alicia o Ambrosi, Leticia Lorena</v>
      </c>
      <c r="D667" s="35">
        <f>+'[2]por cuent'!G667</f>
        <v>14740.2</v>
      </c>
      <c r="E667" s="35">
        <f>+'[2]por cuent'!H667</f>
        <v>14740.2</v>
      </c>
      <c r="F667" t="str">
        <f>+'[2]por cuent'!I667</f>
        <v>435</v>
      </c>
    </row>
    <row r="668" spans="1:6" x14ac:dyDescent="0.35">
      <c r="A668" t="str">
        <f>+'[2]por cuent'!A668</f>
        <v>ARS</v>
      </c>
      <c r="B668" t="str">
        <f>+'[2]por cuent'!B668</f>
        <v>435000462</v>
      </c>
      <c r="C668" t="str">
        <f>+'[2]por cuent'!C668</f>
        <v>Guevara, Rafael Gustavo</v>
      </c>
      <c r="D668" s="35">
        <f>+'[2]por cuent'!G668</f>
        <v>14475469.26</v>
      </c>
      <c r="E668" s="35">
        <f>+'[2]por cuent'!H668</f>
        <v>14475469.26</v>
      </c>
      <c r="F668" t="str">
        <f>+'[2]por cuent'!I668</f>
        <v>435</v>
      </c>
    </row>
    <row r="669" spans="1:6" x14ac:dyDescent="0.35">
      <c r="A669" t="str">
        <f>+'[2]por cuent'!A669</f>
        <v>ARS</v>
      </c>
      <c r="B669" t="str">
        <f>+'[2]por cuent'!B669</f>
        <v>435000464</v>
      </c>
      <c r="C669" t="str">
        <f>+'[2]por cuent'!C669</f>
        <v>Alfonsin, Mariano Matias  o Tucci Gibbs, Maria Angeles</v>
      </c>
      <c r="D669" s="35">
        <f>+'[2]por cuent'!G669</f>
        <v>7758</v>
      </c>
      <c r="E669" s="35">
        <f>+'[2]por cuent'!H669</f>
        <v>7758</v>
      </c>
      <c r="F669" t="str">
        <f>+'[2]por cuent'!I669</f>
        <v>435</v>
      </c>
    </row>
    <row r="670" spans="1:6" x14ac:dyDescent="0.35">
      <c r="A670" t="str">
        <f>+'[2]por cuent'!A670</f>
        <v>ARS</v>
      </c>
      <c r="B670" t="str">
        <f>+'[2]por cuent'!B670</f>
        <v>435000465</v>
      </c>
      <c r="C670" t="str">
        <f>+'[2]por cuent'!C670</f>
        <v xml:space="preserve">Tucci Gibbs, Maria Angeles o Alfonsin, Mariano Matias </v>
      </c>
      <c r="D670" s="35">
        <f>+'[2]por cuent'!G670</f>
        <v>132525.20000000001</v>
      </c>
      <c r="E670" s="35">
        <f>+'[2]por cuent'!H670</f>
        <v>132525.20000000001</v>
      </c>
      <c r="F670" t="str">
        <f>+'[2]por cuent'!I670</f>
        <v>435</v>
      </c>
    </row>
    <row r="671" spans="1:6" x14ac:dyDescent="0.35">
      <c r="A671" t="str">
        <f>+'[2]por cuent'!A671</f>
        <v>ARS</v>
      </c>
      <c r="B671" t="str">
        <f>+'[2]por cuent'!B671</f>
        <v>435000466</v>
      </c>
      <c r="C671" t="str">
        <f>+'[2]por cuent'!C671</f>
        <v>Gibbs, Maria Esther o Tucci Gibbs, Maria Angeles</v>
      </c>
      <c r="D671" s="35">
        <f>+'[2]por cuent'!G671</f>
        <v>17478.3</v>
      </c>
      <c r="E671" s="35">
        <f>+'[2]por cuent'!H671</f>
        <v>17478.3</v>
      </c>
      <c r="F671" t="str">
        <f>+'[2]por cuent'!I671</f>
        <v>435</v>
      </c>
    </row>
    <row r="672" spans="1:6" x14ac:dyDescent="0.35">
      <c r="A672" t="str">
        <f>+'[2]por cuent'!A672</f>
        <v>ARS</v>
      </c>
      <c r="B672" t="str">
        <f>+'[2]por cuent'!B672</f>
        <v>435000467</v>
      </c>
      <c r="C672" t="str">
        <f>+'[2]por cuent'!C672</f>
        <v>Cuellar, Federico Ezequiel</v>
      </c>
      <c r="D672" s="35">
        <f>+'[2]por cuent'!G672</f>
        <v>65543.5</v>
      </c>
      <c r="E672" s="35">
        <f>+'[2]por cuent'!H672</f>
        <v>65543.5</v>
      </c>
      <c r="F672" t="str">
        <f>+'[2]por cuent'!I672</f>
        <v>435</v>
      </c>
    </row>
    <row r="673" spans="1:6" x14ac:dyDescent="0.35">
      <c r="A673" t="str">
        <f>+'[2]por cuent'!A673</f>
        <v>ARS</v>
      </c>
      <c r="B673" t="str">
        <f>+'[2]por cuent'!B673</f>
        <v>435000469</v>
      </c>
      <c r="C673" t="str">
        <f>+'[2]por cuent'!C673</f>
        <v>Gibbs Moreira, Guillermo Damian o Moreira Bort, Silvia Ximena</v>
      </c>
      <c r="D673" s="35">
        <f>+'[2]por cuent'!G673</f>
        <v>40091607.799999997</v>
      </c>
      <c r="E673" s="35">
        <f>+'[2]por cuent'!H673</f>
        <v>40091607.799999997</v>
      </c>
      <c r="F673" t="str">
        <f>+'[2]por cuent'!I673</f>
        <v>435</v>
      </c>
    </row>
    <row r="674" spans="1:6" x14ac:dyDescent="0.35">
      <c r="A674" t="str">
        <f>+'[2]por cuent'!A674</f>
        <v>ARS</v>
      </c>
      <c r="B674" t="str">
        <f>+'[2]por cuent'!B674</f>
        <v>435000470</v>
      </c>
      <c r="C674" t="str">
        <f>+'[2]por cuent'!C674</f>
        <v>Marin, Gustavo Javier</v>
      </c>
      <c r="D674" s="35">
        <f>+'[2]por cuent'!G674</f>
        <v>20000</v>
      </c>
      <c r="E674" s="35">
        <f>+'[2]por cuent'!H674</f>
        <v>20000</v>
      </c>
      <c r="F674" t="str">
        <f>+'[2]por cuent'!I674</f>
        <v>435</v>
      </c>
    </row>
    <row r="675" spans="1:6" x14ac:dyDescent="0.35">
      <c r="A675" t="str">
        <f>+'[2]por cuent'!A675</f>
        <v>ARS</v>
      </c>
      <c r="B675" t="str">
        <f>+'[2]por cuent'!B675</f>
        <v>435000472</v>
      </c>
      <c r="C675" t="str">
        <f>+'[2]por cuent'!C675</f>
        <v xml:space="preserve"> COOP DE VIVIENDA, URBANIZACION, SERVICIOS PUBLICOS Y CONSUMO TRABAJADORES DE FECOVITA LTDA </v>
      </c>
      <c r="D675" s="35">
        <f>+'[2]por cuent'!G675</f>
        <v>11998654.67</v>
      </c>
      <c r="E675" s="35">
        <f>+'[2]por cuent'!H675</f>
        <v>11998654.67</v>
      </c>
      <c r="F675" t="str">
        <f>+'[2]por cuent'!I675</f>
        <v>435</v>
      </c>
    </row>
    <row r="676" spans="1:6" x14ac:dyDescent="0.35">
      <c r="A676" t="str">
        <f>+'[2]por cuent'!A676</f>
        <v>ARS</v>
      </c>
      <c r="B676" t="str">
        <f>+'[2]por cuent'!B676</f>
        <v>435000475</v>
      </c>
      <c r="C676" t="str">
        <f>+'[2]por cuent'!C676</f>
        <v>Cuervo, Tomás Silverio</v>
      </c>
      <c r="D676" s="35">
        <f>+'[2]por cuent'!G676</f>
        <v>37228090</v>
      </c>
      <c r="E676" s="35">
        <f>+'[2]por cuent'!H676</f>
        <v>37228090</v>
      </c>
      <c r="F676" t="str">
        <f>+'[2]por cuent'!I676</f>
        <v>435</v>
      </c>
    </row>
    <row r="677" spans="1:6" x14ac:dyDescent="0.35">
      <c r="A677" t="str">
        <f>+'[2]por cuent'!A677</f>
        <v>ARS</v>
      </c>
      <c r="B677" t="str">
        <f>+'[2]por cuent'!B677</f>
        <v>435000476</v>
      </c>
      <c r="C677" t="str">
        <f>+'[2]por cuent'!C677</f>
        <v>Fabre, Paula</v>
      </c>
      <c r="D677" s="35">
        <f>+'[2]por cuent'!G677</f>
        <v>3532425</v>
      </c>
      <c r="E677" s="35">
        <f>+'[2]por cuent'!H677</f>
        <v>3532425</v>
      </c>
      <c r="F677" t="str">
        <f>+'[2]por cuent'!I677</f>
        <v>435</v>
      </c>
    </row>
    <row r="678" spans="1:6" x14ac:dyDescent="0.35">
      <c r="A678" t="str">
        <f>+'[2]por cuent'!A678</f>
        <v>ARS</v>
      </c>
      <c r="B678" t="str">
        <f>+'[2]por cuent'!B678</f>
        <v>435000480</v>
      </c>
      <c r="C678" t="str">
        <f>+'[2]por cuent'!C678</f>
        <v>Liberatore, Maria Eugenia o Bertolani, German Antonio</v>
      </c>
      <c r="D678" s="35">
        <f>+'[2]por cuent'!G678</f>
        <v>1706757</v>
      </c>
      <c r="E678" s="35">
        <f>+'[2]por cuent'!H678</f>
        <v>1706757</v>
      </c>
      <c r="F678" t="str">
        <f>+'[2]por cuent'!I678</f>
        <v>435</v>
      </c>
    </row>
    <row r="679" spans="1:6" x14ac:dyDescent="0.35">
      <c r="A679" t="str">
        <f>+'[2]por cuent'!A679</f>
        <v>ARS</v>
      </c>
      <c r="B679" t="str">
        <f>+'[2]por cuent'!B679</f>
        <v>435000487</v>
      </c>
      <c r="C679" t="str">
        <f>+'[2]por cuent'!C679</f>
        <v>Gonzalez Gaviola, Miguel Gustavo o Pizarro, Andrea</v>
      </c>
      <c r="D679" s="35">
        <f>+'[2]por cuent'!G679</f>
        <v>16300.2</v>
      </c>
      <c r="E679" s="35">
        <f>+'[2]por cuent'!H679</f>
        <v>16300.2</v>
      </c>
      <c r="F679" t="str">
        <f>+'[2]por cuent'!I679</f>
        <v>435</v>
      </c>
    </row>
    <row r="680" spans="1:6" x14ac:dyDescent="0.35">
      <c r="A680" t="str">
        <f>+'[2]por cuent'!A680</f>
        <v>ARS</v>
      </c>
      <c r="B680" t="str">
        <f>+'[2]por cuent'!B680</f>
        <v>435000488</v>
      </c>
      <c r="C680" t="str">
        <f>+'[2]por cuent'!C680</f>
        <v>De Borbon, Cesar Ernesto o De Borbon, Macarena</v>
      </c>
      <c r="D680" s="35">
        <f>+'[2]por cuent'!G680</f>
        <v>36882700</v>
      </c>
      <c r="E680" s="35">
        <f>+'[2]por cuent'!H680</f>
        <v>36882700</v>
      </c>
      <c r="F680" t="str">
        <f>+'[2]por cuent'!I680</f>
        <v>435</v>
      </c>
    </row>
    <row r="681" spans="1:6" x14ac:dyDescent="0.35">
      <c r="A681" t="str">
        <f>+'[2]por cuent'!A681</f>
        <v>ARS</v>
      </c>
      <c r="B681" t="str">
        <f>+'[2]por cuent'!B681</f>
        <v>435000497</v>
      </c>
      <c r="C681" t="str">
        <f>+'[2]por cuent'!C681</f>
        <v>Musri, María Cecilia o Aranega, Guadalupe Camila</v>
      </c>
      <c r="D681" s="35">
        <f>+'[2]por cuent'!G681</f>
        <v>420790982.25999999</v>
      </c>
      <c r="E681" s="35">
        <f>+'[2]por cuent'!H681</f>
        <v>420790982.25999999</v>
      </c>
      <c r="F681" t="str">
        <f>+'[2]por cuent'!I681</f>
        <v>435</v>
      </c>
    </row>
    <row r="682" spans="1:6" x14ac:dyDescent="0.35">
      <c r="A682" t="str">
        <f>+'[2]por cuent'!A682</f>
        <v>ARS</v>
      </c>
      <c r="B682" t="str">
        <f>+'[2]por cuent'!B682</f>
        <v>435000499</v>
      </c>
      <c r="C682" t="str">
        <f>+'[2]por cuent'!C682</f>
        <v>Ferroner Argentina S.A.</v>
      </c>
      <c r="D682" s="35">
        <f>+'[2]por cuent'!G682</f>
        <v>637913427.96000004</v>
      </c>
      <c r="E682" s="35">
        <f>+'[2]por cuent'!H682</f>
        <v>637913427.96000004</v>
      </c>
      <c r="F682" t="str">
        <f>+'[2]por cuent'!I682</f>
        <v>435</v>
      </c>
    </row>
    <row r="683" spans="1:6" x14ac:dyDescent="0.35">
      <c r="A683" t="str">
        <f>+'[2]por cuent'!A683</f>
        <v>ARS</v>
      </c>
      <c r="B683" t="str">
        <f>+'[2]por cuent'!B683</f>
        <v>435000503</v>
      </c>
      <c r="C683" t="str">
        <f>+'[2]por cuent'!C683</f>
        <v>Prieto, Juan Andres o Silvestrini, Elena Amalia</v>
      </c>
      <c r="D683" s="35">
        <f>+'[2]por cuent'!G683</f>
        <v>6063140.5</v>
      </c>
      <c r="E683" s="35">
        <f>+'[2]por cuent'!H683</f>
        <v>6063140.5</v>
      </c>
      <c r="F683" t="str">
        <f>+'[2]por cuent'!I683</f>
        <v>435</v>
      </c>
    </row>
    <row r="684" spans="1:6" x14ac:dyDescent="0.35">
      <c r="A684" t="str">
        <f>+'[2]por cuent'!A684</f>
        <v>ARS</v>
      </c>
      <c r="B684" t="str">
        <f>+'[2]por cuent'!B684</f>
        <v>435000506</v>
      </c>
      <c r="C684" t="str">
        <f>+'[2]por cuent'!C684</f>
        <v>Hintuchi, Maria Cecilia</v>
      </c>
      <c r="D684" s="35">
        <f>+'[2]por cuent'!G684</f>
        <v>24650</v>
      </c>
      <c r="E684" s="35">
        <f>+'[2]por cuent'!H684</f>
        <v>24650</v>
      </c>
      <c r="F684" t="str">
        <f>+'[2]por cuent'!I684</f>
        <v>435</v>
      </c>
    </row>
    <row r="685" spans="1:6" x14ac:dyDescent="0.35">
      <c r="A685" t="str">
        <f>+'[2]por cuent'!A685</f>
        <v>ARS</v>
      </c>
      <c r="B685" t="str">
        <f>+'[2]por cuent'!B685</f>
        <v>435000509</v>
      </c>
      <c r="C685" t="str">
        <f>+'[2]por cuent'!C685</f>
        <v>Groen Trade S.A.</v>
      </c>
      <c r="D685" s="35">
        <f>+'[2]por cuent'!G685</f>
        <v>61417361.100000001</v>
      </c>
      <c r="E685" s="35">
        <f>+'[2]por cuent'!H685</f>
        <v>61417361.100000001</v>
      </c>
      <c r="F685" t="str">
        <f>+'[2]por cuent'!I685</f>
        <v>435</v>
      </c>
    </row>
    <row r="686" spans="1:6" x14ac:dyDescent="0.35">
      <c r="A686" t="str">
        <f>+'[2]por cuent'!A686</f>
        <v>ARS</v>
      </c>
      <c r="B686" t="str">
        <f>+'[2]por cuent'!B686</f>
        <v>435000510</v>
      </c>
      <c r="C686" t="str">
        <f>+'[2]por cuent'!C686</f>
        <v>Costigliolo, Enrique Andrés o Rodriguez, Claudia Patricia</v>
      </c>
      <c r="D686" s="35">
        <f>+'[2]por cuent'!G686</f>
        <v>12189104</v>
      </c>
      <c r="E686" s="35">
        <f>+'[2]por cuent'!H686</f>
        <v>12189104</v>
      </c>
      <c r="F686" t="str">
        <f>+'[2]por cuent'!I686</f>
        <v>435</v>
      </c>
    </row>
    <row r="687" spans="1:6" x14ac:dyDescent="0.35">
      <c r="A687" t="str">
        <f>+'[2]por cuent'!A687</f>
        <v>ARS</v>
      </c>
      <c r="B687" t="str">
        <f>+'[2]por cuent'!B687</f>
        <v>435000511</v>
      </c>
      <c r="C687" t="str">
        <f>+'[2]por cuent'!C687</f>
        <v>Villarruel, Carmen Graciela</v>
      </c>
      <c r="D687" s="35">
        <f>+'[2]por cuent'!G687</f>
        <v>3679668</v>
      </c>
      <c r="E687" s="35">
        <f>+'[2]por cuent'!H687</f>
        <v>3679668</v>
      </c>
      <c r="F687" t="str">
        <f>+'[2]por cuent'!I687</f>
        <v>435</v>
      </c>
    </row>
    <row r="688" spans="1:6" x14ac:dyDescent="0.35">
      <c r="A688" t="str">
        <f>+'[2]por cuent'!A688</f>
        <v>ARS</v>
      </c>
      <c r="B688" t="str">
        <f>+'[2]por cuent'!B688</f>
        <v>435000512</v>
      </c>
      <c r="C688" t="str">
        <f>+'[2]por cuent'!C688</f>
        <v>Barrera Oro, Elena Maria o Troncoso Flores, Paulo Roberto</v>
      </c>
      <c r="D688" s="35">
        <f>+'[2]por cuent'!G688</f>
        <v>18152401.600000001</v>
      </c>
      <c r="E688" s="35">
        <f>+'[2]por cuent'!H688</f>
        <v>18152401.600000001</v>
      </c>
      <c r="F688" t="str">
        <f>+'[2]por cuent'!I688</f>
        <v>435</v>
      </c>
    </row>
    <row r="689" spans="1:6" x14ac:dyDescent="0.35">
      <c r="A689" t="str">
        <f>+'[2]por cuent'!A689</f>
        <v>ARS</v>
      </c>
      <c r="B689" t="str">
        <f>+'[2]por cuent'!B689</f>
        <v>435000516</v>
      </c>
      <c r="C689" t="str">
        <f>+'[2]por cuent'!C689</f>
        <v xml:space="preserve">Beliveau, Horacio Rafael o Romeo, Maria Violeta </v>
      </c>
      <c r="D689" s="35">
        <f>+'[2]por cuent'!G689</f>
        <v>28276</v>
      </c>
      <c r="E689" s="35">
        <f>+'[2]por cuent'!H689</f>
        <v>28276</v>
      </c>
      <c r="F689" t="str">
        <f>+'[2]por cuent'!I689</f>
        <v>435</v>
      </c>
    </row>
    <row r="690" spans="1:6" x14ac:dyDescent="0.35">
      <c r="A690" t="str">
        <f>+'[2]por cuent'!A690</f>
        <v>ARS</v>
      </c>
      <c r="B690" t="str">
        <f>+'[2]por cuent'!B690</f>
        <v>435000517</v>
      </c>
      <c r="C690" t="str">
        <f>+'[2]por cuent'!C690</f>
        <v xml:space="preserve">Muñoz, Karen Valeria o Muñoz, Leandro Adrián Evaristo </v>
      </c>
      <c r="D690" s="35">
        <f>+'[2]por cuent'!G690</f>
        <v>1731921</v>
      </c>
      <c r="E690" s="35">
        <f>+'[2]por cuent'!H690</f>
        <v>1731921</v>
      </c>
      <c r="F690" t="str">
        <f>+'[2]por cuent'!I690</f>
        <v>435</v>
      </c>
    </row>
    <row r="691" spans="1:6" x14ac:dyDescent="0.35">
      <c r="A691" t="str">
        <f>+'[2]por cuent'!A691</f>
        <v>ARS</v>
      </c>
      <c r="B691" t="str">
        <f>+'[2]por cuent'!B691</f>
        <v>435000518</v>
      </c>
      <c r="C691" t="str">
        <f>+'[2]por cuent'!C691</f>
        <v>Cerraro, Pablo Alberto o Vidal, Maria Alejandra</v>
      </c>
      <c r="D691" s="35">
        <f>+'[2]por cuent'!G691</f>
        <v>475334</v>
      </c>
      <c r="E691" s="35">
        <f>+'[2]por cuent'!H691</f>
        <v>475334</v>
      </c>
      <c r="F691" t="str">
        <f>+'[2]por cuent'!I691</f>
        <v>435</v>
      </c>
    </row>
    <row r="692" spans="1:6" x14ac:dyDescent="0.35">
      <c r="A692" t="str">
        <f>+'[2]por cuent'!A692</f>
        <v>ARS</v>
      </c>
      <c r="B692" t="str">
        <f>+'[2]por cuent'!B692</f>
        <v>435000519</v>
      </c>
      <c r="C692" t="str">
        <f>+'[2]por cuent'!C692</f>
        <v>Daou, Maria Cielo</v>
      </c>
      <c r="D692" s="35">
        <f>+'[2]por cuent'!G692</f>
        <v>1963055</v>
      </c>
      <c r="E692" s="35">
        <f>+'[2]por cuent'!H692</f>
        <v>1963055</v>
      </c>
      <c r="F692" t="str">
        <f>+'[2]por cuent'!I692</f>
        <v>435</v>
      </c>
    </row>
    <row r="693" spans="1:6" x14ac:dyDescent="0.35">
      <c r="A693" t="str">
        <f>+'[2]por cuent'!A693</f>
        <v>ARS</v>
      </c>
      <c r="B693" t="str">
        <f>+'[2]por cuent'!B693</f>
        <v>435000520</v>
      </c>
      <c r="C693" t="str">
        <f>+'[2]por cuent'!C693</f>
        <v>Lopez, Rodrigo o Girala, Leticia</v>
      </c>
      <c r="D693" s="35">
        <f>+'[2]por cuent'!G693</f>
        <v>5467300</v>
      </c>
      <c r="E693" s="35">
        <f>+'[2]por cuent'!H693</f>
        <v>5467300</v>
      </c>
      <c r="F693" t="str">
        <f>+'[2]por cuent'!I693</f>
        <v>435</v>
      </c>
    </row>
    <row r="694" spans="1:6" x14ac:dyDescent="0.35">
      <c r="A694" t="str">
        <f>+'[2]por cuent'!A694</f>
        <v>ARS</v>
      </c>
      <c r="B694" t="str">
        <f>+'[2]por cuent'!B694</f>
        <v>435000521</v>
      </c>
      <c r="C694" t="str">
        <f>+'[2]por cuent'!C694</f>
        <v>Marti, Gustavo Horacio</v>
      </c>
      <c r="D694" s="35">
        <f>+'[2]por cuent'!G694</f>
        <v>29490018.57</v>
      </c>
      <c r="E694" s="35">
        <f>+'[2]por cuent'!H694</f>
        <v>29490018.57</v>
      </c>
      <c r="F694" t="str">
        <f>+'[2]por cuent'!I694</f>
        <v>435</v>
      </c>
    </row>
    <row r="695" spans="1:6" x14ac:dyDescent="0.35">
      <c r="A695" t="str">
        <f>+'[2]por cuent'!A695</f>
        <v>ARS</v>
      </c>
      <c r="B695" t="str">
        <f>+'[2]por cuent'!B695</f>
        <v>435000522</v>
      </c>
      <c r="C695" t="str">
        <f>+'[2]por cuent'!C695</f>
        <v>Portabella, Roberto Juán</v>
      </c>
      <c r="D695" s="35">
        <f>+'[2]por cuent'!G695</f>
        <v>46655.1</v>
      </c>
      <c r="E695" s="35">
        <f>+'[2]por cuent'!H695</f>
        <v>46655.1</v>
      </c>
      <c r="F695" t="str">
        <f>+'[2]por cuent'!I695</f>
        <v>435</v>
      </c>
    </row>
    <row r="696" spans="1:6" x14ac:dyDescent="0.35">
      <c r="A696" t="str">
        <f>+'[2]por cuent'!A696</f>
        <v>ARS</v>
      </c>
      <c r="B696" t="str">
        <f>+'[2]por cuent'!B696</f>
        <v>435000523</v>
      </c>
      <c r="C696" t="str">
        <f>+'[2]por cuent'!C696</f>
        <v>De la Mota Marti, Rosario</v>
      </c>
      <c r="D696" s="35">
        <f>+'[2]por cuent'!G696</f>
        <v>722512.88</v>
      </c>
      <c r="E696" s="35">
        <f>+'[2]por cuent'!H696</f>
        <v>722512.88</v>
      </c>
      <c r="F696" t="str">
        <f>+'[2]por cuent'!I696</f>
        <v>435</v>
      </c>
    </row>
    <row r="697" spans="1:6" x14ac:dyDescent="0.35">
      <c r="A697" t="str">
        <f>+'[2]por cuent'!A697</f>
        <v>ARS</v>
      </c>
      <c r="B697" t="str">
        <f>+'[2]por cuent'!B697</f>
        <v>435000524</v>
      </c>
      <c r="C697" t="str">
        <f>+'[2]por cuent'!C697</f>
        <v>Honorato, Juan Alberto</v>
      </c>
      <c r="D697" s="35">
        <f>+'[2]por cuent'!G697</f>
        <v>155889828</v>
      </c>
      <c r="E697" s="35">
        <f>+'[2]por cuent'!H697</f>
        <v>155889828</v>
      </c>
      <c r="F697" t="str">
        <f>+'[2]por cuent'!I697</f>
        <v>435</v>
      </c>
    </row>
    <row r="698" spans="1:6" x14ac:dyDescent="0.35">
      <c r="A698" t="str">
        <f>+'[2]por cuent'!A698</f>
        <v>ARS</v>
      </c>
      <c r="B698" t="str">
        <f>+'[2]por cuent'!B698</f>
        <v>435000525</v>
      </c>
      <c r="C698" t="str">
        <f>+'[2]por cuent'!C698</f>
        <v>Lanati, Alberto Luis o Javier, Nahuel Emilio o Lanati Volpe, Victoria De Los Angeles</v>
      </c>
      <c r="D698" s="35">
        <f>+'[2]por cuent'!G698</f>
        <v>20000</v>
      </c>
      <c r="E698" s="35">
        <f>+'[2]por cuent'!H698</f>
        <v>20000</v>
      </c>
      <c r="F698" t="str">
        <f>+'[2]por cuent'!I698</f>
        <v>435</v>
      </c>
    </row>
    <row r="699" spans="1:6" x14ac:dyDescent="0.35">
      <c r="A699" t="str">
        <f>+'[2]por cuent'!A699</f>
        <v>ARS</v>
      </c>
      <c r="B699" t="str">
        <f>+'[2]por cuent'!B699</f>
        <v>447000012</v>
      </c>
      <c r="C699" t="str">
        <f>+'[2]por cuent'!C699</f>
        <v>AGRIFEX</v>
      </c>
      <c r="D699" s="35">
        <f>+'[2]por cuent'!G699</f>
        <v>39017020.969999999</v>
      </c>
      <c r="E699" s="35">
        <f>+'[2]por cuent'!H699</f>
        <v>39017020.969999999</v>
      </c>
      <c r="F699" t="str">
        <f>+'[2]por cuent'!I699</f>
        <v>447</v>
      </c>
    </row>
    <row r="700" spans="1:6" x14ac:dyDescent="0.35">
      <c r="A700" t="str">
        <f>+'[2]por cuent'!A700</f>
        <v>ARS</v>
      </c>
      <c r="B700" t="str">
        <f>+'[2]por cuent'!B700</f>
        <v>447000014</v>
      </c>
      <c r="C700" t="str">
        <f>+'[2]por cuent'!C700</f>
        <v>ARGENSUN</v>
      </c>
      <c r="D700" s="35">
        <f>+'[2]por cuent'!G700</f>
        <v>48466339.130000003</v>
      </c>
      <c r="E700" s="35">
        <f>+'[2]por cuent'!H700</f>
        <v>48466339.130000003</v>
      </c>
      <c r="F700" t="str">
        <f>+'[2]por cuent'!I700</f>
        <v>447</v>
      </c>
    </row>
    <row r="701" spans="1:6" x14ac:dyDescent="0.35">
      <c r="A701" t="str">
        <f>+'[2]por cuent'!A701</f>
        <v>ARS</v>
      </c>
      <c r="B701" t="str">
        <f>+'[2]por cuent'!B701</f>
        <v>447000015</v>
      </c>
      <c r="C701" t="str">
        <f>+'[2]por cuent'!C701</f>
        <v>BAMBA SA</v>
      </c>
      <c r="D701" s="35">
        <f>+'[2]por cuent'!G701</f>
        <v>635109424.42999995</v>
      </c>
      <c r="E701" s="35">
        <f>+'[2]por cuent'!H701</f>
        <v>635109424.42999995</v>
      </c>
      <c r="F701" t="str">
        <f>+'[2]por cuent'!I701</f>
        <v>447</v>
      </c>
    </row>
    <row r="702" spans="1:6" x14ac:dyDescent="0.35">
      <c r="A702" t="str">
        <f>+'[2]por cuent'!A702</f>
        <v>ARS</v>
      </c>
      <c r="B702" t="str">
        <f>+'[2]por cuent'!B702</f>
        <v>447000023</v>
      </c>
      <c r="C702" t="str">
        <f>+'[2]por cuent'!C702</f>
        <v>COOPERATIVA DE PROVISION DE SERVICIOS AGRICOLAS CRIADERO SANTA ROSA LIMITADA</v>
      </c>
      <c r="D702" s="35">
        <f>+'[2]por cuent'!G702</f>
        <v>77850270.079999998</v>
      </c>
      <c r="E702" s="35">
        <f>+'[2]por cuent'!H702</f>
        <v>77850270.079999998</v>
      </c>
      <c r="F702" t="str">
        <f>+'[2]por cuent'!I702</f>
        <v>447</v>
      </c>
    </row>
    <row r="703" spans="1:6" x14ac:dyDescent="0.35">
      <c r="A703" t="str">
        <f>+'[2]por cuent'!A703</f>
        <v>ARS</v>
      </c>
      <c r="B703" t="str">
        <f>+'[2]por cuent'!B703</f>
        <v>447000045</v>
      </c>
      <c r="C703" t="str">
        <f>+'[2]por cuent'!C703</f>
        <v>Fernando Diaz Colodrero</v>
      </c>
      <c r="D703" s="35">
        <f>+'[2]por cuent'!G703</f>
        <v>254042499.06999999</v>
      </c>
      <c r="E703" s="35">
        <f>+'[2]por cuent'!H703</f>
        <v>254042499.06999999</v>
      </c>
      <c r="F703" t="str">
        <f>+'[2]por cuent'!I703</f>
        <v>447</v>
      </c>
    </row>
    <row r="704" spans="1:6" x14ac:dyDescent="0.35">
      <c r="A704" t="str">
        <f>+'[2]por cuent'!A704</f>
        <v>ARS</v>
      </c>
      <c r="B704" t="str">
        <f>+'[2]por cuent'!B704</f>
        <v>447000055</v>
      </c>
      <c r="C704" t="str">
        <f>+'[2]por cuent'!C704</f>
        <v>BAMBA VALORES S.A</v>
      </c>
      <c r="D704" s="35">
        <f>+'[2]por cuent'!G704</f>
        <v>179643737.84</v>
      </c>
      <c r="E704" s="35">
        <f>+'[2]por cuent'!H704</f>
        <v>179643737.84</v>
      </c>
      <c r="F704" t="str">
        <f>+'[2]por cuent'!I704</f>
        <v>447</v>
      </c>
    </row>
    <row r="705" spans="1:6" x14ac:dyDescent="0.35">
      <c r="A705" t="str">
        <f>+'[2]por cuent'!A705</f>
        <v>ARS</v>
      </c>
      <c r="B705" t="str">
        <f>+'[2]por cuent'!B705</f>
        <v>447000238</v>
      </c>
      <c r="C705" t="str">
        <f>+'[2]por cuent'!C705</f>
        <v>NUEVE LAGUNAS SA</v>
      </c>
      <c r="D705" s="35">
        <f>+'[2]por cuent'!G705</f>
        <v>428036867.70999998</v>
      </c>
      <c r="E705" s="35">
        <f>+'[2]por cuent'!H705</f>
        <v>428036867.70999998</v>
      </c>
      <c r="F705" t="str">
        <f>+'[2]por cuent'!I705</f>
        <v>447</v>
      </c>
    </row>
    <row r="706" spans="1:6" x14ac:dyDescent="0.35">
      <c r="A706" t="str">
        <f>+'[2]por cuent'!A706</f>
        <v>ARS</v>
      </c>
      <c r="B706" t="str">
        <f>+'[2]por cuent'!B706</f>
        <v>447000241</v>
      </c>
      <c r="C706" t="str">
        <f>+'[2]por cuent'!C706</f>
        <v>AYUCHELEN S A</v>
      </c>
      <c r="D706" s="35">
        <f>+'[2]por cuent'!G706</f>
        <v>477391235.52999997</v>
      </c>
      <c r="E706" s="35">
        <f>+'[2]por cuent'!H706</f>
        <v>477391235.52999997</v>
      </c>
      <c r="F706" t="str">
        <f>+'[2]por cuent'!I706</f>
        <v>447</v>
      </c>
    </row>
    <row r="707" spans="1:6" x14ac:dyDescent="0.35">
      <c r="A707" t="str">
        <f>+'[2]por cuent'!A707</f>
        <v>ARS</v>
      </c>
      <c r="B707" t="str">
        <f>+'[2]por cuent'!B707</f>
        <v>447000252</v>
      </c>
      <c r="C707" t="str">
        <f>+'[2]por cuent'!C707</f>
        <v>PRO NOVELTIES SA</v>
      </c>
      <c r="D707" s="35">
        <f>+'[2]por cuent'!G707</f>
        <v>43555647.520000003</v>
      </c>
      <c r="E707" s="35">
        <f>+'[2]por cuent'!H707</f>
        <v>43555647.520000003</v>
      </c>
      <c r="F707" t="str">
        <f>+'[2]por cuent'!I707</f>
        <v>447</v>
      </c>
    </row>
    <row r="708" spans="1:6" x14ac:dyDescent="0.35">
      <c r="A708" t="str">
        <f>+'[2]por cuent'!A708</f>
        <v>ARS</v>
      </c>
      <c r="B708" t="str">
        <f>+'[2]por cuent'!B708</f>
        <v>447000575</v>
      </c>
      <c r="C708" t="str">
        <f>+'[2]por cuent'!C708</f>
        <v>Kozak Eduardo Dante</v>
      </c>
      <c r="D708" s="35">
        <f>+'[2]por cuent'!G708</f>
        <v>22481815.739999998</v>
      </c>
      <c r="E708" s="35">
        <f>+'[2]por cuent'!H708</f>
        <v>22481815.739999998</v>
      </c>
      <c r="F708" t="str">
        <f>+'[2]por cuent'!I708</f>
        <v>447</v>
      </c>
    </row>
    <row r="709" spans="1:6" x14ac:dyDescent="0.35">
      <c r="A709" t="str">
        <f>+'[2]por cuent'!A709</f>
        <v>ARS</v>
      </c>
      <c r="B709" t="str">
        <f>+'[2]por cuent'!B709</f>
        <v>465001001</v>
      </c>
      <c r="C709" t="str">
        <f>+'[2]por cuent'!C709</f>
        <v>Rodríguez Machado, Argos</v>
      </c>
      <c r="D709" s="35">
        <f>+'[2]por cuent'!G709</f>
        <v>3759337.5</v>
      </c>
      <c r="E709" s="35">
        <f>+'[2]por cuent'!H709</f>
        <v>3759337.5</v>
      </c>
      <c r="F709" t="str">
        <f>+'[2]por cuent'!I709</f>
        <v>465</v>
      </c>
    </row>
    <row r="710" spans="1:6" x14ac:dyDescent="0.35">
      <c r="A710" t="str">
        <f>+'[2]por cuent'!A710</f>
        <v>ARS</v>
      </c>
      <c r="B710" t="str">
        <f>+'[2]por cuent'!B710</f>
        <v>465001004</v>
      </c>
      <c r="C710" t="str">
        <f>+'[2]por cuent'!C710</f>
        <v>Industria Compañia Bursatil S.A</v>
      </c>
      <c r="D710" s="35">
        <f>+'[2]por cuent'!G710</f>
        <v>33994582.579999998</v>
      </c>
      <c r="E710" s="35">
        <f>+'[2]por cuent'!H710</f>
        <v>33994582.579999998</v>
      </c>
      <c r="F710" t="str">
        <f>+'[2]por cuent'!I710</f>
        <v>465</v>
      </c>
    </row>
    <row r="711" spans="1:6" x14ac:dyDescent="0.35">
      <c r="A711" t="str">
        <f>+'[2]por cuent'!A711</f>
        <v>ARS</v>
      </c>
      <c r="B711" t="str">
        <f>+'[2]por cuent'!B711</f>
        <v>465001005</v>
      </c>
      <c r="C711" t="str">
        <f>+'[2]por cuent'!C711</f>
        <v>Farmandat S.A.</v>
      </c>
      <c r="D711" s="35">
        <f>+'[2]por cuent'!G711</f>
        <v>11287029.5</v>
      </c>
      <c r="E711" s="35">
        <f>+'[2]por cuent'!H711</f>
        <v>11287029.5</v>
      </c>
      <c r="F711" t="str">
        <f>+'[2]por cuent'!I711</f>
        <v>465</v>
      </c>
    </row>
    <row r="712" spans="1:6" x14ac:dyDescent="0.35">
      <c r="A712" t="str">
        <f>+'[2]por cuent'!A712</f>
        <v>ARS</v>
      </c>
      <c r="B712" t="str">
        <f>+'[2]por cuent'!B712</f>
        <v>465001010</v>
      </c>
      <c r="C712" t="str">
        <f>+'[2]por cuent'!C712</f>
        <v>Collivadino, Diego</v>
      </c>
      <c r="D712" s="35">
        <f>+'[2]por cuent'!G712</f>
        <v>5735183</v>
      </c>
      <c r="E712" s="35">
        <f>+'[2]por cuent'!H712</f>
        <v>5735183</v>
      </c>
      <c r="F712" t="str">
        <f>+'[2]por cuent'!I712</f>
        <v>465</v>
      </c>
    </row>
    <row r="713" spans="1:6" x14ac:dyDescent="0.35">
      <c r="A713" t="str">
        <f>+'[2]por cuent'!A713</f>
        <v>ARS</v>
      </c>
      <c r="B713" t="str">
        <f>+'[2]por cuent'!B713</f>
        <v>465001013</v>
      </c>
      <c r="C713" t="str">
        <f>+'[2]por cuent'!C713</f>
        <v>Dubersarsky, Walter Cesar</v>
      </c>
      <c r="D713" s="35">
        <f>+'[2]por cuent'!G713</f>
        <v>119217</v>
      </c>
      <c r="E713" s="35">
        <f>+'[2]por cuent'!H713</f>
        <v>119217</v>
      </c>
      <c r="F713" t="str">
        <f>+'[2]por cuent'!I713</f>
        <v>465</v>
      </c>
    </row>
    <row r="714" spans="1:6" x14ac:dyDescent="0.35">
      <c r="A714" t="str">
        <f>+'[2]por cuent'!A714</f>
        <v>ARS</v>
      </c>
      <c r="B714" t="str">
        <f>+'[2]por cuent'!B714</f>
        <v>465001016</v>
      </c>
      <c r="C714" t="str">
        <f>+'[2]por cuent'!C714</f>
        <v>Bonangelino, Oscar Hugo Alejandro</v>
      </c>
      <c r="D714" s="35">
        <f>+'[2]por cuent'!G714</f>
        <v>717566497.82000005</v>
      </c>
      <c r="E714" s="35">
        <f>+'[2]por cuent'!H714</f>
        <v>717566497.82000005</v>
      </c>
      <c r="F714" t="str">
        <f>+'[2]por cuent'!I714</f>
        <v>465</v>
      </c>
    </row>
    <row r="715" spans="1:6" x14ac:dyDescent="0.35">
      <c r="A715" t="str">
        <f>+'[2]por cuent'!A715</f>
        <v>ARS</v>
      </c>
      <c r="B715" t="str">
        <f>+'[2]por cuent'!B715</f>
        <v>465001019</v>
      </c>
      <c r="C715" t="str">
        <f>+'[2]por cuent'!C715</f>
        <v>Warma S.A.</v>
      </c>
      <c r="D715" s="35">
        <f>+'[2]por cuent'!G715</f>
        <v>116642</v>
      </c>
      <c r="E715" s="35">
        <f>+'[2]por cuent'!H715</f>
        <v>116642</v>
      </c>
      <c r="F715" t="str">
        <f>+'[2]por cuent'!I715</f>
        <v>465</v>
      </c>
    </row>
    <row r="716" spans="1:6" x14ac:dyDescent="0.35">
      <c r="A716" t="str">
        <f>+'[2]por cuent'!A716</f>
        <v>ARS</v>
      </c>
      <c r="B716" t="str">
        <f>+'[2]por cuent'!B716</f>
        <v>465001030</v>
      </c>
      <c r="C716" t="str">
        <f>+'[2]por cuent'!C716</f>
        <v>Ciprian, Alejandro Oscar</v>
      </c>
      <c r="D716" s="35">
        <f>+'[2]por cuent'!G716</f>
        <v>1148816</v>
      </c>
      <c r="E716" s="35">
        <f>+'[2]por cuent'!H716</f>
        <v>1148816</v>
      </c>
      <c r="F716" t="str">
        <f>+'[2]por cuent'!I716</f>
        <v>465</v>
      </c>
    </row>
    <row r="717" spans="1:6" x14ac:dyDescent="0.35">
      <c r="A717" t="str">
        <f>+'[2]por cuent'!A717</f>
        <v>ARS</v>
      </c>
      <c r="B717" t="str">
        <f>+'[2]por cuent'!B717</f>
        <v>465001032</v>
      </c>
      <c r="C717" t="str">
        <f>+'[2]por cuent'!C717</f>
        <v>Canziani, Miriam Elizabeth</v>
      </c>
      <c r="D717" s="35">
        <f>+'[2]por cuent'!G717</f>
        <v>297580</v>
      </c>
      <c r="E717" s="35">
        <f>+'[2]por cuent'!H717</f>
        <v>297580</v>
      </c>
      <c r="F717" t="str">
        <f>+'[2]por cuent'!I717</f>
        <v>465</v>
      </c>
    </row>
    <row r="718" spans="1:6" x14ac:dyDescent="0.35">
      <c r="A718" t="str">
        <f>+'[2]por cuent'!A718</f>
        <v>ARS</v>
      </c>
      <c r="B718" t="str">
        <f>+'[2]por cuent'!B718</f>
        <v>465001041</v>
      </c>
      <c r="C718" t="str">
        <f>+'[2]por cuent'!C718</f>
        <v>Twins Ingeniería S.R.L.</v>
      </c>
      <c r="D718" s="35">
        <f>+'[2]por cuent'!G718</f>
        <v>179867</v>
      </c>
      <c r="E718" s="35">
        <f>+'[2]por cuent'!H718</f>
        <v>179867</v>
      </c>
      <c r="F718" t="str">
        <f>+'[2]por cuent'!I718</f>
        <v>465</v>
      </c>
    </row>
    <row r="719" spans="1:6" x14ac:dyDescent="0.35">
      <c r="A719" t="str">
        <f>+'[2]por cuent'!A719</f>
        <v>ARS</v>
      </c>
      <c r="B719" t="str">
        <f>+'[2]por cuent'!B719</f>
        <v>465001062</v>
      </c>
      <c r="C719" t="str">
        <f>+'[2]por cuent'!C719</f>
        <v>Movalli, Camilo Andres</v>
      </c>
      <c r="D719" s="35">
        <f>+'[2]por cuent'!G719</f>
        <v>30014469</v>
      </c>
      <c r="E719" s="35">
        <f>+'[2]por cuent'!H719</f>
        <v>30014469</v>
      </c>
      <c r="F719" t="str">
        <f>+'[2]por cuent'!I719</f>
        <v>465</v>
      </c>
    </row>
    <row r="720" spans="1:6" x14ac:dyDescent="0.35">
      <c r="A720" t="str">
        <f>+'[2]por cuent'!A720</f>
        <v>ARS</v>
      </c>
      <c r="B720" t="str">
        <f>+'[2]por cuent'!B720</f>
        <v>465001069</v>
      </c>
      <c r="C720" t="str">
        <f>+'[2]por cuent'!C720</f>
        <v>Khaliq Anwar S.R.L.</v>
      </c>
      <c r="D720" s="35">
        <f>+'[2]por cuent'!G720</f>
        <v>3797540</v>
      </c>
      <c r="E720" s="35">
        <f>+'[2]por cuent'!H720</f>
        <v>3797540</v>
      </c>
      <c r="F720" t="str">
        <f>+'[2]por cuent'!I720</f>
        <v>465</v>
      </c>
    </row>
    <row r="721" spans="1:6" x14ac:dyDescent="0.35">
      <c r="A721" t="str">
        <f>+'[2]por cuent'!A721</f>
        <v>ARS</v>
      </c>
      <c r="B721" t="str">
        <f>+'[2]por cuent'!B721</f>
        <v>465001083</v>
      </c>
      <c r="C721" t="str">
        <f>+'[2]por cuent'!C721</f>
        <v>Gandia, Ana Maria</v>
      </c>
      <c r="D721" s="35">
        <f>+'[2]por cuent'!G721</f>
        <v>4084421.6</v>
      </c>
      <c r="E721" s="35">
        <f>+'[2]por cuent'!H721</f>
        <v>4084421.6</v>
      </c>
      <c r="F721" t="str">
        <f>+'[2]por cuent'!I721</f>
        <v>465</v>
      </c>
    </row>
    <row r="722" spans="1:6" x14ac:dyDescent="0.35">
      <c r="A722" t="str">
        <f>+'[2]por cuent'!A722</f>
        <v>ARS</v>
      </c>
      <c r="B722" t="str">
        <f>+'[2]por cuent'!B722</f>
        <v>465001092</v>
      </c>
      <c r="C722" t="str">
        <f>+'[2]por cuent'!C722</f>
        <v>Escobar, Federico</v>
      </c>
      <c r="D722" s="35">
        <f>+'[2]por cuent'!G722</f>
        <v>1382400</v>
      </c>
      <c r="E722" s="35">
        <f>+'[2]por cuent'!H722</f>
        <v>1382400</v>
      </c>
      <c r="F722" t="str">
        <f>+'[2]por cuent'!I722</f>
        <v>465</v>
      </c>
    </row>
    <row r="723" spans="1:6" x14ac:dyDescent="0.35">
      <c r="A723" t="str">
        <f>+'[2]por cuent'!A723</f>
        <v>ARS</v>
      </c>
      <c r="B723" t="str">
        <f>+'[2]por cuent'!B723</f>
        <v>465001095</v>
      </c>
      <c r="C723" t="str">
        <f>+'[2]por cuent'!C723</f>
        <v>Ripada S.R.L.</v>
      </c>
      <c r="D723" s="35">
        <f>+'[2]por cuent'!G723</f>
        <v>2954859</v>
      </c>
      <c r="E723" s="35">
        <f>+'[2]por cuent'!H723</f>
        <v>2954859</v>
      </c>
      <c r="F723" t="str">
        <f>+'[2]por cuent'!I723</f>
        <v>465</v>
      </c>
    </row>
    <row r="724" spans="1:6" x14ac:dyDescent="0.35">
      <c r="A724" t="str">
        <f>+'[2]por cuent'!A724</f>
        <v>ARS</v>
      </c>
      <c r="B724" t="str">
        <f>+'[2]por cuent'!B724</f>
        <v>465001097</v>
      </c>
      <c r="C724" t="str">
        <f>+'[2]por cuent'!C724</f>
        <v>Guillen, Eduardo</v>
      </c>
      <c r="D724" s="35">
        <f>+'[2]por cuent'!G724</f>
        <v>18777444.969999999</v>
      </c>
      <c r="E724" s="35">
        <f>+'[2]por cuent'!H724</f>
        <v>18777444.969999999</v>
      </c>
      <c r="F724" t="str">
        <f>+'[2]por cuent'!I724</f>
        <v>465</v>
      </c>
    </row>
    <row r="725" spans="1:6" x14ac:dyDescent="0.35">
      <c r="A725" t="str">
        <f>+'[2]por cuent'!A725</f>
        <v>ARS</v>
      </c>
      <c r="B725" t="str">
        <f>+'[2]por cuent'!B725</f>
        <v>465001106</v>
      </c>
      <c r="C725" t="str">
        <f>+'[2]por cuent'!C725</f>
        <v>Alimentaria S.R.L.</v>
      </c>
      <c r="D725" s="35">
        <f>+'[2]por cuent'!G725</f>
        <v>2653286209.5100002</v>
      </c>
      <c r="E725" s="35">
        <f>+'[2]por cuent'!H725</f>
        <v>2653286209.5100002</v>
      </c>
      <c r="F725" t="str">
        <f>+'[2]por cuent'!I725</f>
        <v>465</v>
      </c>
    </row>
    <row r="726" spans="1:6" x14ac:dyDescent="0.35">
      <c r="A726" t="str">
        <f>+'[2]por cuent'!A726</f>
        <v>ARS</v>
      </c>
      <c r="B726" t="str">
        <f>+'[2]por cuent'!B726</f>
        <v>465001111</v>
      </c>
      <c r="C726" t="str">
        <f>+'[2]por cuent'!C726</f>
        <v>Lopez Ferla, Nicolás</v>
      </c>
      <c r="D726" s="35">
        <f>+'[2]por cuent'!G726</f>
        <v>65050.5</v>
      </c>
      <c r="E726" s="35">
        <f>+'[2]por cuent'!H726</f>
        <v>65050.5</v>
      </c>
      <c r="F726" t="str">
        <f>+'[2]por cuent'!I726</f>
        <v>465</v>
      </c>
    </row>
    <row r="727" spans="1:6" x14ac:dyDescent="0.35">
      <c r="A727" t="str">
        <f>+'[2]por cuent'!A727</f>
        <v>ARS</v>
      </c>
      <c r="B727" t="str">
        <f>+'[2]por cuent'!B727</f>
        <v>465001118</v>
      </c>
      <c r="C727" t="str">
        <f>+'[2]por cuent'!C727</f>
        <v>Campero Cuello, Juan Cruz</v>
      </c>
      <c r="D727" s="35">
        <f>+'[2]por cuent'!G727</f>
        <v>1041000</v>
      </c>
      <c r="E727" s="35">
        <f>+'[2]por cuent'!H727</f>
        <v>1041000</v>
      </c>
      <c r="F727" t="str">
        <f>+'[2]por cuent'!I727</f>
        <v>465</v>
      </c>
    </row>
    <row r="728" spans="1:6" x14ac:dyDescent="0.35">
      <c r="A728" t="str">
        <f>+'[2]por cuent'!A728</f>
        <v>ARS</v>
      </c>
      <c r="B728" t="str">
        <f>+'[2]por cuent'!B728</f>
        <v>465001121</v>
      </c>
      <c r="C728" t="str">
        <f>+'[2]por cuent'!C728</f>
        <v>Burdisso, Matias Ezequiel</v>
      </c>
      <c r="D728" s="35">
        <f>+'[2]por cuent'!G728</f>
        <v>4717480</v>
      </c>
      <c r="E728" s="35">
        <f>+'[2]por cuent'!H728</f>
        <v>4717480</v>
      </c>
      <c r="F728" t="str">
        <f>+'[2]por cuent'!I728</f>
        <v>465</v>
      </c>
    </row>
    <row r="729" spans="1:6" x14ac:dyDescent="0.35">
      <c r="A729" t="str">
        <f>+'[2]por cuent'!A729</f>
        <v>ARS</v>
      </c>
      <c r="B729" t="str">
        <f>+'[2]por cuent'!B729</f>
        <v>465001135</v>
      </c>
      <c r="C729" t="str">
        <f>+'[2]por cuent'!C729</f>
        <v>Odetti, Ivana Leticia</v>
      </c>
      <c r="D729" s="35">
        <f>+'[2]por cuent'!G729</f>
        <v>31435188.600000001</v>
      </c>
      <c r="E729" s="35">
        <f>+'[2]por cuent'!H729</f>
        <v>31435188.600000001</v>
      </c>
      <c r="F729" t="str">
        <f>+'[2]por cuent'!I729</f>
        <v>465</v>
      </c>
    </row>
    <row r="730" spans="1:6" x14ac:dyDescent="0.35">
      <c r="A730" t="str">
        <f>+'[2]por cuent'!A730</f>
        <v>ARS</v>
      </c>
      <c r="B730" t="str">
        <f>+'[2]por cuent'!B730</f>
        <v>465001152</v>
      </c>
      <c r="C730" t="str">
        <f>+'[2]por cuent'!C730</f>
        <v>VERSACI S.A.S</v>
      </c>
      <c r="D730" s="35">
        <f>+'[2]por cuent'!G730</f>
        <v>262201715.27000001</v>
      </c>
      <c r="E730" s="35">
        <f>+'[2]por cuent'!H730</f>
        <v>262201715.27000001</v>
      </c>
      <c r="F730" t="str">
        <f>+'[2]por cuent'!I730</f>
        <v>465</v>
      </c>
    </row>
    <row r="731" spans="1:6" x14ac:dyDescent="0.35">
      <c r="A731" t="str">
        <f>+'[2]por cuent'!A731</f>
        <v>ARS</v>
      </c>
      <c r="B731" t="str">
        <f>+'[2]por cuent'!B731</f>
        <v>465001153</v>
      </c>
      <c r="C731" t="str">
        <f>+'[2]por cuent'!C731</f>
        <v>COOPERATIVA TELEFONICA Y DE OBRAS Y SERVICIOS PUBLICOS Y SOCIALES SALSIPUEDES LTDA.</v>
      </c>
      <c r="D731" s="35">
        <f>+'[2]por cuent'!G731</f>
        <v>6502543.2000000002</v>
      </c>
      <c r="E731" s="35">
        <f>+'[2]por cuent'!H731</f>
        <v>6502543.2000000002</v>
      </c>
      <c r="F731" t="str">
        <f>+'[2]por cuent'!I731</f>
        <v>465</v>
      </c>
    </row>
    <row r="732" spans="1:6" x14ac:dyDescent="0.35">
      <c r="A732" t="str">
        <f>+'[2]por cuent'!A732</f>
        <v>ARS</v>
      </c>
      <c r="B732" t="str">
        <f>+'[2]por cuent'!B732</f>
        <v>465001161</v>
      </c>
      <c r="C732" t="str">
        <f>+'[2]por cuent'!C732</f>
        <v xml:space="preserve">Enplas S.A.S </v>
      </c>
      <c r="D732" s="35">
        <f>+'[2]por cuent'!G732</f>
        <v>47606194.030000001</v>
      </c>
      <c r="E732" s="35">
        <f>+'[2]por cuent'!H732</f>
        <v>47606194.030000001</v>
      </c>
      <c r="F732" t="str">
        <f>+'[2]por cuent'!I732</f>
        <v>465</v>
      </c>
    </row>
    <row r="733" spans="1:6" x14ac:dyDescent="0.35">
      <c r="A733" t="str">
        <f>+'[2]por cuent'!A733</f>
        <v>ARS</v>
      </c>
      <c r="B733" t="str">
        <f>+'[2]por cuent'!B733</f>
        <v>465001167</v>
      </c>
      <c r="C733" t="str">
        <f>+'[2]por cuent'!C733</f>
        <v xml:space="preserve"> GOLOSINAS O.E.N.P. S.A</v>
      </c>
      <c r="D733" s="35">
        <f>+'[2]por cuent'!G733</f>
        <v>178402950.25999999</v>
      </c>
      <c r="E733" s="35">
        <f>+'[2]por cuent'!H733</f>
        <v>178402950.25999999</v>
      </c>
      <c r="F733" t="str">
        <f>+'[2]por cuent'!I733</f>
        <v>465</v>
      </c>
    </row>
    <row r="734" spans="1:6" x14ac:dyDescent="0.35">
      <c r="A734" t="str">
        <f>+'[2]por cuent'!A734</f>
        <v>ARS</v>
      </c>
      <c r="B734" t="str">
        <f>+'[2]por cuent'!B734</f>
        <v>465001168</v>
      </c>
      <c r="C734" t="str">
        <f>+'[2]por cuent'!C734</f>
        <v>Carpio, Natalia Soledad</v>
      </c>
      <c r="D734" s="35">
        <f>+'[2]por cuent'!G734</f>
        <v>140736</v>
      </c>
      <c r="E734" s="35">
        <f>+'[2]por cuent'!H734</f>
        <v>140736</v>
      </c>
      <c r="F734" t="str">
        <f>+'[2]por cuent'!I734</f>
        <v>465</v>
      </c>
    </row>
    <row r="735" spans="1:6" x14ac:dyDescent="0.35">
      <c r="A735" t="str">
        <f>+'[2]por cuent'!A735</f>
        <v>ARS</v>
      </c>
      <c r="B735" t="str">
        <f>+'[2]por cuent'!B735</f>
        <v>465001171</v>
      </c>
      <c r="C735" t="str">
        <f>+'[2]por cuent'!C735</f>
        <v>LA COMPAÑIA PANES Y CAFE S.R.L</v>
      </c>
      <c r="D735" s="35">
        <f>+'[2]por cuent'!G735</f>
        <v>14733827.1</v>
      </c>
      <c r="E735" s="35">
        <f>+'[2]por cuent'!H735</f>
        <v>14733827.1</v>
      </c>
      <c r="F735" t="str">
        <f>+'[2]por cuent'!I735</f>
        <v>465</v>
      </c>
    </row>
    <row r="736" spans="1:6" x14ac:dyDescent="0.35">
      <c r="A736" t="str">
        <f>+'[2]por cuent'!A736</f>
        <v>ARS</v>
      </c>
      <c r="B736" t="str">
        <f>+'[2]por cuent'!B736</f>
        <v>465001186</v>
      </c>
      <c r="C736" t="str">
        <f>+'[2]por cuent'!C736</f>
        <v>Vocos Brouwer De Koning Ruy, Augusto</v>
      </c>
      <c r="D736" s="35">
        <f>+'[2]por cuent'!G736</f>
        <v>5510.04</v>
      </c>
      <c r="E736" s="35">
        <f>+'[2]por cuent'!H736</f>
        <v>5510.04</v>
      </c>
      <c r="F736" t="str">
        <f>+'[2]por cuent'!I736</f>
        <v>465</v>
      </c>
    </row>
    <row r="737" spans="1:6" x14ac:dyDescent="0.35">
      <c r="A737" t="str">
        <f>+'[2]por cuent'!A737</f>
        <v>ARS</v>
      </c>
      <c r="B737" t="str">
        <f>+'[2]por cuent'!B737</f>
        <v>465001188</v>
      </c>
      <c r="C737" t="str">
        <f>+'[2]por cuent'!C737</f>
        <v>Ruiz, Roberto Sebastian</v>
      </c>
      <c r="D737" s="35">
        <f>+'[2]por cuent'!G737</f>
        <v>139928576.08000001</v>
      </c>
      <c r="E737" s="35">
        <f>+'[2]por cuent'!H737</f>
        <v>139928576.08000001</v>
      </c>
      <c r="F737" t="str">
        <f>+'[2]por cuent'!I737</f>
        <v>465</v>
      </c>
    </row>
    <row r="738" spans="1:6" x14ac:dyDescent="0.35">
      <c r="A738" t="str">
        <f>+'[2]por cuent'!A738</f>
        <v>ARS</v>
      </c>
      <c r="B738" t="str">
        <f>+'[2]por cuent'!B738</f>
        <v>465001194</v>
      </c>
      <c r="C738" t="str">
        <f>+'[2]por cuent'!C738</f>
        <v>COMPAÑÍA DE NEGOCIOS FIDUCIARIOS S.A.</v>
      </c>
      <c r="D738" s="35">
        <f>+'[2]por cuent'!G738</f>
        <v>3541257.55</v>
      </c>
      <c r="E738" s="35">
        <f>+'[2]por cuent'!H738</f>
        <v>3541257.55</v>
      </c>
      <c r="F738" t="str">
        <f>+'[2]por cuent'!I738</f>
        <v>465</v>
      </c>
    </row>
    <row r="739" spans="1:6" x14ac:dyDescent="0.35">
      <c r="A739" t="str">
        <f>+'[2]por cuent'!A739</f>
        <v>ARS</v>
      </c>
      <c r="B739" t="str">
        <f>+'[2]por cuent'!B739</f>
        <v>465001198</v>
      </c>
      <c r="C739" t="str">
        <f>+'[2]por cuent'!C739</f>
        <v>Gallo, Claudia Andrea</v>
      </c>
      <c r="D739" s="35">
        <f>+'[2]por cuent'!G739</f>
        <v>10729069.199999999</v>
      </c>
      <c r="E739" s="35">
        <f>+'[2]por cuent'!H739</f>
        <v>10729069.199999999</v>
      </c>
      <c r="F739" t="str">
        <f>+'[2]por cuent'!I739</f>
        <v>465</v>
      </c>
    </row>
    <row r="740" spans="1:6" x14ac:dyDescent="0.35">
      <c r="A740" t="str">
        <f>+'[2]por cuent'!A740</f>
        <v>ARS</v>
      </c>
      <c r="B740" t="str">
        <f>+'[2]por cuent'!B740</f>
        <v>465001199</v>
      </c>
      <c r="C740" t="str">
        <f>+'[2]por cuent'!C740</f>
        <v>Torres, Cesar Gabriel</v>
      </c>
      <c r="D740" s="35">
        <f>+'[2]por cuent'!G740</f>
        <v>2881972</v>
      </c>
      <c r="E740" s="35">
        <f>+'[2]por cuent'!H740</f>
        <v>2881972</v>
      </c>
      <c r="F740" t="str">
        <f>+'[2]por cuent'!I740</f>
        <v>465</v>
      </c>
    </row>
    <row r="741" spans="1:6" x14ac:dyDescent="0.35">
      <c r="A741" t="str">
        <f>+'[2]por cuent'!A741</f>
        <v>ARS</v>
      </c>
      <c r="B741" t="str">
        <f>+'[2]por cuent'!B741</f>
        <v>465001204</v>
      </c>
      <c r="C741" t="str">
        <f>+'[2]por cuent'!C741</f>
        <v>Cardeilhac, Rene</v>
      </c>
      <c r="D741" s="35">
        <f>+'[2]por cuent'!G741</f>
        <v>1499438</v>
      </c>
      <c r="E741" s="35">
        <f>+'[2]por cuent'!H741</f>
        <v>1499438</v>
      </c>
      <c r="F741" t="str">
        <f>+'[2]por cuent'!I741</f>
        <v>465</v>
      </c>
    </row>
    <row r="742" spans="1:6" x14ac:dyDescent="0.35">
      <c r="A742" t="str">
        <f>+'[2]por cuent'!A742</f>
        <v>ARS</v>
      </c>
      <c r="B742" t="str">
        <f>+'[2]por cuent'!B742</f>
        <v>465001206</v>
      </c>
      <c r="C742" t="str">
        <f>+'[2]por cuent'!C742</f>
        <v>Martinez Thompson, Maria Agustina</v>
      </c>
      <c r="D742" s="35">
        <f>+'[2]por cuent'!G742</f>
        <v>3876411</v>
      </c>
      <c r="E742" s="35">
        <f>+'[2]por cuent'!H742</f>
        <v>3876411</v>
      </c>
      <c r="F742" t="str">
        <f>+'[2]por cuent'!I742</f>
        <v>465</v>
      </c>
    </row>
    <row r="743" spans="1:6" x14ac:dyDescent="0.35">
      <c r="A743" t="str">
        <f>+'[2]por cuent'!A743</f>
        <v>ARS</v>
      </c>
      <c r="B743" t="str">
        <f>+'[2]por cuent'!B743</f>
        <v>465001212</v>
      </c>
      <c r="C743" t="str">
        <f>+'[2]por cuent'!C743</f>
        <v>Urdapilleta, Santiago</v>
      </c>
      <c r="D743" s="35">
        <f>+'[2]por cuent'!G743</f>
        <v>4044497.8</v>
      </c>
      <c r="E743" s="35">
        <f>+'[2]por cuent'!H743</f>
        <v>4044497.8</v>
      </c>
      <c r="F743" t="str">
        <f>+'[2]por cuent'!I743</f>
        <v>465</v>
      </c>
    </row>
    <row r="744" spans="1:6" x14ac:dyDescent="0.35">
      <c r="A744" t="str">
        <f>+'[2]por cuent'!A744</f>
        <v>ARS</v>
      </c>
      <c r="B744" t="str">
        <f>+'[2]por cuent'!B744</f>
        <v>465001213</v>
      </c>
      <c r="C744" t="str">
        <f>+'[2]por cuent'!C744</f>
        <v>Mujica, Pablo Antonio</v>
      </c>
      <c r="D744" s="35">
        <f>+'[2]por cuent'!G744</f>
        <v>5243897.17</v>
      </c>
      <c r="E744" s="35">
        <f>+'[2]por cuent'!H744</f>
        <v>5243897.17</v>
      </c>
      <c r="F744" t="str">
        <f>+'[2]por cuent'!I744</f>
        <v>465</v>
      </c>
    </row>
    <row r="745" spans="1:6" x14ac:dyDescent="0.35">
      <c r="A745" t="str">
        <f>+'[2]por cuent'!A745</f>
        <v>ARS</v>
      </c>
      <c r="B745" t="str">
        <f>+'[2]por cuent'!B745</f>
        <v>465001215</v>
      </c>
      <c r="C745" t="str">
        <f>+'[2]por cuent'!C745</f>
        <v>Rodriguez De Marco, Diego Alejandro</v>
      </c>
      <c r="D745" s="35">
        <f>+'[2]por cuent'!G745</f>
        <v>11075205</v>
      </c>
      <c r="E745" s="35">
        <f>+'[2]por cuent'!H745</f>
        <v>11075205</v>
      </c>
      <c r="F745" t="str">
        <f>+'[2]por cuent'!I745</f>
        <v>465</v>
      </c>
    </row>
    <row r="746" spans="1:6" x14ac:dyDescent="0.35">
      <c r="A746" t="str">
        <f>+'[2]por cuent'!A746</f>
        <v>ARS</v>
      </c>
      <c r="B746" t="str">
        <f>+'[2]por cuent'!B746</f>
        <v>465001219</v>
      </c>
      <c r="C746" t="str">
        <f>+'[2]por cuent'!C746</f>
        <v>Zanini, Diego Javier</v>
      </c>
      <c r="D746" s="35">
        <f>+'[2]por cuent'!G746</f>
        <v>1326240</v>
      </c>
      <c r="E746" s="35">
        <f>+'[2]por cuent'!H746</f>
        <v>1326240</v>
      </c>
      <c r="F746" t="str">
        <f>+'[2]por cuent'!I746</f>
        <v>465</v>
      </c>
    </row>
    <row r="747" spans="1:6" x14ac:dyDescent="0.35">
      <c r="A747" t="str">
        <f>+'[2]por cuent'!A747</f>
        <v>ARS</v>
      </c>
      <c r="B747" t="str">
        <f>+'[2]por cuent'!B747</f>
        <v>465001222</v>
      </c>
      <c r="C747" t="str">
        <f>+'[2]por cuent'!C747</f>
        <v>Escobar, Mariano Andres</v>
      </c>
      <c r="D747" s="35">
        <f>+'[2]por cuent'!G747</f>
        <v>3160600</v>
      </c>
      <c r="E747" s="35">
        <f>+'[2]por cuent'!H747</f>
        <v>3160600</v>
      </c>
      <c r="F747" t="str">
        <f>+'[2]por cuent'!I747</f>
        <v>465</v>
      </c>
    </row>
    <row r="748" spans="1:6" x14ac:dyDescent="0.35">
      <c r="A748" t="str">
        <f>+'[2]por cuent'!A748</f>
        <v>ARS</v>
      </c>
      <c r="B748" t="str">
        <f>+'[2]por cuent'!B748</f>
        <v>465001223</v>
      </c>
      <c r="C748" t="str">
        <f>+'[2]por cuent'!C748</f>
        <v>Go Print SAS</v>
      </c>
      <c r="D748" s="35">
        <f>+'[2]por cuent'!G748</f>
        <v>31599551.100000001</v>
      </c>
      <c r="E748" s="35">
        <f>+'[2]por cuent'!H748</f>
        <v>31599551.100000001</v>
      </c>
      <c r="F748" t="str">
        <f>+'[2]por cuent'!I748</f>
        <v>465</v>
      </c>
    </row>
    <row r="749" spans="1:6" x14ac:dyDescent="0.35">
      <c r="A749" t="str">
        <f>+'[2]por cuent'!A749</f>
        <v>ARS</v>
      </c>
      <c r="B749" t="str">
        <f>+'[2]por cuent'!B749</f>
        <v>465001226</v>
      </c>
      <c r="C749" t="str">
        <f>+'[2]por cuent'!C749</f>
        <v>Bonangelino, Giovanni Bautista</v>
      </c>
      <c r="D749" s="35">
        <f>+'[2]por cuent'!G749</f>
        <v>1624534166.9300001</v>
      </c>
      <c r="E749" s="35">
        <f>+'[2]por cuent'!H749</f>
        <v>1624534166.9300001</v>
      </c>
      <c r="F749" t="str">
        <f>+'[2]por cuent'!I749</f>
        <v>465</v>
      </c>
    </row>
    <row r="750" spans="1:6" x14ac:dyDescent="0.35">
      <c r="A750" t="str">
        <f>+'[2]por cuent'!A750</f>
        <v>ARS</v>
      </c>
      <c r="B750" t="str">
        <f>+'[2]por cuent'!B750</f>
        <v>465001235</v>
      </c>
      <c r="C750" t="str">
        <f>+'[2]por cuent'!C750</f>
        <v>LM AMOBLAMIENTOS SRL</v>
      </c>
      <c r="D750" s="35">
        <f>+'[2]por cuent'!G750</f>
        <v>234352</v>
      </c>
      <c r="E750" s="35">
        <f>+'[2]por cuent'!H750</f>
        <v>234352</v>
      </c>
      <c r="F750" t="str">
        <f>+'[2]por cuent'!I750</f>
        <v>465</v>
      </c>
    </row>
    <row r="751" spans="1:6" x14ac:dyDescent="0.35">
      <c r="A751" t="str">
        <f>+'[2]por cuent'!A751</f>
        <v>ARS</v>
      </c>
      <c r="B751" t="str">
        <f>+'[2]por cuent'!B751</f>
        <v>465001236</v>
      </c>
      <c r="C751" t="str">
        <f>+'[2]por cuent'!C751</f>
        <v>Vargas Alonso, Amalia Mariel</v>
      </c>
      <c r="D751" s="35">
        <f>+'[2]por cuent'!G751</f>
        <v>2710378.5</v>
      </c>
      <c r="E751" s="35">
        <f>+'[2]por cuent'!H751</f>
        <v>2710378.5</v>
      </c>
      <c r="F751" t="str">
        <f>+'[2]por cuent'!I751</f>
        <v>465</v>
      </c>
    </row>
    <row r="752" spans="1:6" x14ac:dyDescent="0.35">
      <c r="A752" t="str">
        <f>+'[2]por cuent'!A752</f>
        <v>ARS</v>
      </c>
      <c r="B752" t="str">
        <f>+'[2]por cuent'!B752</f>
        <v>465001239</v>
      </c>
      <c r="C752" t="str">
        <f>+'[2]por cuent'!C752</f>
        <v>Pucheta Bonaparte, Lino Esteban</v>
      </c>
      <c r="D752" s="35">
        <f>+'[2]por cuent'!G752</f>
        <v>20872326.5</v>
      </c>
      <c r="E752" s="35">
        <f>+'[2]por cuent'!H752</f>
        <v>20872326.5</v>
      </c>
      <c r="F752" t="str">
        <f>+'[2]por cuent'!I752</f>
        <v>465</v>
      </c>
    </row>
    <row r="753" spans="1:6" x14ac:dyDescent="0.35">
      <c r="A753" t="str">
        <f>+'[2]por cuent'!A753</f>
        <v>ARS</v>
      </c>
      <c r="B753" t="str">
        <f>+'[2]por cuent'!B753</f>
        <v>465001240</v>
      </c>
      <c r="C753" t="str">
        <f>+'[2]por cuent'!C753</f>
        <v>Audisio , Maria Carolina</v>
      </c>
      <c r="D753" s="35">
        <f>+'[2]por cuent'!G753</f>
        <v>950400</v>
      </c>
      <c r="E753" s="35">
        <f>+'[2]por cuent'!H753</f>
        <v>950400</v>
      </c>
      <c r="F753" t="str">
        <f>+'[2]por cuent'!I753</f>
        <v>465</v>
      </c>
    </row>
    <row r="754" spans="1:6" x14ac:dyDescent="0.35">
      <c r="A754" t="str">
        <f>+'[2]por cuent'!A754</f>
        <v>ARS</v>
      </c>
      <c r="B754" t="str">
        <f>+'[2]por cuent'!B754</f>
        <v>465001241</v>
      </c>
      <c r="C754" t="str">
        <f>+'[2]por cuent'!C754</f>
        <v>Fauda, Eduardo Diego</v>
      </c>
      <c r="D754" s="35">
        <f>+'[2]por cuent'!G754</f>
        <v>1531096</v>
      </c>
      <c r="E754" s="35">
        <f>+'[2]por cuent'!H754</f>
        <v>1531096</v>
      </c>
      <c r="F754" t="str">
        <f>+'[2]por cuent'!I754</f>
        <v>465</v>
      </c>
    </row>
    <row r="755" spans="1:6" x14ac:dyDescent="0.35">
      <c r="A755" t="str">
        <f>+'[2]por cuent'!A755</f>
        <v>ARS</v>
      </c>
      <c r="B755" t="str">
        <f>+'[2]por cuent'!B755</f>
        <v>465001242</v>
      </c>
      <c r="C755" t="str">
        <f>+'[2]por cuent'!C755</f>
        <v>EL TRIUNFO S.A.</v>
      </c>
      <c r="D755" s="35">
        <f>+'[2]por cuent'!G755</f>
        <v>36470610.380000003</v>
      </c>
      <c r="E755" s="35">
        <f>+'[2]por cuent'!H755</f>
        <v>36470610.380000003</v>
      </c>
      <c r="F755" t="str">
        <f>+'[2]por cuent'!I755</f>
        <v>465</v>
      </c>
    </row>
    <row r="756" spans="1:6" x14ac:dyDescent="0.35">
      <c r="A756" t="str">
        <f>+'[2]por cuent'!A756</f>
        <v>ARS</v>
      </c>
      <c r="B756" t="str">
        <f>+'[2]por cuent'!B756</f>
        <v>465001243</v>
      </c>
      <c r="C756" t="str">
        <f>+'[2]por cuent'!C756</f>
        <v>INNOVACIÓN ONCATIVO SA</v>
      </c>
      <c r="D756" s="35">
        <f>+'[2]por cuent'!G756</f>
        <v>126172079.64</v>
      </c>
      <c r="E756" s="35">
        <f>+'[2]por cuent'!H756</f>
        <v>126172079.64</v>
      </c>
      <c r="F756" t="str">
        <f>+'[2]por cuent'!I756</f>
        <v>465</v>
      </c>
    </row>
    <row r="757" spans="1:6" x14ac:dyDescent="0.35">
      <c r="A757" t="str">
        <f>+'[2]por cuent'!A757</f>
        <v>ARS</v>
      </c>
      <c r="B757" t="str">
        <f>+'[2]por cuent'!B757</f>
        <v>465001246</v>
      </c>
      <c r="C757" t="str">
        <f>+'[2]por cuent'!C757</f>
        <v>Abate Daga, Mario Alberto</v>
      </c>
      <c r="D757" s="35">
        <f>+'[2]por cuent'!G757</f>
        <v>44767109.299999997</v>
      </c>
      <c r="E757" s="35">
        <f>+'[2]por cuent'!H757</f>
        <v>44767109.299999997</v>
      </c>
      <c r="F757" t="str">
        <f>+'[2]por cuent'!I757</f>
        <v>465</v>
      </c>
    </row>
    <row r="758" spans="1:6" x14ac:dyDescent="0.35">
      <c r="A758" t="str">
        <f>+'[2]por cuent'!A758</f>
        <v>ARS</v>
      </c>
      <c r="B758" t="str">
        <f>+'[2]por cuent'!B758</f>
        <v>465001247</v>
      </c>
      <c r="C758" t="str">
        <f>+'[2]por cuent'!C758</f>
        <v>Canovas, Silvia Del Carmen</v>
      </c>
      <c r="D758" s="35">
        <f>+'[2]por cuent'!G758</f>
        <v>45677239.399999999</v>
      </c>
      <c r="E758" s="35">
        <f>+'[2]por cuent'!H758</f>
        <v>45677239.399999999</v>
      </c>
      <c r="F758" t="str">
        <f>+'[2]por cuent'!I758</f>
        <v>465</v>
      </c>
    </row>
    <row r="759" spans="1:6" x14ac:dyDescent="0.35">
      <c r="A759" t="str">
        <f>+'[2]por cuent'!A759</f>
        <v>ARS</v>
      </c>
      <c r="B759" t="str">
        <f>+'[2]por cuent'!B759</f>
        <v>465001248</v>
      </c>
      <c r="C759" t="str">
        <f>+'[2]por cuent'!C759</f>
        <v>Castello, Hector Luis</v>
      </c>
      <c r="D759" s="35">
        <f>+'[2]por cuent'!G759</f>
        <v>29203588.640000001</v>
      </c>
      <c r="E759" s="35">
        <f>+'[2]por cuent'!H759</f>
        <v>29203588.640000001</v>
      </c>
      <c r="F759" t="str">
        <f>+'[2]por cuent'!I759</f>
        <v>465</v>
      </c>
    </row>
    <row r="760" spans="1:6" x14ac:dyDescent="0.35">
      <c r="A760" t="str">
        <f>+'[2]por cuent'!A760</f>
        <v>ARS</v>
      </c>
      <c r="B760" t="str">
        <f>+'[2]por cuent'!B760</f>
        <v>465001251</v>
      </c>
      <c r="C760" t="str">
        <f>+'[2]por cuent'!C760</f>
        <v>Rodas, Esteban</v>
      </c>
      <c r="D760" s="35">
        <f>+'[2]por cuent'!G760</f>
        <v>3236334</v>
      </c>
      <c r="E760" s="35">
        <f>+'[2]por cuent'!H760</f>
        <v>3236334</v>
      </c>
      <c r="F760" t="str">
        <f>+'[2]por cuent'!I760</f>
        <v>465</v>
      </c>
    </row>
    <row r="761" spans="1:6" x14ac:dyDescent="0.35">
      <c r="A761" t="str">
        <f>+'[2]por cuent'!A761</f>
        <v>ARS</v>
      </c>
      <c r="B761" t="str">
        <f>+'[2]por cuent'!B761</f>
        <v>465001254</v>
      </c>
      <c r="C761" t="str">
        <f>+'[2]por cuent'!C761</f>
        <v>Remonda, Jose Ignacio</v>
      </c>
      <c r="D761" s="35">
        <f>+'[2]por cuent'!G761</f>
        <v>46271951.899999999</v>
      </c>
      <c r="E761" s="35">
        <f>+'[2]por cuent'!H761</f>
        <v>46271951.899999999</v>
      </c>
      <c r="F761" t="str">
        <f>+'[2]por cuent'!I761</f>
        <v>465</v>
      </c>
    </row>
    <row r="762" spans="1:6" x14ac:dyDescent="0.35">
      <c r="A762" t="str">
        <f>+'[2]por cuent'!A762</f>
        <v>ARS</v>
      </c>
      <c r="B762" t="str">
        <f>+'[2]por cuent'!B762</f>
        <v>465001255</v>
      </c>
      <c r="C762" t="str">
        <f>+'[2]por cuent'!C762</f>
        <v>Remonda, Ana Teresa o REMONDA, JOSÉ Ignacio</v>
      </c>
      <c r="D762" s="35">
        <f>+'[2]por cuent'!G762</f>
        <v>1829597.8</v>
      </c>
      <c r="E762" s="35">
        <f>+'[2]por cuent'!H762</f>
        <v>1829597.8</v>
      </c>
      <c r="F762" t="str">
        <f>+'[2]por cuent'!I762</f>
        <v>465</v>
      </c>
    </row>
    <row r="763" spans="1:6" x14ac:dyDescent="0.35">
      <c r="A763" t="str">
        <f>+'[2]por cuent'!A763</f>
        <v>ARS</v>
      </c>
      <c r="B763" t="str">
        <f>+'[2]por cuent'!B763</f>
        <v>465001257</v>
      </c>
      <c r="C763" t="str">
        <f>+'[2]por cuent'!C763</f>
        <v>COMAR Construcciones SRL</v>
      </c>
      <c r="D763" s="35">
        <f>+'[2]por cuent'!G763</f>
        <v>136499177.12</v>
      </c>
      <c r="E763" s="35">
        <f>+'[2]por cuent'!H763</f>
        <v>136499177.12</v>
      </c>
      <c r="F763" t="str">
        <f>+'[2]por cuent'!I763</f>
        <v>465</v>
      </c>
    </row>
    <row r="764" spans="1:6" x14ac:dyDescent="0.35">
      <c r="A764" t="str">
        <f>+'[2]por cuent'!A764</f>
        <v>ARS</v>
      </c>
      <c r="B764" t="str">
        <f>+'[2]por cuent'!B764</f>
        <v>465001261</v>
      </c>
      <c r="C764" t="str">
        <f>+'[2]por cuent'!C764</f>
        <v>Argeo SRL</v>
      </c>
      <c r="D764" s="35">
        <f>+'[2]por cuent'!G764</f>
        <v>284022301.58999997</v>
      </c>
      <c r="E764" s="35">
        <f>+'[2]por cuent'!H764</f>
        <v>284022301.58999997</v>
      </c>
      <c r="F764" t="str">
        <f>+'[2]por cuent'!I764</f>
        <v>465</v>
      </c>
    </row>
    <row r="765" spans="1:6" x14ac:dyDescent="0.35">
      <c r="A765" t="str">
        <f>+'[2]por cuent'!A765</f>
        <v>ARS</v>
      </c>
      <c r="B765" t="str">
        <f>+'[2]por cuent'!B765</f>
        <v>465001269</v>
      </c>
      <c r="C765" t="str">
        <f>+'[2]por cuent'!C765</f>
        <v>Depretto MONTOYA, Ismael SEBASTIAN</v>
      </c>
      <c r="D765" s="35">
        <f>+'[2]por cuent'!G765</f>
        <v>418672.27</v>
      </c>
      <c r="E765" s="35">
        <f>+'[2]por cuent'!H765</f>
        <v>418672.27</v>
      </c>
      <c r="F765" t="str">
        <f>+'[2]por cuent'!I765</f>
        <v>465</v>
      </c>
    </row>
    <row r="766" spans="1:6" x14ac:dyDescent="0.35">
      <c r="A766" t="str">
        <f>+'[2]por cuent'!A766</f>
        <v>ARS</v>
      </c>
      <c r="B766" t="str">
        <f>+'[2]por cuent'!B766</f>
        <v>465001270</v>
      </c>
      <c r="C766" t="str">
        <f>+'[2]por cuent'!C766</f>
        <v>Trener, Karen Aylen</v>
      </c>
      <c r="D766" s="35">
        <f>+'[2]por cuent'!G766</f>
        <v>9244355.9199999999</v>
      </c>
      <c r="E766" s="35">
        <f>+'[2]por cuent'!H766</f>
        <v>9244355.9199999999</v>
      </c>
      <c r="F766" t="str">
        <f>+'[2]por cuent'!I766</f>
        <v>465</v>
      </c>
    </row>
    <row r="767" spans="1:6" x14ac:dyDescent="0.35">
      <c r="A767" t="str">
        <f>+'[2]por cuent'!A767</f>
        <v>ARS</v>
      </c>
      <c r="B767" t="str">
        <f>+'[2]por cuent'!B767</f>
        <v>465001279</v>
      </c>
      <c r="C767" t="str">
        <f>+'[2]por cuent'!C767</f>
        <v>[C.E.R.A] - De Francisco Angel Eduardo</v>
      </c>
      <c r="D767" s="35">
        <f>+'[2]por cuent'!G767</f>
        <v>841.4</v>
      </c>
      <c r="E767" s="35">
        <f>+'[2]por cuent'!H767</f>
        <v>841.4</v>
      </c>
      <c r="F767" t="str">
        <f>+'[2]por cuent'!I767</f>
        <v>465</v>
      </c>
    </row>
    <row r="768" spans="1:6" x14ac:dyDescent="0.35">
      <c r="A768" t="str">
        <f>+'[2]por cuent'!A768</f>
        <v>ARS</v>
      </c>
      <c r="B768" t="str">
        <f>+'[2]por cuent'!B768</f>
        <v>465001283</v>
      </c>
      <c r="C768" t="str">
        <f>+'[2]por cuent'!C768</f>
        <v xml:space="preserve"> [C.E.R.A] - Vocos Brouwer De Koning Ruy , Augusto</v>
      </c>
      <c r="D768" s="35">
        <f>+'[2]por cuent'!G768</f>
        <v>239430</v>
      </c>
      <c r="E768" s="35">
        <f>+'[2]por cuent'!H768</f>
        <v>239430</v>
      </c>
      <c r="F768" t="str">
        <f>+'[2]por cuent'!I768</f>
        <v>465</v>
      </c>
    </row>
    <row r="769" spans="1:6" x14ac:dyDescent="0.35">
      <c r="A769" t="str">
        <f>+'[2]por cuent'!A769</f>
        <v>ARS</v>
      </c>
      <c r="B769" t="str">
        <f>+'[2]por cuent'!B769</f>
        <v>465001285</v>
      </c>
      <c r="C769" t="str">
        <f>+'[2]por cuent'!C769</f>
        <v>Gancedo, Sofia</v>
      </c>
      <c r="D769" s="35">
        <f>+'[2]por cuent'!G769</f>
        <v>63094.9</v>
      </c>
      <c r="E769" s="35">
        <f>+'[2]por cuent'!H769</f>
        <v>63094.9</v>
      </c>
      <c r="F769" t="str">
        <f>+'[2]por cuent'!I769</f>
        <v>465</v>
      </c>
    </row>
    <row r="770" spans="1:6" x14ac:dyDescent="0.35">
      <c r="A770" t="str">
        <f>+'[2]por cuent'!A770</f>
        <v>ARS</v>
      </c>
      <c r="B770" t="str">
        <f>+'[2]por cuent'!B770</f>
        <v>465001287</v>
      </c>
      <c r="C770" t="str">
        <f>+'[2]por cuent'!C770</f>
        <v>Daghero, Fabian</v>
      </c>
      <c r="D770" s="35">
        <f>+'[2]por cuent'!G770</f>
        <v>20289512.129999999</v>
      </c>
      <c r="E770" s="35">
        <f>+'[2]por cuent'!H770</f>
        <v>20289512.129999999</v>
      </c>
      <c r="F770" t="str">
        <f>+'[2]por cuent'!I770</f>
        <v>465</v>
      </c>
    </row>
    <row r="771" spans="1:6" x14ac:dyDescent="0.35">
      <c r="A771" t="str">
        <f>+'[2]por cuent'!A771</f>
        <v>ARS</v>
      </c>
      <c r="B771" t="str">
        <f>+'[2]por cuent'!B771</f>
        <v>465001293</v>
      </c>
      <c r="C771" t="str">
        <f>+'[2]por cuent'!C771</f>
        <v>Vignau, Santiago Tomas</v>
      </c>
      <c r="D771" s="35">
        <f>+'[2]por cuent'!G771</f>
        <v>3569545.57</v>
      </c>
      <c r="E771" s="35">
        <f>+'[2]por cuent'!H771</f>
        <v>3569545.57</v>
      </c>
      <c r="F771" t="str">
        <f>+'[2]por cuent'!I771</f>
        <v>465</v>
      </c>
    </row>
    <row r="772" spans="1:6" x14ac:dyDescent="0.35">
      <c r="A772" t="str">
        <f>+'[2]por cuent'!A772</f>
        <v>ARS</v>
      </c>
      <c r="B772" t="str">
        <f>+'[2]por cuent'!B772</f>
        <v>465001295</v>
      </c>
      <c r="C772" t="str">
        <f>+'[2]por cuent'!C772</f>
        <v>Marrama, Gabriel</v>
      </c>
      <c r="D772" s="35">
        <f>+'[2]por cuent'!G772</f>
        <v>100223377.09999999</v>
      </c>
      <c r="E772" s="35">
        <f>+'[2]por cuent'!H772</f>
        <v>100223377.09999999</v>
      </c>
      <c r="F772" t="str">
        <f>+'[2]por cuent'!I772</f>
        <v>465</v>
      </c>
    </row>
    <row r="773" spans="1:6" x14ac:dyDescent="0.35">
      <c r="A773" t="str">
        <f>+'[2]por cuent'!A773</f>
        <v>ARS</v>
      </c>
      <c r="B773" t="str">
        <f>+'[2]por cuent'!B773</f>
        <v>465001296</v>
      </c>
      <c r="C773" t="str">
        <f>+'[2]por cuent'!C773</f>
        <v>RYSER David Enrique</v>
      </c>
      <c r="D773" s="35">
        <f>+'[2]por cuent'!G773</f>
        <v>3278745</v>
      </c>
      <c r="E773" s="35">
        <f>+'[2]por cuent'!H773</f>
        <v>3278745</v>
      </c>
      <c r="F773" t="str">
        <f>+'[2]por cuent'!I773</f>
        <v>465</v>
      </c>
    </row>
    <row r="774" spans="1:6" x14ac:dyDescent="0.35">
      <c r="A774" t="str">
        <f>+'[2]por cuent'!A774</f>
        <v>ARS</v>
      </c>
      <c r="B774" t="str">
        <f>+'[2]por cuent'!B774</f>
        <v>465001297</v>
      </c>
      <c r="C774" t="str">
        <f>+'[2]por cuent'!C774</f>
        <v>RC PLEGADOS SAS</v>
      </c>
      <c r="D774" s="35">
        <f>+'[2]por cuent'!G774</f>
        <v>10423604.5</v>
      </c>
      <c r="E774" s="35">
        <f>+'[2]por cuent'!H774</f>
        <v>10423604.5</v>
      </c>
      <c r="F774" t="str">
        <f>+'[2]por cuent'!I774</f>
        <v>465</v>
      </c>
    </row>
    <row r="775" spans="1:6" x14ac:dyDescent="0.35">
      <c r="A775" t="str">
        <f>+'[2]por cuent'!A775</f>
        <v>ARS</v>
      </c>
      <c r="B775" t="str">
        <f>+'[2]por cuent'!B775</f>
        <v>465001305</v>
      </c>
      <c r="C775" t="str">
        <f>+'[2]por cuent'!C775</f>
        <v>Trener, Ariel Arturo</v>
      </c>
      <c r="D775" s="35">
        <f>+'[2]por cuent'!G775</f>
        <v>27800</v>
      </c>
      <c r="E775" s="35">
        <f>+'[2]por cuent'!H775</f>
        <v>27800</v>
      </c>
      <c r="F775" t="str">
        <f>+'[2]por cuent'!I775</f>
        <v>465</v>
      </c>
    </row>
    <row r="776" spans="1:6" x14ac:dyDescent="0.35">
      <c r="A776" t="str">
        <f>+'[2]por cuent'!A776</f>
        <v>ARS</v>
      </c>
      <c r="B776" t="str">
        <f>+'[2]por cuent'!B776</f>
        <v>465001306</v>
      </c>
      <c r="C776" t="str">
        <f>+'[2]por cuent'!C776</f>
        <v>Zablosky, Tomas</v>
      </c>
      <c r="D776" s="35">
        <f>+'[2]por cuent'!G776</f>
        <v>33679038.840000004</v>
      </c>
      <c r="E776" s="35">
        <f>+'[2]por cuent'!H776</f>
        <v>33679038.840000004</v>
      </c>
      <c r="F776" t="str">
        <f>+'[2]por cuent'!I776</f>
        <v>465</v>
      </c>
    </row>
    <row r="777" spans="1:6" x14ac:dyDescent="0.35">
      <c r="A777" t="str">
        <f>+'[2]por cuent'!A777</f>
        <v>ARS</v>
      </c>
      <c r="B777" t="str">
        <f>+'[2]por cuent'!B777</f>
        <v>465001314</v>
      </c>
      <c r="C777" t="str">
        <f>+'[2]por cuent'!C777</f>
        <v>Quintal Agross SRL</v>
      </c>
      <c r="D777" s="35">
        <f>+'[2]por cuent'!G777</f>
        <v>31549695.690000001</v>
      </c>
      <c r="E777" s="35">
        <f>+'[2]por cuent'!H777</f>
        <v>31549695.690000001</v>
      </c>
      <c r="F777" t="str">
        <f>+'[2]por cuent'!I777</f>
        <v>465</v>
      </c>
    </row>
    <row r="778" spans="1:6" x14ac:dyDescent="0.35">
      <c r="A778" t="str">
        <f>+'[2]por cuent'!A778</f>
        <v>ARS</v>
      </c>
      <c r="B778" t="str">
        <f>+'[2]por cuent'!B778</f>
        <v>465001315</v>
      </c>
      <c r="C778" t="str">
        <f>+'[2]por cuent'!C778</f>
        <v>Castelló, Julieta María</v>
      </c>
      <c r="D778" s="35">
        <f>+'[2]por cuent'!G778</f>
        <v>13054905.039999999</v>
      </c>
      <c r="E778" s="35">
        <f>+'[2]por cuent'!H778</f>
        <v>13054905.039999999</v>
      </c>
      <c r="F778" t="str">
        <f>+'[2]por cuent'!I778</f>
        <v>465</v>
      </c>
    </row>
    <row r="779" spans="1:6" x14ac:dyDescent="0.35">
      <c r="A779" t="str">
        <f>+'[2]por cuent'!A779</f>
        <v>ARS</v>
      </c>
      <c r="B779" t="str">
        <f>+'[2]por cuent'!B779</f>
        <v>465001317</v>
      </c>
      <c r="C779" t="str">
        <f>+'[2]por cuent'!C779</f>
        <v>Lopez, Vanina Soledad De Lourdes</v>
      </c>
      <c r="D779" s="35">
        <f>+'[2]por cuent'!G779</f>
        <v>3194809.33</v>
      </c>
      <c r="E779" s="35">
        <f>+'[2]por cuent'!H779</f>
        <v>3194809.33</v>
      </c>
      <c r="F779" t="str">
        <f>+'[2]por cuent'!I779</f>
        <v>465</v>
      </c>
    </row>
    <row r="780" spans="1:6" x14ac:dyDescent="0.35">
      <c r="A780" t="str">
        <f>+'[2]por cuent'!A780</f>
        <v>ARS</v>
      </c>
      <c r="B780" t="str">
        <f>+'[2]por cuent'!B780</f>
        <v>465001318</v>
      </c>
      <c r="C780" t="str">
        <f>+'[2]por cuent'!C780</f>
        <v>Grimaux, Laura María</v>
      </c>
      <c r="D780" s="35">
        <f>+'[2]por cuent'!G780</f>
        <v>11757322.449999999</v>
      </c>
      <c r="E780" s="35">
        <f>+'[2]por cuent'!H780</f>
        <v>11757322.449999999</v>
      </c>
      <c r="F780" t="str">
        <f>+'[2]por cuent'!I780</f>
        <v>465</v>
      </c>
    </row>
    <row r="781" spans="1:6" x14ac:dyDescent="0.35">
      <c r="A781" t="str">
        <f>+'[2]por cuent'!A781</f>
        <v>ARS</v>
      </c>
      <c r="B781" t="str">
        <f>+'[2]por cuent'!B781</f>
        <v>465001320</v>
      </c>
      <c r="C781" t="str">
        <f>+'[2]por cuent'!C781</f>
        <v>[C.E.R.A.] Gallo, Alejandro Gustavo</v>
      </c>
      <c r="D781" s="35">
        <f>+'[2]por cuent'!G781</f>
        <v>306812527</v>
      </c>
      <c r="E781" s="35">
        <f>+'[2]por cuent'!H781</f>
        <v>306812527</v>
      </c>
      <c r="F781" t="str">
        <f>+'[2]por cuent'!I781</f>
        <v>465</v>
      </c>
    </row>
    <row r="782" spans="1:6" x14ac:dyDescent="0.35">
      <c r="A782" t="str">
        <f>+'[2]por cuent'!A782</f>
        <v>ARS</v>
      </c>
      <c r="B782" t="str">
        <f>+'[2]por cuent'!B782</f>
        <v>465001322</v>
      </c>
      <c r="C782" t="str">
        <f>+'[2]por cuent'!C782</f>
        <v>Rosenberg, Luis</v>
      </c>
      <c r="D782" s="35">
        <f>+'[2]por cuent'!G782</f>
        <v>8062898.5</v>
      </c>
      <c r="E782" s="35">
        <f>+'[2]por cuent'!H782</f>
        <v>8062898.5</v>
      </c>
      <c r="F782" t="str">
        <f>+'[2]por cuent'!I782</f>
        <v>465</v>
      </c>
    </row>
    <row r="783" spans="1:6" x14ac:dyDescent="0.35">
      <c r="A783" t="str">
        <f>+'[2]por cuent'!A783</f>
        <v>ARS</v>
      </c>
      <c r="B783" t="str">
        <f>+'[2]por cuent'!B783</f>
        <v>465001325</v>
      </c>
      <c r="C783" t="str">
        <f>+'[2]por cuent'!C783</f>
        <v>RUBIANO IVAN Y CRISTIAN SH</v>
      </c>
      <c r="D783" s="35">
        <f>+'[2]por cuent'!G783</f>
        <v>6949702</v>
      </c>
      <c r="E783" s="35">
        <f>+'[2]por cuent'!H783</f>
        <v>6949702</v>
      </c>
      <c r="F783" t="str">
        <f>+'[2]por cuent'!I783</f>
        <v>465</v>
      </c>
    </row>
    <row r="784" spans="1:6" x14ac:dyDescent="0.35">
      <c r="A784" t="str">
        <f>+'[2]por cuent'!A784</f>
        <v>ARS</v>
      </c>
      <c r="B784" t="str">
        <f>+'[2]por cuent'!B784</f>
        <v>465001327</v>
      </c>
      <c r="C784" t="str">
        <f>+'[2]por cuent'!C784</f>
        <v xml:space="preserve">Castro, Juan Manuel </v>
      </c>
      <c r="D784" s="35">
        <f>+'[2]por cuent'!G784</f>
        <v>4632598</v>
      </c>
      <c r="E784" s="35">
        <f>+'[2]por cuent'!H784</f>
        <v>4632598</v>
      </c>
      <c r="F784" t="str">
        <f>+'[2]por cuent'!I784</f>
        <v>465</v>
      </c>
    </row>
    <row r="785" spans="1:6" x14ac:dyDescent="0.35">
      <c r="A785" t="str">
        <f>+'[2]por cuent'!A785</f>
        <v>ARS</v>
      </c>
      <c r="B785" t="str">
        <f>+'[2]por cuent'!B785</f>
        <v>465001329</v>
      </c>
      <c r="C785" t="str">
        <f>+'[2]por cuent'!C785</f>
        <v>Gallo, Alejandro Gustavo</v>
      </c>
      <c r="D785" s="35">
        <f>+'[2]por cuent'!G785</f>
        <v>191825501.00999999</v>
      </c>
      <c r="E785" s="35">
        <f>+'[2]por cuent'!H785</f>
        <v>191825501.00999999</v>
      </c>
      <c r="F785" t="str">
        <f>+'[2]por cuent'!I785</f>
        <v>465</v>
      </c>
    </row>
    <row r="786" spans="1:6" x14ac:dyDescent="0.35">
      <c r="A786" t="str">
        <f>+'[2]por cuent'!A786</f>
        <v>ARS</v>
      </c>
      <c r="B786" t="str">
        <f>+'[2]por cuent'!B786</f>
        <v>465001330</v>
      </c>
      <c r="C786" t="str">
        <f>+'[2]por cuent'!C786</f>
        <v>LUIS ANGEL LANCIONI S.R.L.</v>
      </c>
      <c r="D786" s="35">
        <f>+'[2]por cuent'!G786</f>
        <v>68439514.079999998</v>
      </c>
      <c r="E786" s="35">
        <f>+'[2]por cuent'!H786</f>
        <v>68439514.079999998</v>
      </c>
      <c r="F786" t="str">
        <f>+'[2]por cuent'!I786</f>
        <v>465</v>
      </c>
    </row>
    <row r="787" spans="1:6" x14ac:dyDescent="0.35">
      <c r="A787" t="str">
        <f>+'[2]por cuent'!A787</f>
        <v>ARS</v>
      </c>
      <c r="B787" t="str">
        <f>+'[2]por cuent'!B787</f>
        <v>465001332</v>
      </c>
      <c r="C787" t="str">
        <f>+'[2]por cuent'!C787</f>
        <v>Rencoret, Maria Mercedes</v>
      </c>
      <c r="D787" s="35">
        <f>+'[2]por cuent'!G787</f>
        <v>4566725</v>
      </c>
      <c r="E787" s="35">
        <f>+'[2]por cuent'!H787</f>
        <v>4566725</v>
      </c>
      <c r="F787" t="str">
        <f>+'[2]por cuent'!I787</f>
        <v>465</v>
      </c>
    </row>
    <row r="788" spans="1:6" x14ac:dyDescent="0.35">
      <c r="A788" t="str">
        <f>+'[2]por cuent'!A788</f>
        <v>ARS</v>
      </c>
      <c r="B788" t="str">
        <f>+'[2]por cuent'!B788</f>
        <v>465001333</v>
      </c>
      <c r="C788" t="str">
        <f>+'[2]por cuent'!C788</f>
        <v>Chacon, Guillermo Raul</v>
      </c>
      <c r="D788" s="35">
        <f>+'[2]por cuent'!G788</f>
        <v>18095256.23</v>
      </c>
      <c r="E788" s="35">
        <f>+'[2]por cuent'!H788</f>
        <v>18095256.23</v>
      </c>
      <c r="F788" t="str">
        <f>+'[2]por cuent'!I788</f>
        <v>465</v>
      </c>
    </row>
    <row r="789" spans="1:6" x14ac:dyDescent="0.35">
      <c r="A789" t="str">
        <f>+'[2]por cuent'!A789</f>
        <v>ARS</v>
      </c>
      <c r="B789" t="str">
        <f>+'[2]por cuent'!B789</f>
        <v>465001334</v>
      </c>
      <c r="C789" t="str">
        <f>+'[2]por cuent'!C789</f>
        <v>Palomeque, Ivana Cecilia</v>
      </c>
      <c r="D789" s="35">
        <f>+'[2]por cuent'!G789</f>
        <v>7436270.7999999998</v>
      </c>
      <c r="E789" s="35">
        <f>+'[2]por cuent'!H789</f>
        <v>7436270.7999999998</v>
      </c>
      <c r="F789" t="str">
        <f>+'[2]por cuent'!I789</f>
        <v>465</v>
      </c>
    </row>
    <row r="790" spans="1:6" x14ac:dyDescent="0.35">
      <c r="A790" t="str">
        <f>+'[2]por cuent'!A790</f>
        <v>ARS</v>
      </c>
      <c r="B790" t="str">
        <f>+'[2]por cuent'!B790</f>
        <v>465001338</v>
      </c>
      <c r="C790" t="str">
        <f>+'[2]por cuent'!C790</f>
        <v>Gaido, Maria Fernanda</v>
      </c>
      <c r="D790" s="35">
        <f>+'[2]por cuent'!G790</f>
        <v>257944</v>
      </c>
      <c r="E790" s="35">
        <f>+'[2]por cuent'!H790</f>
        <v>257944</v>
      </c>
      <c r="F790" t="str">
        <f>+'[2]por cuent'!I790</f>
        <v>465</v>
      </c>
    </row>
    <row r="791" spans="1:6" x14ac:dyDescent="0.35">
      <c r="A791" t="str">
        <f>+'[2]por cuent'!A791</f>
        <v>ARS</v>
      </c>
      <c r="B791" t="str">
        <f>+'[2]por cuent'!B791</f>
        <v>465001342</v>
      </c>
      <c r="C791" t="str">
        <f>+'[2]por cuent'!C791</f>
        <v>Hernandorena, Walter Claudio</v>
      </c>
      <c r="D791" s="35">
        <f>+'[2]por cuent'!G791</f>
        <v>12084722</v>
      </c>
      <c r="E791" s="35">
        <f>+'[2]por cuent'!H791</f>
        <v>12084722</v>
      </c>
      <c r="F791" t="str">
        <f>+'[2]por cuent'!I791</f>
        <v>465</v>
      </c>
    </row>
    <row r="792" spans="1:6" x14ac:dyDescent="0.35">
      <c r="A792" t="str">
        <f>+'[2]por cuent'!A792</f>
        <v>ARS</v>
      </c>
      <c r="B792" t="str">
        <f>+'[2]por cuent'!B792</f>
        <v>465001344</v>
      </c>
      <c r="C792" t="str">
        <f>+'[2]por cuent'!C792</f>
        <v xml:space="preserve">Trener, Melanie </v>
      </c>
      <c r="D792" s="35">
        <f>+'[2]por cuent'!G792</f>
        <v>450604.79999999999</v>
      </c>
      <c r="E792" s="35">
        <f>+'[2]por cuent'!H792</f>
        <v>450604.79999999999</v>
      </c>
      <c r="F792" t="str">
        <f>+'[2]por cuent'!I792</f>
        <v>465</v>
      </c>
    </row>
    <row r="793" spans="1:6" x14ac:dyDescent="0.35">
      <c r="A793" t="str">
        <f>+'[2]por cuent'!A793</f>
        <v>ARS</v>
      </c>
      <c r="B793" t="str">
        <f>+'[2]por cuent'!B793</f>
        <v>465001345</v>
      </c>
      <c r="C793" t="str">
        <f>+'[2]por cuent'!C793</f>
        <v>Faustini, Jorge Ariel</v>
      </c>
      <c r="D793" s="35">
        <f>+'[2]por cuent'!G793</f>
        <v>12087600</v>
      </c>
      <c r="E793" s="35">
        <f>+'[2]por cuent'!H793</f>
        <v>12087600</v>
      </c>
      <c r="F793" t="str">
        <f>+'[2]por cuent'!I793</f>
        <v>465</v>
      </c>
    </row>
    <row r="794" spans="1:6" x14ac:dyDescent="0.35">
      <c r="A794" t="str">
        <f>+'[2]por cuent'!A794</f>
        <v>ARS</v>
      </c>
      <c r="B794" t="str">
        <f>+'[2]por cuent'!B794</f>
        <v>465001349</v>
      </c>
      <c r="C794" t="str">
        <f>+'[2]por cuent'!C794</f>
        <v>EL CARRIZAL S.R.L.</v>
      </c>
      <c r="D794" s="35">
        <f>+'[2]por cuent'!G794</f>
        <v>68568591.900000006</v>
      </c>
      <c r="E794" s="35">
        <f>+'[2]por cuent'!H794</f>
        <v>68568591.900000006</v>
      </c>
      <c r="F794" t="str">
        <f>+'[2]por cuent'!I794</f>
        <v>465</v>
      </c>
    </row>
    <row r="795" spans="1:6" x14ac:dyDescent="0.35">
      <c r="A795" t="str">
        <f>+'[2]por cuent'!A795</f>
        <v>ARS</v>
      </c>
      <c r="B795" t="str">
        <f>+'[2]por cuent'!B795</f>
        <v>465001351</v>
      </c>
      <c r="C795" t="str">
        <f>+'[2]por cuent'!C795</f>
        <v>Maza, Pablo Cesar</v>
      </c>
      <c r="D795" s="35">
        <f>+'[2]por cuent'!G795</f>
        <v>30115244</v>
      </c>
      <c r="E795" s="35">
        <f>+'[2]por cuent'!H795</f>
        <v>30115244</v>
      </c>
      <c r="F795" t="str">
        <f>+'[2]por cuent'!I795</f>
        <v>465</v>
      </c>
    </row>
    <row r="796" spans="1:6" x14ac:dyDescent="0.35">
      <c r="A796" t="str">
        <f>+'[2]por cuent'!A796</f>
        <v>ARS</v>
      </c>
      <c r="B796" t="str">
        <f>+'[2]por cuent'!B796</f>
        <v>465001353</v>
      </c>
      <c r="C796" t="str">
        <f>+'[2]por cuent'!C796</f>
        <v>LA UTOPIA SAS</v>
      </c>
      <c r="D796" s="35">
        <f>+'[2]por cuent'!G796</f>
        <v>1487094640.6900001</v>
      </c>
      <c r="E796" s="35">
        <f>+'[2]por cuent'!H796</f>
        <v>1487094640.6900001</v>
      </c>
      <c r="F796" t="str">
        <f>+'[2]por cuent'!I796</f>
        <v>465</v>
      </c>
    </row>
    <row r="797" spans="1:6" x14ac:dyDescent="0.35">
      <c r="A797" t="str">
        <f>+'[2]por cuent'!A797</f>
        <v>ARS</v>
      </c>
      <c r="B797" t="str">
        <f>+'[2]por cuent'!B797</f>
        <v>465001354</v>
      </c>
      <c r="C797" t="str">
        <f>+'[2]por cuent'!C797</f>
        <v>Molina, Natalia Lucila</v>
      </c>
      <c r="D797" s="35">
        <f>+'[2]por cuent'!G797</f>
        <v>56062.5</v>
      </c>
      <c r="E797" s="35">
        <f>+'[2]por cuent'!H797</f>
        <v>56062.5</v>
      </c>
      <c r="F797" t="str">
        <f>+'[2]por cuent'!I797</f>
        <v>465</v>
      </c>
    </row>
    <row r="798" spans="1:6" x14ac:dyDescent="0.35">
      <c r="A798" t="str">
        <f>+'[2]por cuent'!A798</f>
        <v>ARS</v>
      </c>
      <c r="B798" t="str">
        <f>+'[2]por cuent'!B798</f>
        <v>465001355</v>
      </c>
      <c r="C798" t="str">
        <f>+'[2]por cuent'!C798</f>
        <v>Bizzarri, Maria Soledad</v>
      </c>
      <c r="D798" s="35">
        <f>+'[2]por cuent'!G798</f>
        <v>13767033.73</v>
      </c>
      <c r="E798" s="35">
        <f>+'[2]por cuent'!H798</f>
        <v>13767033.73</v>
      </c>
      <c r="F798" t="str">
        <f>+'[2]por cuent'!I798</f>
        <v>465</v>
      </c>
    </row>
    <row r="799" spans="1:6" x14ac:dyDescent="0.35">
      <c r="A799" t="str">
        <f>+'[2]por cuent'!A799</f>
        <v>ARS</v>
      </c>
      <c r="B799" t="str">
        <f>+'[2]por cuent'!B799</f>
        <v>465001356</v>
      </c>
      <c r="C799" t="str">
        <f>+'[2]por cuent'!C799</f>
        <v>Leal Marchena, Mauro Augusto</v>
      </c>
      <c r="D799" s="35">
        <f>+'[2]por cuent'!G799</f>
        <v>2367750</v>
      </c>
      <c r="E799" s="35">
        <f>+'[2]por cuent'!H799</f>
        <v>2367750</v>
      </c>
      <c r="F799" t="str">
        <f>+'[2]por cuent'!I799</f>
        <v>465</v>
      </c>
    </row>
    <row r="800" spans="1:6" x14ac:dyDescent="0.35">
      <c r="A800" t="str">
        <f>+'[2]por cuent'!A800</f>
        <v>ARS</v>
      </c>
      <c r="B800" t="str">
        <f>+'[2]por cuent'!B800</f>
        <v>465001358</v>
      </c>
      <c r="C800" t="str">
        <f>+'[2]por cuent'!C800</f>
        <v>CASNEM S.A.</v>
      </c>
      <c r="D800" s="35">
        <f>+'[2]por cuent'!G800</f>
        <v>73998673.189999998</v>
      </c>
      <c r="E800" s="35">
        <f>+'[2]por cuent'!H800</f>
        <v>73998673.189999998</v>
      </c>
      <c r="F800" t="str">
        <f>+'[2]por cuent'!I800</f>
        <v>465</v>
      </c>
    </row>
    <row r="801" spans="1:6" x14ac:dyDescent="0.35">
      <c r="A801" t="str">
        <f>+'[2]por cuent'!A801</f>
        <v>ARS</v>
      </c>
      <c r="B801" t="str">
        <f>+'[2]por cuent'!B801</f>
        <v>465001359</v>
      </c>
      <c r="C801" t="str">
        <f>+'[2]por cuent'!C801</f>
        <v>GUACALUZ S.R.L.</v>
      </c>
      <c r="D801" s="35">
        <f>+'[2]por cuent'!G801</f>
        <v>34346758.159999996</v>
      </c>
      <c r="E801" s="35">
        <f>+'[2]por cuent'!H801</f>
        <v>34346758.159999996</v>
      </c>
      <c r="F801" t="str">
        <f>+'[2]por cuent'!I801</f>
        <v>465</v>
      </c>
    </row>
    <row r="802" spans="1:6" x14ac:dyDescent="0.35">
      <c r="A802" t="str">
        <f>+'[2]por cuent'!A802</f>
        <v>ARS</v>
      </c>
      <c r="B802" t="str">
        <f>+'[2]por cuent'!B802</f>
        <v>465001360</v>
      </c>
      <c r="C802" t="str">
        <f>+'[2]por cuent'!C802</f>
        <v>ESTANCIA MARIA GLORIA S.A.</v>
      </c>
      <c r="D802" s="35">
        <f>+'[2]por cuent'!G802</f>
        <v>34338941.140000001</v>
      </c>
      <c r="E802" s="35">
        <f>+'[2]por cuent'!H802</f>
        <v>34338941.140000001</v>
      </c>
      <c r="F802" t="str">
        <f>+'[2]por cuent'!I802</f>
        <v>465</v>
      </c>
    </row>
    <row r="803" spans="1:6" x14ac:dyDescent="0.35">
      <c r="A803" t="str">
        <f>+'[2]por cuent'!A803</f>
        <v>ARS</v>
      </c>
      <c r="B803" t="str">
        <f>+'[2]por cuent'!B803</f>
        <v>465001365</v>
      </c>
      <c r="C803" t="str">
        <f>+'[2]por cuent'!C803</f>
        <v>MOCASSINO S.A.</v>
      </c>
      <c r="D803" s="35">
        <f>+'[2]por cuent'!G803</f>
        <v>12717086.24</v>
      </c>
      <c r="E803" s="35">
        <f>+'[2]por cuent'!H803</f>
        <v>12717086.24</v>
      </c>
      <c r="F803" t="str">
        <f>+'[2]por cuent'!I803</f>
        <v>465</v>
      </c>
    </row>
    <row r="804" spans="1:6" x14ac:dyDescent="0.35">
      <c r="A804" t="str">
        <f>+'[2]por cuent'!A804</f>
        <v>ARS</v>
      </c>
      <c r="B804" t="str">
        <f>+'[2]por cuent'!B804</f>
        <v>465001367</v>
      </c>
      <c r="C804" t="str">
        <f>+'[2]por cuent'!C804</f>
        <v>Ramos, Gustavo Jose</v>
      </c>
      <c r="D804" s="35">
        <f>+'[2]por cuent'!G804</f>
        <v>39830263</v>
      </c>
      <c r="E804" s="35">
        <f>+'[2]por cuent'!H804</f>
        <v>39830263</v>
      </c>
      <c r="F804" t="str">
        <f>+'[2]por cuent'!I804</f>
        <v>465</v>
      </c>
    </row>
    <row r="805" spans="1:6" x14ac:dyDescent="0.35">
      <c r="A805" t="str">
        <f>+'[2]por cuent'!A805</f>
        <v>ARS</v>
      </c>
      <c r="B805" t="str">
        <f>+'[2]por cuent'!B805</f>
        <v>465001369</v>
      </c>
      <c r="C805" t="str">
        <f>+'[2]por cuent'!C805</f>
        <v>Guzman, Alejandro Agustin</v>
      </c>
      <c r="D805" s="35">
        <f>+'[2]por cuent'!G805</f>
        <v>70232781</v>
      </c>
      <c r="E805" s="35">
        <f>+'[2]por cuent'!H805</f>
        <v>70232781</v>
      </c>
      <c r="F805" t="str">
        <f>+'[2]por cuent'!I805</f>
        <v>465</v>
      </c>
    </row>
    <row r="806" spans="1:6" x14ac:dyDescent="0.35">
      <c r="A806" t="str">
        <f>+'[2]por cuent'!A806</f>
        <v>ARS</v>
      </c>
      <c r="B806" t="str">
        <f>+'[2]por cuent'!B806</f>
        <v>465001370</v>
      </c>
      <c r="C806" t="str">
        <f>+'[2]por cuent'!C806</f>
        <v>S.GR.A CREATIN S.A.S.</v>
      </c>
      <c r="D806" s="35">
        <f>+'[2]por cuent'!G806</f>
        <v>16717379.68</v>
      </c>
      <c r="E806" s="35">
        <f>+'[2]por cuent'!H806</f>
        <v>16717379.68</v>
      </c>
      <c r="F806" t="str">
        <f>+'[2]por cuent'!I806</f>
        <v>465</v>
      </c>
    </row>
    <row r="807" spans="1:6" x14ac:dyDescent="0.35">
      <c r="A807" t="str">
        <f>+'[2]por cuent'!A807</f>
        <v>ARS</v>
      </c>
      <c r="B807" t="str">
        <f>+'[2]por cuent'!B807</f>
        <v>465001371</v>
      </c>
      <c r="C807" t="str">
        <f>+'[2]por cuent'!C807</f>
        <v>Bonangelino, Valentino Hugo</v>
      </c>
      <c r="D807" s="35">
        <f>+'[2]por cuent'!G807</f>
        <v>994523432.22000003</v>
      </c>
      <c r="E807" s="35">
        <f>+'[2]por cuent'!H807</f>
        <v>994523432.22000003</v>
      </c>
      <c r="F807" t="str">
        <f>+'[2]por cuent'!I807</f>
        <v>465</v>
      </c>
    </row>
    <row r="808" spans="1:6" x14ac:dyDescent="0.35">
      <c r="A808" t="str">
        <f>+'[2]por cuent'!A808</f>
        <v>ARS</v>
      </c>
      <c r="B808" t="str">
        <f>+'[2]por cuent'!B808</f>
        <v>465001377</v>
      </c>
      <c r="C808" t="str">
        <f>+'[2]por cuent'!C808</f>
        <v>Garcia Vieyra Gigena, Carlos Elias</v>
      </c>
      <c r="D808" s="35">
        <f>+'[2]por cuent'!G808</f>
        <v>10813892.779999999</v>
      </c>
      <c r="E808" s="35">
        <f>+'[2]por cuent'!H808</f>
        <v>10813892.779999999</v>
      </c>
      <c r="F808" t="str">
        <f>+'[2]por cuent'!I808</f>
        <v>465</v>
      </c>
    </row>
    <row r="809" spans="1:6" x14ac:dyDescent="0.35">
      <c r="A809" t="str">
        <f>+'[2]por cuent'!A809</f>
        <v>ARS</v>
      </c>
      <c r="B809" t="str">
        <f>+'[2]por cuent'!B809</f>
        <v>465001378</v>
      </c>
      <c r="C809" t="str">
        <f>+'[2]por cuent'!C809</f>
        <v>Tropini, Sebastián Alberto</v>
      </c>
      <c r="D809" s="35">
        <f>+'[2]por cuent'!G809</f>
        <v>50893037.920000002</v>
      </c>
      <c r="E809" s="35">
        <f>+'[2]por cuent'!H809</f>
        <v>50893037.920000002</v>
      </c>
      <c r="F809" t="str">
        <f>+'[2]por cuent'!I809</f>
        <v>465</v>
      </c>
    </row>
    <row r="810" spans="1:6" x14ac:dyDescent="0.35">
      <c r="A810" t="str">
        <f>+'[2]por cuent'!A810</f>
        <v>ARS</v>
      </c>
      <c r="B810" t="str">
        <f>+'[2]por cuent'!B810</f>
        <v>465001381</v>
      </c>
      <c r="C810" t="str">
        <f>+'[2]por cuent'!C810</f>
        <v>Ratti, Marcelo Julio</v>
      </c>
      <c r="D810" s="35">
        <f>+'[2]por cuent'!G810</f>
        <v>96424</v>
      </c>
      <c r="E810" s="35">
        <f>+'[2]por cuent'!H810</f>
        <v>96424</v>
      </c>
      <c r="F810" t="str">
        <f>+'[2]por cuent'!I810</f>
        <v>465</v>
      </c>
    </row>
    <row r="811" spans="1:6" x14ac:dyDescent="0.35">
      <c r="A811" t="str">
        <f>+'[2]por cuent'!A811</f>
        <v>ARS</v>
      </c>
      <c r="B811" t="str">
        <f>+'[2]por cuent'!B811</f>
        <v>465001386</v>
      </c>
      <c r="C811" t="str">
        <f>+'[2]por cuent'!C811</f>
        <v>R&amp;R INGENIERIA S.A</v>
      </c>
      <c r="D811" s="35">
        <f>+'[2]por cuent'!G811</f>
        <v>18777871.800000001</v>
      </c>
      <c r="E811" s="35">
        <f>+'[2]por cuent'!H811</f>
        <v>18777871.800000001</v>
      </c>
      <c r="F811" t="str">
        <f>+'[2]por cuent'!I811</f>
        <v>465</v>
      </c>
    </row>
    <row r="812" spans="1:6" x14ac:dyDescent="0.35">
      <c r="A812" t="str">
        <f>+'[2]por cuent'!A812</f>
        <v>ARS</v>
      </c>
      <c r="B812" t="str">
        <f>+'[2]por cuent'!B812</f>
        <v>465001387</v>
      </c>
      <c r="C812" t="str">
        <f>+'[2]por cuent'!C812</f>
        <v>CERAMICOS MARGARITA S.R.L.</v>
      </c>
      <c r="D812" s="35">
        <f>+'[2]por cuent'!G812</f>
        <v>8498037.0700000003</v>
      </c>
      <c r="E812" s="35">
        <f>+'[2]por cuent'!H812</f>
        <v>8498037.0700000003</v>
      </c>
      <c r="F812" t="str">
        <f>+'[2]por cuent'!I812</f>
        <v>465</v>
      </c>
    </row>
    <row r="813" spans="1:6" x14ac:dyDescent="0.35">
      <c r="A813" t="str">
        <f>+'[2]por cuent'!A813</f>
        <v>ARS</v>
      </c>
      <c r="B813" t="str">
        <f>+'[2]por cuent'!B813</f>
        <v>465001393</v>
      </c>
      <c r="C813" t="str">
        <f>+'[2]por cuent'!C813</f>
        <v>HIDROTECH ARGENTINA S.A.</v>
      </c>
      <c r="D813" s="35">
        <f>+'[2]por cuent'!G813</f>
        <v>1068427</v>
      </c>
      <c r="E813" s="35">
        <f>+'[2]por cuent'!H813</f>
        <v>1068427</v>
      </c>
      <c r="F813" t="str">
        <f>+'[2]por cuent'!I813</f>
        <v>465</v>
      </c>
    </row>
    <row r="814" spans="1:6" x14ac:dyDescent="0.35">
      <c r="A814" t="str">
        <f>+'[2]por cuent'!A814</f>
        <v>ARS</v>
      </c>
      <c r="B814" t="str">
        <f>+'[2]por cuent'!B814</f>
        <v>465001394</v>
      </c>
      <c r="C814" t="str">
        <f>+'[2]por cuent'!C814</f>
        <v xml:space="preserve">Staricco, Claudio Leonardo </v>
      </c>
      <c r="D814" s="35">
        <f>+'[2]por cuent'!G814</f>
        <v>1282885696.5</v>
      </c>
      <c r="E814" s="35">
        <f>+'[2]por cuent'!H814</f>
        <v>1282885696.5</v>
      </c>
      <c r="F814" t="str">
        <f>+'[2]por cuent'!I814</f>
        <v>465</v>
      </c>
    </row>
    <row r="815" spans="1:6" x14ac:dyDescent="0.35">
      <c r="A815" t="str">
        <f>+'[2]por cuent'!A815</f>
        <v>ARS</v>
      </c>
      <c r="B815" t="str">
        <f>+'[2]por cuent'!B815</f>
        <v>465001395</v>
      </c>
      <c r="C815" t="str">
        <f>+'[2]por cuent'!C815</f>
        <v>Mercado, Claudio Federico</v>
      </c>
      <c r="D815" s="35">
        <f>+'[2]por cuent'!G815</f>
        <v>27603565</v>
      </c>
      <c r="E815" s="35">
        <f>+'[2]por cuent'!H815</f>
        <v>27603565</v>
      </c>
      <c r="F815" t="str">
        <f>+'[2]por cuent'!I815</f>
        <v>465</v>
      </c>
    </row>
    <row r="816" spans="1:6" x14ac:dyDescent="0.35">
      <c r="A816" t="str">
        <f>+'[2]por cuent'!A816</f>
        <v>ARS</v>
      </c>
      <c r="B816" t="str">
        <f>+'[2]por cuent'!B816</f>
        <v>465001399</v>
      </c>
      <c r="C816" t="str">
        <f>+'[2]por cuent'!C816</f>
        <v>Martinez, David Ariel</v>
      </c>
      <c r="D816" s="35">
        <f>+'[2]por cuent'!G816</f>
        <v>7867195</v>
      </c>
      <c r="E816" s="35">
        <f>+'[2]por cuent'!H816</f>
        <v>7867195</v>
      </c>
      <c r="F816" t="str">
        <f>+'[2]por cuent'!I816</f>
        <v>465</v>
      </c>
    </row>
    <row r="817" spans="1:6" x14ac:dyDescent="0.35">
      <c r="A817" t="str">
        <f>+'[2]por cuent'!A817</f>
        <v>ARS</v>
      </c>
      <c r="B817" t="str">
        <f>+'[2]por cuent'!B817</f>
        <v>465001400</v>
      </c>
      <c r="C817" t="str">
        <f>+'[2]por cuent'!C817</f>
        <v>Castillo, Servando del Rosario</v>
      </c>
      <c r="D817" s="35">
        <f>+'[2]por cuent'!G817</f>
        <v>29974571.530000001</v>
      </c>
      <c r="E817" s="35">
        <f>+'[2]por cuent'!H817</f>
        <v>29974571.530000001</v>
      </c>
      <c r="F817" t="str">
        <f>+'[2]por cuent'!I817</f>
        <v>465</v>
      </c>
    </row>
    <row r="818" spans="1:6" x14ac:dyDescent="0.35">
      <c r="A818" t="str">
        <f>+'[2]por cuent'!A818</f>
        <v>ARS</v>
      </c>
      <c r="B818" t="str">
        <f>+'[2]por cuent'!B818</f>
        <v>465001401</v>
      </c>
      <c r="C818" t="str">
        <f>+'[2]por cuent'!C818</f>
        <v>Rossi, Velia Maria</v>
      </c>
      <c r="D818" s="35">
        <f>+'[2]por cuent'!G818</f>
        <v>3001241.2</v>
      </c>
      <c r="E818" s="35">
        <f>+'[2]por cuent'!H818</f>
        <v>3001241.2</v>
      </c>
      <c r="F818" t="str">
        <f>+'[2]por cuent'!I818</f>
        <v>465</v>
      </c>
    </row>
    <row r="819" spans="1:6" x14ac:dyDescent="0.35">
      <c r="A819" t="str">
        <f>+'[2]por cuent'!A819</f>
        <v>ARS</v>
      </c>
      <c r="B819" t="str">
        <f>+'[2]por cuent'!B819</f>
        <v>465001407</v>
      </c>
      <c r="C819" t="str">
        <f>+'[2]por cuent'!C819</f>
        <v>Sager, Leandro Emanuel</v>
      </c>
      <c r="D819" s="35">
        <f>+'[2]por cuent'!G819</f>
        <v>4111380</v>
      </c>
      <c r="E819" s="35">
        <f>+'[2]por cuent'!H819</f>
        <v>4111380</v>
      </c>
      <c r="F819" t="str">
        <f>+'[2]por cuent'!I819</f>
        <v>465</v>
      </c>
    </row>
    <row r="820" spans="1:6" x14ac:dyDescent="0.35">
      <c r="A820" t="str">
        <f>+'[2]por cuent'!A820</f>
        <v>ARS</v>
      </c>
      <c r="B820" t="str">
        <f>+'[2]por cuent'!B820</f>
        <v>465001410</v>
      </c>
      <c r="C820" t="str">
        <f>+'[2]por cuent'!C820</f>
        <v>Bazan, Hugo Eduardo</v>
      </c>
      <c r="D820" s="35">
        <f>+'[2]por cuent'!G820</f>
        <v>10868925.960000001</v>
      </c>
      <c r="E820" s="35">
        <f>+'[2]por cuent'!H820</f>
        <v>10868925.960000001</v>
      </c>
      <c r="F820" t="str">
        <f>+'[2]por cuent'!I820</f>
        <v>465</v>
      </c>
    </row>
    <row r="821" spans="1:6" x14ac:dyDescent="0.35">
      <c r="A821" t="str">
        <f>+'[2]por cuent'!A821</f>
        <v>ARS</v>
      </c>
      <c r="B821" t="str">
        <f>+'[2]por cuent'!B821</f>
        <v>465001411</v>
      </c>
      <c r="C821" t="str">
        <f>+'[2]por cuent'!C821</f>
        <v>BERTINO, CARLOS OMAR</v>
      </c>
      <c r="D821" s="35">
        <f>+'[2]por cuent'!G821</f>
        <v>5006224</v>
      </c>
      <c r="E821" s="35">
        <f>+'[2]por cuent'!H821</f>
        <v>5006224</v>
      </c>
      <c r="F821" t="str">
        <f>+'[2]por cuent'!I821</f>
        <v>465</v>
      </c>
    </row>
    <row r="822" spans="1:6" x14ac:dyDescent="0.35">
      <c r="A822" t="str">
        <f>+'[2]por cuent'!A822</f>
        <v>ARS</v>
      </c>
      <c r="B822" t="str">
        <f>+'[2]por cuent'!B822</f>
        <v>465001412</v>
      </c>
      <c r="C822" t="str">
        <f>+'[2]por cuent'!C822</f>
        <v>Padilla, Maria Susana</v>
      </c>
      <c r="D822" s="35">
        <f>+'[2]por cuent'!G822</f>
        <v>3880168.66</v>
      </c>
      <c r="E822" s="35">
        <f>+'[2]por cuent'!H822</f>
        <v>3880168.66</v>
      </c>
      <c r="F822" t="str">
        <f>+'[2]por cuent'!I822</f>
        <v>465</v>
      </c>
    </row>
    <row r="823" spans="1:6" x14ac:dyDescent="0.35">
      <c r="A823" t="str">
        <f>+'[2]por cuent'!A823</f>
        <v>ARS</v>
      </c>
      <c r="B823" t="str">
        <f>+'[2]por cuent'!B823</f>
        <v>465001413</v>
      </c>
      <c r="C823" t="str">
        <f>+'[2]por cuent'!C823</f>
        <v>ALIMENTARIA SAN FRANCISCO S.A</v>
      </c>
      <c r="D823" s="35">
        <f>+'[2]por cuent'!G823</f>
        <v>48970319.869999997</v>
      </c>
      <c r="E823" s="35">
        <f>+'[2]por cuent'!H823</f>
        <v>48970319.869999997</v>
      </c>
      <c r="F823" t="str">
        <f>+'[2]por cuent'!I823</f>
        <v>465</v>
      </c>
    </row>
    <row r="824" spans="1:6" x14ac:dyDescent="0.35">
      <c r="A824" t="str">
        <f>+'[2]por cuent'!A824</f>
        <v>ARS</v>
      </c>
      <c r="B824" t="str">
        <f>+'[2]por cuent'!B824</f>
        <v>465001418</v>
      </c>
      <c r="C824" t="str">
        <f>+'[2]por cuent'!C824</f>
        <v>FIORI COMERCIAL SRL</v>
      </c>
      <c r="D824" s="35">
        <f>+'[2]por cuent'!G824</f>
        <v>170972741.84999999</v>
      </c>
      <c r="E824" s="35">
        <f>+'[2]por cuent'!H824</f>
        <v>170972741.84999999</v>
      </c>
      <c r="F824" t="str">
        <f>+'[2]por cuent'!I824</f>
        <v>465</v>
      </c>
    </row>
    <row r="825" spans="1:6" x14ac:dyDescent="0.35">
      <c r="A825" t="str">
        <f>+'[2]por cuent'!A825</f>
        <v>ARS</v>
      </c>
      <c r="B825" t="str">
        <f>+'[2]por cuent'!B825</f>
        <v>465001423</v>
      </c>
      <c r="C825" t="str">
        <f>+'[2]por cuent'!C825</f>
        <v>ADJ S.R.L.</v>
      </c>
      <c r="D825" s="35">
        <f>+'[2]por cuent'!G825</f>
        <v>31442889.780000001</v>
      </c>
      <c r="E825" s="35">
        <f>+'[2]por cuent'!H825</f>
        <v>31442889.780000001</v>
      </c>
      <c r="F825" t="str">
        <f>+'[2]por cuent'!I825</f>
        <v>465</v>
      </c>
    </row>
    <row r="826" spans="1:6" x14ac:dyDescent="0.35">
      <c r="A826" t="str">
        <f>+'[2]por cuent'!A826</f>
        <v>ARS</v>
      </c>
      <c r="B826" t="str">
        <f>+'[2]por cuent'!B826</f>
        <v>465001424</v>
      </c>
      <c r="C826" t="str">
        <f>+'[2]por cuent'!C826</f>
        <v>FADISAL SRL</v>
      </c>
      <c r="D826" s="35">
        <f>+'[2]por cuent'!G826</f>
        <v>30452985</v>
      </c>
      <c r="E826" s="35">
        <f>+'[2]por cuent'!H826</f>
        <v>30452985</v>
      </c>
      <c r="F826" t="str">
        <f>+'[2]por cuent'!I826</f>
        <v>465</v>
      </c>
    </row>
    <row r="827" spans="1:6" x14ac:dyDescent="0.35">
      <c r="A827" t="str">
        <f>+'[2]por cuent'!A827</f>
        <v>ARS</v>
      </c>
      <c r="B827" t="str">
        <f>+'[2]por cuent'!B827</f>
        <v>479005000</v>
      </c>
      <c r="C827" t="str">
        <f>+'[2]por cuent'!C827</f>
        <v>CUENTA ERROR ( SUPERVIELLE AGENTE DE NEGOCIACION S.A.U)</v>
      </c>
      <c r="D827" s="35">
        <f>+'[2]por cuent'!G827</f>
        <v>85031044829</v>
      </c>
      <c r="E827" s="35">
        <f>+'[2]por cuent'!H827</f>
        <v>85031044829</v>
      </c>
      <c r="F827" t="str">
        <f>+'[2]por cuent'!I827</f>
        <v>479</v>
      </c>
    </row>
    <row r="828" spans="1:6" x14ac:dyDescent="0.35">
      <c r="A828" t="str">
        <f>+'[2]por cuent'!A828</f>
        <v>ARS</v>
      </c>
      <c r="B828" t="str">
        <f>+'[2]por cuent'!B828</f>
        <v>479005014</v>
      </c>
      <c r="C828" t="str">
        <f>+'[2]por cuent'!C828</f>
        <v>CORPORACION MEDICA DE GRAL SAN MARTIN S A</v>
      </c>
      <c r="D828" s="35">
        <f>+'[2]por cuent'!G828</f>
        <v>99457354</v>
      </c>
      <c r="E828" s="35">
        <f>+'[2]por cuent'!H828</f>
        <v>99457354</v>
      </c>
      <c r="F828" t="str">
        <f>+'[2]por cuent'!I828</f>
        <v>479</v>
      </c>
    </row>
    <row r="829" spans="1:6" x14ac:dyDescent="0.35">
      <c r="A829" t="str">
        <f>+'[2]por cuent'!A829</f>
        <v>ARS</v>
      </c>
      <c r="B829" t="str">
        <f>+'[2]por cuent'!B829</f>
        <v>479005018</v>
      </c>
      <c r="C829" t="str">
        <f>+'[2]por cuent'!C829</f>
        <v>SUPERVIELLE ASSET MANAGEMENT S.A</v>
      </c>
      <c r="D829" s="35">
        <f>+'[2]por cuent'!G829</f>
        <v>1338260000</v>
      </c>
      <c r="E829" s="35">
        <f>+'[2]por cuent'!H829</f>
        <v>1338260000</v>
      </c>
      <c r="F829" t="str">
        <f>+'[2]por cuent'!I829</f>
        <v>479</v>
      </c>
    </row>
    <row r="830" spans="1:6" x14ac:dyDescent="0.35">
      <c r="A830" t="str">
        <f>+'[2]por cuent'!A830</f>
        <v>ARS</v>
      </c>
      <c r="B830" t="str">
        <f>+'[2]por cuent'!B830</f>
        <v>479005019</v>
      </c>
      <c r="C830" t="str">
        <f>+'[2]por cuent'!C830</f>
        <v>SUPERVIELLE SEGUROS S.A.</v>
      </c>
      <c r="D830" s="35">
        <f>+'[2]por cuent'!G830</f>
        <v>1854430500</v>
      </c>
      <c r="E830" s="35">
        <f>+'[2]por cuent'!H830</f>
        <v>1854430500</v>
      </c>
      <c r="F830" t="str">
        <f>+'[2]por cuent'!I830</f>
        <v>479</v>
      </c>
    </row>
    <row r="831" spans="1:6" x14ac:dyDescent="0.35">
      <c r="A831" t="str">
        <f>+'[2]por cuent'!A831</f>
        <v>ARS</v>
      </c>
      <c r="B831" t="str">
        <f>+'[2]por cuent'!B831</f>
        <v>479005023</v>
      </c>
      <c r="C831" t="str">
        <f>+'[2]por cuent'!C831</f>
        <v>EMPRESA DISTRIBUIDORA DE ELECTRICIDAD DEL ESTE SOCIEDAD ANONIMA</v>
      </c>
      <c r="D831" s="35">
        <f>+'[2]por cuent'!G831</f>
        <v>2853000000</v>
      </c>
      <c r="E831" s="35">
        <f>+'[2]por cuent'!H831</f>
        <v>2853000000</v>
      </c>
      <c r="F831" t="str">
        <f>+'[2]por cuent'!I831</f>
        <v>479</v>
      </c>
    </row>
    <row r="832" spans="1:6" x14ac:dyDescent="0.35">
      <c r="A832" t="str">
        <f>+'[2]por cuent'!A832</f>
        <v>ARS</v>
      </c>
      <c r="B832" t="str">
        <f>+'[2]por cuent'!B832</f>
        <v>479005028</v>
      </c>
      <c r="C832" t="str">
        <f>+'[2]por cuent'!C832</f>
        <v>LA MORALEJA SOCIEDAD ANONIMA</v>
      </c>
      <c r="D832" s="35">
        <f>+'[2]por cuent'!G832</f>
        <v>416721551.38</v>
      </c>
      <c r="E832" s="35">
        <f>+'[2]por cuent'!H832</f>
        <v>416721551.38</v>
      </c>
      <c r="F832" t="str">
        <f>+'[2]por cuent'!I832</f>
        <v>479</v>
      </c>
    </row>
    <row r="833" spans="1:6" x14ac:dyDescent="0.35">
      <c r="A833" t="str">
        <f>+'[2]por cuent'!A833</f>
        <v>ARS</v>
      </c>
      <c r="B833" t="str">
        <f>+'[2]por cuent'!B833</f>
        <v>479005036</v>
      </c>
      <c r="C833" t="str">
        <f>+'[2]por cuent'!C833</f>
        <v>HECTOR A. BERTONE S.A.</v>
      </c>
      <c r="D833" s="35">
        <f>+'[2]por cuent'!G833</f>
        <v>838883080.13999999</v>
      </c>
      <c r="E833" s="35">
        <f>+'[2]por cuent'!H833</f>
        <v>838883080.13999999</v>
      </c>
      <c r="F833" t="str">
        <f>+'[2]por cuent'!I833</f>
        <v>479</v>
      </c>
    </row>
    <row r="834" spans="1:6" x14ac:dyDescent="0.35">
      <c r="A834" t="str">
        <f>+'[2]por cuent'!A834</f>
        <v>ARS</v>
      </c>
      <c r="B834" t="str">
        <f>+'[2]por cuent'!B834</f>
        <v>479005048</v>
      </c>
      <c r="C834" t="str">
        <f>+'[2]por cuent'!C834</f>
        <v>MURESCO S.A.</v>
      </c>
      <c r="D834" s="35">
        <f>+'[2]por cuent'!G834</f>
        <v>100000384</v>
      </c>
      <c r="E834" s="35">
        <f>+'[2]por cuent'!H834</f>
        <v>100000384</v>
      </c>
      <c r="F834" t="str">
        <f>+'[2]por cuent'!I834</f>
        <v>479</v>
      </c>
    </row>
    <row r="835" spans="1:6" x14ac:dyDescent="0.35">
      <c r="A835" t="str">
        <f>+'[2]por cuent'!A835</f>
        <v>ARS</v>
      </c>
      <c r="B835" t="str">
        <f>+'[2]por cuent'!B835</f>
        <v>479005065</v>
      </c>
      <c r="C835" t="str">
        <f>+'[2]por cuent'!C835</f>
        <v>DESDELSUR S A</v>
      </c>
      <c r="D835" s="35">
        <f>+'[2]por cuent'!G835</f>
        <v>647248231.75999999</v>
      </c>
      <c r="E835" s="35">
        <f>+'[2]por cuent'!H835</f>
        <v>647248231.75999999</v>
      </c>
      <c r="F835" t="str">
        <f>+'[2]por cuent'!I835</f>
        <v>479</v>
      </c>
    </row>
    <row r="836" spans="1:6" x14ac:dyDescent="0.35">
      <c r="A836" t="str">
        <f>+'[2]por cuent'!A836</f>
        <v>ARS</v>
      </c>
      <c r="B836" t="str">
        <f>+'[2]por cuent'!B836</f>
        <v>479005072</v>
      </c>
      <c r="C836" t="str">
        <f>+'[2]por cuent'!C836</f>
        <v>CECSAGAL</v>
      </c>
      <c r="D836" s="35">
        <f>+'[2]por cuent'!G836</f>
        <v>813773442.47000003</v>
      </c>
      <c r="E836" s="35">
        <f>+'[2]por cuent'!H836</f>
        <v>813773442.47000003</v>
      </c>
      <c r="F836" t="str">
        <f>+'[2]por cuent'!I836</f>
        <v>479</v>
      </c>
    </row>
    <row r="837" spans="1:6" x14ac:dyDescent="0.35">
      <c r="A837" t="str">
        <f>+'[2]por cuent'!A837</f>
        <v>ARS</v>
      </c>
      <c r="B837" t="str">
        <f>+'[2]por cuent'!B837</f>
        <v>479005100</v>
      </c>
      <c r="C837" t="str">
        <f>+'[2]por cuent'!C837</f>
        <v>MILLAN S A</v>
      </c>
      <c r="D837" s="35">
        <f>+'[2]por cuent'!G837</f>
        <v>2000000000.3699999</v>
      </c>
      <c r="E837" s="35">
        <f>+'[2]por cuent'!H837</f>
        <v>2000000000.3699999</v>
      </c>
      <c r="F837" t="str">
        <f>+'[2]por cuent'!I837</f>
        <v>479</v>
      </c>
    </row>
    <row r="838" spans="1:6" x14ac:dyDescent="0.35">
      <c r="A838" t="str">
        <f>+'[2]por cuent'!A838</f>
        <v>ARS</v>
      </c>
      <c r="B838" t="str">
        <f>+'[2]por cuent'!B838</f>
        <v>479005134</v>
      </c>
      <c r="C838" t="str">
        <f>+'[2]por cuent'!C838</f>
        <v>SUPERVIELLE PRODUCTORES ASESORES DE SEGUROS S.A.</v>
      </c>
      <c r="D838" s="35">
        <f>+'[2]por cuent'!G838</f>
        <v>299906400</v>
      </c>
      <c r="E838" s="35">
        <f>+'[2]por cuent'!H838</f>
        <v>299906400</v>
      </c>
      <c r="F838" t="str">
        <f>+'[2]por cuent'!I838</f>
        <v>479</v>
      </c>
    </row>
    <row r="839" spans="1:6" x14ac:dyDescent="0.35">
      <c r="A839" t="str">
        <f>+'[2]por cuent'!A839</f>
        <v>ARS</v>
      </c>
      <c r="B839" t="str">
        <f>+'[2]por cuent'!B839</f>
        <v>479005171</v>
      </c>
      <c r="C839" t="str">
        <f>+'[2]por cuent'!C839</f>
        <v>S.N.F. ARGENTINA S.R.L.</v>
      </c>
      <c r="D839" s="35">
        <f>+'[2]por cuent'!G839</f>
        <v>438200001.13999999</v>
      </c>
      <c r="E839" s="35">
        <f>+'[2]por cuent'!H839</f>
        <v>438200001.13999999</v>
      </c>
      <c r="F839" t="str">
        <f>+'[2]por cuent'!I839</f>
        <v>479</v>
      </c>
    </row>
    <row r="840" spans="1:6" x14ac:dyDescent="0.35">
      <c r="A840" t="str">
        <f>+'[2]por cuent'!A840</f>
        <v>ARS</v>
      </c>
      <c r="B840" t="str">
        <f>+'[2]por cuent'!B840</f>
        <v>479005203</v>
      </c>
      <c r="C840" t="str">
        <f>+'[2]por cuent'!C840</f>
        <v>Newsan S.A</v>
      </c>
      <c r="D840" s="35">
        <f>+'[2]por cuent'!G840</f>
        <v>203585751115.42999</v>
      </c>
      <c r="E840" s="35">
        <f>+'[2]por cuent'!H840</f>
        <v>203585751115.42999</v>
      </c>
      <c r="F840" t="str">
        <f>+'[2]por cuent'!I840</f>
        <v>479</v>
      </c>
    </row>
    <row r="841" spans="1:6" x14ac:dyDescent="0.35">
      <c r="A841" t="str">
        <f>+'[2]por cuent'!A841</f>
        <v>ARS</v>
      </c>
      <c r="B841" t="str">
        <f>+'[2]por cuent'!B841</f>
        <v>479005269</v>
      </c>
      <c r="C841" t="str">
        <f>+'[2]por cuent'!C841</f>
        <v>RICARDO VENTURINO S.A.</v>
      </c>
      <c r="D841" s="35">
        <f>+'[2]por cuent'!G841</f>
        <v>728431037.00999999</v>
      </c>
      <c r="E841" s="35">
        <f>+'[2]por cuent'!H841</f>
        <v>728431037.00999999</v>
      </c>
      <c r="F841" t="str">
        <f>+'[2]por cuent'!I841</f>
        <v>479</v>
      </c>
    </row>
    <row r="842" spans="1:6" x14ac:dyDescent="0.35">
      <c r="A842" t="str">
        <f>+'[2]por cuent'!A842</f>
        <v>ARS</v>
      </c>
      <c r="B842" t="str">
        <f>+'[2]por cuent'!B842</f>
        <v>479005285</v>
      </c>
      <c r="C842" t="str">
        <f>+'[2]por cuent'!C842</f>
        <v>Fideicomiso de Afectación Específica para Garantizar a Pymes NSC</v>
      </c>
      <c r="D842" s="35">
        <f>+'[2]por cuent'!G842</f>
        <v>18430665.670000002</v>
      </c>
      <c r="E842" s="35">
        <f>+'[2]por cuent'!H842</f>
        <v>18430665.670000002</v>
      </c>
      <c r="F842" t="str">
        <f>+'[2]por cuent'!I842</f>
        <v>479</v>
      </c>
    </row>
    <row r="843" spans="1:6" x14ac:dyDescent="0.35">
      <c r="A843" t="str">
        <f>+'[2]por cuent'!A843</f>
        <v>ARS</v>
      </c>
      <c r="B843" t="str">
        <f>+'[2]por cuent'!B843</f>
        <v>479005298</v>
      </c>
      <c r="C843" t="str">
        <f>+'[2]por cuent'!C843</f>
        <v>Talleres Metalúrgicos Crucianelli S.A.</v>
      </c>
      <c r="D843" s="35">
        <f>+'[2]por cuent'!G843</f>
        <v>1985176352.55</v>
      </c>
      <c r="E843" s="35">
        <f>+'[2]por cuent'!H843</f>
        <v>1985176352.55</v>
      </c>
      <c r="F843" t="str">
        <f>+'[2]por cuent'!I843</f>
        <v>479</v>
      </c>
    </row>
    <row r="844" spans="1:6" x14ac:dyDescent="0.35">
      <c r="A844" t="str">
        <f>+'[2]por cuent'!A844</f>
        <v>ARS</v>
      </c>
      <c r="B844" t="str">
        <f>+'[2]por cuent'!B844</f>
        <v>479005305</v>
      </c>
      <c r="C844" t="str">
        <f>+'[2]por cuent'!C844</f>
        <v>SERVICIOS DRILL SA</v>
      </c>
      <c r="D844" s="35">
        <f>+'[2]por cuent'!G844</f>
        <v>249999999.52000001</v>
      </c>
      <c r="E844" s="35">
        <f>+'[2]por cuent'!H844</f>
        <v>249999999.52000001</v>
      </c>
      <c r="F844" t="str">
        <f>+'[2]por cuent'!I844</f>
        <v>479</v>
      </c>
    </row>
    <row r="845" spans="1:6" x14ac:dyDescent="0.35">
      <c r="A845" t="str">
        <f>+'[2]por cuent'!A845</f>
        <v>ARS</v>
      </c>
      <c r="B845" t="str">
        <f>+'[2]por cuent'!B845</f>
        <v>479005341</v>
      </c>
      <c r="C845" t="str">
        <f>+'[2]por cuent'!C845</f>
        <v>B G H S A</v>
      </c>
      <c r="D845" s="35">
        <f>+'[2]por cuent'!G845</f>
        <v>343073501819.62</v>
      </c>
      <c r="E845" s="35">
        <f>+'[2]por cuent'!H845</f>
        <v>343073501819.62</v>
      </c>
      <c r="F845" t="str">
        <f>+'[2]por cuent'!I845</f>
        <v>479</v>
      </c>
    </row>
    <row r="846" spans="1:6" x14ac:dyDescent="0.35">
      <c r="A846" t="str">
        <f>+'[2]por cuent'!A846</f>
        <v>ARS</v>
      </c>
      <c r="B846" t="str">
        <f>+'[2]por cuent'!B846</f>
        <v>479005344</v>
      </c>
      <c r="C846" t="str">
        <f>+'[2]por cuent'!C846</f>
        <v>TABACALERA SARANDI SA</v>
      </c>
      <c r="D846" s="35">
        <f>+'[2]por cuent'!G846</f>
        <v>1299000000</v>
      </c>
      <c r="E846" s="35">
        <f>+'[2]por cuent'!H846</f>
        <v>1299000000</v>
      </c>
      <c r="F846" t="str">
        <f>+'[2]por cuent'!I846</f>
        <v>479</v>
      </c>
    </row>
    <row r="847" spans="1:6" x14ac:dyDescent="0.35">
      <c r="A847" t="str">
        <f>+'[2]por cuent'!A847</f>
        <v>ARS</v>
      </c>
      <c r="B847" t="str">
        <f>+'[2]por cuent'!B847</f>
        <v>479005352</v>
      </c>
      <c r="C847" t="str">
        <f>+'[2]por cuent'!C847</f>
        <v>CUYO AVAL SGR</v>
      </c>
      <c r="D847" s="35">
        <f>+'[2]por cuent'!G847</f>
        <v>52999999.990000002</v>
      </c>
      <c r="E847" s="35">
        <f>+'[2]por cuent'!H847</f>
        <v>52999999.990000002</v>
      </c>
      <c r="F847" t="str">
        <f>+'[2]por cuent'!I847</f>
        <v>479</v>
      </c>
    </row>
    <row r="848" spans="1:6" x14ac:dyDescent="0.35">
      <c r="A848" t="str">
        <f>+'[2]por cuent'!A848</f>
        <v>ARS</v>
      </c>
      <c r="B848" t="str">
        <f>+'[2]por cuent'!B848</f>
        <v>479005356</v>
      </c>
      <c r="C848" t="str">
        <f>+'[2]por cuent'!C848</f>
        <v>CELA SA</v>
      </c>
      <c r="D848" s="35">
        <f>+'[2]por cuent'!G848</f>
        <v>817225001.57000005</v>
      </c>
      <c r="E848" s="35">
        <f>+'[2]por cuent'!H848</f>
        <v>817225001.57000005</v>
      </c>
      <c r="F848" t="str">
        <f>+'[2]por cuent'!I848</f>
        <v>479</v>
      </c>
    </row>
    <row r="849" spans="1:6" x14ac:dyDescent="0.35">
      <c r="A849" t="str">
        <f>+'[2]por cuent'!A849</f>
        <v>ARS</v>
      </c>
      <c r="B849" t="str">
        <f>+'[2]por cuent'!B849</f>
        <v>479005372</v>
      </c>
      <c r="C849" t="str">
        <f>+'[2]por cuent'!C849</f>
        <v>CATTORINI HNOS S A I C F E I</v>
      </c>
      <c r="D849" s="35">
        <f>+'[2]por cuent'!G849</f>
        <v>208175077101.29999</v>
      </c>
      <c r="E849" s="35">
        <f>+'[2]por cuent'!H849</f>
        <v>208175077101.29999</v>
      </c>
      <c r="F849" t="str">
        <f>+'[2]por cuent'!I849</f>
        <v>479</v>
      </c>
    </row>
    <row r="850" spans="1:6" x14ac:dyDescent="0.35">
      <c r="A850" t="str">
        <f>+'[2]por cuent'!A850</f>
        <v>ARS</v>
      </c>
      <c r="B850" t="str">
        <f>+'[2]por cuent'!B850</f>
        <v>479005388</v>
      </c>
      <c r="C850" t="str">
        <f>+'[2]por cuent'!C850</f>
        <v>HORNERO CHICO SA</v>
      </c>
      <c r="D850" s="35">
        <f>+'[2]por cuent'!G850</f>
        <v>2259888858.6999998</v>
      </c>
      <c r="E850" s="35">
        <f>+'[2]por cuent'!H850</f>
        <v>2259888858.6999998</v>
      </c>
      <c r="F850" t="str">
        <f>+'[2]por cuent'!I850</f>
        <v>479</v>
      </c>
    </row>
    <row r="851" spans="1:6" x14ac:dyDescent="0.35">
      <c r="A851" t="str">
        <f>+'[2]por cuent'!A851</f>
        <v>ARS</v>
      </c>
      <c r="B851" t="str">
        <f>+'[2]por cuent'!B851</f>
        <v>479005403</v>
      </c>
      <c r="C851" t="str">
        <f>+'[2]por cuent'!C851</f>
        <v>AGROPECUARIA MISTOL ANCHO S A</v>
      </c>
      <c r="D851" s="35">
        <f>+'[2]por cuent'!G851</f>
        <v>348499999.12</v>
      </c>
      <c r="E851" s="35">
        <f>+'[2]por cuent'!H851</f>
        <v>348499999.12</v>
      </c>
      <c r="F851" t="str">
        <f>+'[2]por cuent'!I851</f>
        <v>479</v>
      </c>
    </row>
    <row r="852" spans="1:6" x14ac:dyDescent="0.35">
      <c r="A852" t="str">
        <f>+'[2]por cuent'!A852</f>
        <v>ARS</v>
      </c>
      <c r="B852" t="str">
        <f>+'[2]por cuent'!B852</f>
        <v>479005406</v>
      </c>
      <c r="C852" t="str">
        <f>+'[2]por cuent'!C852</f>
        <v>TONOS DE VERDE S.R.L.</v>
      </c>
      <c r="D852" s="35">
        <f>+'[2]por cuent'!G852</f>
        <v>274640706.10000002</v>
      </c>
      <c r="E852" s="35">
        <f>+'[2]por cuent'!H852</f>
        <v>274640706.10000002</v>
      </c>
      <c r="F852" t="str">
        <f>+'[2]por cuent'!I852</f>
        <v>479</v>
      </c>
    </row>
    <row r="853" spans="1:6" x14ac:dyDescent="0.35">
      <c r="A853" t="str">
        <f>+'[2]por cuent'!A853</f>
        <v>ARS</v>
      </c>
      <c r="B853" t="str">
        <f>+'[2]por cuent'!B853</f>
        <v>479005411</v>
      </c>
      <c r="C853" t="str">
        <f>+'[2]por cuent'!C853</f>
        <v>COMPAÑIA AEROMECANICA ARGENTINA SRL</v>
      </c>
      <c r="D853" s="35">
        <f>+'[2]por cuent'!G853</f>
        <v>134719532.80000001</v>
      </c>
      <c r="E853" s="35">
        <f>+'[2]por cuent'!H853</f>
        <v>134719532.80000001</v>
      </c>
      <c r="F853" t="str">
        <f>+'[2]por cuent'!I853</f>
        <v>479</v>
      </c>
    </row>
    <row r="854" spans="1:6" x14ac:dyDescent="0.35">
      <c r="A854" t="str">
        <f>+'[2]por cuent'!A854</f>
        <v>ARS</v>
      </c>
      <c r="B854" t="str">
        <f>+'[2]por cuent'!B854</f>
        <v>479005415</v>
      </c>
      <c r="C854" t="str">
        <f>+'[2]por cuent'!C854</f>
        <v>CHECK MOVILIDAD S.A</v>
      </c>
      <c r="D854" s="35">
        <f>+'[2]por cuent'!G854</f>
        <v>667799999.74000001</v>
      </c>
      <c r="E854" s="35">
        <f>+'[2]por cuent'!H854</f>
        <v>667799999.74000001</v>
      </c>
      <c r="F854" t="str">
        <f>+'[2]por cuent'!I854</f>
        <v>479</v>
      </c>
    </row>
    <row r="855" spans="1:6" x14ac:dyDescent="0.35">
      <c r="A855" t="str">
        <f>+'[2]por cuent'!A855</f>
        <v>ARS</v>
      </c>
      <c r="B855" t="str">
        <f>+'[2]por cuent'!B855</f>
        <v>479005435</v>
      </c>
      <c r="C855" t="str">
        <f>+'[2]por cuent'!C855</f>
        <v>Eucadera S.A.</v>
      </c>
      <c r="D855" s="35">
        <f>+'[2]por cuent'!G855</f>
        <v>480876000.45999998</v>
      </c>
      <c r="E855" s="35">
        <f>+'[2]por cuent'!H855</f>
        <v>480876000.45999998</v>
      </c>
      <c r="F855" t="str">
        <f>+'[2]por cuent'!I855</f>
        <v>479</v>
      </c>
    </row>
    <row r="856" spans="1:6" x14ac:dyDescent="0.35">
      <c r="A856" t="str">
        <f>+'[2]por cuent'!A856</f>
        <v>ARS</v>
      </c>
      <c r="B856" t="str">
        <f>+'[2]por cuent'!B856</f>
        <v>479005439</v>
      </c>
      <c r="C856" t="str">
        <f>+'[2]por cuent'!C856</f>
        <v>P.D.I. S.A</v>
      </c>
      <c r="D856" s="35">
        <f>+'[2]por cuent'!G856</f>
        <v>106529999.98999999</v>
      </c>
      <c r="E856" s="35">
        <f>+'[2]por cuent'!H856</f>
        <v>106529999.98999999</v>
      </c>
      <c r="F856" t="str">
        <f>+'[2]por cuent'!I856</f>
        <v>479</v>
      </c>
    </row>
    <row r="857" spans="1:6" x14ac:dyDescent="0.35">
      <c r="A857" t="str">
        <f>+'[2]por cuent'!A857</f>
        <v>ARS</v>
      </c>
      <c r="B857" t="str">
        <f>+'[2]por cuent'!B857</f>
        <v>479005460</v>
      </c>
      <c r="C857" t="str">
        <f>+'[2]por cuent'!C857</f>
        <v>LOCADORA POPULAR SA</v>
      </c>
      <c r="D857" s="35">
        <f>+'[2]por cuent'!G857</f>
        <v>19999999.960000001</v>
      </c>
      <c r="E857" s="35">
        <f>+'[2]por cuent'!H857</f>
        <v>19999999.960000001</v>
      </c>
      <c r="F857" t="str">
        <f>+'[2]por cuent'!I857</f>
        <v>479</v>
      </c>
    </row>
    <row r="858" spans="1:6" x14ac:dyDescent="0.35">
      <c r="A858" t="str">
        <f>+'[2]por cuent'!A858</f>
        <v>ARS</v>
      </c>
      <c r="B858" t="str">
        <f>+'[2]por cuent'!B858</f>
        <v>479005462</v>
      </c>
      <c r="C858" t="str">
        <f>+'[2]por cuent'!C858</f>
        <v>URBANA AVELLANEDA S.A.</v>
      </c>
      <c r="D858" s="35">
        <f>+'[2]por cuent'!G858</f>
        <v>710000000.98000002</v>
      </c>
      <c r="E858" s="35">
        <f>+'[2]por cuent'!H858</f>
        <v>710000000.98000002</v>
      </c>
      <c r="F858" t="str">
        <f>+'[2]por cuent'!I858</f>
        <v>479</v>
      </c>
    </row>
    <row r="859" spans="1:6" x14ac:dyDescent="0.35">
      <c r="A859" t="str">
        <f>+'[2]por cuent'!A859</f>
        <v>ARS</v>
      </c>
      <c r="B859" t="str">
        <f>+'[2]por cuent'!B859</f>
        <v>479005463</v>
      </c>
      <c r="C859" t="str">
        <f>+'[2]por cuent'!C859</f>
        <v>DON CLEMENTE S A I F C E I</v>
      </c>
      <c r="D859" s="35">
        <f>+'[2]por cuent'!G859</f>
        <v>9999999.9800000004</v>
      </c>
      <c r="E859" s="35">
        <f>+'[2]por cuent'!H859</f>
        <v>9999999.9800000004</v>
      </c>
      <c r="F859" t="str">
        <f>+'[2]por cuent'!I859</f>
        <v>479</v>
      </c>
    </row>
    <row r="860" spans="1:6" x14ac:dyDescent="0.35">
      <c r="A860" t="str">
        <f>+'[2]por cuent'!A860</f>
        <v>ARS</v>
      </c>
      <c r="B860" t="str">
        <f>+'[2]por cuent'!B860</f>
        <v>479005465</v>
      </c>
      <c r="C860" t="str">
        <f>+'[2]por cuent'!C860</f>
        <v>ATRAPALO S.R.L.</v>
      </c>
      <c r="D860" s="35">
        <f>+'[2]por cuent'!G860</f>
        <v>630235000.77999997</v>
      </c>
      <c r="E860" s="35">
        <f>+'[2]por cuent'!H860</f>
        <v>630235000.77999997</v>
      </c>
      <c r="F860" t="str">
        <f>+'[2]por cuent'!I860</f>
        <v>479</v>
      </c>
    </row>
    <row r="861" spans="1:6" x14ac:dyDescent="0.35">
      <c r="A861" t="str">
        <f>+'[2]por cuent'!A861</f>
        <v>ARS</v>
      </c>
      <c r="B861" t="str">
        <f>+'[2]por cuent'!B861</f>
        <v>479005479</v>
      </c>
      <c r="C861" t="str">
        <f>+'[2]por cuent'!C861</f>
        <v>MARIANO S A</v>
      </c>
      <c r="D861" s="35">
        <f>+'[2]por cuent'!G861</f>
        <v>2402551770.0799999</v>
      </c>
      <c r="E861" s="35">
        <f>+'[2]por cuent'!H861</f>
        <v>2402551770.0799999</v>
      </c>
      <c r="F861" t="str">
        <f>+'[2]por cuent'!I861</f>
        <v>479</v>
      </c>
    </row>
    <row r="862" spans="1:6" x14ac:dyDescent="0.35">
      <c r="A862" t="str">
        <f>+'[2]por cuent'!A862</f>
        <v>ARS</v>
      </c>
      <c r="B862" t="str">
        <f>+'[2]por cuent'!B862</f>
        <v>479005482</v>
      </c>
      <c r="C862" t="str">
        <f>+'[2]por cuent'!C862</f>
        <v>AUTOMOVILES SAN JORGE S A</v>
      </c>
      <c r="D862" s="35">
        <f>+'[2]por cuent'!G862</f>
        <v>1581736601.9200001</v>
      </c>
      <c r="E862" s="35">
        <f>+'[2]por cuent'!H862</f>
        <v>1581736601.9200001</v>
      </c>
      <c r="F862" t="str">
        <f>+'[2]por cuent'!I862</f>
        <v>479</v>
      </c>
    </row>
    <row r="863" spans="1:6" x14ac:dyDescent="0.35">
      <c r="A863" t="str">
        <f>+'[2]por cuent'!A863</f>
        <v>ARS</v>
      </c>
      <c r="B863" t="str">
        <f>+'[2]por cuent'!B863</f>
        <v>479005487</v>
      </c>
      <c r="C863" t="str">
        <f>+'[2]por cuent'!C863</f>
        <v>INVERSORA JURAMENTO S.A.</v>
      </c>
      <c r="D863" s="35">
        <f>+'[2]por cuent'!G863</f>
        <v>1500304877.1600001</v>
      </c>
      <c r="E863" s="35">
        <f>+'[2]por cuent'!H863</f>
        <v>1500304877.1600001</v>
      </c>
      <c r="F863" t="str">
        <f>+'[2]por cuent'!I863</f>
        <v>479</v>
      </c>
    </row>
    <row r="864" spans="1:6" x14ac:dyDescent="0.35">
      <c r="A864" t="str">
        <f>+'[2]por cuent'!A864</f>
        <v>ARS</v>
      </c>
      <c r="B864" t="str">
        <f>+'[2]por cuent'!B864</f>
        <v>479005488</v>
      </c>
      <c r="C864" t="str">
        <f>+'[2]por cuent'!C864</f>
        <v>ALAU TECNOLOGIA S.A.U.</v>
      </c>
      <c r="D864" s="35">
        <f>+'[2]por cuent'!G864</f>
        <v>479203865.13999999</v>
      </c>
      <c r="E864" s="35">
        <f>+'[2]por cuent'!H864</f>
        <v>479203865.13999999</v>
      </c>
      <c r="F864" t="str">
        <f>+'[2]por cuent'!I864</f>
        <v>479</v>
      </c>
    </row>
    <row r="865" spans="1:6" x14ac:dyDescent="0.35">
      <c r="A865" t="str">
        <f>+'[2]por cuent'!A865</f>
        <v>ARS</v>
      </c>
      <c r="B865" t="str">
        <f>+'[2]por cuent'!B865</f>
        <v>479005493</v>
      </c>
      <c r="C865" t="str">
        <f>+'[2]por cuent'!C865</f>
        <v>CINCA S.A.</v>
      </c>
      <c r="D865" s="35">
        <f>+'[2]por cuent'!G865</f>
        <v>386993999.55000001</v>
      </c>
      <c r="E865" s="35">
        <f>+'[2]por cuent'!H865</f>
        <v>386993999.55000001</v>
      </c>
      <c r="F865" t="str">
        <f>+'[2]por cuent'!I865</f>
        <v>479</v>
      </c>
    </row>
    <row r="866" spans="1:6" x14ac:dyDescent="0.35">
      <c r="A866" t="str">
        <f>+'[2]por cuent'!A866</f>
        <v>ARS</v>
      </c>
      <c r="B866" t="str">
        <f>+'[2]por cuent'!B866</f>
        <v>479005499</v>
      </c>
      <c r="C866" t="str">
        <f>+'[2]por cuent'!C866</f>
        <v>SERVICIOS LOGISTICOS INTEGRADOS SOCIEDAD RESPONSABILIDAD LIMITADA</v>
      </c>
      <c r="D866" s="35">
        <f>+'[2]por cuent'!G866</f>
        <v>45675000</v>
      </c>
      <c r="E866" s="35">
        <f>+'[2]por cuent'!H866</f>
        <v>45675000</v>
      </c>
      <c r="F866" t="str">
        <f>+'[2]por cuent'!I866</f>
        <v>479</v>
      </c>
    </row>
    <row r="867" spans="1:6" x14ac:dyDescent="0.35">
      <c r="A867" t="str">
        <f>+'[2]por cuent'!A867</f>
        <v>ARS</v>
      </c>
      <c r="B867" t="str">
        <f>+'[2]por cuent'!B867</f>
        <v>479005509</v>
      </c>
      <c r="C867" t="str">
        <f>+'[2]por cuent'!C867</f>
        <v>LAMB WESTON ALIMENTOS MODERNOS S. A</v>
      </c>
      <c r="D867" s="35">
        <f>+'[2]por cuent'!G867</f>
        <v>336526748.57999998</v>
      </c>
      <c r="E867" s="35">
        <f>+'[2]por cuent'!H867</f>
        <v>336526748.57999998</v>
      </c>
      <c r="F867" t="str">
        <f>+'[2]por cuent'!I867</f>
        <v>479</v>
      </c>
    </row>
    <row r="868" spans="1:6" x14ac:dyDescent="0.35">
      <c r="A868" t="str">
        <f>+'[2]por cuent'!A868</f>
        <v>ARS</v>
      </c>
      <c r="B868" t="str">
        <f>+'[2]por cuent'!B868</f>
        <v>479005510</v>
      </c>
      <c r="C868" t="str">
        <f>+'[2]por cuent'!C868</f>
        <v>ALENCO S A I C</v>
      </c>
      <c r="D868" s="35">
        <f>+'[2]por cuent'!G868</f>
        <v>497999998.25999999</v>
      </c>
      <c r="E868" s="35">
        <f>+'[2]por cuent'!H868</f>
        <v>497999998.25999999</v>
      </c>
      <c r="F868" t="str">
        <f>+'[2]por cuent'!I868</f>
        <v>479</v>
      </c>
    </row>
    <row r="869" spans="1:6" x14ac:dyDescent="0.35">
      <c r="A869" t="str">
        <f>+'[2]por cuent'!A869</f>
        <v>ARS</v>
      </c>
      <c r="B869" t="str">
        <f>+'[2]por cuent'!B869</f>
        <v>479005535</v>
      </c>
      <c r="C869" t="str">
        <f>+'[2]por cuent'!C869</f>
        <v>GIMNASIOS ARGENTINOS S A</v>
      </c>
      <c r="D869" s="35">
        <f>+'[2]por cuent'!G869</f>
        <v>144600000</v>
      </c>
      <c r="E869" s="35">
        <f>+'[2]por cuent'!H869</f>
        <v>144600000</v>
      </c>
      <c r="F869" t="str">
        <f>+'[2]por cuent'!I869</f>
        <v>479</v>
      </c>
    </row>
    <row r="870" spans="1:6" x14ac:dyDescent="0.35">
      <c r="A870" t="str">
        <f>+'[2]por cuent'!A870</f>
        <v>ARS</v>
      </c>
      <c r="B870" t="str">
        <f>+'[2]por cuent'!B870</f>
        <v>479005557</v>
      </c>
      <c r="C870" t="str">
        <f>+'[2]por cuent'!C870</f>
        <v>CLIMO SA</v>
      </c>
      <c r="D870" s="35">
        <f>+'[2]por cuent'!G870</f>
        <v>499999999.76999998</v>
      </c>
      <c r="E870" s="35">
        <f>+'[2]por cuent'!H870</f>
        <v>499999999.76999998</v>
      </c>
      <c r="F870" t="str">
        <f>+'[2]por cuent'!I870</f>
        <v>479</v>
      </c>
    </row>
    <row r="871" spans="1:6" x14ac:dyDescent="0.35">
      <c r="A871" t="str">
        <f>+'[2]por cuent'!A871</f>
        <v>ARS</v>
      </c>
      <c r="B871" t="str">
        <f>+'[2]por cuent'!B871</f>
        <v>479005560</v>
      </c>
      <c r="C871" t="str">
        <f>+'[2]por cuent'!C871</f>
        <v>UNIMACO S.A</v>
      </c>
      <c r="D871" s="35">
        <f>+'[2]por cuent'!G871</f>
        <v>13289120560.18</v>
      </c>
      <c r="E871" s="35">
        <f>+'[2]por cuent'!H871</f>
        <v>13289120560.18</v>
      </c>
      <c r="F871" t="str">
        <f>+'[2]por cuent'!I871</f>
        <v>479</v>
      </c>
    </row>
    <row r="872" spans="1:6" x14ac:dyDescent="0.35">
      <c r="A872" t="str">
        <f>+'[2]por cuent'!A872</f>
        <v>ARS</v>
      </c>
      <c r="B872" t="str">
        <f>+'[2]por cuent'!B872</f>
        <v>479005562</v>
      </c>
      <c r="C872" t="str">
        <f>+'[2]por cuent'!C872</f>
        <v>GLOBAL RACE S.A.</v>
      </c>
      <c r="D872" s="35">
        <f>+'[2]por cuent'!G872</f>
        <v>29500000.02</v>
      </c>
      <c r="E872" s="35">
        <f>+'[2]por cuent'!H872</f>
        <v>29500000.02</v>
      </c>
      <c r="F872" t="str">
        <f>+'[2]por cuent'!I872</f>
        <v>479</v>
      </c>
    </row>
    <row r="873" spans="1:6" x14ac:dyDescent="0.35">
      <c r="A873" t="str">
        <f>+'[2]por cuent'!A873</f>
        <v>ARS</v>
      </c>
      <c r="B873" t="str">
        <f>+'[2]por cuent'!B873</f>
        <v>479005564</v>
      </c>
      <c r="C873" t="str">
        <f>+'[2]por cuent'!C873</f>
        <v>CASCIA GASES S. A. S</v>
      </c>
      <c r="D873" s="35">
        <f>+'[2]por cuent'!G873</f>
        <v>13800624</v>
      </c>
      <c r="E873" s="35">
        <f>+'[2]por cuent'!H873</f>
        <v>13800624</v>
      </c>
      <c r="F873" t="str">
        <f>+'[2]por cuent'!I873</f>
        <v>479</v>
      </c>
    </row>
    <row r="874" spans="1:6" x14ac:dyDescent="0.35">
      <c r="A874" t="str">
        <f>+'[2]por cuent'!A874</f>
        <v>ARS</v>
      </c>
      <c r="B874" t="str">
        <f>+'[2]por cuent'!B874</f>
        <v>479005565</v>
      </c>
      <c r="C874" t="str">
        <f>+'[2]por cuent'!C874</f>
        <v>BCSA SD ADCAP AHORRO PESOS</v>
      </c>
      <c r="D874" s="35">
        <f>+'[2]por cuent'!G874</f>
        <v>788180632811.27002</v>
      </c>
      <c r="E874" s="35">
        <f>+'[2]por cuent'!H874</f>
        <v>788180632811.27002</v>
      </c>
      <c r="F874" t="str">
        <f>+'[2]por cuent'!I874</f>
        <v>479</v>
      </c>
    </row>
    <row r="875" spans="1:6" x14ac:dyDescent="0.35">
      <c r="A875" t="str">
        <f>+'[2]por cuent'!A875</f>
        <v>ARS</v>
      </c>
      <c r="B875" t="str">
        <f>+'[2]por cuent'!B875</f>
        <v>479005567</v>
      </c>
      <c r="C875" t="str">
        <f>+'[2]por cuent'!C875</f>
        <v>VERSSION S.A</v>
      </c>
      <c r="D875" s="35">
        <f>+'[2]por cuent'!G875</f>
        <v>812263621</v>
      </c>
      <c r="E875" s="35">
        <f>+'[2]por cuent'!H875</f>
        <v>812263621</v>
      </c>
      <c r="F875" t="str">
        <f>+'[2]por cuent'!I875</f>
        <v>479</v>
      </c>
    </row>
    <row r="876" spans="1:6" x14ac:dyDescent="0.35">
      <c r="A876" t="str">
        <f>+'[2]por cuent'!A876</f>
        <v>ARS</v>
      </c>
      <c r="B876" t="str">
        <f>+'[2]por cuent'!B876</f>
        <v>479005575</v>
      </c>
      <c r="C876" t="str">
        <f>+'[2]por cuent'!C876</f>
        <v>LA PIAMONTESA S.A.</v>
      </c>
      <c r="D876" s="35">
        <f>+'[2]por cuent'!G876</f>
        <v>135610080</v>
      </c>
      <c r="E876" s="35">
        <f>+'[2]por cuent'!H876</f>
        <v>135610080</v>
      </c>
      <c r="F876" t="str">
        <f>+'[2]por cuent'!I876</f>
        <v>479</v>
      </c>
    </row>
    <row r="877" spans="1:6" x14ac:dyDescent="0.35">
      <c r="A877" t="str">
        <f>+'[2]por cuent'!A877</f>
        <v>ARS</v>
      </c>
      <c r="B877" t="str">
        <f>+'[2]por cuent'!B877</f>
        <v>479005596</v>
      </c>
      <c r="C877" t="str">
        <f>+'[2]por cuent'!C877</f>
        <v>LOMA NEGRA CIA INDUSTRIAL ARGENTINA S. A</v>
      </c>
      <c r="D877" s="35">
        <f>+'[2]por cuent'!G877</f>
        <v>337616433676.52002</v>
      </c>
      <c r="E877" s="35">
        <f>+'[2]por cuent'!H877</f>
        <v>337616433676.52002</v>
      </c>
      <c r="F877" t="str">
        <f>+'[2]por cuent'!I877</f>
        <v>479</v>
      </c>
    </row>
    <row r="878" spans="1:6" x14ac:dyDescent="0.35">
      <c r="A878" t="str">
        <f>+'[2]por cuent'!A878</f>
        <v>ARS</v>
      </c>
      <c r="B878" t="str">
        <f>+'[2]por cuent'!B878</f>
        <v>479005597</v>
      </c>
      <c r="C878" t="str">
        <f>+'[2]por cuent'!C878</f>
        <v>PILISAR S. A.</v>
      </c>
      <c r="D878" s="35">
        <f>+'[2]por cuent'!G878</f>
        <v>59280639396.410004</v>
      </c>
      <c r="E878" s="35">
        <f>+'[2]por cuent'!H878</f>
        <v>59280639396.410004</v>
      </c>
      <c r="F878" t="str">
        <f>+'[2]por cuent'!I878</f>
        <v>479</v>
      </c>
    </row>
    <row r="879" spans="1:6" x14ac:dyDescent="0.35">
      <c r="A879" t="str">
        <f>+'[2]por cuent'!A879</f>
        <v>ARS</v>
      </c>
      <c r="B879" t="str">
        <f>+'[2]por cuent'!B879</f>
        <v>479005605</v>
      </c>
      <c r="C879" t="str">
        <f>+'[2]por cuent'!C879</f>
        <v>BENTIA ENERGY SA</v>
      </c>
      <c r="D879" s="35">
        <f>+'[2]por cuent'!G879</f>
        <v>1724544602.4300001</v>
      </c>
      <c r="E879" s="35">
        <f>+'[2]por cuent'!H879</f>
        <v>1724544602.4300001</v>
      </c>
      <c r="F879" t="str">
        <f>+'[2]por cuent'!I879</f>
        <v>479</v>
      </c>
    </row>
    <row r="880" spans="1:6" x14ac:dyDescent="0.35">
      <c r="A880" t="str">
        <f>+'[2]por cuent'!A880</f>
        <v>ARS</v>
      </c>
      <c r="B880" t="str">
        <f>+'[2]por cuent'!B880</f>
        <v>479005606</v>
      </c>
      <c r="C880" t="str">
        <f>+'[2]por cuent'!C880</f>
        <v>ORBIS MERTIG S A I C</v>
      </c>
      <c r="D880" s="35">
        <f>+'[2]por cuent'!G880</f>
        <v>32146579903.169998</v>
      </c>
      <c r="E880" s="35">
        <f>+'[2]por cuent'!H880</f>
        <v>32146579903.169998</v>
      </c>
      <c r="F880" t="str">
        <f>+'[2]por cuent'!I880</f>
        <v>479</v>
      </c>
    </row>
    <row r="881" spans="1:6" x14ac:dyDescent="0.35">
      <c r="A881" t="str">
        <f>+'[2]por cuent'!A881</f>
        <v>ARS</v>
      </c>
      <c r="B881" t="str">
        <f>+'[2]por cuent'!B881</f>
        <v>479005615</v>
      </c>
      <c r="C881" t="str">
        <f>+'[2]por cuent'!C881</f>
        <v>ORTOPEDIA ITALIANA SAS</v>
      </c>
      <c r="D881" s="35">
        <f>+'[2]por cuent'!G881</f>
        <v>32499059.600000001</v>
      </c>
      <c r="E881" s="35">
        <f>+'[2]por cuent'!H881</f>
        <v>32499059.600000001</v>
      </c>
      <c r="F881" t="str">
        <f>+'[2]por cuent'!I881</f>
        <v>479</v>
      </c>
    </row>
    <row r="882" spans="1:6" x14ac:dyDescent="0.35">
      <c r="A882" t="str">
        <f>+'[2]por cuent'!A882</f>
        <v>ARS</v>
      </c>
      <c r="B882" t="str">
        <f>+'[2]por cuent'!B882</f>
        <v>479005618</v>
      </c>
      <c r="C882" t="str">
        <f>+'[2]por cuent'!C882</f>
        <v>AUTOSERVICIO MAYORISTA DIARCO SA</v>
      </c>
      <c r="D882" s="35">
        <f>+'[2]por cuent'!G882</f>
        <v>121164005378.78</v>
      </c>
      <c r="E882" s="35">
        <f>+'[2]por cuent'!H882</f>
        <v>121164005378.78</v>
      </c>
      <c r="F882" t="str">
        <f>+'[2]por cuent'!I882</f>
        <v>479</v>
      </c>
    </row>
    <row r="883" spans="1:6" x14ac:dyDescent="0.35">
      <c r="A883" t="str">
        <f>+'[2]por cuent'!A883</f>
        <v>ARS</v>
      </c>
      <c r="B883" t="str">
        <f>+'[2]por cuent'!B883</f>
        <v>479005620</v>
      </c>
      <c r="C883" t="str">
        <f>+'[2]por cuent'!C883</f>
        <v>LA NATURALEZA S R L</v>
      </c>
      <c r="D883" s="35">
        <f>+'[2]por cuent'!G883</f>
        <v>24999999.539999999</v>
      </c>
      <c r="E883" s="35">
        <f>+'[2]por cuent'!H883</f>
        <v>24999999.539999999</v>
      </c>
      <c r="F883" t="str">
        <f>+'[2]por cuent'!I883</f>
        <v>479</v>
      </c>
    </row>
    <row r="884" spans="1:6" x14ac:dyDescent="0.35">
      <c r="A884" t="str">
        <f>+'[2]por cuent'!A884</f>
        <v>ARS</v>
      </c>
      <c r="B884" t="str">
        <f>+'[2]por cuent'!B884</f>
        <v>479005621</v>
      </c>
      <c r="C884" t="str">
        <f>+'[2]por cuent'!C884</f>
        <v>CASA PAVIOTTI S. R. L.</v>
      </c>
      <c r="D884" s="35">
        <f>+'[2]por cuent'!G884</f>
        <v>29999999.829999998</v>
      </c>
      <c r="E884" s="35">
        <f>+'[2]por cuent'!H884</f>
        <v>29999999.829999998</v>
      </c>
      <c r="F884" t="str">
        <f>+'[2]por cuent'!I884</f>
        <v>479</v>
      </c>
    </row>
    <row r="885" spans="1:6" x14ac:dyDescent="0.35">
      <c r="A885" t="str">
        <f>+'[2]por cuent'!A885</f>
        <v>ARS</v>
      </c>
      <c r="B885" t="str">
        <f>+'[2]por cuent'!B885</f>
        <v>479005622</v>
      </c>
      <c r="C885" t="str">
        <f>+'[2]por cuent'!C885</f>
        <v>SERVICIOS SOCIALES PAVIOTTI S. R. L.</v>
      </c>
      <c r="D885" s="35">
        <f>+'[2]por cuent'!G885</f>
        <v>59999999.659999996</v>
      </c>
      <c r="E885" s="35">
        <f>+'[2]por cuent'!H885</f>
        <v>59999999.659999996</v>
      </c>
      <c r="F885" t="str">
        <f>+'[2]por cuent'!I885</f>
        <v>479</v>
      </c>
    </row>
    <row r="886" spans="1:6" x14ac:dyDescent="0.35">
      <c r="A886" t="str">
        <f>+'[2]por cuent'!A886</f>
        <v>ARS</v>
      </c>
      <c r="B886" t="str">
        <f>+'[2]por cuent'!B886</f>
        <v>479005623</v>
      </c>
      <c r="C886" t="str">
        <f>+'[2]por cuent'!C886</f>
        <v>ASOCIACION MUTUAL DE SERVICIOS SOCIALES INTEGRALES</v>
      </c>
      <c r="D886" s="35">
        <f>+'[2]por cuent'!G886</f>
        <v>25999999.98</v>
      </c>
      <c r="E886" s="35">
        <f>+'[2]por cuent'!H886</f>
        <v>25999999.98</v>
      </c>
      <c r="F886" t="str">
        <f>+'[2]por cuent'!I886</f>
        <v>479</v>
      </c>
    </row>
    <row r="887" spans="1:6" x14ac:dyDescent="0.35">
      <c r="A887" t="str">
        <f>+'[2]por cuent'!A887</f>
        <v>ARS</v>
      </c>
      <c r="B887" t="str">
        <f>+'[2]por cuent'!B887</f>
        <v>479005624</v>
      </c>
      <c r="C887" t="str">
        <f>+'[2]por cuent'!C887</f>
        <v>GENERAC TECHNOLOGY MANAGEMENT S A</v>
      </c>
      <c r="D887" s="35">
        <f>+'[2]por cuent'!G887</f>
        <v>8483791619.4300003</v>
      </c>
      <c r="E887" s="35">
        <f>+'[2]por cuent'!H887</f>
        <v>8483791619.4300003</v>
      </c>
      <c r="F887" t="str">
        <f>+'[2]por cuent'!I887</f>
        <v>479</v>
      </c>
    </row>
    <row r="888" spans="1:6" x14ac:dyDescent="0.35">
      <c r="A888" t="str">
        <f>+'[2]por cuent'!A888</f>
        <v>ARS</v>
      </c>
      <c r="B888" t="str">
        <f>+'[2]por cuent'!B888</f>
        <v>479005628</v>
      </c>
      <c r="C888" t="str">
        <f>+'[2]por cuent'!C888</f>
        <v>BIOFARMA S A</v>
      </c>
      <c r="D888" s="35">
        <f>+'[2]por cuent'!G888</f>
        <v>127709731465.69</v>
      </c>
      <c r="E888" s="35">
        <f>+'[2]por cuent'!H888</f>
        <v>127709731465.69</v>
      </c>
      <c r="F888" t="str">
        <f>+'[2]por cuent'!I888</f>
        <v>479</v>
      </c>
    </row>
    <row r="889" spans="1:6" x14ac:dyDescent="0.35">
      <c r="A889" t="str">
        <f>+'[2]por cuent'!A889</f>
        <v>ARS</v>
      </c>
      <c r="B889" t="str">
        <f>+'[2]por cuent'!B889</f>
        <v>479005631</v>
      </c>
      <c r="C889" t="str">
        <f>+'[2]por cuent'!C889</f>
        <v>BIOFARMA AGROPECUARIA S.A. S. A</v>
      </c>
      <c r="D889" s="35">
        <f>+'[2]por cuent'!G889</f>
        <v>39217236767.550003</v>
      </c>
      <c r="E889" s="35">
        <f>+'[2]por cuent'!H889</f>
        <v>39217236767.550003</v>
      </c>
      <c r="F889" t="str">
        <f>+'[2]por cuent'!I889</f>
        <v>479</v>
      </c>
    </row>
    <row r="890" spans="1:6" x14ac:dyDescent="0.35">
      <c r="A890" t="str">
        <f>+'[2]por cuent'!A890</f>
        <v>ARS</v>
      </c>
      <c r="B890" t="str">
        <f>+'[2]por cuent'!B890</f>
        <v>479005634</v>
      </c>
      <c r="C890" t="str">
        <f>+'[2]por cuent'!C890</f>
        <v>GRUPO EDITORIAL PLANETA SAIC S.A.</v>
      </c>
      <c r="D890" s="35">
        <f>+'[2]por cuent'!G890</f>
        <v>641999999.94000006</v>
      </c>
      <c r="E890" s="35">
        <f>+'[2]por cuent'!H890</f>
        <v>641999999.94000006</v>
      </c>
      <c r="F890" t="str">
        <f>+'[2]por cuent'!I890</f>
        <v>479</v>
      </c>
    </row>
    <row r="891" spans="1:6" x14ac:dyDescent="0.35">
      <c r="A891" t="str">
        <f>+'[2]por cuent'!A891</f>
        <v>ARS</v>
      </c>
      <c r="B891" t="str">
        <f>+'[2]por cuent'!B891</f>
        <v>479005643</v>
      </c>
      <c r="C891" t="str">
        <f>+'[2]por cuent'!C891</f>
        <v>LODISER S.A.</v>
      </c>
      <c r="D891" s="35">
        <f>+'[2]por cuent'!G891</f>
        <v>1413497016</v>
      </c>
      <c r="E891" s="35">
        <f>+'[2]por cuent'!H891</f>
        <v>1413497016</v>
      </c>
      <c r="F891" t="str">
        <f>+'[2]por cuent'!I891</f>
        <v>479</v>
      </c>
    </row>
    <row r="892" spans="1:6" x14ac:dyDescent="0.35">
      <c r="A892" t="str">
        <f>+'[2]por cuent'!A892</f>
        <v>ARS</v>
      </c>
      <c r="B892" t="str">
        <f>+'[2]por cuent'!B892</f>
        <v>479005645</v>
      </c>
      <c r="C892" t="str">
        <f>+'[2]por cuent'!C892</f>
        <v>INTERALMAR S.A.</v>
      </c>
      <c r="D892" s="35">
        <f>+'[2]por cuent'!G892</f>
        <v>156000000.81</v>
      </c>
      <c r="E892" s="35">
        <f>+'[2]por cuent'!H892</f>
        <v>156000000.81</v>
      </c>
      <c r="F892" t="str">
        <f>+'[2]por cuent'!I892</f>
        <v>479</v>
      </c>
    </row>
    <row r="893" spans="1:6" x14ac:dyDescent="0.35">
      <c r="A893" t="str">
        <f>+'[2]por cuent'!A893</f>
        <v>ARS</v>
      </c>
      <c r="B893" t="str">
        <f>+'[2]por cuent'!B893</f>
        <v>479005646</v>
      </c>
      <c r="C893" t="str">
        <f>+'[2]por cuent'!C893</f>
        <v>T.C.B. TRANSPORTE DE CARGAS BERISSO S.A.</v>
      </c>
      <c r="D893" s="35">
        <f>+'[2]por cuent'!G893</f>
        <v>1059999999</v>
      </c>
      <c r="E893" s="35">
        <f>+'[2]por cuent'!H893</f>
        <v>1059999999</v>
      </c>
      <c r="F893" t="str">
        <f>+'[2]por cuent'!I893</f>
        <v>479</v>
      </c>
    </row>
    <row r="894" spans="1:6" x14ac:dyDescent="0.35">
      <c r="A894" t="str">
        <f>+'[2]por cuent'!A894</f>
        <v>ARS</v>
      </c>
      <c r="B894" t="str">
        <f>+'[2]por cuent'!B894</f>
        <v>479005655</v>
      </c>
      <c r="C894" t="str">
        <f>+'[2]por cuent'!C894</f>
        <v>LABORATORIO CDC SA</v>
      </c>
      <c r="D894" s="35">
        <f>+'[2]por cuent'!G894</f>
        <v>423906082</v>
      </c>
      <c r="E894" s="35">
        <f>+'[2]por cuent'!H894</f>
        <v>423906082</v>
      </c>
      <c r="F894" t="str">
        <f>+'[2]por cuent'!I894</f>
        <v>479</v>
      </c>
    </row>
    <row r="895" spans="1:6" x14ac:dyDescent="0.35">
      <c r="A895" t="str">
        <f>+'[2]por cuent'!A895</f>
        <v>ARS</v>
      </c>
      <c r="B895" t="str">
        <f>+'[2]por cuent'!B895</f>
        <v>479005657</v>
      </c>
      <c r="C895" t="str">
        <f>+'[2]por cuent'!C895</f>
        <v>CUYO CENTRO DE IMAGENES SOCIEDAD ANONIMA</v>
      </c>
      <c r="D895" s="35">
        <f>+'[2]por cuent'!G895</f>
        <v>13257000.57</v>
      </c>
      <c r="E895" s="35">
        <f>+'[2]por cuent'!H895</f>
        <v>13257000.57</v>
      </c>
      <c r="F895" t="str">
        <f>+'[2]por cuent'!I895</f>
        <v>479</v>
      </c>
    </row>
    <row r="896" spans="1:6" x14ac:dyDescent="0.35">
      <c r="A896" t="str">
        <f>+'[2]por cuent'!A896</f>
        <v>ARS</v>
      </c>
      <c r="B896" t="str">
        <f>+'[2]por cuent'!B896</f>
        <v>479005658</v>
      </c>
      <c r="C896" t="str">
        <f>+'[2]por cuent'!C896</f>
        <v>CLINICA DE CUYO S.A.</v>
      </c>
      <c r="D896" s="35">
        <f>+'[2]por cuent'!G896</f>
        <v>848448706</v>
      </c>
      <c r="E896" s="35">
        <f>+'[2]por cuent'!H896</f>
        <v>848448706</v>
      </c>
      <c r="F896" t="str">
        <f>+'[2]por cuent'!I896</f>
        <v>479</v>
      </c>
    </row>
    <row r="897" spans="1:6" x14ac:dyDescent="0.35">
      <c r="A897" t="str">
        <f>+'[2]por cuent'!A897</f>
        <v>ARS</v>
      </c>
      <c r="B897" t="str">
        <f>+'[2]por cuent'!B897</f>
        <v>479005659</v>
      </c>
      <c r="C897" t="str">
        <f>+'[2]por cuent'!C897</f>
        <v>CDC CENTRO MEDICO S.A.</v>
      </c>
      <c r="D897" s="35">
        <f>+'[2]por cuent'!G897</f>
        <v>636840484</v>
      </c>
      <c r="E897" s="35">
        <f>+'[2]por cuent'!H897</f>
        <v>636840484</v>
      </c>
      <c r="F897" t="str">
        <f>+'[2]por cuent'!I897</f>
        <v>479</v>
      </c>
    </row>
    <row r="898" spans="1:6" x14ac:dyDescent="0.35">
      <c r="A898" t="str">
        <f>+'[2]por cuent'!A898</f>
        <v>ARS</v>
      </c>
      <c r="B898" t="str">
        <f>+'[2]por cuent'!B898</f>
        <v>479005661</v>
      </c>
      <c r="C898" t="str">
        <f>+'[2]por cuent'!C898</f>
        <v>SERMISUR S. A.</v>
      </c>
      <c r="D898" s="35">
        <f>+'[2]por cuent'!G898</f>
        <v>2599999998.6900001</v>
      </c>
      <c r="E898" s="35">
        <f>+'[2]por cuent'!H898</f>
        <v>2599999998.6900001</v>
      </c>
      <c r="F898" t="str">
        <f>+'[2]por cuent'!I898</f>
        <v>479</v>
      </c>
    </row>
    <row r="899" spans="1:6" x14ac:dyDescent="0.35">
      <c r="A899" t="str">
        <f>+'[2]por cuent'!A899</f>
        <v>ARS</v>
      </c>
      <c r="B899" t="str">
        <f>+'[2]por cuent'!B899</f>
        <v>479005663</v>
      </c>
      <c r="C899" t="str">
        <f>+'[2]por cuent'!C899</f>
        <v>DEL FABRO HNOS Y CIA S A</v>
      </c>
      <c r="D899" s="35">
        <f>+'[2]por cuent'!G899</f>
        <v>495031878.94</v>
      </c>
      <c r="E899" s="35">
        <f>+'[2]por cuent'!H899</f>
        <v>495031878.94</v>
      </c>
      <c r="F899" t="str">
        <f>+'[2]por cuent'!I899</f>
        <v>479</v>
      </c>
    </row>
    <row r="900" spans="1:6" x14ac:dyDescent="0.35">
      <c r="A900" t="str">
        <f>+'[2]por cuent'!A900</f>
        <v>ARS</v>
      </c>
      <c r="B900" t="str">
        <f>+'[2]por cuent'!B900</f>
        <v>479005665</v>
      </c>
      <c r="C900" t="str">
        <f>+'[2]por cuent'!C900</f>
        <v>PATAGONIAN SEA TRAVEL SOCIEDAD ANONIMA</v>
      </c>
      <c r="D900" s="35">
        <f>+'[2]por cuent'!G900</f>
        <v>39998790</v>
      </c>
      <c r="E900" s="35">
        <f>+'[2]por cuent'!H900</f>
        <v>39998790</v>
      </c>
      <c r="F900" t="str">
        <f>+'[2]por cuent'!I900</f>
        <v>479</v>
      </c>
    </row>
    <row r="901" spans="1:6" x14ac:dyDescent="0.35">
      <c r="A901" t="str">
        <f>+'[2]por cuent'!A901</f>
        <v>ARS</v>
      </c>
      <c r="B901" t="str">
        <f>+'[2]por cuent'!B901</f>
        <v>479005666</v>
      </c>
      <c r="C901" t="str">
        <f>+'[2]por cuent'!C901</f>
        <v>RICCITELLI WINE COMPANY S. A.</v>
      </c>
      <c r="D901" s="35">
        <f>+'[2]por cuent'!G901</f>
        <v>175339998.78</v>
      </c>
      <c r="E901" s="35">
        <f>+'[2]por cuent'!H901</f>
        <v>175339998.78</v>
      </c>
      <c r="F901" t="str">
        <f>+'[2]por cuent'!I901</f>
        <v>479</v>
      </c>
    </row>
    <row r="902" spans="1:6" x14ac:dyDescent="0.35">
      <c r="A902" t="str">
        <f>+'[2]por cuent'!A902</f>
        <v>ARS</v>
      </c>
      <c r="B902" t="str">
        <f>+'[2]por cuent'!B902</f>
        <v>479005667</v>
      </c>
      <c r="C902" t="str">
        <f>+'[2]por cuent'!C902</f>
        <v>GENCO MATERIALES ELECTRICOS SOCIEDAD ANONIMA</v>
      </c>
      <c r="D902" s="35">
        <f>+'[2]por cuent'!G902</f>
        <v>236075999.69</v>
      </c>
      <c r="E902" s="35">
        <f>+'[2]por cuent'!H902</f>
        <v>236075999.69</v>
      </c>
      <c r="F902" t="str">
        <f>+'[2]por cuent'!I902</f>
        <v>479</v>
      </c>
    </row>
    <row r="903" spans="1:6" x14ac:dyDescent="0.35">
      <c r="A903" t="str">
        <f>+'[2]por cuent'!A903</f>
        <v>ARS</v>
      </c>
      <c r="B903" t="str">
        <f>+'[2]por cuent'!B903</f>
        <v>479005669</v>
      </c>
      <c r="C903" t="str">
        <f>+'[2]por cuent'!C903</f>
        <v>MUTUAL MUTUAL DEL PERSONAL DE AGUA Y ENERGIA DE MENDOZA</v>
      </c>
      <c r="D903" s="35">
        <f>+'[2]por cuent'!G903</f>
        <v>28387800.84</v>
      </c>
      <c r="E903" s="35">
        <f>+'[2]por cuent'!H903</f>
        <v>28387800.84</v>
      </c>
      <c r="F903" t="str">
        <f>+'[2]por cuent'!I903</f>
        <v>479</v>
      </c>
    </row>
    <row r="904" spans="1:6" x14ac:dyDescent="0.35">
      <c r="A904" t="str">
        <f>+'[2]por cuent'!A904</f>
        <v>ARS</v>
      </c>
      <c r="B904" t="str">
        <f>+'[2]por cuent'!B904</f>
        <v>479005671</v>
      </c>
      <c r="C904" t="str">
        <f>+'[2]por cuent'!C904</f>
        <v>YACOPINI INVERSORA S.A.</v>
      </c>
      <c r="D904" s="35">
        <f>+'[2]por cuent'!G904</f>
        <v>923479002.19000006</v>
      </c>
      <c r="E904" s="35">
        <f>+'[2]por cuent'!H904</f>
        <v>923479002.19000006</v>
      </c>
      <c r="F904" t="str">
        <f>+'[2]por cuent'!I904</f>
        <v>479</v>
      </c>
    </row>
    <row r="905" spans="1:6" x14ac:dyDescent="0.35">
      <c r="A905" t="str">
        <f>+'[2]por cuent'!A905</f>
        <v>ARS</v>
      </c>
      <c r="B905" t="str">
        <f>+'[2]por cuent'!B905</f>
        <v>479005672</v>
      </c>
      <c r="C905" t="str">
        <f>+'[2]por cuent'!C905</f>
        <v>CITRUSVIL S.A.</v>
      </c>
      <c r="D905" s="35">
        <f>+'[2]por cuent'!G905</f>
        <v>2938920000</v>
      </c>
      <c r="E905" s="35">
        <f>+'[2]por cuent'!H905</f>
        <v>2938920000</v>
      </c>
      <c r="F905" t="str">
        <f>+'[2]por cuent'!I905</f>
        <v>479</v>
      </c>
    </row>
    <row r="906" spans="1:6" x14ac:dyDescent="0.35">
      <c r="A906" t="str">
        <f>+'[2]por cuent'!A906</f>
        <v>ARS</v>
      </c>
      <c r="B906" t="str">
        <f>+'[2]por cuent'!B906</f>
        <v>479005673</v>
      </c>
      <c r="C906" t="str">
        <f>+'[2]por cuent'!C906</f>
        <v>MEDICAMENTOS PARA TODOS SRL</v>
      </c>
      <c r="D906" s="35">
        <f>+'[2]por cuent'!G906</f>
        <v>569999999.24000001</v>
      </c>
      <c r="E906" s="35">
        <f>+'[2]por cuent'!H906</f>
        <v>569999999.24000001</v>
      </c>
      <c r="F906" t="str">
        <f>+'[2]por cuent'!I906</f>
        <v>479</v>
      </c>
    </row>
    <row r="907" spans="1:6" x14ac:dyDescent="0.35">
      <c r="A907" t="str">
        <f>+'[2]por cuent'!A907</f>
        <v>ARS</v>
      </c>
      <c r="B907" t="str">
        <f>+'[2]por cuent'!B907</f>
        <v>479005674</v>
      </c>
      <c r="C907" t="str">
        <f>+'[2]por cuent'!C907</f>
        <v>LOMAS BLANCAS S.R.L</v>
      </c>
      <c r="D907" s="35">
        <f>+'[2]por cuent'!G907</f>
        <v>800499429.58000004</v>
      </c>
      <c r="E907" s="35">
        <f>+'[2]por cuent'!H907</f>
        <v>800499429.58000004</v>
      </c>
      <c r="F907" t="str">
        <f>+'[2]por cuent'!I907</f>
        <v>479</v>
      </c>
    </row>
    <row r="908" spans="1:6" x14ac:dyDescent="0.35">
      <c r="A908" t="str">
        <f>+'[2]por cuent'!A908</f>
        <v>ARS</v>
      </c>
      <c r="B908" t="str">
        <f>+'[2]por cuent'!B908</f>
        <v>479005678</v>
      </c>
      <c r="C908" t="str">
        <f>+'[2]por cuent'!C908</f>
        <v>DISTRIFAR S.A.</v>
      </c>
      <c r="D908" s="35">
        <f>+'[2]por cuent'!G908</f>
        <v>999999999.20000005</v>
      </c>
      <c r="E908" s="35">
        <f>+'[2]por cuent'!H908</f>
        <v>999999999.20000005</v>
      </c>
      <c r="F908" t="str">
        <f>+'[2]por cuent'!I908</f>
        <v>479</v>
      </c>
    </row>
    <row r="909" spans="1:6" x14ac:dyDescent="0.35">
      <c r="A909" t="str">
        <f>+'[2]por cuent'!A909</f>
        <v>ARS</v>
      </c>
      <c r="B909" t="str">
        <f>+'[2]por cuent'!B909</f>
        <v>479005679</v>
      </c>
      <c r="C909" t="str">
        <f>+'[2]por cuent'!C909</f>
        <v>OXY NET SA</v>
      </c>
      <c r="D909" s="35">
        <f>+'[2]por cuent'!G909</f>
        <v>999999865.14999998</v>
      </c>
      <c r="E909" s="35">
        <f>+'[2]por cuent'!H909</f>
        <v>999999865.14999998</v>
      </c>
      <c r="F909" t="str">
        <f>+'[2]por cuent'!I909</f>
        <v>479</v>
      </c>
    </row>
    <row r="910" spans="1:6" x14ac:dyDescent="0.35">
      <c r="A910" t="str">
        <f>+'[2]por cuent'!A910</f>
        <v>ARS</v>
      </c>
      <c r="B910" t="str">
        <f>+'[2]por cuent'!B910</f>
        <v>479005682</v>
      </c>
      <c r="C910" t="str">
        <f>+'[2]por cuent'!C910</f>
        <v>FELIPE ANDREU E HIJOS S A</v>
      </c>
      <c r="D910" s="35">
        <f>+'[2]por cuent'!G910</f>
        <v>266256000.25999999</v>
      </c>
      <c r="E910" s="35">
        <f>+'[2]por cuent'!H910</f>
        <v>266256000.25999999</v>
      </c>
      <c r="F910" t="str">
        <f>+'[2]por cuent'!I910</f>
        <v>479</v>
      </c>
    </row>
    <row r="911" spans="1:6" x14ac:dyDescent="0.35">
      <c r="A911" t="str">
        <f>+'[2]por cuent'!A911</f>
        <v>ARS</v>
      </c>
      <c r="B911" t="str">
        <f>+'[2]por cuent'!B911</f>
        <v>479005684</v>
      </c>
      <c r="C911" t="str">
        <f>+'[2]por cuent'!C911</f>
        <v>CLUB ALEMAN DE MENDOZA</v>
      </c>
      <c r="D911" s="35">
        <f>+'[2]por cuent'!G911</f>
        <v>24998903.260000002</v>
      </c>
      <c r="E911" s="35">
        <f>+'[2]por cuent'!H911</f>
        <v>24998903.260000002</v>
      </c>
      <c r="F911" t="str">
        <f>+'[2]por cuent'!I911</f>
        <v>479</v>
      </c>
    </row>
    <row r="912" spans="1:6" x14ac:dyDescent="0.35">
      <c r="A912" t="str">
        <f>+'[2]por cuent'!A912</f>
        <v>ARS</v>
      </c>
      <c r="B912" t="str">
        <f>+'[2]por cuent'!B912</f>
        <v>479040602</v>
      </c>
      <c r="C912" t="str">
        <f>+'[2]por cuent'!C912</f>
        <v>SUPERVIELLE AGENTE DE NEGOCIACION S.A.U.</v>
      </c>
      <c r="D912" s="35">
        <f>+'[2]por cuent'!G912</f>
        <v>2396368941938.79</v>
      </c>
      <c r="E912" s="35">
        <f>+'[2]por cuent'!H912</f>
        <v>2396368941938.79</v>
      </c>
      <c r="F912" t="str">
        <f>+'[2]por cuent'!I912</f>
        <v>479</v>
      </c>
    </row>
    <row r="913" spans="1:6" x14ac:dyDescent="0.35">
      <c r="A913" t="str">
        <f>+'[2]por cuent'!A913</f>
        <v>ARS</v>
      </c>
      <c r="B913" t="str">
        <f>+'[2]por cuent'!B913</f>
        <v>483000004</v>
      </c>
      <c r="C913" t="str">
        <f>+'[2]por cuent'!C913</f>
        <v>COPPOLA INVERSIONES S.A.</v>
      </c>
      <c r="D913" s="35">
        <f>+'[2]por cuent'!G913</f>
        <v>38877782191.959999</v>
      </c>
      <c r="E913" s="35">
        <f>+'[2]por cuent'!H913</f>
        <v>38877782191.959999</v>
      </c>
      <c r="F913" t="str">
        <f>+'[2]por cuent'!I913</f>
        <v>483</v>
      </c>
    </row>
    <row r="914" spans="1:6" x14ac:dyDescent="0.35">
      <c r="A914" t="str">
        <f>+'[2]por cuent'!A914</f>
        <v>ARS</v>
      </c>
      <c r="B914" t="str">
        <f>+'[2]por cuent'!B914</f>
        <v>483000100</v>
      </c>
      <c r="C914" t="str">
        <f>+'[2]por cuent'!C914</f>
        <v>COPPOLA, JUAN CRUZ</v>
      </c>
      <c r="D914" s="35">
        <f>+'[2]por cuent'!G914</f>
        <v>50615962.770000003</v>
      </c>
      <c r="E914" s="35">
        <f>+'[2]por cuent'!H914</f>
        <v>50615962.770000003</v>
      </c>
      <c r="F914" t="str">
        <f>+'[2]por cuent'!I914</f>
        <v>483</v>
      </c>
    </row>
    <row r="915" spans="1:6" x14ac:dyDescent="0.35">
      <c r="A915" t="str">
        <f>+'[2]por cuent'!A915</f>
        <v>ARS</v>
      </c>
      <c r="B915" t="str">
        <f>+'[2]por cuent'!B915</f>
        <v>483000101</v>
      </c>
      <c r="C915" t="str">
        <f>+'[2]por cuent'!C915</f>
        <v>ACEVEDO MARIA JULIA</v>
      </c>
      <c r="D915" s="35">
        <f>+'[2]por cuent'!G915</f>
        <v>6055311.1699999999</v>
      </c>
      <c r="E915" s="35">
        <f>+'[2]por cuent'!H915</f>
        <v>6055311.1699999999</v>
      </c>
      <c r="F915" t="str">
        <f>+'[2]por cuent'!I915</f>
        <v>483</v>
      </c>
    </row>
    <row r="916" spans="1:6" x14ac:dyDescent="0.35">
      <c r="A916" t="str">
        <f>+'[2]por cuent'!A916</f>
        <v>ARS</v>
      </c>
      <c r="B916" t="str">
        <f>+'[2]por cuent'!B916</f>
        <v>483000102</v>
      </c>
      <c r="C916" t="str">
        <f>+'[2]por cuent'!C916</f>
        <v>FUNDEMAP SA</v>
      </c>
      <c r="D916" s="35">
        <f>+'[2]por cuent'!G916</f>
        <v>9939980411.5900002</v>
      </c>
      <c r="E916" s="35">
        <f>+'[2]por cuent'!H916</f>
        <v>9939980411.5900002</v>
      </c>
      <c r="F916" t="str">
        <f>+'[2]por cuent'!I916</f>
        <v>483</v>
      </c>
    </row>
    <row r="917" spans="1:6" x14ac:dyDescent="0.35">
      <c r="A917" t="str">
        <f>+'[2]por cuent'!A917</f>
        <v>ARS</v>
      </c>
      <c r="B917" t="str">
        <f>+'[2]por cuent'!B917</f>
        <v>483000105</v>
      </c>
      <c r="C917" t="str">
        <f>+'[2]por cuent'!C917</f>
        <v>TUTTO PORKY'S SRL</v>
      </c>
      <c r="D917" s="35">
        <f>+'[2]por cuent'!G917</f>
        <v>2209924296.1199999</v>
      </c>
      <c r="E917" s="35">
        <f>+'[2]por cuent'!H917</f>
        <v>2209924296.1199999</v>
      </c>
      <c r="F917" t="str">
        <f>+'[2]por cuent'!I917</f>
        <v>483</v>
      </c>
    </row>
    <row r="918" spans="1:6" x14ac:dyDescent="0.35">
      <c r="A918" t="str">
        <f>+'[2]por cuent'!A918</f>
        <v>ARS</v>
      </c>
      <c r="B918" t="str">
        <f>+'[2]por cuent'!B918</f>
        <v>483000106</v>
      </c>
      <c r="C918" t="str">
        <f>+'[2]por cuent'!C918</f>
        <v>MURABITO MARIA CARMEN</v>
      </c>
      <c r="D918" s="35">
        <f>+'[2]por cuent'!G918</f>
        <v>1109783632.3699999</v>
      </c>
      <c r="E918" s="35">
        <f>+'[2]por cuent'!H918</f>
        <v>1109783632.3699999</v>
      </c>
      <c r="F918" t="str">
        <f>+'[2]por cuent'!I918</f>
        <v>483</v>
      </c>
    </row>
    <row r="919" spans="1:6" x14ac:dyDescent="0.35">
      <c r="A919" t="str">
        <f>+'[2]por cuent'!A919</f>
        <v>ARS</v>
      </c>
      <c r="B919" t="str">
        <f>+'[2]por cuent'!B919</f>
        <v>483000108</v>
      </c>
      <c r="C919" t="str">
        <f>+'[2]por cuent'!C919</f>
        <v>GONZALEZ DAVIS GUILLERMO JULIAN</v>
      </c>
      <c r="D919" s="35">
        <f>+'[2]por cuent'!G919</f>
        <v>262581190.83000001</v>
      </c>
      <c r="E919" s="35">
        <f>+'[2]por cuent'!H919</f>
        <v>262581190.83000001</v>
      </c>
      <c r="F919" t="str">
        <f>+'[2]por cuent'!I919</f>
        <v>483</v>
      </c>
    </row>
    <row r="920" spans="1:6" x14ac:dyDescent="0.35">
      <c r="A920" t="str">
        <f>+'[2]por cuent'!A920</f>
        <v>ARS</v>
      </c>
      <c r="B920" t="str">
        <f>+'[2]por cuent'!B920</f>
        <v>483000109</v>
      </c>
      <c r="C920" t="str">
        <f>+'[2]por cuent'!C920</f>
        <v>LA BULONERA DE VILA SRL</v>
      </c>
      <c r="D920" s="35">
        <f>+'[2]por cuent'!G920</f>
        <v>8435618983.1400003</v>
      </c>
      <c r="E920" s="35">
        <f>+'[2]por cuent'!H920</f>
        <v>8435618983.1400003</v>
      </c>
      <c r="F920" t="str">
        <f>+'[2]por cuent'!I920</f>
        <v>483</v>
      </c>
    </row>
    <row r="921" spans="1:6" x14ac:dyDescent="0.35">
      <c r="A921" t="str">
        <f>+'[2]por cuent'!A921</f>
        <v>ARS</v>
      </c>
      <c r="B921" t="str">
        <f>+'[2]por cuent'!B921</f>
        <v>483000112</v>
      </c>
      <c r="C921" t="str">
        <f>+'[2]por cuent'!C921</f>
        <v>INSUGRAF SRL</v>
      </c>
      <c r="D921" s="35">
        <f>+'[2]por cuent'!G921</f>
        <v>277509916.83999997</v>
      </c>
      <c r="E921" s="35">
        <f>+'[2]por cuent'!H921</f>
        <v>277509916.83999997</v>
      </c>
      <c r="F921" t="str">
        <f>+'[2]por cuent'!I921</f>
        <v>483</v>
      </c>
    </row>
    <row r="922" spans="1:6" x14ac:dyDescent="0.35">
      <c r="A922" t="str">
        <f>+'[2]por cuent'!A922</f>
        <v>ARS</v>
      </c>
      <c r="B922" t="str">
        <f>+'[2]por cuent'!B922</f>
        <v>483000116</v>
      </c>
      <c r="C922" t="str">
        <f>+'[2]por cuent'!C922</f>
        <v>PONTICELLI VANINA DANISA</v>
      </c>
      <c r="D922" s="35">
        <f>+'[2]por cuent'!G922</f>
        <v>16000000</v>
      </c>
      <c r="E922" s="35">
        <f>+'[2]por cuent'!H922</f>
        <v>16000000</v>
      </c>
      <c r="F922" t="str">
        <f>+'[2]por cuent'!I922</f>
        <v>483</v>
      </c>
    </row>
    <row r="923" spans="1:6" x14ac:dyDescent="0.35">
      <c r="A923" t="str">
        <f>+'[2]por cuent'!A923</f>
        <v>ARS</v>
      </c>
      <c r="B923" t="str">
        <f>+'[2]por cuent'!B923</f>
        <v>483000117</v>
      </c>
      <c r="C923" t="str">
        <f>+'[2]por cuent'!C923</f>
        <v xml:space="preserve">SHORTON ARGENTINA SRL </v>
      </c>
      <c r="D923" s="35">
        <f>+'[2]por cuent'!G923</f>
        <v>107477665.03</v>
      </c>
      <c r="E923" s="35">
        <f>+'[2]por cuent'!H923</f>
        <v>107477665.03</v>
      </c>
      <c r="F923" t="str">
        <f>+'[2]por cuent'!I923</f>
        <v>483</v>
      </c>
    </row>
    <row r="924" spans="1:6" x14ac:dyDescent="0.35">
      <c r="A924" t="str">
        <f>+'[2]por cuent'!A924</f>
        <v>ARS</v>
      </c>
      <c r="B924" t="str">
        <f>+'[2]por cuent'!B924</f>
        <v>483000118</v>
      </c>
      <c r="C924" t="str">
        <f>+'[2]por cuent'!C924</f>
        <v>PONTICELLI HERMANOS SA</v>
      </c>
      <c r="D924" s="35">
        <f>+'[2]por cuent'!G924</f>
        <v>142310635</v>
      </c>
      <c r="E924" s="35">
        <f>+'[2]por cuent'!H924</f>
        <v>142310635</v>
      </c>
      <c r="F924" t="str">
        <f>+'[2]por cuent'!I924</f>
        <v>483</v>
      </c>
    </row>
    <row r="925" spans="1:6" x14ac:dyDescent="0.35">
      <c r="A925" t="str">
        <f>+'[2]por cuent'!A925</f>
        <v>ARS</v>
      </c>
      <c r="B925" t="str">
        <f>+'[2]por cuent'!B925</f>
        <v>483000119</v>
      </c>
      <c r="C925" t="str">
        <f>+'[2]por cuent'!C925</f>
        <v>FIGUEROA LUCIANO GABRIEL</v>
      </c>
      <c r="D925" s="35">
        <f>+'[2]por cuent'!G925</f>
        <v>4460613.5</v>
      </c>
      <c r="E925" s="35">
        <f>+'[2]por cuent'!H925</f>
        <v>4460613.5</v>
      </c>
      <c r="F925" t="str">
        <f>+'[2]por cuent'!I925</f>
        <v>483</v>
      </c>
    </row>
    <row r="926" spans="1:6" x14ac:dyDescent="0.35">
      <c r="A926" t="str">
        <f>+'[2]por cuent'!A926</f>
        <v>ARS</v>
      </c>
      <c r="B926" t="str">
        <f>+'[2]por cuent'!B926</f>
        <v>483000120</v>
      </c>
      <c r="C926" t="str">
        <f>+'[2]por cuent'!C926</f>
        <v>VILA, FEDERICO ARMANDO</v>
      </c>
      <c r="D926" s="35">
        <f>+'[2]por cuent'!G926</f>
        <v>98044.4</v>
      </c>
      <c r="E926" s="35">
        <f>+'[2]por cuent'!H926</f>
        <v>98044.4</v>
      </c>
      <c r="F926" t="str">
        <f>+'[2]por cuent'!I926</f>
        <v>483</v>
      </c>
    </row>
    <row r="927" spans="1:6" x14ac:dyDescent="0.35">
      <c r="A927" t="str">
        <f>+'[2]por cuent'!A927</f>
        <v>ARS</v>
      </c>
      <c r="B927" t="str">
        <f>+'[2]por cuent'!B927</f>
        <v>483000121</v>
      </c>
      <c r="C927" t="str">
        <f>+'[2]por cuent'!C927</f>
        <v>SEMILLAS BISCAYART SA</v>
      </c>
      <c r="D927" s="35">
        <f>+'[2]por cuent'!G927</f>
        <v>1081385478.55</v>
      </c>
      <c r="E927" s="35">
        <f>+'[2]por cuent'!H927</f>
        <v>1081385478.55</v>
      </c>
      <c r="F927" t="str">
        <f>+'[2]por cuent'!I927</f>
        <v>483</v>
      </c>
    </row>
    <row r="928" spans="1:6" x14ac:dyDescent="0.35">
      <c r="A928" t="str">
        <f>+'[2]por cuent'!A928</f>
        <v>ARS</v>
      </c>
      <c r="B928" t="str">
        <f>+'[2]por cuent'!B928</f>
        <v>483000122</v>
      </c>
      <c r="C928" t="str">
        <f>+'[2]por cuent'!C928</f>
        <v>CARLOS BISCAYART SA</v>
      </c>
      <c r="D928" s="35">
        <f>+'[2]por cuent'!G928</f>
        <v>21563480.609999999</v>
      </c>
      <c r="E928" s="35">
        <f>+'[2]por cuent'!H928</f>
        <v>21563480.609999999</v>
      </c>
      <c r="F928" t="str">
        <f>+'[2]por cuent'!I928</f>
        <v>483</v>
      </c>
    </row>
    <row r="929" spans="1:6" x14ac:dyDescent="0.35">
      <c r="A929" t="str">
        <f>+'[2]por cuent'!A929</f>
        <v>ARS</v>
      </c>
      <c r="B929" t="str">
        <f>+'[2]por cuent'!B929</f>
        <v>483000123</v>
      </c>
      <c r="C929" t="str">
        <f>+'[2]por cuent'!C929</f>
        <v>LOPEZ RAQUEL NELIDA EUGENIA</v>
      </c>
      <c r="D929" s="35">
        <f>+'[2]por cuent'!G929</f>
        <v>3000331.42</v>
      </c>
      <c r="E929" s="35">
        <f>+'[2]por cuent'!H929</f>
        <v>3000331.42</v>
      </c>
      <c r="F929" t="str">
        <f>+'[2]por cuent'!I929</f>
        <v>483</v>
      </c>
    </row>
    <row r="930" spans="1:6" x14ac:dyDescent="0.35">
      <c r="A930" t="str">
        <f>+'[2]por cuent'!A930</f>
        <v>ARS</v>
      </c>
      <c r="B930" t="str">
        <f>+'[2]por cuent'!B930</f>
        <v>483000124</v>
      </c>
      <c r="C930" t="str">
        <f>+'[2]por cuent'!C930</f>
        <v>BENVENUTO, CASANDRA</v>
      </c>
      <c r="D930" s="35">
        <f>+'[2]por cuent'!G930</f>
        <v>3000158.38</v>
      </c>
      <c r="E930" s="35">
        <f>+'[2]por cuent'!H930</f>
        <v>3000158.38</v>
      </c>
      <c r="F930" t="str">
        <f>+'[2]por cuent'!I930</f>
        <v>483</v>
      </c>
    </row>
    <row r="931" spans="1:6" x14ac:dyDescent="0.35">
      <c r="A931" t="str">
        <f>+'[2]por cuent'!A931</f>
        <v>ARS</v>
      </c>
      <c r="B931" t="str">
        <f>+'[2]por cuent'!B931</f>
        <v>483000127</v>
      </c>
      <c r="C931" t="str">
        <f>+'[2]por cuent'!C931</f>
        <v>SA LA SIBILA</v>
      </c>
      <c r="D931" s="35">
        <f>+'[2]por cuent'!G931</f>
        <v>22412055273.52</v>
      </c>
      <c r="E931" s="35">
        <f>+'[2]por cuent'!H931</f>
        <v>22412055273.52</v>
      </c>
      <c r="F931" t="str">
        <f>+'[2]por cuent'!I931</f>
        <v>483</v>
      </c>
    </row>
    <row r="932" spans="1:6" x14ac:dyDescent="0.35">
      <c r="A932" t="str">
        <f>+'[2]por cuent'!A932</f>
        <v>ARS</v>
      </c>
      <c r="B932" t="str">
        <f>+'[2]por cuent'!B932</f>
        <v>483000137</v>
      </c>
      <c r="C932" t="str">
        <f>+'[2]por cuent'!C932</f>
        <v>ROSSI SRL</v>
      </c>
      <c r="D932" s="35">
        <f>+'[2]por cuent'!G932</f>
        <v>85333176.090000004</v>
      </c>
      <c r="E932" s="35">
        <f>+'[2]por cuent'!H932</f>
        <v>85333176.090000004</v>
      </c>
      <c r="F932" t="str">
        <f>+'[2]por cuent'!I932</f>
        <v>483</v>
      </c>
    </row>
    <row r="933" spans="1:6" x14ac:dyDescent="0.35">
      <c r="A933" t="str">
        <f>+'[2]por cuent'!A933</f>
        <v>ARS</v>
      </c>
      <c r="B933" t="str">
        <f>+'[2]por cuent'!B933</f>
        <v>483000144</v>
      </c>
      <c r="C933" t="str">
        <f>+'[2]por cuent'!C933</f>
        <v>PAIS, MARCELA LETICIA</v>
      </c>
      <c r="D933" s="35">
        <f>+'[2]por cuent'!G933</f>
        <v>26047891.940000001</v>
      </c>
      <c r="E933" s="35">
        <f>+'[2]por cuent'!H933</f>
        <v>26047891.940000001</v>
      </c>
      <c r="F933" t="str">
        <f>+'[2]por cuent'!I933</f>
        <v>483</v>
      </c>
    </row>
    <row r="934" spans="1:6" x14ac:dyDescent="0.35">
      <c r="A934" t="str">
        <f>+'[2]por cuent'!A934</f>
        <v>ARS</v>
      </c>
      <c r="B934" t="str">
        <f>+'[2]por cuent'!B934</f>
        <v>483000146</v>
      </c>
      <c r="C934" t="str">
        <f>+'[2]por cuent'!C934</f>
        <v>ACOPIO AREQUITO SA</v>
      </c>
      <c r="D934" s="35">
        <f>+'[2]por cuent'!G934</f>
        <v>1130151348.1900001</v>
      </c>
      <c r="E934" s="35">
        <f>+'[2]por cuent'!H934</f>
        <v>1130151348.1900001</v>
      </c>
      <c r="F934" t="str">
        <f>+'[2]por cuent'!I934</f>
        <v>483</v>
      </c>
    </row>
    <row r="935" spans="1:6" x14ac:dyDescent="0.35">
      <c r="A935" t="str">
        <f>+'[2]por cuent'!A935</f>
        <v>ARS</v>
      </c>
      <c r="B935" t="str">
        <f>+'[2]por cuent'!B935</f>
        <v>483000148</v>
      </c>
      <c r="C935" t="str">
        <f>+'[2]por cuent'!C935</f>
        <v>DE MARTIN JUAN MANUEL</v>
      </c>
      <c r="D935" s="35">
        <f>+'[2]por cuent'!G935</f>
        <v>13628907.939999999</v>
      </c>
      <c r="E935" s="35">
        <f>+'[2]por cuent'!H935</f>
        <v>13628907.939999999</v>
      </c>
      <c r="F935" t="str">
        <f>+'[2]por cuent'!I935</f>
        <v>483</v>
      </c>
    </row>
    <row r="936" spans="1:6" x14ac:dyDescent="0.35">
      <c r="A936" t="str">
        <f>+'[2]por cuent'!A936</f>
        <v>ARS</v>
      </c>
      <c r="B936" t="str">
        <f>+'[2]por cuent'!B936</f>
        <v>483000151</v>
      </c>
      <c r="C936" t="str">
        <f>+'[2]por cuent'!C936</f>
        <v>CRIGNA MARIANO OSCAR</v>
      </c>
      <c r="D936" s="35">
        <f>+'[2]por cuent'!G936</f>
        <v>3504783.77</v>
      </c>
      <c r="E936" s="35">
        <f>+'[2]por cuent'!H936</f>
        <v>3504783.77</v>
      </c>
      <c r="F936" t="str">
        <f>+'[2]por cuent'!I936</f>
        <v>483</v>
      </c>
    </row>
    <row r="937" spans="1:6" x14ac:dyDescent="0.35">
      <c r="A937" t="str">
        <f>+'[2]por cuent'!A937</f>
        <v>ARS</v>
      </c>
      <c r="B937" t="str">
        <f>+'[2]por cuent'!B937</f>
        <v>483000157</v>
      </c>
      <c r="C937" t="str">
        <f>+'[2]por cuent'!C937</f>
        <v>ACERMA SOCIEDAD ANÓNIMA</v>
      </c>
      <c r="D937" s="35">
        <f>+'[2]por cuent'!G937</f>
        <v>6054716773.5</v>
      </c>
      <c r="E937" s="35">
        <f>+'[2]por cuent'!H937</f>
        <v>6054716773.5</v>
      </c>
      <c r="F937" t="str">
        <f>+'[2]por cuent'!I937</f>
        <v>483</v>
      </c>
    </row>
    <row r="938" spans="1:6" x14ac:dyDescent="0.35">
      <c r="A938" t="str">
        <f>+'[2]por cuent'!A938</f>
        <v>ARS</v>
      </c>
      <c r="B938" t="str">
        <f>+'[2]por cuent'!B938</f>
        <v>483000159</v>
      </c>
      <c r="C938" t="str">
        <f>+'[2]por cuent'!C938</f>
        <v>ESTABLECIMIENTO AVICOLA LA MOROCHA SA</v>
      </c>
      <c r="D938" s="35">
        <f>+'[2]por cuent'!G938</f>
        <v>144932079.33000001</v>
      </c>
      <c r="E938" s="35">
        <f>+'[2]por cuent'!H938</f>
        <v>144932079.33000001</v>
      </c>
      <c r="F938" t="str">
        <f>+'[2]por cuent'!I938</f>
        <v>483</v>
      </c>
    </row>
    <row r="939" spans="1:6" x14ac:dyDescent="0.35">
      <c r="A939" t="str">
        <f>+'[2]por cuent'!A939</f>
        <v>ARS</v>
      </c>
      <c r="B939" t="str">
        <f>+'[2]por cuent'!B939</f>
        <v>483000162</v>
      </c>
      <c r="C939" t="str">
        <f>+'[2]por cuent'!C939</f>
        <v>CERDOS SAN JUAN SA</v>
      </c>
      <c r="D939" s="35">
        <f>+'[2]por cuent'!G939</f>
        <v>3370548733.6100001</v>
      </c>
      <c r="E939" s="35">
        <f>+'[2]por cuent'!H939</f>
        <v>3370548733.6100001</v>
      </c>
      <c r="F939" t="str">
        <f>+'[2]por cuent'!I939</f>
        <v>483</v>
      </c>
    </row>
    <row r="940" spans="1:6" x14ac:dyDescent="0.35">
      <c r="A940" t="str">
        <f>+'[2]por cuent'!A940</f>
        <v>ARS</v>
      </c>
      <c r="B940" t="str">
        <f>+'[2]por cuent'!B940</f>
        <v>483000165</v>
      </c>
      <c r="C940" t="str">
        <f>+'[2]por cuent'!C940</f>
        <v>PELTEC SA</v>
      </c>
      <c r="D940" s="35">
        <f>+'[2]por cuent'!G940</f>
        <v>31212777.219999999</v>
      </c>
      <c r="E940" s="35">
        <f>+'[2]por cuent'!H940</f>
        <v>31212777.219999999</v>
      </c>
      <c r="F940" t="str">
        <f>+'[2]por cuent'!I940</f>
        <v>483</v>
      </c>
    </row>
    <row r="941" spans="1:6" x14ac:dyDescent="0.35">
      <c r="A941" t="str">
        <f>+'[2]por cuent'!A941</f>
        <v>ARS</v>
      </c>
      <c r="B941" t="str">
        <f>+'[2]por cuent'!B941</f>
        <v>483000168</v>
      </c>
      <c r="C941" t="str">
        <f>+'[2]por cuent'!C941</f>
        <v>COPPOLA CARLOS MARIA</v>
      </c>
      <c r="D941" s="35">
        <f>+'[2]por cuent'!G941</f>
        <v>27068188.120000001</v>
      </c>
      <c r="E941" s="35">
        <f>+'[2]por cuent'!H941</f>
        <v>27068188.120000001</v>
      </c>
      <c r="F941" t="str">
        <f>+'[2]por cuent'!I941</f>
        <v>483</v>
      </c>
    </row>
    <row r="942" spans="1:6" x14ac:dyDescent="0.35">
      <c r="A942" t="str">
        <f>+'[2]por cuent'!A942</f>
        <v>ARS</v>
      </c>
      <c r="B942" t="str">
        <f>+'[2]por cuent'!B942</f>
        <v>483000170</v>
      </c>
      <c r="C942" t="str">
        <f>+'[2]por cuent'!C942</f>
        <v>BASILICO BERNARDO</v>
      </c>
      <c r="D942" s="35">
        <f>+'[2]por cuent'!G942</f>
        <v>17009940.75</v>
      </c>
      <c r="E942" s="35">
        <f>+'[2]por cuent'!H942</f>
        <v>17009940.75</v>
      </c>
      <c r="F942" t="str">
        <f>+'[2]por cuent'!I942</f>
        <v>483</v>
      </c>
    </row>
    <row r="943" spans="1:6" x14ac:dyDescent="0.35">
      <c r="A943" t="str">
        <f>+'[2]por cuent'!A943</f>
        <v>ARS</v>
      </c>
      <c r="B943" t="str">
        <f>+'[2]por cuent'!B943</f>
        <v>483000172</v>
      </c>
      <c r="C943" t="str">
        <f>+'[2]por cuent'!C943</f>
        <v>COPPOLA, MARIA MILAGROS</v>
      </c>
      <c r="D943" s="35">
        <f>+'[2]por cuent'!G943</f>
        <v>20816928.539999999</v>
      </c>
      <c r="E943" s="35">
        <f>+'[2]por cuent'!H943</f>
        <v>20816928.539999999</v>
      </c>
      <c r="F943" t="str">
        <f>+'[2]por cuent'!I943</f>
        <v>483</v>
      </c>
    </row>
    <row r="944" spans="1:6" x14ac:dyDescent="0.35">
      <c r="A944" t="str">
        <f>+'[2]por cuent'!A944</f>
        <v>ARS</v>
      </c>
      <c r="B944" t="str">
        <f>+'[2]por cuent'!B944</f>
        <v>483000178</v>
      </c>
      <c r="C944" t="str">
        <f>+'[2]por cuent'!C944</f>
        <v>BUTTICE, CARLA LORENA</v>
      </c>
      <c r="D944" s="35">
        <f>+'[2]por cuent'!G944</f>
        <v>20211656.920000002</v>
      </c>
      <c r="E944" s="35">
        <f>+'[2]por cuent'!H944</f>
        <v>20211656.920000002</v>
      </c>
      <c r="F944" t="str">
        <f>+'[2]por cuent'!I944</f>
        <v>483</v>
      </c>
    </row>
    <row r="945" spans="1:6" x14ac:dyDescent="0.35">
      <c r="A945" t="str">
        <f>+'[2]por cuent'!A945</f>
        <v>ARS</v>
      </c>
      <c r="B945" t="str">
        <f>+'[2]por cuent'!B945</f>
        <v>483000180</v>
      </c>
      <c r="C945" t="str">
        <f>+'[2]por cuent'!C945</f>
        <v>GRAMAGLIA, DIEGO ANDRES</v>
      </c>
      <c r="D945" s="35">
        <f>+'[2]por cuent'!G945</f>
        <v>12663232.710000001</v>
      </c>
      <c r="E945" s="35">
        <f>+'[2]por cuent'!H945</f>
        <v>12663232.710000001</v>
      </c>
      <c r="F945" t="str">
        <f>+'[2]por cuent'!I945</f>
        <v>483</v>
      </c>
    </row>
    <row r="946" spans="1:6" x14ac:dyDescent="0.35">
      <c r="A946" t="str">
        <f>+'[2]por cuent'!A946</f>
        <v>ARS</v>
      </c>
      <c r="B946" t="str">
        <f>+'[2]por cuent'!B946</f>
        <v>483000184</v>
      </c>
      <c r="C946" t="str">
        <f>+'[2]por cuent'!C946</f>
        <v>CORENGIA ANTONELA</v>
      </c>
      <c r="D946" s="35">
        <f>+'[2]por cuent'!G946</f>
        <v>6536504.8799999999</v>
      </c>
      <c r="E946" s="35">
        <f>+'[2]por cuent'!H946</f>
        <v>6536504.8799999999</v>
      </c>
      <c r="F946" t="str">
        <f>+'[2]por cuent'!I946</f>
        <v>483</v>
      </c>
    </row>
    <row r="947" spans="1:6" x14ac:dyDescent="0.35">
      <c r="A947" t="str">
        <f>+'[2]por cuent'!A947</f>
        <v>ARS</v>
      </c>
      <c r="B947" t="str">
        <f>+'[2]por cuent'!B947</f>
        <v>483000185</v>
      </c>
      <c r="C947" t="str">
        <f>+'[2]por cuent'!C947</f>
        <v>RUIZ, YAMIL MATIAS</v>
      </c>
      <c r="D947" s="35">
        <f>+'[2]por cuent'!G947</f>
        <v>5276853.7</v>
      </c>
      <c r="E947" s="35">
        <f>+'[2]por cuent'!H947</f>
        <v>5276853.7</v>
      </c>
      <c r="F947" t="str">
        <f>+'[2]por cuent'!I947</f>
        <v>483</v>
      </c>
    </row>
    <row r="948" spans="1:6" x14ac:dyDescent="0.35">
      <c r="A948" t="str">
        <f>+'[2]por cuent'!A948</f>
        <v>ARS</v>
      </c>
      <c r="B948" t="str">
        <f>+'[2]por cuent'!B948</f>
        <v>483000195</v>
      </c>
      <c r="C948" t="str">
        <f>+'[2]por cuent'!C948</f>
        <v>COPPOLA, JUAN CARLOS JESUS</v>
      </c>
      <c r="D948" s="35">
        <f>+'[2]por cuent'!G948</f>
        <v>57202747.600000001</v>
      </c>
      <c r="E948" s="35">
        <f>+'[2]por cuent'!H948</f>
        <v>57202747.600000001</v>
      </c>
      <c r="F948" t="str">
        <f>+'[2]por cuent'!I948</f>
        <v>483</v>
      </c>
    </row>
    <row r="949" spans="1:6" x14ac:dyDescent="0.35">
      <c r="A949" t="str">
        <f>+'[2]por cuent'!A949</f>
        <v>ARS</v>
      </c>
      <c r="B949" t="str">
        <f>+'[2]por cuent'!B949</f>
        <v>483000196</v>
      </c>
      <c r="C949" t="str">
        <f>+'[2]por cuent'!C949</f>
        <v>SALVADOR BIZET, VIOLETA</v>
      </c>
      <c r="D949" s="35">
        <f>+'[2]por cuent'!G949</f>
        <v>18834952.199999999</v>
      </c>
      <c r="E949" s="35">
        <f>+'[2]por cuent'!H949</f>
        <v>18834952.199999999</v>
      </c>
      <c r="F949" t="str">
        <f>+'[2]por cuent'!I949</f>
        <v>483</v>
      </c>
    </row>
    <row r="950" spans="1:6" x14ac:dyDescent="0.35">
      <c r="A950" t="str">
        <f>+'[2]por cuent'!A950</f>
        <v>ARS</v>
      </c>
      <c r="B950" t="str">
        <f>+'[2]por cuent'!B950</f>
        <v>483000199</v>
      </c>
      <c r="C950" t="str">
        <f>+'[2]por cuent'!C950</f>
        <v>MEPATSA SRL</v>
      </c>
      <c r="D950" s="35">
        <f>+'[2]por cuent'!G950</f>
        <v>258201881.19</v>
      </c>
      <c r="E950" s="35">
        <f>+'[2]por cuent'!H950</f>
        <v>258201881.19</v>
      </c>
      <c r="F950" t="str">
        <f>+'[2]por cuent'!I950</f>
        <v>483</v>
      </c>
    </row>
    <row r="951" spans="1:6" x14ac:dyDescent="0.35">
      <c r="A951" t="str">
        <f>+'[2]por cuent'!A951</f>
        <v>ARS</v>
      </c>
      <c r="B951" t="str">
        <f>+'[2]por cuent'!B951</f>
        <v>483000204</v>
      </c>
      <c r="C951" t="str">
        <f>+'[2]por cuent'!C951</f>
        <v>YBAÑEZ CARRARA, MARIA DEL ROCIO</v>
      </c>
      <c r="D951" s="35">
        <f>+'[2]por cuent'!G951</f>
        <v>1599783</v>
      </c>
      <c r="E951" s="35">
        <f>+'[2]por cuent'!H951</f>
        <v>1599783</v>
      </c>
      <c r="F951" t="str">
        <f>+'[2]por cuent'!I951</f>
        <v>483</v>
      </c>
    </row>
    <row r="952" spans="1:6" x14ac:dyDescent="0.35">
      <c r="A952" t="str">
        <f>+'[2]por cuent'!A952</f>
        <v>ARS</v>
      </c>
      <c r="B952" t="str">
        <f>+'[2]por cuent'!B952</f>
        <v>483000208</v>
      </c>
      <c r="C952" t="str">
        <f>+'[2]por cuent'!C952</f>
        <v>SOLANS S.A.</v>
      </c>
      <c r="D952" s="35">
        <f>+'[2]por cuent'!G952</f>
        <v>57185985.109999999</v>
      </c>
      <c r="E952" s="35">
        <f>+'[2]por cuent'!H952</f>
        <v>57185985.109999999</v>
      </c>
      <c r="F952" t="str">
        <f>+'[2]por cuent'!I952</f>
        <v>483</v>
      </c>
    </row>
    <row r="953" spans="1:6" x14ac:dyDescent="0.35">
      <c r="A953" t="str">
        <f>+'[2]por cuent'!A953</f>
        <v>ARS</v>
      </c>
      <c r="B953" t="str">
        <f>+'[2]por cuent'!B953</f>
        <v>483000211</v>
      </c>
      <c r="C953" t="str">
        <f>+'[2]por cuent'!C953</f>
        <v>COPPOLA, HERMINIA - MUNINI, PATRICIA - MUNINI, CARLOS</v>
      </c>
      <c r="D953" s="35">
        <f>+'[2]por cuent'!G953</f>
        <v>12913316.859999999</v>
      </c>
      <c r="E953" s="35">
        <f>+'[2]por cuent'!H953</f>
        <v>12913316.859999999</v>
      </c>
      <c r="F953" t="str">
        <f>+'[2]por cuent'!I953</f>
        <v>483</v>
      </c>
    </row>
    <row r="954" spans="1:6" x14ac:dyDescent="0.35">
      <c r="A954" t="str">
        <f>+'[2]por cuent'!A954</f>
        <v>ARS</v>
      </c>
      <c r="B954" t="str">
        <f>+'[2]por cuent'!B954</f>
        <v>483000214</v>
      </c>
      <c r="C954" t="str">
        <f>+'[2]por cuent'!C954</f>
        <v>CIMINO, IGNACIO MARTIN</v>
      </c>
      <c r="D954" s="35">
        <f>+'[2]por cuent'!G954</f>
        <v>87394994.5</v>
      </c>
      <c r="E954" s="35">
        <f>+'[2]por cuent'!H954</f>
        <v>87394994.5</v>
      </c>
      <c r="F954" t="str">
        <f>+'[2]por cuent'!I954</f>
        <v>483</v>
      </c>
    </row>
    <row r="955" spans="1:6" x14ac:dyDescent="0.35">
      <c r="A955" t="str">
        <f>+'[2]por cuent'!A955</f>
        <v>ARS</v>
      </c>
      <c r="B955" t="str">
        <f>+'[2]por cuent'!B955</f>
        <v>483000218</v>
      </c>
      <c r="C955" t="str">
        <f>+'[2]por cuent'!C955</f>
        <v>INDUSTRIA GRAFICA PAGANI SA</v>
      </c>
      <c r="D955" s="35">
        <f>+'[2]por cuent'!G955</f>
        <v>90212263.200000003</v>
      </c>
      <c r="E955" s="35">
        <f>+'[2]por cuent'!H955</f>
        <v>90212263.200000003</v>
      </c>
      <c r="F955" t="str">
        <f>+'[2]por cuent'!I955</f>
        <v>483</v>
      </c>
    </row>
    <row r="956" spans="1:6" x14ac:dyDescent="0.35">
      <c r="A956" t="str">
        <f>+'[2]por cuent'!A956</f>
        <v>ARS</v>
      </c>
      <c r="B956" t="str">
        <f>+'[2]por cuent'!B956</f>
        <v>483000238</v>
      </c>
      <c r="C956" t="str">
        <f>+'[2]por cuent'!C956</f>
        <v>BASSO LEANDRO JUAN</v>
      </c>
      <c r="D956" s="35">
        <f>+'[2]por cuent'!G956</f>
        <v>7048206.2800000003</v>
      </c>
      <c r="E956" s="35">
        <f>+'[2]por cuent'!H956</f>
        <v>7048206.2800000003</v>
      </c>
      <c r="F956" t="str">
        <f>+'[2]por cuent'!I956</f>
        <v>483</v>
      </c>
    </row>
    <row r="957" spans="1:6" x14ac:dyDescent="0.35">
      <c r="A957" t="str">
        <f>+'[2]por cuent'!A957</f>
        <v>ARS</v>
      </c>
      <c r="B957" t="str">
        <f>+'[2]por cuent'!B957</f>
        <v>483000240</v>
      </c>
      <c r="C957" t="str">
        <f>+'[2]por cuent'!C957</f>
        <v>CASTILLO GABRIEL ALEJANDRO</v>
      </c>
      <c r="D957" s="35">
        <f>+'[2]por cuent'!G957</f>
        <v>94273109</v>
      </c>
      <c r="E957" s="35">
        <f>+'[2]por cuent'!H957</f>
        <v>94273109</v>
      </c>
      <c r="F957" t="str">
        <f>+'[2]por cuent'!I957</f>
        <v>483</v>
      </c>
    </row>
    <row r="958" spans="1:6" x14ac:dyDescent="0.35">
      <c r="A958" t="str">
        <f>+'[2]por cuent'!A958</f>
        <v>ARS</v>
      </c>
      <c r="B958" t="str">
        <f>+'[2]por cuent'!B958</f>
        <v>483000241</v>
      </c>
      <c r="C958" t="str">
        <f>+'[2]por cuent'!C958</f>
        <v>MENARA CORRALON SA</v>
      </c>
      <c r="D958" s="35">
        <f>+'[2]por cuent'!G958</f>
        <v>488231266.17000002</v>
      </c>
      <c r="E958" s="35">
        <f>+'[2]por cuent'!H958</f>
        <v>488231266.17000002</v>
      </c>
      <c r="F958" t="str">
        <f>+'[2]por cuent'!I958</f>
        <v>483</v>
      </c>
    </row>
    <row r="959" spans="1:6" x14ac:dyDescent="0.35">
      <c r="A959" t="str">
        <f>+'[2]por cuent'!A959</f>
        <v>ARS</v>
      </c>
      <c r="B959" t="str">
        <f>+'[2]por cuent'!B959</f>
        <v>483000242</v>
      </c>
      <c r="C959" t="str">
        <f>+'[2]por cuent'!C959</f>
        <v>SIPEL SRL</v>
      </c>
      <c r="D959" s="35">
        <f>+'[2]por cuent'!G959</f>
        <v>145998539.24000001</v>
      </c>
      <c r="E959" s="35">
        <f>+'[2]por cuent'!H959</f>
        <v>145998539.24000001</v>
      </c>
      <c r="F959" t="str">
        <f>+'[2]por cuent'!I959</f>
        <v>483</v>
      </c>
    </row>
    <row r="960" spans="1:6" x14ac:dyDescent="0.35">
      <c r="A960" t="str">
        <f>+'[2]por cuent'!A960</f>
        <v>ARS</v>
      </c>
      <c r="B960" t="str">
        <f>+'[2]por cuent'!B960</f>
        <v>483000249</v>
      </c>
      <c r="C960" t="str">
        <f>+'[2]por cuent'!C960</f>
        <v>LEVI FEDERICO</v>
      </c>
      <c r="D960" s="35">
        <f>+'[2]por cuent'!G960</f>
        <v>4962200</v>
      </c>
      <c r="E960" s="35">
        <f>+'[2]por cuent'!H960</f>
        <v>4962200</v>
      </c>
      <c r="F960" t="str">
        <f>+'[2]por cuent'!I960</f>
        <v>483</v>
      </c>
    </row>
    <row r="961" spans="1:6" x14ac:dyDescent="0.35">
      <c r="A961" t="str">
        <f>+'[2]por cuent'!A961</f>
        <v>ARS</v>
      </c>
      <c r="B961" t="str">
        <f>+'[2]por cuent'!B961</f>
        <v>483000251</v>
      </c>
      <c r="C961" t="str">
        <f>+'[2]por cuent'!C961</f>
        <v>MONDIGLIO JUAN IGNACIO</v>
      </c>
      <c r="D961" s="35">
        <f>+'[2]por cuent'!G961</f>
        <v>17255434.579999998</v>
      </c>
      <c r="E961" s="35">
        <f>+'[2]por cuent'!H961</f>
        <v>17255434.579999998</v>
      </c>
      <c r="F961" t="str">
        <f>+'[2]por cuent'!I961</f>
        <v>483</v>
      </c>
    </row>
    <row r="962" spans="1:6" x14ac:dyDescent="0.35">
      <c r="A962" t="str">
        <f>+'[2]por cuent'!A962</f>
        <v>ARS</v>
      </c>
      <c r="B962" t="str">
        <f>+'[2]por cuent'!B962</f>
        <v>483000255</v>
      </c>
      <c r="C962" t="str">
        <f>+'[2]por cuent'!C962</f>
        <v>LLORENS CAROLINA ANALI</v>
      </c>
      <c r="D962" s="35">
        <f>+'[2]por cuent'!G962</f>
        <v>2388165</v>
      </c>
      <c r="E962" s="35">
        <f>+'[2]por cuent'!H962</f>
        <v>2388165</v>
      </c>
      <c r="F962" t="str">
        <f>+'[2]por cuent'!I962</f>
        <v>483</v>
      </c>
    </row>
    <row r="963" spans="1:6" x14ac:dyDescent="0.35">
      <c r="A963" t="str">
        <f>+'[2]por cuent'!A963</f>
        <v>ARS</v>
      </c>
      <c r="B963" t="str">
        <f>+'[2]por cuent'!B963</f>
        <v>483000257</v>
      </c>
      <c r="C963" t="str">
        <f>+'[2]por cuent'!C963</f>
        <v>BASILICO BERNARDO y PAROLIN GISELA</v>
      </c>
      <c r="D963" s="35">
        <f>+'[2]por cuent'!G963</f>
        <v>22073663.5</v>
      </c>
      <c r="E963" s="35">
        <f>+'[2]por cuent'!H963</f>
        <v>22073663.5</v>
      </c>
      <c r="F963" t="str">
        <f>+'[2]por cuent'!I963</f>
        <v>483</v>
      </c>
    </row>
    <row r="964" spans="1:6" x14ac:dyDescent="0.35">
      <c r="A964" t="str">
        <f>+'[2]por cuent'!A964</f>
        <v>ARS</v>
      </c>
      <c r="B964" t="str">
        <f>+'[2]por cuent'!B964</f>
        <v>483000264</v>
      </c>
      <c r="C964" t="str">
        <f>+'[2]por cuent'!C964</f>
        <v>IZAGUIRRE PILAR y VEROLO ECHARRI TOMÁS</v>
      </c>
      <c r="D964" s="35">
        <f>+'[2]por cuent'!G964</f>
        <v>25304054.129999999</v>
      </c>
      <c r="E964" s="35">
        <f>+'[2]por cuent'!H964</f>
        <v>25304054.129999999</v>
      </c>
      <c r="F964" t="str">
        <f>+'[2]por cuent'!I964</f>
        <v>483</v>
      </c>
    </row>
    <row r="965" spans="1:6" x14ac:dyDescent="0.35">
      <c r="A965" t="str">
        <f>+'[2]por cuent'!A965</f>
        <v>ARS</v>
      </c>
      <c r="B965" t="str">
        <f>+'[2]por cuent'!B965</f>
        <v>483000274</v>
      </c>
      <c r="C965" t="str">
        <f>+'[2]por cuent'!C965</f>
        <v>COMINELLI, VALENTINA</v>
      </c>
      <c r="D965" s="35">
        <f>+'[2]por cuent'!G965</f>
        <v>3193358.78</v>
      </c>
      <c r="E965" s="35">
        <f>+'[2]por cuent'!H965</f>
        <v>3193358.78</v>
      </c>
      <c r="F965" t="str">
        <f>+'[2]por cuent'!I965</f>
        <v>483</v>
      </c>
    </row>
    <row r="966" spans="1:6" x14ac:dyDescent="0.35">
      <c r="A966" t="str">
        <f>+'[2]por cuent'!A966</f>
        <v>ARS</v>
      </c>
      <c r="B966" t="str">
        <f>+'[2]por cuent'!B966</f>
        <v>483000275</v>
      </c>
      <c r="C966" t="str">
        <f>+'[2]por cuent'!C966</f>
        <v>COMINELLI GUILLERMINA</v>
      </c>
      <c r="D966" s="35">
        <f>+'[2]por cuent'!G966</f>
        <v>5786789.5</v>
      </c>
      <c r="E966" s="35">
        <f>+'[2]por cuent'!H966</f>
        <v>5786789.5</v>
      </c>
      <c r="F966" t="str">
        <f>+'[2]por cuent'!I966</f>
        <v>483</v>
      </c>
    </row>
    <row r="967" spans="1:6" x14ac:dyDescent="0.35">
      <c r="A967" t="str">
        <f>+'[2]por cuent'!A967</f>
        <v>ARS</v>
      </c>
      <c r="B967" t="str">
        <f>+'[2]por cuent'!B967</f>
        <v>483000276</v>
      </c>
      <c r="C967" t="str">
        <f>+'[2]por cuent'!C967</f>
        <v xml:space="preserve">STORERO DIEGO </v>
      </c>
      <c r="D967" s="35">
        <f>+'[2]por cuent'!G967</f>
        <v>747974.4</v>
      </c>
      <c r="E967" s="35">
        <f>+'[2]por cuent'!H967</f>
        <v>747974.4</v>
      </c>
      <c r="F967" t="str">
        <f>+'[2]por cuent'!I967</f>
        <v>483</v>
      </c>
    </row>
    <row r="968" spans="1:6" x14ac:dyDescent="0.35">
      <c r="A968" t="str">
        <f>+'[2]por cuent'!A968</f>
        <v>ARS</v>
      </c>
      <c r="B968" t="str">
        <f>+'[2]por cuent'!B968</f>
        <v>483000281</v>
      </c>
      <c r="C968" t="str">
        <f>+'[2]por cuent'!C968</f>
        <v>TUR, LUCAS RICARDO</v>
      </c>
      <c r="D968" s="35">
        <f>+'[2]por cuent'!G968</f>
        <v>27430750.219999999</v>
      </c>
      <c r="E968" s="35">
        <f>+'[2]por cuent'!H968</f>
        <v>27430750.219999999</v>
      </c>
      <c r="F968" t="str">
        <f>+'[2]por cuent'!I968</f>
        <v>483</v>
      </c>
    </row>
    <row r="969" spans="1:6" x14ac:dyDescent="0.35">
      <c r="A969" t="str">
        <f>+'[2]por cuent'!A969</f>
        <v>ARS</v>
      </c>
      <c r="B969" t="str">
        <f>+'[2]por cuent'!B969</f>
        <v>483000286</v>
      </c>
      <c r="C969" t="str">
        <f>+'[2]por cuent'!C969</f>
        <v>GRAÑA, DAMIAN</v>
      </c>
      <c r="D969" s="35">
        <f>+'[2]por cuent'!G969</f>
        <v>103223601.08</v>
      </c>
      <c r="E969" s="35">
        <f>+'[2]por cuent'!H969</f>
        <v>103223601.08</v>
      </c>
      <c r="F969" t="str">
        <f>+'[2]por cuent'!I969</f>
        <v>483</v>
      </c>
    </row>
    <row r="970" spans="1:6" x14ac:dyDescent="0.35">
      <c r="A970" t="str">
        <f>+'[2]por cuent'!A970</f>
        <v>ARS</v>
      </c>
      <c r="B970" t="str">
        <f>+'[2]por cuent'!B970</f>
        <v>483000287</v>
      </c>
      <c r="C970" t="str">
        <f>+'[2]por cuent'!C970</f>
        <v>JUNTAS ILLINOIS S.A.</v>
      </c>
      <c r="D970" s="35">
        <f>+'[2]por cuent'!G970</f>
        <v>11911846.25</v>
      </c>
      <c r="E970" s="35">
        <f>+'[2]por cuent'!H970</f>
        <v>11911846.25</v>
      </c>
      <c r="F970" t="str">
        <f>+'[2]por cuent'!I970</f>
        <v>483</v>
      </c>
    </row>
    <row r="971" spans="1:6" x14ac:dyDescent="0.35">
      <c r="A971" t="str">
        <f>+'[2]por cuent'!A971</f>
        <v>ARS</v>
      </c>
      <c r="B971" t="str">
        <f>+'[2]por cuent'!B971</f>
        <v>483000294</v>
      </c>
      <c r="C971" t="str">
        <f>+'[2]por cuent'!C971</f>
        <v>LÓPEZ, ELENA BEATRIZ</v>
      </c>
      <c r="D971" s="35">
        <f>+'[2]por cuent'!G971</f>
        <v>133149.39000000001</v>
      </c>
      <c r="E971" s="35">
        <f>+'[2]por cuent'!H971</f>
        <v>133149.39000000001</v>
      </c>
      <c r="F971" t="str">
        <f>+'[2]por cuent'!I971</f>
        <v>483</v>
      </c>
    </row>
    <row r="972" spans="1:6" x14ac:dyDescent="0.35">
      <c r="A972" t="str">
        <f>+'[2]por cuent'!A972</f>
        <v>ARS</v>
      </c>
      <c r="B972" t="str">
        <f>+'[2]por cuent'!B972</f>
        <v>483000297</v>
      </c>
      <c r="C972" t="str">
        <f>+'[2]por cuent'!C972</f>
        <v>DE MATTIA, VANINA</v>
      </c>
      <c r="D972" s="35">
        <f>+'[2]por cuent'!G972</f>
        <v>3403311.4</v>
      </c>
      <c r="E972" s="35">
        <f>+'[2]por cuent'!H972</f>
        <v>3403311.4</v>
      </c>
      <c r="F972" t="str">
        <f>+'[2]por cuent'!I972</f>
        <v>483</v>
      </c>
    </row>
    <row r="973" spans="1:6" x14ac:dyDescent="0.35">
      <c r="A973" t="str">
        <f>+'[2]por cuent'!A973</f>
        <v>ARS</v>
      </c>
      <c r="B973" t="str">
        <f>+'[2]por cuent'!B973</f>
        <v>483000301</v>
      </c>
      <c r="C973" t="str">
        <f>+'[2]por cuent'!C973</f>
        <v>MOLINARI, OSCAR</v>
      </c>
      <c r="D973" s="35">
        <f>+'[2]por cuent'!G973</f>
        <v>4568133.45</v>
      </c>
      <c r="E973" s="35">
        <f>+'[2]por cuent'!H973</f>
        <v>4568133.45</v>
      </c>
      <c r="F973" t="str">
        <f>+'[2]por cuent'!I973</f>
        <v>483</v>
      </c>
    </row>
    <row r="974" spans="1:6" x14ac:dyDescent="0.35">
      <c r="A974" t="str">
        <f>+'[2]por cuent'!A974</f>
        <v>ARS</v>
      </c>
      <c r="B974" t="str">
        <f>+'[2]por cuent'!B974</f>
        <v>483000302</v>
      </c>
      <c r="C974" t="str">
        <f>+'[2]por cuent'!C974</f>
        <v>HY POWER HIDRAULICA S.A.</v>
      </c>
      <c r="D974" s="35">
        <f>+'[2]por cuent'!G974</f>
        <v>180786326.74000001</v>
      </c>
      <c r="E974" s="35">
        <f>+'[2]por cuent'!H974</f>
        <v>180786326.74000001</v>
      </c>
      <c r="F974" t="str">
        <f>+'[2]por cuent'!I974</f>
        <v>483</v>
      </c>
    </row>
    <row r="975" spans="1:6" x14ac:dyDescent="0.35">
      <c r="A975" t="str">
        <f>+'[2]por cuent'!A975</f>
        <v>ARS</v>
      </c>
      <c r="B975" t="str">
        <f>+'[2]por cuent'!B975</f>
        <v>483000309</v>
      </c>
      <c r="C975" t="str">
        <f>+'[2]por cuent'!C975</f>
        <v>CARABANTES, ANDRES ROMAN</v>
      </c>
      <c r="D975" s="35">
        <f>+'[2]por cuent'!G975</f>
        <v>4300026.5999999996</v>
      </c>
      <c r="E975" s="35">
        <f>+'[2]por cuent'!H975</f>
        <v>4300026.5999999996</v>
      </c>
      <c r="F975" t="str">
        <f>+'[2]por cuent'!I975</f>
        <v>483</v>
      </c>
    </row>
    <row r="976" spans="1:6" x14ac:dyDescent="0.35">
      <c r="A976" t="str">
        <f>+'[2]por cuent'!A976</f>
        <v>ARS</v>
      </c>
      <c r="B976" t="str">
        <f>+'[2]por cuent'!B976</f>
        <v>483000314</v>
      </c>
      <c r="C976" t="str">
        <f>+'[2]por cuent'!C976</f>
        <v>BUJAN, DIEGO ANDRES</v>
      </c>
      <c r="D976" s="35">
        <f>+'[2]por cuent'!G976</f>
        <v>496825</v>
      </c>
      <c r="E976" s="35">
        <f>+'[2]por cuent'!H976</f>
        <v>496825</v>
      </c>
      <c r="F976" t="str">
        <f>+'[2]por cuent'!I976</f>
        <v>483</v>
      </c>
    </row>
    <row r="977" spans="1:6" x14ac:dyDescent="0.35">
      <c r="A977" t="str">
        <f>+'[2]por cuent'!A977</f>
        <v>ARS</v>
      </c>
      <c r="B977" t="str">
        <f>+'[2]por cuent'!B977</f>
        <v>483000315</v>
      </c>
      <c r="C977" t="str">
        <f>+'[2]por cuent'!C977</f>
        <v>OBRING S.A.</v>
      </c>
      <c r="D977" s="35">
        <f>+'[2]por cuent'!G977</f>
        <v>1632265694.3</v>
      </c>
      <c r="E977" s="35">
        <f>+'[2]por cuent'!H977</f>
        <v>1632265694.3</v>
      </c>
      <c r="F977" t="str">
        <f>+'[2]por cuent'!I977</f>
        <v>483</v>
      </c>
    </row>
    <row r="978" spans="1:6" x14ac:dyDescent="0.35">
      <c r="A978" t="str">
        <f>+'[2]por cuent'!A978</f>
        <v>ARS</v>
      </c>
      <c r="B978" t="str">
        <f>+'[2]por cuent'!B978</f>
        <v>483000317</v>
      </c>
      <c r="C978" t="str">
        <f>+'[2]por cuent'!C978</f>
        <v>GAGLIARDO AGRÍCOLA GANADERA S.A.</v>
      </c>
      <c r="D978" s="35">
        <f>+'[2]por cuent'!G978</f>
        <v>759619.02</v>
      </c>
      <c r="E978" s="35">
        <f>+'[2]por cuent'!H978</f>
        <v>759619.02</v>
      </c>
      <c r="F978" t="str">
        <f>+'[2]por cuent'!I978</f>
        <v>483</v>
      </c>
    </row>
    <row r="979" spans="1:6" x14ac:dyDescent="0.35">
      <c r="A979" t="str">
        <f>+'[2]por cuent'!A979</f>
        <v>ARS</v>
      </c>
      <c r="B979" t="str">
        <f>+'[2]por cuent'!B979</f>
        <v>483000320</v>
      </c>
      <c r="C979" t="str">
        <f>+'[2]por cuent'!C979</f>
        <v>BISCAYART, TOMAS y GUILLERMO</v>
      </c>
      <c r="D979" s="35">
        <f>+'[2]por cuent'!G979</f>
        <v>116204475.43000001</v>
      </c>
      <c r="E979" s="35">
        <f>+'[2]por cuent'!H979</f>
        <v>116204475.43000001</v>
      </c>
      <c r="F979" t="str">
        <f>+'[2]por cuent'!I979</f>
        <v>483</v>
      </c>
    </row>
    <row r="980" spans="1:6" x14ac:dyDescent="0.35">
      <c r="A980" t="str">
        <f>+'[2]por cuent'!A980</f>
        <v>ARS</v>
      </c>
      <c r="B980" t="str">
        <f>+'[2]por cuent'!B980</f>
        <v>483000326</v>
      </c>
      <c r="C980" t="str">
        <f>+'[2]por cuent'!C980</f>
        <v>BASILICO, MATEO</v>
      </c>
      <c r="D980" s="35">
        <f>+'[2]por cuent'!G980</f>
        <v>10672671.91</v>
      </c>
      <c r="E980" s="35">
        <f>+'[2]por cuent'!H980</f>
        <v>10672671.91</v>
      </c>
      <c r="F980" t="str">
        <f>+'[2]por cuent'!I980</f>
        <v>483</v>
      </c>
    </row>
    <row r="981" spans="1:6" x14ac:dyDescent="0.35">
      <c r="A981" t="str">
        <f>+'[2]por cuent'!A981</f>
        <v>ARS</v>
      </c>
      <c r="B981" t="str">
        <f>+'[2]por cuent'!B981</f>
        <v>483000327</v>
      </c>
      <c r="C981" t="str">
        <f>+'[2]por cuent'!C981</f>
        <v>HERCORT HERRAMIENTAS SRL</v>
      </c>
      <c r="D981" s="35">
        <f>+'[2]por cuent'!G981</f>
        <v>30819387.16</v>
      </c>
      <c r="E981" s="35">
        <f>+'[2]por cuent'!H981</f>
        <v>30819387.16</v>
      </c>
      <c r="F981" t="str">
        <f>+'[2]por cuent'!I981</f>
        <v>483</v>
      </c>
    </row>
    <row r="982" spans="1:6" x14ac:dyDescent="0.35">
      <c r="A982" t="str">
        <f>+'[2]por cuent'!A982</f>
        <v>ARS</v>
      </c>
      <c r="B982" t="str">
        <f>+'[2]por cuent'!B982</f>
        <v>483000330</v>
      </c>
      <c r="C982" t="str">
        <f>+'[2]por cuent'!C982</f>
        <v>SEPULVEDA, DOMINGA NOEMI</v>
      </c>
      <c r="D982" s="35">
        <f>+'[2]por cuent'!G982</f>
        <v>107258462.5</v>
      </c>
      <c r="E982" s="35">
        <f>+'[2]por cuent'!H982</f>
        <v>107258462.5</v>
      </c>
      <c r="F982" t="str">
        <f>+'[2]por cuent'!I982</f>
        <v>483</v>
      </c>
    </row>
    <row r="983" spans="1:6" x14ac:dyDescent="0.35">
      <c r="A983" t="str">
        <f>+'[2]por cuent'!A983</f>
        <v>ARS</v>
      </c>
      <c r="B983" t="str">
        <f>+'[2]por cuent'!B983</f>
        <v>483000334</v>
      </c>
      <c r="C983" t="str">
        <f>+'[2]por cuent'!C983</f>
        <v>MUNINI, FRANCISCO</v>
      </c>
      <c r="D983" s="35">
        <f>+'[2]por cuent'!G983</f>
        <v>33319042.469999999</v>
      </c>
      <c r="E983" s="35">
        <f>+'[2]por cuent'!H983</f>
        <v>33319042.469999999</v>
      </c>
      <c r="F983" t="str">
        <f>+'[2]por cuent'!I983</f>
        <v>483</v>
      </c>
    </row>
    <row r="984" spans="1:6" x14ac:dyDescent="0.35">
      <c r="A984" t="str">
        <f>+'[2]por cuent'!A984</f>
        <v>ARS</v>
      </c>
      <c r="B984" t="str">
        <f>+'[2]por cuent'!B984</f>
        <v>483000342</v>
      </c>
      <c r="C984" t="str">
        <f>+'[2]por cuent'!C984</f>
        <v>IZAGUIRRE, PILAR</v>
      </c>
      <c r="D984" s="35">
        <f>+'[2]por cuent'!G984</f>
        <v>506496.18</v>
      </c>
      <c r="E984" s="35">
        <f>+'[2]por cuent'!H984</f>
        <v>506496.18</v>
      </c>
      <c r="F984" t="str">
        <f>+'[2]por cuent'!I984</f>
        <v>483</v>
      </c>
    </row>
    <row r="985" spans="1:6" x14ac:dyDescent="0.35">
      <c r="A985" t="str">
        <f>+'[2]por cuent'!A985</f>
        <v>ARS</v>
      </c>
      <c r="B985" t="str">
        <f>+'[2]por cuent'!B985</f>
        <v>483000345</v>
      </c>
      <c r="C985" t="str">
        <f>+'[2]por cuent'!C985</f>
        <v>CADENAS METALPLAS S.R.L.</v>
      </c>
      <c r="D985" s="35">
        <f>+'[2]por cuent'!G985</f>
        <v>213763993.94999999</v>
      </c>
      <c r="E985" s="35">
        <f>+'[2]por cuent'!H985</f>
        <v>213763993.94999999</v>
      </c>
      <c r="F985" t="str">
        <f>+'[2]por cuent'!I985</f>
        <v>483</v>
      </c>
    </row>
    <row r="986" spans="1:6" x14ac:dyDescent="0.35">
      <c r="A986" t="str">
        <f>+'[2]por cuent'!A986</f>
        <v>ARS</v>
      </c>
      <c r="B986" t="str">
        <f>+'[2]por cuent'!B986</f>
        <v>483000346</v>
      </c>
      <c r="C986" t="str">
        <f>+'[2]por cuent'!C986</f>
        <v>CIMINO, ALEJO AGUSTÍN</v>
      </c>
      <c r="D986" s="35">
        <f>+'[2]por cuent'!G986</f>
        <v>1765558.83</v>
      </c>
      <c r="E986" s="35">
        <f>+'[2]por cuent'!H986</f>
        <v>1765558.83</v>
      </c>
      <c r="F986" t="str">
        <f>+'[2]por cuent'!I986</f>
        <v>483</v>
      </c>
    </row>
    <row r="987" spans="1:6" x14ac:dyDescent="0.35">
      <c r="A987" t="str">
        <f>+'[2]por cuent'!A987</f>
        <v>ARS</v>
      </c>
      <c r="B987" t="str">
        <f>+'[2]por cuent'!B987</f>
        <v>483000347</v>
      </c>
      <c r="C987" t="str">
        <f>+'[2]por cuent'!C987</f>
        <v>YBAÑEZ CARRARA, IGNACIO MARTÍN</v>
      </c>
      <c r="D987" s="35">
        <f>+'[2]por cuent'!G987</f>
        <v>2155238.96</v>
      </c>
      <c r="E987" s="35">
        <f>+'[2]por cuent'!H987</f>
        <v>2155238.96</v>
      </c>
      <c r="F987" t="str">
        <f>+'[2]por cuent'!I987</f>
        <v>483</v>
      </c>
    </row>
    <row r="988" spans="1:6" x14ac:dyDescent="0.35">
      <c r="A988" t="str">
        <f>+'[2]por cuent'!A988</f>
        <v>ARS</v>
      </c>
      <c r="B988" t="str">
        <f>+'[2]por cuent'!B988</f>
        <v>483000348</v>
      </c>
      <c r="C988" t="str">
        <f>+'[2]por cuent'!C988</f>
        <v>DI BENE, VANESA</v>
      </c>
      <c r="D988" s="35">
        <f>+'[2]por cuent'!G988</f>
        <v>1500495.2</v>
      </c>
      <c r="E988" s="35">
        <f>+'[2]por cuent'!H988</f>
        <v>1500495.2</v>
      </c>
      <c r="F988" t="str">
        <f>+'[2]por cuent'!I988</f>
        <v>483</v>
      </c>
    </row>
    <row r="989" spans="1:6" x14ac:dyDescent="0.35">
      <c r="A989" t="str">
        <f>+'[2]por cuent'!A989</f>
        <v>ARS</v>
      </c>
      <c r="B989" t="str">
        <f>+'[2]por cuent'!B989</f>
        <v>483000355</v>
      </c>
      <c r="C989" t="str">
        <f>+'[2]por cuent'!C989</f>
        <v>RIVIERA PALACE S.A.</v>
      </c>
      <c r="D989" s="35">
        <f>+'[2]por cuent'!G989</f>
        <v>251952237.66999999</v>
      </c>
      <c r="E989" s="35">
        <f>+'[2]por cuent'!H989</f>
        <v>251952237.66999999</v>
      </c>
      <c r="F989" t="str">
        <f>+'[2]por cuent'!I989</f>
        <v>483</v>
      </c>
    </row>
    <row r="990" spans="1:6" x14ac:dyDescent="0.35">
      <c r="A990" t="str">
        <f>+'[2]por cuent'!A990</f>
        <v>ARS</v>
      </c>
      <c r="B990" t="str">
        <f>+'[2]por cuent'!B990</f>
        <v>483000358</v>
      </c>
      <c r="C990" t="str">
        <f>+'[2]por cuent'!C990</f>
        <v>COMINELLI, GERMÁN HECTOR</v>
      </c>
      <c r="D990" s="35">
        <f>+'[2]por cuent'!G990</f>
        <v>10480.4</v>
      </c>
      <c r="E990" s="35">
        <f>+'[2]por cuent'!H990</f>
        <v>10480.4</v>
      </c>
      <c r="F990" t="str">
        <f>+'[2]por cuent'!I990</f>
        <v>483</v>
      </c>
    </row>
    <row r="991" spans="1:6" x14ac:dyDescent="0.35">
      <c r="A991" t="str">
        <f>+'[2]por cuent'!A991</f>
        <v>ARS</v>
      </c>
      <c r="B991" t="str">
        <f>+'[2]por cuent'!B991</f>
        <v>483000360</v>
      </c>
      <c r="C991" t="str">
        <f>+'[2]por cuent'!C991</f>
        <v>RODRIGUEZ GUARAGLIA, JULIA</v>
      </c>
      <c r="D991" s="35">
        <f>+'[2]por cuent'!G991</f>
        <v>296508.40000000002</v>
      </c>
      <c r="E991" s="35">
        <f>+'[2]por cuent'!H991</f>
        <v>296508.40000000002</v>
      </c>
      <c r="F991" t="str">
        <f>+'[2]por cuent'!I991</f>
        <v>483</v>
      </c>
    </row>
    <row r="992" spans="1:6" x14ac:dyDescent="0.35">
      <c r="A992" t="str">
        <f>+'[2]por cuent'!A992</f>
        <v>ARS</v>
      </c>
      <c r="B992" t="str">
        <f>+'[2]por cuent'!B992</f>
        <v>483000365</v>
      </c>
      <c r="C992" t="str">
        <f>+'[2]por cuent'!C992</f>
        <v>IZAGUIRRE, LUIS</v>
      </c>
      <c r="D992" s="35">
        <f>+'[2]por cuent'!G992</f>
        <v>2074578.58</v>
      </c>
      <c r="E992" s="35">
        <f>+'[2]por cuent'!H992</f>
        <v>2074578.58</v>
      </c>
      <c r="F992" t="str">
        <f>+'[2]por cuent'!I992</f>
        <v>483</v>
      </c>
    </row>
    <row r="993" spans="1:6" x14ac:dyDescent="0.35">
      <c r="A993" t="str">
        <f>+'[2]por cuent'!A993</f>
        <v>ARS</v>
      </c>
      <c r="B993" t="str">
        <f>+'[2]por cuent'!B993</f>
        <v>483000366</v>
      </c>
      <c r="C993" t="str">
        <f>+'[2]por cuent'!C993</f>
        <v>CAVAR SACI</v>
      </c>
      <c r="D993" s="35">
        <f>+'[2]por cuent'!G993</f>
        <v>245118</v>
      </c>
      <c r="E993" s="35">
        <f>+'[2]por cuent'!H993</f>
        <v>245118</v>
      </c>
      <c r="F993" t="str">
        <f>+'[2]por cuent'!I993</f>
        <v>483</v>
      </c>
    </row>
    <row r="994" spans="1:6" x14ac:dyDescent="0.35">
      <c r="A994" t="str">
        <f>+'[2]por cuent'!A994</f>
        <v>ARS</v>
      </c>
      <c r="B994" t="str">
        <f>+'[2]por cuent'!B994</f>
        <v>483000367</v>
      </c>
      <c r="C994" t="str">
        <f>+'[2]por cuent'!C994</f>
        <v>PEREZ, JONATAN PABLO</v>
      </c>
      <c r="D994" s="35">
        <f>+'[2]por cuent'!G994</f>
        <v>6226049</v>
      </c>
      <c r="E994" s="35">
        <f>+'[2]por cuent'!H994</f>
        <v>6226049</v>
      </c>
      <c r="F994" t="str">
        <f>+'[2]por cuent'!I994</f>
        <v>483</v>
      </c>
    </row>
    <row r="995" spans="1:6" x14ac:dyDescent="0.35">
      <c r="A995" t="str">
        <f>+'[2]por cuent'!A995</f>
        <v>ARS</v>
      </c>
      <c r="B995" t="str">
        <f>+'[2]por cuent'!B995</f>
        <v>483000369</v>
      </c>
      <c r="C995" t="str">
        <f>+'[2]por cuent'!C995</f>
        <v>PATIÑO, HERNÁN LIONEL</v>
      </c>
      <c r="D995" s="35">
        <f>+'[2]por cuent'!G995</f>
        <v>20743613.100000001</v>
      </c>
      <c r="E995" s="35">
        <f>+'[2]por cuent'!H995</f>
        <v>20743613.100000001</v>
      </c>
      <c r="F995" t="str">
        <f>+'[2]por cuent'!I995</f>
        <v>483</v>
      </c>
    </row>
    <row r="996" spans="1:6" x14ac:dyDescent="0.35">
      <c r="A996" t="str">
        <f>+'[2]por cuent'!A996</f>
        <v>ARS</v>
      </c>
      <c r="B996" t="str">
        <f>+'[2]por cuent'!B996</f>
        <v>483000370</v>
      </c>
      <c r="C996" t="str">
        <f>+'[2]por cuent'!C996</f>
        <v>FILIPPINI, JOSE LUIS</v>
      </c>
      <c r="D996" s="35">
        <f>+'[2]por cuent'!G996</f>
        <v>32800584.899999999</v>
      </c>
      <c r="E996" s="35">
        <f>+'[2]por cuent'!H996</f>
        <v>32800584.899999999</v>
      </c>
      <c r="F996" t="str">
        <f>+'[2]por cuent'!I996</f>
        <v>483</v>
      </c>
    </row>
    <row r="997" spans="1:6" x14ac:dyDescent="0.35">
      <c r="A997" t="str">
        <f>+'[2]por cuent'!A997</f>
        <v>ARS</v>
      </c>
      <c r="B997" t="str">
        <f>+'[2]por cuent'!B997</f>
        <v>483000372</v>
      </c>
      <c r="C997" t="str">
        <f>+'[2]por cuent'!C997</f>
        <v xml:space="preserve">YBAÑEZ MARTÍN </v>
      </c>
      <c r="D997" s="35">
        <f>+'[2]por cuent'!G997</f>
        <v>9794365.0800000001</v>
      </c>
      <c r="E997" s="35">
        <f>+'[2]por cuent'!H997</f>
        <v>9794365.0800000001</v>
      </c>
      <c r="F997" t="str">
        <f>+'[2]por cuent'!I997</f>
        <v>483</v>
      </c>
    </row>
    <row r="998" spans="1:6" x14ac:dyDescent="0.35">
      <c r="A998" t="str">
        <f>+'[2]por cuent'!A998</f>
        <v>ARS</v>
      </c>
      <c r="B998" t="str">
        <f>+'[2]por cuent'!B998</f>
        <v>483000376</v>
      </c>
      <c r="C998" t="str">
        <f>+'[2]por cuent'!C998</f>
        <v>CHAVARRI, JUAN</v>
      </c>
      <c r="D998" s="35">
        <f>+'[2]por cuent'!G998</f>
        <v>596120</v>
      </c>
      <c r="E998" s="35">
        <f>+'[2]por cuent'!H998</f>
        <v>596120</v>
      </c>
      <c r="F998" t="str">
        <f>+'[2]por cuent'!I998</f>
        <v>483</v>
      </c>
    </row>
    <row r="999" spans="1:6" x14ac:dyDescent="0.35">
      <c r="A999" t="str">
        <f>+'[2]por cuent'!A999</f>
        <v>ARS</v>
      </c>
      <c r="B999" t="str">
        <f>+'[2]por cuent'!B999</f>
        <v>483000380</v>
      </c>
      <c r="C999" t="str">
        <f>+'[2]por cuent'!C999</f>
        <v>TUR, EZEQUIEL</v>
      </c>
      <c r="D999" s="35">
        <f>+'[2]por cuent'!G999</f>
        <v>17073951.600000001</v>
      </c>
      <c r="E999" s="35">
        <f>+'[2]por cuent'!H999</f>
        <v>17073951.600000001</v>
      </c>
      <c r="F999" t="str">
        <f>+'[2]por cuent'!I999</f>
        <v>483</v>
      </c>
    </row>
    <row r="1000" spans="1:6" x14ac:dyDescent="0.35">
      <c r="A1000" t="str">
        <f>+'[2]por cuent'!A1000</f>
        <v>ARS</v>
      </c>
      <c r="B1000" t="str">
        <f>+'[2]por cuent'!B1000</f>
        <v>483000383</v>
      </c>
      <c r="C1000" t="str">
        <f>+'[2]por cuent'!C1000</f>
        <v>SETTECASE, MARÍA BELÉN</v>
      </c>
      <c r="D1000" s="35">
        <f>+'[2]por cuent'!G1000</f>
        <v>15275623.34</v>
      </c>
      <c r="E1000" s="35">
        <f>+'[2]por cuent'!H1000</f>
        <v>15275623.34</v>
      </c>
      <c r="F1000" t="str">
        <f>+'[2]por cuent'!I1000</f>
        <v>483</v>
      </c>
    </row>
    <row r="1001" spans="1:6" x14ac:dyDescent="0.35">
      <c r="A1001" t="str">
        <f>+'[2]por cuent'!A1001</f>
        <v>ARS</v>
      </c>
      <c r="B1001" t="str">
        <f>+'[2]por cuent'!B1001</f>
        <v>483000387</v>
      </c>
      <c r="C1001" t="str">
        <f>+'[2]por cuent'!C1001</f>
        <v>LOPEZ CANDIOTI, JUAN CARLOS</v>
      </c>
      <c r="D1001" s="35">
        <f>+'[2]por cuent'!G1001</f>
        <v>29593841.039999999</v>
      </c>
      <c r="E1001" s="35">
        <f>+'[2]por cuent'!H1001</f>
        <v>29593841.039999999</v>
      </c>
      <c r="F1001" t="str">
        <f>+'[2]por cuent'!I1001</f>
        <v>483</v>
      </c>
    </row>
    <row r="1002" spans="1:6" x14ac:dyDescent="0.35">
      <c r="A1002" t="str">
        <f>+'[2]por cuent'!A1002</f>
        <v>ARS</v>
      </c>
      <c r="B1002" t="str">
        <f>+'[2]por cuent'!B1002</f>
        <v>483000389</v>
      </c>
      <c r="C1002" t="str">
        <f>+'[2]por cuent'!C1002</f>
        <v>COEQUIPER SRL</v>
      </c>
      <c r="D1002" s="35">
        <f>+'[2]por cuent'!G1002</f>
        <v>913616</v>
      </c>
      <c r="E1002" s="35">
        <f>+'[2]por cuent'!H1002</f>
        <v>913616</v>
      </c>
      <c r="F1002" t="str">
        <f>+'[2]por cuent'!I1002</f>
        <v>483</v>
      </c>
    </row>
    <row r="1003" spans="1:6" x14ac:dyDescent="0.35">
      <c r="A1003" t="str">
        <f>+'[2]por cuent'!A1003</f>
        <v>ARS</v>
      </c>
      <c r="B1003" t="str">
        <f>+'[2]por cuent'!B1003</f>
        <v>483000395</v>
      </c>
      <c r="C1003" t="str">
        <f>+'[2]por cuent'!C1003</f>
        <v>CARROCERIAS SALDIVIA S.A.</v>
      </c>
      <c r="D1003" s="35">
        <f>+'[2]por cuent'!G1003</f>
        <v>168678895.12</v>
      </c>
      <c r="E1003" s="35">
        <f>+'[2]por cuent'!H1003</f>
        <v>168678895.12</v>
      </c>
      <c r="F1003" t="str">
        <f>+'[2]por cuent'!I1003</f>
        <v>483</v>
      </c>
    </row>
    <row r="1004" spans="1:6" x14ac:dyDescent="0.35">
      <c r="A1004" t="str">
        <f>+'[2]por cuent'!A1004</f>
        <v>ARS</v>
      </c>
      <c r="B1004" t="str">
        <f>+'[2]por cuent'!B1004</f>
        <v>483000402</v>
      </c>
      <c r="C1004" t="str">
        <f>+'[2]por cuent'!C1004</f>
        <v>WILLINER, RODOLFO JOSE</v>
      </c>
      <c r="D1004" s="35">
        <f>+'[2]por cuent'!G1004</f>
        <v>124376724.68000001</v>
      </c>
      <c r="E1004" s="35">
        <f>+'[2]por cuent'!H1004</f>
        <v>124376724.68000001</v>
      </c>
      <c r="F1004" t="str">
        <f>+'[2]por cuent'!I1004</f>
        <v>483</v>
      </c>
    </row>
    <row r="1005" spans="1:6" x14ac:dyDescent="0.35">
      <c r="A1005" t="str">
        <f>+'[2]por cuent'!A1005</f>
        <v>ARS</v>
      </c>
      <c r="B1005" t="str">
        <f>+'[2]por cuent'!B1005</f>
        <v>483000403</v>
      </c>
      <c r="C1005" t="str">
        <f>+'[2]por cuent'!C1005</f>
        <v>FRAGUEYRO, MARIA ELENA</v>
      </c>
      <c r="D1005" s="35">
        <f>+'[2]por cuent'!G1005</f>
        <v>5042992.1100000003</v>
      </c>
      <c r="E1005" s="35">
        <f>+'[2]por cuent'!H1005</f>
        <v>5042992.1100000003</v>
      </c>
      <c r="F1005" t="str">
        <f>+'[2]por cuent'!I1005</f>
        <v>483</v>
      </c>
    </row>
    <row r="1006" spans="1:6" x14ac:dyDescent="0.35">
      <c r="A1006" t="str">
        <f>+'[2]por cuent'!A1006</f>
        <v>ARS</v>
      </c>
      <c r="B1006" t="str">
        <f>+'[2]por cuent'!B1006</f>
        <v>483000406</v>
      </c>
      <c r="C1006" t="str">
        <f>+'[2]por cuent'!C1006</f>
        <v>SALAS, FERNANDO MAXIMILIANO</v>
      </c>
      <c r="D1006" s="35">
        <f>+'[2]por cuent'!G1006</f>
        <v>32656668.899999999</v>
      </c>
      <c r="E1006" s="35">
        <f>+'[2]por cuent'!H1006</f>
        <v>32656668.899999999</v>
      </c>
      <c r="F1006" t="str">
        <f>+'[2]por cuent'!I1006</f>
        <v>483</v>
      </c>
    </row>
    <row r="1007" spans="1:6" x14ac:dyDescent="0.35">
      <c r="A1007" t="str">
        <f>+'[2]por cuent'!A1007</f>
        <v>ARS</v>
      </c>
      <c r="B1007" t="str">
        <f>+'[2]por cuent'!B1007</f>
        <v>483000407</v>
      </c>
      <c r="C1007" t="str">
        <f>+'[2]por cuent'!C1007</f>
        <v>MONTENEGRO ESPASANDIN, MARIA LUCIA</v>
      </c>
      <c r="D1007" s="35">
        <f>+'[2]por cuent'!G1007</f>
        <v>5564917</v>
      </c>
      <c r="E1007" s="35">
        <f>+'[2]por cuent'!H1007</f>
        <v>5564917</v>
      </c>
      <c r="F1007" t="str">
        <f>+'[2]por cuent'!I1007</f>
        <v>483</v>
      </c>
    </row>
    <row r="1008" spans="1:6" x14ac:dyDescent="0.35">
      <c r="A1008" t="str">
        <f>+'[2]por cuent'!A1008</f>
        <v>ARS</v>
      </c>
      <c r="B1008" t="str">
        <f>+'[2]por cuent'!B1008</f>
        <v>483000408</v>
      </c>
      <c r="C1008" t="str">
        <f>+'[2]por cuent'!C1008</f>
        <v>LÓPEZ, ELENA BEATRIZ</v>
      </c>
      <c r="D1008" s="35">
        <f>+'[2]por cuent'!G1008</f>
        <v>44922364.770000003</v>
      </c>
      <c r="E1008" s="35">
        <f>+'[2]por cuent'!H1008</f>
        <v>44922364.770000003</v>
      </c>
      <c r="F1008" t="str">
        <f>+'[2]por cuent'!I1008</f>
        <v>483</v>
      </c>
    </row>
    <row r="1009" spans="1:6" x14ac:dyDescent="0.35">
      <c r="A1009" t="str">
        <f>+'[2]por cuent'!A1009</f>
        <v>ARS</v>
      </c>
      <c r="B1009" t="str">
        <f>+'[2]por cuent'!B1009</f>
        <v>483000409</v>
      </c>
      <c r="C1009" t="str">
        <f>+'[2]por cuent'!C1009</f>
        <v>CHAVARRI, IGNACIO</v>
      </c>
      <c r="D1009" s="35">
        <f>+'[2]por cuent'!G1009</f>
        <v>9411336.3599999994</v>
      </c>
      <c r="E1009" s="35">
        <f>+'[2]por cuent'!H1009</f>
        <v>9411336.3599999994</v>
      </c>
      <c r="F1009" t="str">
        <f>+'[2]por cuent'!I1009</f>
        <v>483</v>
      </c>
    </row>
    <row r="1010" spans="1:6" x14ac:dyDescent="0.35">
      <c r="A1010" t="str">
        <f>+'[2]por cuent'!A1010</f>
        <v>ARS</v>
      </c>
      <c r="B1010" t="str">
        <f>+'[2]por cuent'!B1010</f>
        <v>483000412</v>
      </c>
      <c r="C1010" t="str">
        <f>+'[2]por cuent'!C1010</f>
        <v>RUBINICH, LILIANA JORGELINA</v>
      </c>
      <c r="D1010" s="35">
        <f>+'[2]por cuent'!G1010</f>
        <v>4813775.4800000004</v>
      </c>
      <c r="E1010" s="35">
        <f>+'[2]por cuent'!H1010</f>
        <v>4813775.4800000004</v>
      </c>
      <c r="F1010" t="str">
        <f>+'[2]por cuent'!I1010</f>
        <v>483</v>
      </c>
    </row>
    <row r="1011" spans="1:6" x14ac:dyDescent="0.35">
      <c r="A1011" t="str">
        <f>+'[2]por cuent'!A1011</f>
        <v>ARS</v>
      </c>
      <c r="B1011" t="str">
        <f>+'[2]por cuent'!B1011</f>
        <v>483000419</v>
      </c>
      <c r="C1011" t="str">
        <f>+'[2]por cuent'!C1011</f>
        <v>MARTINEZ, MIGUEL GERARDO</v>
      </c>
      <c r="D1011" s="35">
        <f>+'[2]por cuent'!G1011</f>
        <v>6102908.5300000003</v>
      </c>
      <c r="E1011" s="35">
        <f>+'[2]por cuent'!H1011</f>
        <v>6102908.5300000003</v>
      </c>
      <c r="F1011" t="str">
        <f>+'[2]por cuent'!I1011</f>
        <v>483</v>
      </c>
    </row>
    <row r="1012" spans="1:6" x14ac:dyDescent="0.35">
      <c r="A1012" t="str">
        <f>+'[2]por cuent'!A1012</f>
        <v>ARS</v>
      </c>
      <c r="B1012" t="str">
        <f>+'[2]por cuent'!B1012</f>
        <v>483000422</v>
      </c>
      <c r="C1012" t="str">
        <f>+'[2]por cuent'!C1012</f>
        <v>COMERCIALIZADORA DEL NORDESTE SRL</v>
      </c>
      <c r="D1012" s="35">
        <f>+'[2]por cuent'!G1012</f>
        <v>8857773.6500000004</v>
      </c>
      <c r="E1012" s="35">
        <f>+'[2]por cuent'!H1012</f>
        <v>8857773.6500000004</v>
      </c>
      <c r="F1012" t="str">
        <f>+'[2]por cuent'!I1012</f>
        <v>483</v>
      </c>
    </row>
    <row r="1013" spans="1:6" x14ac:dyDescent="0.35">
      <c r="A1013" t="str">
        <f>+'[2]por cuent'!A1013</f>
        <v>ARS</v>
      </c>
      <c r="B1013" t="str">
        <f>+'[2]por cuent'!B1013</f>
        <v>483000424</v>
      </c>
      <c r="C1013" t="str">
        <f>+'[2]por cuent'!C1013</f>
        <v>MOVIL GROUP S.R.L.</v>
      </c>
      <c r="D1013" s="35">
        <f>+'[2]por cuent'!G1013</f>
        <v>89778616.920000002</v>
      </c>
      <c r="E1013" s="35">
        <f>+'[2]por cuent'!H1013</f>
        <v>89778616.920000002</v>
      </c>
      <c r="F1013" t="str">
        <f>+'[2]por cuent'!I1013</f>
        <v>483</v>
      </c>
    </row>
    <row r="1014" spans="1:6" x14ac:dyDescent="0.35">
      <c r="A1014" t="str">
        <f>+'[2]por cuent'!A1014</f>
        <v>ARS</v>
      </c>
      <c r="B1014" t="str">
        <f>+'[2]por cuent'!B1014</f>
        <v>483000426</v>
      </c>
      <c r="C1014" t="str">
        <f>+'[2]por cuent'!C1014</f>
        <v>TONELLI, MARIA PAMELA</v>
      </c>
      <c r="D1014" s="35">
        <f>+'[2]por cuent'!G1014</f>
        <v>24306628.609999999</v>
      </c>
      <c r="E1014" s="35">
        <f>+'[2]por cuent'!H1014</f>
        <v>24306628.609999999</v>
      </c>
      <c r="F1014" t="str">
        <f>+'[2]por cuent'!I1014</f>
        <v>483</v>
      </c>
    </row>
    <row r="1015" spans="1:6" x14ac:dyDescent="0.35">
      <c r="A1015" t="str">
        <f>+'[2]por cuent'!A1015</f>
        <v>ARS</v>
      </c>
      <c r="B1015" t="str">
        <f>+'[2]por cuent'!B1015</f>
        <v>483000427</v>
      </c>
      <c r="C1015" t="str">
        <f>+'[2]por cuent'!C1015</f>
        <v>MUNINI, PATRICIA MONICA.</v>
      </c>
      <c r="D1015" s="35">
        <f>+'[2]por cuent'!G1015</f>
        <v>174797.03</v>
      </c>
      <c r="E1015" s="35">
        <f>+'[2]por cuent'!H1015</f>
        <v>174797.03</v>
      </c>
      <c r="F1015" t="str">
        <f>+'[2]por cuent'!I1015</f>
        <v>483</v>
      </c>
    </row>
    <row r="1016" spans="1:6" x14ac:dyDescent="0.35">
      <c r="A1016" t="str">
        <f>+'[2]por cuent'!A1016</f>
        <v>ARS</v>
      </c>
      <c r="B1016" t="str">
        <f>+'[2]por cuent'!B1016</f>
        <v>483000429</v>
      </c>
      <c r="C1016" t="str">
        <f>+'[2]por cuent'!C1016</f>
        <v>Di Doménica, Gonzalo Luciano</v>
      </c>
      <c r="D1016" s="35">
        <f>+'[2]por cuent'!G1016</f>
        <v>38095308.369999997</v>
      </c>
      <c r="E1016" s="35">
        <f>+'[2]por cuent'!H1016</f>
        <v>38095308.369999997</v>
      </c>
      <c r="F1016" t="str">
        <f>+'[2]por cuent'!I1016</f>
        <v>483</v>
      </c>
    </row>
    <row r="1017" spans="1:6" x14ac:dyDescent="0.35">
      <c r="A1017" t="str">
        <f>+'[2]por cuent'!A1017</f>
        <v>ARS</v>
      </c>
      <c r="B1017" t="str">
        <f>+'[2]por cuent'!B1017</f>
        <v>483000431</v>
      </c>
      <c r="C1017" t="str">
        <f>+'[2]por cuent'!C1017</f>
        <v>YBAÑEZ PABLO y GHIDINELLI CAMILA</v>
      </c>
      <c r="D1017" s="35">
        <f>+'[2]por cuent'!G1017</f>
        <v>3996415.28</v>
      </c>
      <c r="E1017" s="35">
        <f>+'[2]por cuent'!H1017</f>
        <v>3996415.28</v>
      </c>
      <c r="F1017" t="str">
        <f>+'[2]por cuent'!I1017</f>
        <v>483</v>
      </c>
    </row>
    <row r="1018" spans="1:6" x14ac:dyDescent="0.35">
      <c r="A1018" t="str">
        <f>+'[2]por cuent'!A1018</f>
        <v>ARS</v>
      </c>
      <c r="B1018" t="str">
        <f>+'[2]por cuent'!B1018</f>
        <v>483000432</v>
      </c>
      <c r="C1018" t="str">
        <f>+'[2]por cuent'!C1018</f>
        <v>MACRO INTELL S.A.</v>
      </c>
      <c r="D1018" s="35">
        <f>+'[2]por cuent'!G1018</f>
        <v>30100495.719999999</v>
      </c>
      <c r="E1018" s="35">
        <f>+'[2]por cuent'!H1018</f>
        <v>30100495.719999999</v>
      </c>
      <c r="F1018" t="str">
        <f>+'[2]por cuent'!I1018</f>
        <v>483</v>
      </c>
    </row>
    <row r="1019" spans="1:6" x14ac:dyDescent="0.35">
      <c r="A1019" t="str">
        <f>+'[2]por cuent'!A1019</f>
        <v>ARS</v>
      </c>
      <c r="B1019" t="str">
        <f>+'[2]por cuent'!B1019</f>
        <v>483000436</v>
      </c>
      <c r="C1019" t="str">
        <f>+'[2]por cuent'!C1019</f>
        <v>ANGEL Y FRANCISCO FONTANET SRL</v>
      </c>
      <c r="D1019" s="35">
        <f>+'[2]por cuent'!G1019</f>
        <v>425451081.23000002</v>
      </c>
      <c r="E1019" s="35">
        <f>+'[2]por cuent'!H1019</f>
        <v>425451081.23000002</v>
      </c>
      <c r="F1019" t="str">
        <f>+'[2]por cuent'!I1019</f>
        <v>483</v>
      </c>
    </row>
    <row r="1020" spans="1:6" x14ac:dyDescent="0.35">
      <c r="A1020" t="str">
        <f>+'[2]por cuent'!A1020</f>
        <v>ARS</v>
      </c>
      <c r="B1020" t="str">
        <f>+'[2]por cuent'!B1020</f>
        <v>483000444</v>
      </c>
      <c r="C1020" t="str">
        <f>+'[2]por cuent'!C1020</f>
        <v>VEROLO, DIEGO DAVID</v>
      </c>
      <c r="D1020" s="35">
        <f>+'[2]por cuent'!G1020</f>
        <v>160281355.77000001</v>
      </c>
      <c r="E1020" s="35">
        <f>+'[2]por cuent'!H1020</f>
        <v>160281355.77000001</v>
      </c>
      <c r="F1020" t="str">
        <f>+'[2]por cuent'!I1020</f>
        <v>483</v>
      </c>
    </row>
    <row r="1021" spans="1:6" x14ac:dyDescent="0.35">
      <c r="A1021" t="str">
        <f>+'[2]por cuent'!A1021</f>
        <v>ARS</v>
      </c>
      <c r="B1021" t="str">
        <f>+'[2]por cuent'!B1021</f>
        <v>483005001</v>
      </c>
      <c r="C1021" t="str">
        <f>+'[2]por cuent'!C1021</f>
        <v>[C.E.R.A.] SANCHEZ, DIEGO ALBERTO</v>
      </c>
      <c r="D1021" s="35">
        <f>+'[2]por cuent'!G1021</f>
        <v>20957.3</v>
      </c>
      <c r="E1021" s="35">
        <f>+'[2]por cuent'!H1021</f>
        <v>20957.3</v>
      </c>
      <c r="F1021" t="str">
        <f>+'[2]por cuent'!I1021</f>
        <v>483</v>
      </c>
    </row>
    <row r="1022" spans="1:6" x14ac:dyDescent="0.35">
      <c r="A1022" t="str">
        <f>+'[2]por cuent'!A1022</f>
        <v>ARS</v>
      </c>
      <c r="B1022" t="str">
        <f>+'[2]por cuent'!B1022</f>
        <v>483005003</v>
      </c>
      <c r="C1022" t="str">
        <f>+'[2]por cuent'!C1022</f>
        <v>[C.E.R.A.] ACERMA S. A.</v>
      </c>
      <c r="D1022" s="35">
        <f>+'[2]por cuent'!G1022</f>
        <v>645217021.45000005</v>
      </c>
      <c r="E1022" s="35">
        <f>+'[2]por cuent'!H1022</f>
        <v>645217021.45000005</v>
      </c>
      <c r="F1022" t="str">
        <f>+'[2]por cuent'!I1022</f>
        <v>483</v>
      </c>
    </row>
    <row r="1023" spans="1:6" x14ac:dyDescent="0.35">
      <c r="A1023" t="str">
        <f>+'[2]por cuent'!A1023</f>
        <v>ARS</v>
      </c>
      <c r="B1023" t="str">
        <f>+'[2]por cuent'!B1023</f>
        <v>483005004</v>
      </c>
      <c r="C1023" t="str">
        <f>+'[2]por cuent'!C1023</f>
        <v>[C.E.R.A.] MENARA CORRALON S.A.</v>
      </c>
      <c r="D1023" s="35">
        <f>+'[2]por cuent'!G1023</f>
        <v>236269410.50999999</v>
      </c>
      <c r="E1023" s="35">
        <f>+'[2]por cuent'!H1023</f>
        <v>236269410.50999999</v>
      </c>
      <c r="F1023" t="str">
        <f>+'[2]por cuent'!I1023</f>
        <v>483</v>
      </c>
    </row>
    <row r="1024" spans="1:6" x14ac:dyDescent="0.35">
      <c r="A1024" t="str">
        <f>+'[2]por cuent'!A1024</f>
        <v>ARS</v>
      </c>
      <c r="B1024" t="str">
        <f>+'[2]por cuent'!B1024</f>
        <v>483005009</v>
      </c>
      <c r="C1024" t="str">
        <f>+'[2]por cuent'!C1024</f>
        <v>[C.E.R.A.] ELVIO YBAÑEZ S.R.L.</v>
      </c>
      <c r="D1024" s="35">
        <f>+'[2]por cuent'!G1024</f>
        <v>20251.5</v>
      </c>
      <c r="E1024" s="35">
        <f>+'[2]por cuent'!H1024</f>
        <v>20251.5</v>
      </c>
      <c r="F1024" t="str">
        <f>+'[2]por cuent'!I1024</f>
        <v>483</v>
      </c>
    </row>
    <row r="1025" spans="1:6" x14ac:dyDescent="0.35">
      <c r="A1025" t="str">
        <f>+'[2]por cuent'!A1025</f>
        <v>ARS</v>
      </c>
      <c r="B1025" t="str">
        <f>+'[2]por cuent'!B1025</f>
        <v>486000006</v>
      </c>
      <c r="C1025" t="str">
        <f>+'[2]por cuent'!C1025</f>
        <v>Unigestion S.A.</v>
      </c>
      <c r="D1025" s="35">
        <f>+'[2]por cuent'!G1025</f>
        <v>1209629284.6300001</v>
      </c>
      <c r="E1025" s="35">
        <f>+'[2]por cuent'!H1025</f>
        <v>1209629284.6300001</v>
      </c>
      <c r="F1025" t="str">
        <f>+'[2]por cuent'!I1025</f>
        <v>486</v>
      </c>
    </row>
    <row r="1026" spans="1:6" x14ac:dyDescent="0.35">
      <c r="A1026" t="str">
        <f>+'[2]por cuent'!A1026</f>
        <v>ARS</v>
      </c>
      <c r="B1026" t="str">
        <f>+'[2]por cuent'!B1026</f>
        <v>486000008</v>
      </c>
      <c r="C1026" t="str">
        <f>+'[2]por cuent'!C1026</f>
        <v>Achaval Rodriguez, Marcos Jose</v>
      </c>
      <c r="D1026" s="35">
        <f>+'[2]por cuent'!G1026</f>
        <v>771421414</v>
      </c>
      <c r="E1026" s="35">
        <f>+'[2]por cuent'!H1026</f>
        <v>771421414</v>
      </c>
      <c r="F1026" t="str">
        <f>+'[2]por cuent'!I1026</f>
        <v>486</v>
      </c>
    </row>
    <row r="1027" spans="1:6" x14ac:dyDescent="0.35">
      <c r="A1027" t="str">
        <f>+'[2]por cuent'!A1027</f>
        <v>ARS</v>
      </c>
      <c r="B1027" t="str">
        <f>+'[2]por cuent'!B1027</f>
        <v>486000009</v>
      </c>
      <c r="C1027" t="str">
        <f>+'[2]por cuent'!C1027</f>
        <v>Chevallier Boutell, Joaquin o Brochard, Mariana</v>
      </c>
      <c r="D1027" s="35">
        <f>+'[2]por cuent'!G1027</f>
        <v>6709383676.8999996</v>
      </c>
      <c r="E1027" s="35">
        <f>+'[2]por cuent'!H1027</f>
        <v>6709383676.8999996</v>
      </c>
      <c r="F1027" t="str">
        <f>+'[2]por cuent'!I1027</f>
        <v>486</v>
      </c>
    </row>
    <row r="1028" spans="1:6" x14ac:dyDescent="0.35">
      <c r="A1028" t="str">
        <f>+'[2]por cuent'!A1028</f>
        <v>ARS</v>
      </c>
      <c r="B1028" t="str">
        <f>+'[2]por cuent'!B1028</f>
        <v>486000012</v>
      </c>
      <c r="C1028" t="str">
        <f>+'[2]por cuent'!C1028</f>
        <v>Zamboni, Josefina</v>
      </c>
      <c r="D1028" s="35">
        <f>+'[2]por cuent'!G1028</f>
        <v>490245696</v>
      </c>
      <c r="E1028" s="35">
        <f>+'[2]por cuent'!H1028</f>
        <v>490245696</v>
      </c>
      <c r="F1028" t="str">
        <f>+'[2]por cuent'!I1028</f>
        <v>486</v>
      </c>
    </row>
    <row r="1029" spans="1:6" x14ac:dyDescent="0.35">
      <c r="A1029" t="str">
        <f>+'[2]por cuent'!A1029</f>
        <v>ARS</v>
      </c>
      <c r="B1029" t="str">
        <f>+'[2]por cuent'!B1029</f>
        <v>486000013</v>
      </c>
      <c r="C1029" t="str">
        <f>+'[2]por cuent'!C1029</f>
        <v>Simba Trading SA</v>
      </c>
      <c r="D1029" s="35">
        <f>+'[2]por cuent'!G1029</f>
        <v>190050086.25</v>
      </c>
      <c r="E1029" s="35">
        <f>+'[2]por cuent'!H1029</f>
        <v>190050086.25</v>
      </c>
      <c r="F1029" t="str">
        <f>+'[2]por cuent'!I1029</f>
        <v>486</v>
      </c>
    </row>
    <row r="1030" spans="1:6" x14ac:dyDescent="0.35">
      <c r="A1030" t="str">
        <f>+'[2]por cuent'!A1030</f>
        <v>ARS</v>
      </c>
      <c r="B1030" t="str">
        <f>+'[2]por cuent'!B1030</f>
        <v>486000015</v>
      </c>
      <c r="C1030" t="str">
        <f>+'[2]por cuent'!C1030</f>
        <v>Bence Pieres, María Susana</v>
      </c>
      <c r="D1030" s="35">
        <f>+'[2]por cuent'!G1030</f>
        <v>1479910565.25</v>
      </c>
      <c r="E1030" s="35">
        <f>+'[2]por cuent'!H1030</f>
        <v>1479910565.25</v>
      </c>
      <c r="F1030" t="str">
        <f>+'[2]por cuent'!I1030</f>
        <v>486</v>
      </c>
    </row>
    <row r="1031" spans="1:6" x14ac:dyDescent="0.35">
      <c r="A1031" t="str">
        <f>+'[2]por cuent'!A1031</f>
        <v>ARS</v>
      </c>
      <c r="B1031" t="str">
        <f>+'[2]por cuent'!B1031</f>
        <v>486000016</v>
      </c>
      <c r="C1031" t="str">
        <f>+'[2]por cuent'!C1031</f>
        <v>Sagarna Botet, Pedro</v>
      </c>
      <c r="D1031" s="35">
        <f>+'[2]por cuent'!G1031</f>
        <v>1469894537</v>
      </c>
      <c r="E1031" s="35">
        <f>+'[2]por cuent'!H1031</f>
        <v>1469894537</v>
      </c>
      <c r="F1031" t="str">
        <f>+'[2]por cuent'!I1031</f>
        <v>486</v>
      </c>
    </row>
    <row r="1032" spans="1:6" x14ac:dyDescent="0.35">
      <c r="A1032" t="str">
        <f>+'[2]por cuent'!A1032</f>
        <v>ARS</v>
      </c>
      <c r="B1032" t="str">
        <f>+'[2]por cuent'!B1032</f>
        <v>486000021</v>
      </c>
      <c r="C1032" t="str">
        <f>+'[2]por cuent'!C1032</f>
        <v xml:space="preserve">Villar, Ivan </v>
      </c>
      <c r="D1032" s="35">
        <f>+'[2]por cuent'!G1032</f>
        <v>15044905.689999999</v>
      </c>
      <c r="E1032" s="35">
        <f>+'[2]por cuent'!H1032</f>
        <v>15044905.689999999</v>
      </c>
      <c r="F1032" t="str">
        <f>+'[2]por cuent'!I1032</f>
        <v>486</v>
      </c>
    </row>
    <row r="1033" spans="1:6" x14ac:dyDescent="0.35">
      <c r="A1033" t="str">
        <f>+'[2]por cuent'!A1033</f>
        <v>ARS</v>
      </c>
      <c r="B1033" t="str">
        <f>+'[2]por cuent'!B1033</f>
        <v>486000026</v>
      </c>
      <c r="C1033" t="str">
        <f>+'[2]por cuent'!C1033</f>
        <v>Saenz, Alberto Alfonso</v>
      </c>
      <c r="D1033" s="35">
        <f>+'[2]por cuent'!G1033</f>
        <v>25811773.960000001</v>
      </c>
      <c r="E1033" s="35">
        <f>+'[2]por cuent'!H1033</f>
        <v>25811773.960000001</v>
      </c>
      <c r="F1033" t="str">
        <f>+'[2]por cuent'!I1033</f>
        <v>486</v>
      </c>
    </row>
    <row r="1034" spans="1:6" x14ac:dyDescent="0.35">
      <c r="A1034" t="str">
        <f>+'[2]por cuent'!A1034</f>
        <v>ARS</v>
      </c>
      <c r="B1034" t="str">
        <f>+'[2]por cuent'!B1034</f>
        <v>486000033</v>
      </c>
      <c r="C1034" t="str">
        <f>+'[2]por cuent'!C1034</f>
        <v>Sundblad, Santiago</v>
      </c>
      <c r="D1034" s="35">
        <f>+'[2]por cuent'!G1034</f>
        <v>13391823</v>
      </c>
      <c r="E1034" s="35">
        <f>+'[2]por cuent'!H1034</f>
        <v>13391823</v>
      </c>
      <c r="F1034" t="str">
        <f>+'[2]por cuent'!I1034</f>
        <v>486</v>
      </c>
    </row>
    <row r="1035" spans="1:6" x14ac:dyDescent="0.35">
      <c r="A1035" t="str">
        <f>+'[2]por cuent'!A1035</f>
        <v>ARS</v>
      </c>
      <c r="B1035" t="str">
        <f>+'[2]por cuent'!B1035</f>
        <v>486000035</v>
      </c>
      <c r="C1035" t="str">
        <f>+'[2]por cuent'!C1035</f>
        <v>PUESTO LAS MULAS S.A</v>
      </c>
      <c r="D1035" s="35">
        <f>+'[2]por cuent'!G1035</f>
        <v>64045357.799999997</v>
      </c>
      <c r="E1035" s="35">
        <f>+'[2]por cuent'!H1035</f>
        <v>64045357.799999997</v>
      </c>
      <c r="F1035" t="str">
        <f>+'[2]por cuent'!I1035</f>
        <v>486</v>
      </c>
    </row>
    <row r="1036" spans="1:6" x14ac:dyDescent="0.35">
      <c r="A1036" t="str">
        <f>+'[2]por cuent'!A1036</f>
        <v>ARS</v>
      </c>
      <c r="B1036" t="str">
        <f>+'[2]por cuent'!B1036</f>
        <v>486000036</v>
      </c>
      <c r="C1036" t="str">
        <f>+'[2]por cuent'!C1036</f>
        <v>Aguirre Holmberg, Delia Maria</v>
      </c>
      <c r="D1036" s="35">
        <f>+'[2]por cuent'!G1036</f>
        <v>8261339.9000000004</v>
      </c>
      <c r="E1036" s="35">
        <f>+'[2]por cuent'!H1036</f>
        <v>8261339.9000000004</v>
      </c>
      <c r="F1036" t="str">
        <f>+'[2]por cuent'!I1036</f>
        <v>486</v>
      </c>
    </row>
    <row r="1037" spans="1:6" x14ac:dyDescent="0.35">
      <c r="A1037" t="str">
        <f>+'[2]por cuent'!A1037</f>
        <v>ARS</v>
      </c>
      <c r="B1037" t="str">
        <f>+'[2]por cuent'!B1037</f>
        <v>486000054</v>
      </c>
      <c r="C1037" t="str">
        <f>+'[2]por cuent'!C1037</f>
        <v>Castellani, Leonardo</v>
      </c>
      <c r="D1037" s="35">
        <f>+'[2]por cuent'!G1037</f>
        <v>7843318298.8999996</v>
      </c>
      <c r="E1037" s="35">
        <f>+'[2]por cuent'!H1037</f>
        <v>7843318298.8999996</v>
      </c>
      <c r="F1037" t="str">
        <f>+'[2]por cuent'!I1037</f>
        <v>486</v>
      </c>
    </row>
    <row r="1038" spans="1:6" x14ac:dyDescent="0.35">
      <c r="A1038" t="str">
        <f>+'[2]por cuent'!A1038</f>
        <v>ARS</v>
      </c>
      <c r="B1038" t="str">
        <f>+'[2]por cuent'!B1038</f>
        <v>486000064</v>
      </c>
      <c r="C1038" t="str">
        <f>+'[2]por cuent'!C1038</f>
        <v>Sica Paravicini, Franco</v>
      </c>
      <c r="D1038" s="35">
        <f>+'[2]por cuent'!G1038</f>
        <v>14500000.890000001</v>
      </c>
      <c r="E1038" s="35">
        <f>+'[2]por cuent'!H1038</f>
        <v>14500000.890000001</v>
      </c>
      <c r="F1038" t="str">
        <f>+'[2]por cuent'!I1038</f>
        <v>486</v>
      </c>
    </row>
    <row r="1039" spans="1:6" x14ac:dyDescent="0.35">
      <c r="A1039" t="str">
        <f>+'[2]por cuent'!A1039</f>
        <v>ARS</v>
      </c>
      <c r="B1039" t="str">
        <f>+'[2]por cuent'!B1039</f>
        <v>486000090</v>
      </c>
      <c r="C1039" t="str">
        <f>+'[2]por cuent'!C1039</f>
        <v>Siro, Luis Horacio</v>
      </c>
      <c r="D1039" s="35">
        <f>+'[2]por cuent'!G1039</f>
        <v>5232523.8</v>
      </c>
      <c r="E1039" s="35">
        <f>+'[2]por cuent'!H1039</f>
        <v>5232523.8</v>
      </c>
      <c r="F1039" t="str">
        <f>+'[2]por cuent'!I1039</f>
        <v>486</v>
      </c>
    </row>
    <row r="1040" spans="1:6" x14ac:dyDescent="0.35">
      <c r="A1040" t="str">
        <f>+'[2]por cuent'!A1040</f>
        <v>ARS</v>
      </c>
      <c r="B1040" t="str">
        <f>+'[2]por cuent'!B1040</f>
        <v>486000101</v>
      </c>
      <c r="C1040" t="str">
        <f>+'[2]por cuent'!C1040</f>
        <v>Belli, María Clara</v>
      </c>
      <c r="D1040" s="35">
        <f>+'[2]por cuent'!G1040</f>
        <v>16801475.579999998</v>
      </c>
      <c r="E1040" s="35">
        <f>+'[2]por cuent'!H1040</f>
        <v>16801475.579999998</v>
      </c>
      <c r="F1040" t="str">
        <f>+'[2]por cuent'!I1040</f>
        <v>486</v>
      </c>
    </row>
    <row r="1041" spans="1:6" x14ac:dyDescent="0.35">
      <c r="A1041" t="str">
        <f>+'[2]por cuent'!A1041</f>
        <v>ARS</v>
      </c>
      <c r="B1041" t="str">
        <f>+'[2]por cuent'!B1041</f>
        <v>486000103</v>
      </c>
      <c r="C1041" t="str">
        <f>+'[2]por cuent'!C1041</f>
        <v>Mainero, Gustavo Daniel</v>
      </c>
      <c r="D1041" s="35">
        <f>+'[2]por cuent'!G1041</f>
        <v>3059673415.4499998</v>
      </c>
      <c r="E1041" s="35">
        <f>+'[2]por cuent'!H1041</f>
        <v>3059673415.4499998</v>
      </c>
      <c r="F1041" t="str">
        <f>+'[2]por cuent'!I1041</f>
        <v>486</v>
      </c>
    </row>
    <row r="1042" spans="1:6" x14ac:dyDescent="0.35">
      <c r="A1042" t="str">
        <f>+'[2]por cuent'!A1042</f>
        <v>ARS</v>
      </c>
      <c r="B1042" t="str">
        <f>+'[2]por cuent'!B1042</f>
        <v>486000115</v>
      </c>
      <c r="C1042" t="str">
        <f>+'[2]por cuent'!C1042</f>
        <v>Vilariño, Federico Manuel</v>
      </c>
      <c r="D1042" s="35">
        <f>+'[2]por cuent'!G1042</f>
        <v>4512370166.8000002</v>
      </c>
      <c r="E1042" s="35">
        <f>+'[2]por cuent'!H1042</f>
        <v>4512370166.8000002</v>
      </c>
      <c r="F1042" t="str">
        <f>+'[2]por cuent'!I1042</f>
        <v>486</v>
      </c>
    </row>
    <row r="1043" spans="1:6" x14ac:dyDescent="0.35">
      <c r="A1043" t="str">
        <f>+'[2]por cuent'!A1043</f>
        <v>ARS</v>
      </c>
      <c r="B1043" t="str">
        <f>+'[2]por cuent'!B1043</f>
        <v>486000124</v>
      </c>
      <c r="C1043" t="str">
        <f>+'[2]por cuent'!C1043</f>
        <v>Vilariño, Matias</v>
      </c>
      <c r="D1043" s="35">
        <f>+'[2]por cuent'!G1043</f>
        <v>233482764.90000001</v>
      </c>
      <c r="E1043" s="35">
        <f>+'[2]por cuent'!H1043</f>
        <v>233482764.90000001</v>
      </c>
      <c r="F1043" t="str">
        <f>+'[2]por cuent'!I1043</f>
        <v>486</v>
      </c>
    </row>
    <row r="1044" spans="1:6" x14ac:dyDescent="0.35">
      <c r="A1044" t="str">
        <f>+'[2]por cuent'!A1044</f>
        <v>ARS</v>
      </c>
      <c r="B1044" t="str">
        <f>+'[2]por cuent'!B1044</f>
        <v>486000128</v>
      </c>
      <c r="C1044" t="str">
        <f>+'[2]por cuent'!C1044</f>
        <v>Vilariño, Federico</v>
      </c>
      <c r="D1044" s="35">
        <f>+'[2]por cuent'!G1044</f>
        <v>1859915987.8</v>
      </c>
      <c r="E1044" s="35">
        <f>+'[2]por cuent'!H1044</f>
        <v>1859915987.8</v>
      </c>
      <c r="F1044" t="str">
        <f>+'[2]por cuent'!I1044</f>
        <v>486</v>
      </c>
    </row>
    <row r="1045" spans="1:6" x14ac:dyDescent="0.35">
      <c r="A1045" t="str">
        <f>+'[2]por cuent'!A1045</f>
        <v>ARS</v>
      </c>
      <c r="B1045" t="str">
        <f>+'[2]por cuent'!B1045</f>
        <v>486000129</v>
      </c>
      <c r="C1045" t="str">
        <f>+'[2]por cuent'!C1045</f>
        <v>Vilariño, Juan Cruz</v>
      </c>
      <c r="D1045" s="35">
        <f>+'[2]por cuent'!G1045</f>
        <v>2373545230.8000002</v>
      </c>
      <c r="E1045" s="35">
        <f>+'[2]por cuent'!H1045</f>
        <v>2373545230.8000002</v>
      </c>
      <c r="F1045" t="str">
        <f>+'[2]por cuent'!I1045</f>
        <v>486</v>
      </c>
    </row>
    <row r="1046" spans="1:6" x14ac:dyDescent="0.35">
      <c r="A1046" t="str">
        <f>+'[2]por cuent'!A1046</f>
        <v>ARS</v>
      </c>
      <c r="B1046" t="str">
        <f>+'[2]por cuent'!B1046</f>
        <v>486000130</v>
      </c>
      <c r="C1046" t="str">
        <f>+'[2]por cuent'!C1046</f>
        <v>Gude, Javier</v>
      </c>
      <c r="D1046" s="35">
        <f>+'[2]por cuent'!G1046</f>
        <v>279999.14</v>
      </c>
      <c r="E1046" s="35">
        <f>+'[2]por cuent'!H1046</f>
        <v>279999.14</v>
      </c>
      <c r="F1046" t="str">
        <f>+'[2]por cuent'!I1046</f>
        <v>486</v>
      </c>
    </row>
    <row r="1047" spans="1:6" x14ac:dyDescent="0.35">
      <c r="A1047" t="str">
        <f>+'[2]por cuent'!A1047</f>
        <v>ARS</v>
      </c>
      <c r="B1047" t="str">
        <f>+'[2]por cuent'!B1047</f>
        <v>486000149</v>
      </c>
      <c r="C1047" t="str">
        <f>+'[2]por cuent'!C1047</f>
        <v>Grinda, Ignacio</v>
      </c>
      <c r="D1047" s="35">
        <f>+'[2]por cuent'!G1047</f>
        <v>27026652</v>
      </c>
      <c r="E1047" s="35">
        <f>+'[2]por cuent'!H1047</f>
        <v>27026652</v>
      </c>
      <c r="F1047" t="str">
        <f>+'[2]por cuent'!I1047</f>
        <v>486</v>
      </c>
    </row>
    <row r="1048" spans="1:6" x14ac:dyDescent="0.35">
      <c r="A1048" t="str">
        <f>+'[2]por cuent'!A1048</f>
        <v>ARS</v>
      </c>
      <c r="B1048" t="str">
        <f>+'[2]por cuent'!B1048</f>
        <v>486000154</v>
      </c>
      <c r="C1048" t="str">
        <f>+'[2]por cuent'!C1048</f>
        <v xml:space="preserve">Lorenzo, Martin Angel </v>
      </c>
      <c r="D1048" s="35">
        <f>+'[2]por cuent'!G1048</f>
        <v>598116.19999999995</v>
      </c>
      <c r="E1048" s="35">
        <f>+'[2]por cuent'!H1048</f>
        <v>598116.19999999995</v>
      </c>
      <c r="F1048" t="str">
        <f>+'[2]por cuent'!I1048</f>
        <v>486</v>
      </c>
    </row>
    <row r="1049" spans="1:6" x14ac:dyDescent="0.35">
      <c r="A1049" t="str">
        <f>+'[2]por cuent'!A1049</f>
        <v>ARS</v>
      </c>
      <c r="B1049" t="str">
        <f>+'[2]por cuent'!B1049</f>
        <v>486000166</v>
      </c>
      <c r="C1049" t="str">
        <f>+'[2]por cuent'!C1049</f>
        <v>Doreski , Diego</v>
      </c>
      <c r="D1049" s="35">
        <f>+'[2]por cuent'!G1049</f>
        <v>447042262.55000001</v>
      </c>
      <c r="E1049" s="35">
        <f>+'[2]por cuent'!H1049</f>
        <v>447042262.55000001</v>
      </c>
      <c r="F1049" t="str">
        <f>+'[2]por cuent'!I1049</f>
        <v>486</v>
      </c>
    </row>
    <row r="1050" spans="1:6" x14ac:dyDescent="0.35">
      <c r="A1050" t="str">
        <f>+'[2]por cuent'!A1050</f>
        <v>ARS</v>
      </c>
      <c r="B1050" t="str">
        <f>+'[2]por cuent'!B1050</f>
        <v>486000167</v>
      </c>
      <c r="C1050" t="str">
        <f>+'[2]por cuent'!C1050</f>
        <v>Varela, Marcos Horacio</v>
      </c>
      <c r="D1050" s="35">
        <f>+'[2]por cuent'!G1050</f>
        <v>93492895.590000004</v>
      </c>
      <c r="E1050" s="35">
        <f>+'[2]por cuent'!H1050</f>
        <v>93492895.590000004</v>
      </c>
      <c r="F1050" t="str">
        <f>+'[2]por cuent'!I1050</f>
        <v>486</v>
      </c>
    </row>
    <row r="1051" spans="1:6" x14ac:dyDescent="0.35">
      <c r="A1051" t="str">
        <f>+'[2]por cuent'!A1051</f>
        <v>ARS</v>
      </c>
      <c r="B1051" t="str">
        <f>+'[2]por cuent'!B1051</f>
        <v>486000185</v>
      </c>
      <c r="C1051" t="str">
        <f>+'[2]por cuent'!C1051</f>
        <v>Lopez Mañan, Jose Maria</v>
      </c>
      <c r="D1051" s="35">
        <f>+'[2]por cuent'!G1051</f>
        <v>234856.2</v>
      </c>
      <c r="E1051" s="35">
        <f>+'[2]por cuent'!H1051</f>
        <v>234856.2</v>
      </c>
      <c r="F1051" t="str">
        <f>+'[2]por cuent'!I1051</f>
        <v>486</v>
      </c>
    </row>
    <row r="1052" spans="1:6" x14ac:dyDescent="0.35">
      <c r="A1052" t="str">
        <f>+'[2]por cuent'!A1052</f>
        <v>ARS</v>
      </c>
      <c r="B1052" t="str">
        <f>+'[2]por cuent'!B1052</f>
        <v>486000200</v>
      </c>
      <c r="C1052" t="str">
        <f>+'[2]por cuent'!C1052</f>
        <v>Marque, Joaquín Enrique TRADING</v>
      </c>
      <c r="D1052" s="35">
        <f>+'[2]por cuent'!G1052</f>
        <v>53554366.600000001</v>
      </c>
      <c r="E1052" s="35">
        <f>+'[2]por cuent'!H1052</f>
        <v>53554366.600000001</v>
      </c>
      <c r="F1052" t="str">
        <f>+'[2]por cuent'!I1052</f>
        <v>486</v>
      </c>
    </row>
    <row r="1053" spans="1:6" x14ac:dyDescent="0.35">
      <c r="A1053" t="str">
        <f>+'[2]por cuent'!A1053</f>
        <v>ARS</v>
      </c>
      <c r="B1053" t="str">
        <f>+'[2]por cuent'!B1053</f>
        <v>486000206</v>
      </c>
      <c r="C1053" t="str">
        <f>+'[2]por cuent'!C1053</f>
        <v xml:space="preserve">Schvartzman Jesica o Grehan Marcos Roman </v>
      </c>
      <c r="D1053" s="35">
        <f>+'[2]por cuent'!G1053</f>
        <v>6294807.9000000004</v>
      </c>
      <c r="E1053" s="35">
        <f>+'[2]por cuent'!H1053</f>
        <v>6294807.9000000004</v>
      </c>
      <c r="F1053" t="str">
        <f>+'[2]por cuent'!I1053</f>
        <v>486</v>
      </c>
    </row>
    <row r="1054" spans="1:6" x14ac:dyDescent="0.35">
      <c r="A1054" t="str">
        <f>+'[2]por cuent'!A1054</f>
        <v>ARS</v>
      </c>
      <c r="B1054" t="str">
        <f>+'[2]por cuent'!B1054</f>
        <v>486000229</v>
      </c>
      <c r="C1054" t="str">
        <f>+'[2]por cuent'!C1054</f>
        <v>Tadioli, Fabian Omar</v>
      </c>
      <c r="D1054" s="35">
        <f>+'[2]por cuent'!G1054</f>
        <v>1355403335</v>
      </c>
      <c r="E1054" s="35">
        <f>+'[2]por cuent'!H1054</f>
        <v>1355403335</v>
      </c>
      <c r="F1054" t="str">
        <f>+'[2]por cuent'!I1054</f>
        <v>486</v>
      </c>
    </row>
    <row r="1055" spans="1:6" x14ac:dyDescent="0.35">
      <c r="A1055" t="str">
        <f>+'[2]por cuent'!A1055</f>
        <v>ARS</v>
      </c>
      <c r="B1055" t="str">
        <f>+'[2]por cuent'!B1055</f>
        <v>486000237</v>
      </c>
      <c r="C1055" t="str">
        <f>+'[2]por cuent'!C1055</f>
        <v>Uriburu, María Inés</v>
      </c>
      <c r="D1055" s="35">
        <f>+'[2]por cuent'!G1055</f>
        <v>4649173.74</v>
      </c>
      <c r="E1055" s="35">
        <f>+'[2]por cuent'!H1055</f>
        <v>4649173.74</v>
      </c>
      <c r="F1055" t="str">
        <f>+'[2]por cuent'!I1055</f>
        <v>486</v>
      </c>
    </row>
    <row r="1056" spans="1:6" x14ac:dyDescent="0.35">
      <c r="A1056" t="str">
        <f>+'[2]por cuent'!A1056</f>
        <v>ARS</v>
      </c>
      <c r="B1056" t="str">
        <f>+'[2]por cuent'!B1056</f>
        <v>486000242</v>
      </c>
      <c r="C1056" t="str">
        <f>+'[2]por cuent'!C1056</f>
        <v>Krause, Jaime Otto / Funes, Dolores María</v>
      </c>
      <c r="D1056" s="35">
        <f>+'[2]por cuent'!G1056</f>
        <v>14811970</v>
      </c>
      <c r="E1056" s="35">
        <f>+'[2]por cuent'!H1056</f>
        <v>14811970</v>
      </c>
      <c r="F1056" t="str">
        <f>+'[2]por cuent'!I1056</f>
        <v>486</v>
      </c>
    </row>
    <row r="1057" spans="1:6" x14ac:dyDescent="0.35">
      <c r="A1057" t="str">
        <f>+'[2]por cuent'!A1057</f>
        <v>ARS</v>
      </c>
      <c r="B1057" t="str">
        <f>+'[2]por cuent'!B1057</f>
        <v>486000244</v>
      </c>
      <c r="C1057" t="str">
        <f>+'[2]por cuent'!C1057</f>
        <v>Rentero, Sergio Damián</v>
      </c>
      <c r="D1057" s="35">
        <f>+'[2]por cuent'!G1057</f>
        <v>2220986</v>
      </c>
      <c r="E1057" s="35">
        <f>+'[2]por cuent'!H1057</f>
        <v>2220986</v>
      </c>
      <c r="F1057" t="str">
        <f>+'[2]por cuent'!I1057</f>
        <v>486</v>
      </c>
    </row>
    <row r="1058" spans="1:6" x14ac:dyDescent="0.35">
      <c r="A1058" t="str">
        <f>+'[2]por cuent'!A1058</f>
        <v>ARS</v>
      </c>
      <c r="B1058" t="str">
        <f>+'[2]por cuent'!B1058</f>
        <v>486000248</v>
      </c>
      <c r="C1058" t="str">
        <f>+'[2]por cuent'!C1058</f>
        <v>Rossi, Daniel Hugo</v>
      </c>
      <c r="D1058" s="35">
        <f>+'[2]por cuent'!G1058</f>
        <v>26929831.91</v>
      </c>
      <c r="E1058" s="35">
        <f>+'[2]por cuent'!H1058</f>
        <v>26929831.91</v>
      </c>
      <c r="F1058" t="str">
        <f>+'[2]por cuent'!I1058</f>
        <v>486</v>
      </c>
    </row>
    <row r="1059" spans="1:6" x14ac:dyDescent="0.35">
      <c r="A1059" t="str">
        <f>+'[2]por cuent'!A1059</f>
        <v>ARS</v>
      </c>
      <c r="B1059" t="str">
        <f>+'[2]por cuent'!B1059</f>
        <v>486000254</v>
      </c>
      <c r="C1059" t="str">
        <f>+'[2]por cuent'!C1059</f>
        <v>Holmberg, Delia Ernestina</v>
      </c>
      <c r="D1059" s="35">
        <f>+'[2]por cuent'!G1059</f>
        <v>6656979</v>
      </c>
      <c r="E1059" s="35">
        <f>+'[2]por cuent'!H1059</f>
        <v>6656979</v>
      </c>
      <c r="F1059" t="str">
        <f>+'[2]por cuent'!I1059</f>
        <v>486</v>
      </c>
    </row>
    <row r="1060" spans="1:6" x14ac:dyDescent="0.35">
      <c r="A1060" t="str">
        <f>+'[2]por cuent'!A1060</f>
        <v>ARS</v>
      </c>
      <c r="B1060" t="str">
        <f>+'[2]por cuent'!B1060</f>
        <v>486000260</v>
      </c>
      <c r="C1060" t="str">
        <f>+'[2]por cuent'!C1060</f>
        <v>Steverlynck, María Sofía</v>
      </c>
      <c r="D1060" s="35">
        <f>+'[2]por cuent'!G1060</f>
        <v>101944</v>
      </c>
      <c r="E1060" s="35">
        <f>+'[2]por cuent'!H1060</f>
        <v>101944</v>
      </c>
      <c r="F1060" t="str">
        <f>+'[2]por cuent'!I1060</f>
        <v>486</v>
      </c>
    </row>
    <row r="1061" spans="1:6" x14ac:dyDescent="0.35">
      <c r="A1061" t="str">
        <f>+'[2]por cuent'!A1061</f>
        <v>ARS</v>
      </c>
      <c r="B1061" t="str">
        <f>+'[2]por cuent'!B1061</f>
        <v>486000262</v>
      </c>
      <c r="C1061" t="str">
        <f>+'[2]por cuent'!C1061</f>
        <v>Massollo, Anabella Bettina</v>
      </c>
      <c r="D1061" s="35">
        <f>+'[2]por cuent'!G1061</f>
        <v>5023234.5</v>
      </c>
      <c r="E1061" s="35">
        <f>+'[2]por cuent'!H1061</f>
        <v>5023234.5</v>
      </c>
      <c r="F1061" t="str">
        <f>+'[2]por cuent'!I1061</f>
        <v>486</v>
      </c>
    </row>
    <row r="1062" spans="1:6" x14ac:dyDescent="0.35">
      <c r="A1062" t="str">
        <f>+'[2]por cuent'!A1062</f>
        <v>ARS</v>
      </c>
      <c r="B1062" t="str">
        <f>+'[2]por cuent'!B1062</f>
        <v>486000268</v>
      </c>
      <c r="C1062" t="str">
        <f>+'[2]por cuent'!C1062</f>
        <v>Robles, Maria Paula</v>
      </c>
      <c r="D1062" s="35">
        <f>+'[2]por cuent'!G1062</f>
        <v>22000844.629999999</v>
      </c>
      <c r="E1062" s="35">
        <f>+'[2]por cuent'!H1062</f>
        <v>22000844.629999999</v>
      </c>
      <c r="F1062" t="str">
        <f>+'[2]por cuent'!I1062</f>
        <v>486</v>
      </c>
    </row>
    <row r="1063" spans="1:6" x14ac:dyDescent="0.35">
      <c r="A1063" t="str">
        <f>+'[2]por cuent'!A1063</f>
        <v>ARS</v>
      </c>
      <c r="B1063" t="str">
        <f>+'[2]por cuent'!B1063</f>
        <v>486000269</v>
      </c>
      <c r="C1063" t="str">
        <f>+'[2]por cuent'!C1063</f>
        <v>Vilariño, Agustín</v>
      </c>
      <c r="D1063" s="35">
        <f>+'[2]por cuent'!G1063</f>
        <v>26378070.219999999</v>
      </c>
      <c r="E1063" s="35">
        <f>+'[2]por cuent'!H1063</f>
        <v>26378070.219999999</v>
      </c>
      <c r="F1063" t="str">
        <f>+'[2]por cuent'!I1063</f>
        <v>486</v>
      </c>
    </row>
    <row r="1064" spans="1:6" x14ac:dyDescent="0.35">
      <c r="A1064" t="str">
        <f>+'[2]por cuent'!A1064</f>
        <v>ARS</v>
      </c>
      <c r="B1064" t="str">
        <f>+'[2]por cuent'!B1064</f>
        <v>486000272</v>
      </c>
      <c r="C1064" t="str">
        <f>+'[2]por cuent'!C1064</f>
        <v>Jaeger, Francisco</v>
      </c>
      <c r="D1064" s="35">
        <f>+'[2]por cuent'!G1064</f>
        <v>541430692</v>
      </c>
      <c r="E1064" s="35">
        <f>+'[2]por cuent'!H1064</f>
        <v>541430692</v>
      </c>
      <c r="F1064" t="str">
        <f>+'[2]por cuent'!I1064</f>
        <v>486</v>
      </c>
    </row>
    <row r="1065" spans="1:6" x14ac:dyDescent="0.35">
      <c r="A1065" t="str">
        <f>+'[2]por cuent'!A1065</f>
        <v>ARS</v>
      </c>
      <c r="B1065" t="str">
        <f>+'[2]por cuent'!B1065</f>
        <v>486000276</v>
      </c>
      <c r="C1065" t="str">
        <f>+'[2]por cuent'!C1065</f>
        <v xml:space="preserve">Marque, Maria Carolina </v>
      </c>
      <c r="D1065" s="35">
        <f>+'[2]por cuent'!G1065</f>
        <v>539278.69999999995</v>
      </c>
      <c r="E1065" s="35">
        <f>+'[2]por cuent'!H1065</f>
        <v>539278.69999999995</v>
      </c>
      <c r="F1065" t="str">
        <f>+'[2]por cuent'!I1065</f>
        <v>486</v>
      </c>
    </row>
    <row r="1066" spans="1:6" x14ac:dyDescent="0.35">
      <c r="A1066" t="str">
        <f>+'[2]por cuent'!A1066</f>
        <v>ARS</v>
      </c>
      <c r="B1066" t="str">
        <f>+'[2]por cuent'!B1066</f>
        <v>486000277</v>
      </c>
      <c r="C1066" t="str">
        <f>+'[2]por cuent'!C1066</f>
        <v>Baronzini, Lucia Mabel</v>
      </c>
      <c r="D1066" s="35">
        <f>+'[2]por cuent'!G1066</f>
        <v>28120</v>
      </c>
      <c r="E1066" s="35">
        <f>+'[2]por cuent'!H1066</f>
        <v>28120</v>
      </c>
      <c r="F1066" t="str">
        <f>+'[2]por cuent'!I1066</f>
        <v>486</v>
      </c>
    </row>
    <row r="1067" spans="1:6" x14ac:dyDescent="0.35">
      <c r="A1067" t="str">
        <f>+'[2]por cuent'!A1067</f>
        <v>ARS</v>
      </c>
      <c r="B1067" t="str">
        <f>+'[2]por cuent'!B1067</f>
        <v>486000286</v>
      </c>
      <c r="C1067" t="str">
        <f>+'[2]por cuent'!C1067</f>
        <v>Catalan, Matias Ezequiel</v>
      </c>
      <c r="D1067" s="35">
        <f>+'[2]por cuent'!G1067</f>
        <v>129568622.90000001</v>
      </c>
      <c r="E1067" s="35">
        <f>+'[2]por cuent'!H1067</f>
        <v>129568622.90000001</v>
      </c>
      <c r="F1067" t="str">
        <f>+'[2]por cuent'!I1067</f>
        <v>486</v>
      </c>
    </row>
    <row r="1068" spans="1:6" x14ac:dyDescent="0.35">
      <c r="A1068" t="str">
        <f>+'[2]por cuent'!A1068</f>
        <v>ARS</v>
      </c>
      <c r="B1068" t="str">
        <f>+'[2]por cuent'!B1068</f>
        <v>486000301</v>
      </c>
      <c r="C1068" t="str">
        <f>+'[2]por cuent'!C1068</f>
        <v>Camsi-X S.R.L.</v>
      </c>
      <c r="D1068" s="35">
        <f>+'[2]por cuent'!G1068</f>
        <v>220918003.65000001</v>
      </c>
      <c r="E1068" s="35">
        <f>+'[2]por cuent'!H1068</f>
        <v>220918003.65000001</v>
      </c>
      <c r="F1068" t="str">
        <f>+'[2]por cuent'!I1068</f>
        <v>486</v>
      </c>
    </row>
    <row r="1069" spans="1:6" x14ac:dyDescent="0.35">
      <c r="A1069" t="str">
        <f>+'[2]por cuent'!A1069</f>
        <v>ARS</v>
      </c>
      <c r="B1069" t="str">
        <f>+'[2]por cuent'!B1069</f>
        <v>486000302</v>
      </c>
      <c r="C1069" t="str">
        <f>+'[2]por cuent'!C1069</f>
        <v>CLOUDGAIA S.R.L</v>
      </c>
      <c r="D1069" s="35">
        <f>+'[2]por cuent'!G1069</f>
        <v>129232616.5</v>
      </c>
      <c r="E1069" s="35">
        <f>+'[2]por cuent'!H1069</f>
        <v>129232616.5</v>
      </c>
      <c r="F1069" t="str">
        <f>+'[2]por cuent'!I1069</f>
        <v>486</v>
      </c>
    </row>
    <row r="1070" spans="1:6" x14ac:dyDescent="0.35">
      <c r="A1070" t="str">
        <f>+'[2]por cuent'!A1070</f>
        <v>ARS</v>
      </c>
      <c r="B1070" t="str">
        <f>+'[2]por cuent'!B1070</f>
        <v>486000351</v>
      </c>
      <c r="C1070" t="str">
        <f>+'[2]por cuent'!C1070</f>
        <v>Chicharito S.A.</v>
      </c>
      <c r="D1070" s="35">
        <f>+'[2]por cuent'!G1070</f>
        <v>3474138.56</v>
      </c>
      <c r="E1070" s="35">
        <f>+'[2]por cuent'!H1070</f>
        <v>3474138.56</v>
      </c>
      <c r="F1070" t="str">
        <f>+'[2]por cuent'!I1070</f>
        <v>486</v>
      </c>
    </row>
    <row r="1071" spans="1:6" x14ac:dyDescent="0.35">
      <c r="A1071" t="str">
        <f>+'[2]por cuent'!A1071</f>
        <v>ARS</v>
      </c>
      <c r="B1071" t="str">
        <f>+'[2]por cuent'!B1071</f>
        <v>486000359</v>
      </c>
      <c r="C1071" t="str">
        <f>+'[2]por cuent'!C1071</f>
        <v>TIMON CAPITAL S.A.</v>
      </c>
      <c r="D1071" s="35">
        <f>+'[2]por cuent'!G1071</f>
        <v>1549251398.48</v>
      </c>
      <c r="E1071" s="35">
        <f>+'[2]por cuent'!H1071</f>
        <v>1549251398.48</v>
      </c>
      <c r="F1071" t="str">
        <f>+'[2]por cuent'!I1071</f>
        <v>486</v>
      </c>
    </row>
    <row r="1072" spans="1:6" x14ac:dyDescent="0.35">
      <c r="A1072" t="str">
        <f>+'[2]por cuent'!A1072</f>
        <v>ARS</v>
      </c>
      <c r="B1072" t="str">
        <f>+'[2]por cuent'!B1072</f>
        <v>486000366</v>
      </c>
      <c r="C1072" t="str">
        <f>+'[2]por cuent'!C1072</f>
        <v>Reliance Export S.A</v>
      </c>
      <c r="D1072" s="35">
        <f>+'[2]por cuent'!G1072</f>
        <v>175246621.69999999</v>
      </c>
      <c r="E1072" s="35">
        <f>+'[2]por cuent'!H1072</f>
        <v>175246621.69999999</v>
      </c>
      <c r="F1072" t="str">
        <f>+'[2]por cuent'!I1072</f>
        <v>486</v>
      </c>
    </row>
    <row r="1073" spans="1:6" x14ac:dyDescent="0.35">
      <c r="A1073" t="str">
        <f>+'[2]por cuent'!A1073</f>
        <v>ARS</v>
      </c>
      <c r="B1073" t="str">
        <f>+'[2]por cuent'!B1073</f>
        <v>486000369</v>
      </c>
      <c r="C1073" t="str">
        <f>+'[2]por cuent'!C1073</f>
        <v>SUCESIÓN ALBERTO S. ARECO S.A.</v>
      </c>
      <c r="D1073" s="35">
        <f>+'[2]por cuent'!G1073</f>
        <v>424813566.45999998</v>
      </c>
      <c r="E1073" s="35">
        <f>+'[2]por cuent'!H1073</f>
        <v>424813566.45999998</v>
      </c>
      <c r="F1073" t="str">
        <f>+'[2]por cuent'!I1073</f>
        <v>486</v>
      </c>
    </row>
    <row r="1074" spans="1:6" x14ac:dyDescent="0.35">
      <c r="A1074" t="str">
        <f>+'[2]por cuent'!A1074</f>
        <v>ARS</v>
      </c>
      <c r="B1074" t="str">
        <f>+'[2]por cuent'!B1074</f>
        <v>486000370</v>
      </c>
      <c r="C1074" t="str">
        <f>+'[2]por cuent'!C1074</f>
        <v>Llorente Hermanos SA</v>
      </c>
      <c r="D1074" s="35">
        <f>+'[2]por cuent'!G1074</f>
        <v>1989258491.5999999</v>
      </c>
      <c r="E1074" s="35">
        <f>+'[2]por cuent'!H1074</f>
        <v>1989258491.5999999</v>
      </c>
      <c r="F1074" t="str">
        <f>+'[2]por cuent'!I1074</f>
        <v>486</v>
      </c>
    </row>
    <row r="1075" spans="1:6" x14ac:dyDescent="0.35">
      <c r="A1075" t="str">
        <f>+'[2]por cuent'!A1075</f>
        <v>ARS</v>
      </c>
      <c r="B1075" t="str">
        <f>+'[2]por cuent'!B1075</f>
        <v>486000373</v>
      </c>
      <c r="C1075" t="str">
        <f>+'[2]por cuent'!C1075</f>
        <v>La Bebina SRL</v>
      </c>
      <c r="D1075" s="35">
        <f>+'[2]por cuent'!G1075</f>
        <v>64493682</v>
      </c>
      <c r="E1075" s="35">
        <f>+'[2]por cuent'!H1075</f>
        <v>64493682</v>
      </c>
      <c r="F1075" t="str">
        <f>+'[2]por cuent'!I1075</f>
        <v>486</v>
      </c>
    </row>
    <row r="1076" spans="1:6" x14ac:dyDescent="0.35">
      <c r="A1076" t="str">
        <f>+'[2]por cuent'!A1076</f>
        <v>ARS</v>
      </c>
      <c r="B1076" t="str">
        <f>+'[2]por cuent'!B1076</f>
        <v>486000375</v>
      </c>
      <c r="C1076" t="str">
        <f>+'[2]por cuent'!C1076</f>
        <v>ACUDIR S.A.</v>
      </c>
      <c r="D1076" s="35">
        <f>+'[2]por cuent'!G1076</f>
        <v>1009436797.34</v>
      </c>
      <c r="E1076" s="35">
        <f>+'[2]por cuent'!H1076</f>
        <v>1009436797.34</v>
      </c>
      <c r="F1076" t="str">
        <f>+'[2]por cuent'!I1076</f>
        <v>486</v>
      </c>
    </row>
    <row r="1077" spans="1:6" x14ac:dyDescent="0.35">
      <c r="A1077" t="str">
        <f>+'[2]por cuent'!A1077</f>
        <v>ARS</v>
      </c>
      <c r="B1077" t="str">
        <f>+'[2]por cuent'!B1077</f>
        <v>486000382</v>
      </c>
      <c r="C1077" t="str">
        <f>+'[2]por cuent'!C1077</f>
        <v>Eustaquio Daniel Manicone SA</v>
      </c>
      <c r="D1077" s="35">
        <f>+'[2]por cuent'!G1077</f>
        <v>110024327.79000001</v>
      </c>
      <c r="E1077" s="35">
        <f>+'[2]por cuent'!H1077</f>
        <v>110024327.79000001</v>
      </c>
      <c r="F1077" t="str">
        <f>+'[2]por cuent'!I1077</f>
        <v>486</v>
      </c>
    </row>
    <row r="1078" spans="1:6" x14ac:dyDescent="0.35">
      <c r="A1078" t="str">
        <f>+'[2]por cuent'!A1078</f>
        <v>ARS</v>
      </c>
      <c r="B1078" t="str">
        <f>+'[2]por cuent'!B1078</f>
        <v>486000385</v>
      </c>
      <c r="C1078" t="str">
        <f>+'[2]por cuent'!C1078</f>
        <v>Wayque S.A.</v>
      </c>
      <c r="D1078" s="35">
        <f>+'[2]por cuent'!G1078</f>
        <v>616244482.09000003</v>
      </c>
      <c r="E1078" s="35">
        <f>+'[2]por cuent'!H1078</f>
        <v>616244482.09000003</v>
      </c>
      <c r="F1078" t="str">
        <f>+'[2]por cuent'!I1078</f>
        <v>486</v>
      </c>
    </row>
    <row r="1079" spans="1:6" x14ac:dyDescent="0.35">
      <c r="A1079" t="str">
        <f>+'[2]por cuent'!A1079</f>
        <v>ARS</v>
      </c>
      <c r="B1079" t="str">
        <f>+'[2]por cuent'!B1079</f>
        <v>486000386</v>
      </c>
      <c r="C1079" t="str">
        <f>+'[2]por cuent'!C1079</f>
        <v>Timbo S.A</v>
      </c>
      <c r="D1079" s="35">
        <f>+'[2]por cuent'!G1079</f>
        <v>7945966.5999999996</v>
      </c>
      <c r="E1079" s="35">
        <f>+'[2]por cuent'!H1079</f>
        <v>7945966.5999999996</v>
      </c>
      <c r="F1079" t="str">
        <f>+'[2]por cuent'!I1079</f>
        <v>486</v>
      </c>
    </row>
    <row r="1080" spans="1:6" x14ac:dyDescent="0.35">
      <c r="A1080" t="str">
        <f>+'[2]por cuent'!A1080</f>
        <v>ARS</v>
      </c>
      <c r="B1080" t="str">
        <f>+'[2]por cuent'!B1080</f>
        <v>486000390</v>
      </c>
      <c r="C1080" t="str">
        <f>+'[2]por cuent'!C1080</f>
        <v>La Precesion S.A.U</v>
      </c>
      <c r="D1080" s="35">
        <f>+'[2]por cuent'!G1080</f>
        <v>788576061.32000005</v>
      </c>
      <c r="E1080" s="35">
        <f>+'[2]por cuent'!H1080</f>
        <v>788576061.32000005</v>
      </c>
      <c r="F1080" t="str">
        <f>+'[2]por cuent'!I1080</f>
        <v>486</v>
      </c>
    </row>
    <row r="1081" spans="1:6" x14ac:dyDescent="0.35">
      <c r="A1081" t="str">
        <f>+'[2]por cuent'!A1081</f>
        <v>ARS</v>
      </c>
      <c r="B1081" t="str">
        <f>+'[2]por cuent'!B1081</f>
        <v>486000396</v>
      </c>
      <c r="C1081" t="str">
        <f>+'[2]por cuent'!C1081</f>
        <v>Cabildo BLVD S.A</v>
      </c>
      <c r="D1081" s="35">
        <f>+'[2]por cuent'!G1081</f>
        <v>82361853.769999996</v>
      </c>
      <c r="E1081" s="35">
        <f>+'[2]por cuent'!H1081</f>
        <v>82361853.769999996</v>
      </c>
      <c r="F1081" t="str">
        <f>+'[2]por cuent'!I1081</f>
        <v>486</v>
      </c>
    </row>
    <row r="1082" spans="1:6" x14ac:dyDescent="0.35">
      <c r="A1082" t="str">
        <f>+'[2]por cuent'!A1082</f>
        <v>ARS</v>
      </c>
      <c r="B1082" t="str">
        <f>+'[2]por cuent'!B1082</f>
        <v>486000443</v>
      </c>
      <c r="C1082" t="str">
        <f>+'[2]por cuent'!C1082</f>
        <v>Gonzalez, Maria Cristina</v>
      </c>
      <c r="D1082" s="35">
        <f>+'[2]por cuent'!G1082</f>
        <v>65100</v>
      </c>
      <c r="E1082" s="35">
        <f>+'[2]por cuent'!H1082</f>
        <v>65100</v>
      </c>
      <c r="F1082" t="str">
        <f>+'[2]por cuent'!I1082</f>
        <v>486</v>
      </c>
    </row>
    <row r="1083" spans="1:6" x14ac:dyDescent="0.35">
      <c r="A1083" t="str">
        <f>+'[2]por cuent'!A1083</f>
        <v>ARS</v>
      </c>
      <c r="B1083" t="str">
        <f>+'[2]por cuent'!B1083</f>
        <v>486000444</v>
      </c>
      <c r="C1083" t="str">
        <f>+'[2]por cuent'!C1083</f>
        <v>Garbino, Maria Agustina</v>
      </c>
      <c r="D1083" s="35">
        <f>+'[2]por cuent'!G1083</f>
        <v>339025382.19999999</v>
      </c>
      <c r="E1083" s="35">
        <f>+'[2]por cuent'!H1083</f>
        <v>339025382.19999999</v>
      </c>
      <c r="F1083" t="str">
        <f>+'[2]por cuent'!I1083</f>
        <v>486</v>
      </c>
    </row>
    <row r="1084" spans="1:6" x14ac:dyDescent="0.35">
      <c r="A1084" t="str">
        <f>+'[2]por cuent'!A1084</f>
        <v>ARS</v>
      </c>
      <c r="B1084" t="str">
        <f>+'[2]por cuent'!B1084</f>
        <v>486000448</v>
      </c>
      <c r="C1084" t="str">
        <f>+'[2]por cuent'!C1084</f>
        <v>Sabate, Juan Francisco</v>
      </c>
      <c r="D1084" s="35">
        <f>+'[2]por cuent'!G1084</f>
        <v>105760560.7</v>
      </c>
      <c r="E1084" s="35">
        <f>+'[2]por cuent'!H1084</f>
        <v>105760560.7</v>
      </c>
      <c r="F1084" t="str">
        <f>+'[2]por cuent'!I1084</f>
        <v>486</v>
      </c>
    </row>
    <row r="1085" spans="1:6" x14ac:dyDescent="0.35">
      <c r="A1085" t="str">
        <f>+'[2]por cuent'!A1085</f>
        <v>ARS</v>
      </c>
      <c r="B1085" t="str">
        <f>+'[2]por cuent'!B1085</f>
        <v>486000455</v>
      </c>
      <c r="C1085" t="str">
        <f>+'[2]por cuent'!C1085</f>
        <v>Garcia Irizar, Servanda &amp; Maximo De La Vega</v>
      </c>
      <c r="D1085" s="35">
        <f>+'[2]por cuent'!G1085</f>
        <v>4564126.4400000004</v>
      </c>
      <c r="E1085" s="35">
        <f>+'[2]por cuent'!H1085</f>
        <v>4564126.4400000004</v>
      </c>
      <c r="F1085" t="str">
        <f>+'[2]por cuent'!I1085</f>
        <v>486</v>
      </c>
    </row>
    <row r="1086" spans="1:6" x14ac:dyDescent="0.35">
      <c r="A1086" t="str">
        <f>+'[2]por cuent'!A1086</f>
        <v>ARS</v>
      </c>
      <c r="B1086" t="str">
        <f>+'[2]por cuent'!B1086</f>
        <v>486000462</v>
      </c>
      <c r="C1086" t="str">
        <f>+'[2]por cuent'!C1086</f>
        <v>Manicone, Daniel &amp; Moreno, Ines</v>
      </c>
      <c r="D1086" s="35">
        <f>+'[2]por cuent'!G1086</f>
        <v>62596942.369999997</v>
      </c>
      <c r="E1086" s="35">
        <f>+'[2]por cuent'!H1086</f>
        <v>62596942.369999997</v>
      </c>
      <c r="F1086" t="str">
        <f>+'[2]por cuent'!I1086</f>
        <v>486</v>
      </c>
    </row>
    <row r="1087" spans="1:6" x14ac:dyDescent="0.35">
      <c r="A1087" t="str">
        <f>+'[2]por cuent'!A1087</f>
        <v>ARS</v>
      </c>
      <c r="B1087" t="str">
        <f>+'[2]por cuent'!B1087</f>
        <v>486000469</v>
      </c>
      <c r="C1087" t="str">
        <f>+'[2]por cuent'!C1087</f>
        <v>Lavezzi, Ezequiel Ivan</v>
      </c>
      <c r="D1087" s="35">
        <f>+'[2]por cuent'!G1087</f>
        <v>444101104.18000001</v>
      </c>
      <c r="E1087" s="35">
        <f>+'[2]por cuent'!H1087</f>
        <v>444101104.18000001</v>
      </c>
      <c r="F1087" t="str">
        <f>+'[2]por cuent'!I1087</f>
        <v>486</v>
      </c>
    </row>
    <row r="1088" spans="1:6" x14ac:dyDescent="0.35">
      <c r="A1088" t="str">
        <f>+'[2]por cuent'!A1088</f>
        <v>ARS</v>
      </c>
      <c r="B1088" t="str">
        <f>+'[2]por cuent'!B1088</f>
        <v>486000482</v>
      </c>
      <c r="C1088" t="str">
        <f>+'[2]por cuent'!C1088</f>
        <v>Olaizola, Bautista</v>
      </c>
      <c r="D1088" s="35">
        <f>+'[2]por cuent'!G1088</f>
        <v>139943290.34</v>
      </c>
      <c r="E1088" s="35">
        <f>+'[2]por cuent'!H1088</f>
        <v>139943290.34</v>
      </c>
      <c r="F1088" t="str">
        <f>+'[2]por cuent'!I1088</f>
        <v>486</v>
      </c>
    </row>
    <row r="1089" spans="1:6" x14ac:dyDescent="0.35">
      <c r="A1089" t="str">
        <f>+'[2]por cuent'!A1089</f>
        <v>ARS</v>
      </c>
      <c r="B1089" t="str">
        <f>+'[2]por cuent'!B1089</f>
        <v>486000491</v>
      </c>
      <c r="C1089" t="str">
        <f>+'[2]por cuent'!C1089</f>
        <v>Padula Iglesias, Andres</v>
      </c>
      <c r="D1089" s="35">
        <f>+'[2]por cuent'!G1089</f>
        <v>6212289.5</v>
      </c>
      <c r="E1089" s="35">
        <f>+'[2]por cuent'!H1089</f>
        <v>6212289.5</v>
      </c>
      <c r="F1089" t="str">
        <f>+'[2]por cuent'!I1089</f>
        <v>486</v>
      </c>
    </row>
    <row r="1090" spans="1:6" x14ac:dyDescent="0.35">
      <c r="A1090" t="str">
        <f>+'[2]por cuent'!A1090</f>
        <v>ARS</v>
      </c>
      <c r="B1090" t="str">
        <f>+'[2]por cuent'!B1090</f>
        <v>486000497</v>
      </c>
      <c r="C1090" t="str">
        <f>+'[2]por cuent'!C1090</f>
        <v>Propato Visini,  Hernan Ezequiel</v>
      </c>
      <c r="D1090" s="35">
        <f>+'[2]por cuent'!G1090</f>
        <v>299393882.25999999</v>
      </c>
      <c r="E1090" s="35">
        <f>+'[2]por cuent'!H1090</f>
        <v>299393882.25999999</v>
      </c>
      <c r="F1090" t="str">
        <f>+'[2]por cuent'!I1090</f>
        <v>486</v>
      </c>
    </row>
    <row r="1091" spans="1:6" x14ac:dyDescent="0.35">
      <c r="A1091" t="str">
        <f>+'[2]por cuent'!A1091</f>
        <v>ARS</v>
      </c>
      <c r="B1091" t="str">
        <f>+'[2]por cuent'!B1091</f>
        <v>486000498</v>
      </c>
      <c r="C1091" t="str">
        <f>+'[2]por cuent'!C1091</f>
        <v xml:space="preserve">Fernandez Arancibia, Martin &amp; Bru, Maria &amp; Fernandez Arancibia Macarena </v>
      </c>
      <c r="D1091" s="35">
        <f>+'[2]por cuent'!G1091</f>
        <v>28708318.600000001</v>
      </c>
      <c r="E1091" s="35">
        <f>+'[2]por cuent'!H1091</f>
        <v>28708318.600000001</v>
      </c>
      <c r="F1091" t="str">
        <f>+'[2]por cuent'!I1091</f>
        <v>486</v>
      </c>
    </row>
    <row r="1092" spans="1:6" x14ac:dyDescent="0.35">
      <c r="A1092" t="str">
        <f>+'[2]por cuent'!A1092</f>
        <v>ARS</v>
      </c>
      <c r="B1092" t="str">
        <f>+'[2]por cuent'!B1092</f>
        <v>486000505</v>
      </c>
      <c r="C1092" t="str">
        <f>+'[2]por cuent'!C1092</f>
        <v>Gaviña, Ricardo</v>
      </c>
      <c r="D1092" s="35">
        <f>+'[2]por cuent'!G1092</f>
        <v>144021710.30000001</v>
      </c>
      <c r="E1092" s="35">
        <f>+'[2]por cuent'!H1092</f>
        <v>144021710.30000001</v>
      </c>
      <c r="F1092" t="str">
        <f>+'[2]por cuent'!I1092</f>
        <v>486</v>
      </c>
    </row>
    <row r="1093" spans="1:6" x14ac:dyDescent="0.35">
      <c r="A1093" t="str">
        <f>+'[2]por cuent'!A1093</f>
        <v>ARS</v>
      </c>
      <c r="B1093" t="str">
        <f>+'[2]por cuent'!B1093</f>
        <v>486000509</v>
      </c>
      <c r="C1093" t="str">
        <f>+'[2]por cuent'!C1093</f>
        <v>Montoya, Santiago</v>
      </c>
      <c r="D1093" s="35">
        <f>+'[2]por cuent'!G1093</f>
        <v>2404364.46</v>
      </c>
      <c r="E1093" s="35">
        <f>+'[2]por cuent'!H1093</f>
        <v>2404364.46</v>
      </c>
      <c r="F1093" t="str">
        <f>+'[2]por cuent'!I1093</f>
        <v>486</v>
      </c>
    </row>
    <row r="1094" spans="1:6" x14ac:dyDescent="0.35">
      <c r="A1094" t="str">
        <f>+'[2]por cuent'!A1094</f>
        <v>ARS</v>
      </c>
      <c r="B1094" t="str">
        <f>+'[2]por cuent'!B1094</f>
        <v>486000511</v>
      </c>
      <c r="C1094" t="str">
        <f>+'[2]por cuent'!C1094</f>
        <v>Gutierrez Eguia, Patricio</v>
      </c>
      <c r="D1094" s="35">
        <f>+'[2]por cuent'!G1094</f>
        <v>6687249</v>
      </c>
      <c r="E1094" s="35">
        <f>+'[2]por cuent'!H1094</f>
        <v>6687249</v>
      </c>
      <c r="F1094" t="str">
        <f>+'[2]por cuent'!I1094</f>
        <v>486</v>
      </c>
    </row>
    <row r="1095" spans="1:6" x14ac:dyDescent="0.35">
      <c r="A1095" t="str">
        <f>+'[2]por cuent'!A1095</f>
        <v>ARS</v>
      </c>
      <c r="B1095" t="str">
        <f>+'[2]por cuent'!B1095</f>
        <v>486000516</v>
      </c>
      <c r="C1095" t="str">
        <f>+'[2]por cuent'!C1095</f>
        <v>Montoya, Marcelo Alejandro</v>
      </c>
      <c r="D1095" s="35">
        <f>+'[2]por cuent'!G1095</f>
        <v>6580135</v>
      </c>
      <c r="E1095" s="35">
        <f>+'[2]por cuent'!H1095</f>
        <v>6580135</v>
      </c>
      <c r="F1095" t="str">
        <f>+'[2]por cuent'!I1095</f>
        <v>486</v>
      </c>
    </row>
    <row r="1096" spans="1:6" x14ac:dyDescent="0.35">
      <c r="A1096" t="str">
        <f>+'[2]por cuent'!A1096</f>
        <v>ARS</v>
      </c>
      <c r="B1096" t="str">
        <f>+'[2]por cuent'!B1096</f>
        <v>486000517</v>
      </c>
      <c r="C1096" t="str">
        <f>+'[2]por cuent'!C1096</f>
        <v>Olaizola, Joaquin</v>
      </c>
      <c r="D1096" s="35">
        <f>+'[2]por cuent'!G1096</f>
        <v>3600359.22</v>
      </c>
      <c r="E1096" s="35">
        <f>+'[2]por cuent'!H1096</f>
        <v>3600359.22</v>
      </c>
      <c r="F1096" t="str">
        <f>+'[2]por cuent'!I1096</f>
        <v>486</v>
      </c>
    </row>
    <row r="1097" spans="1:6" x14ac:dyDescent="0.35">
      <c r="A1097" t="str">
        <f>+'[2]por cuent'!A1097</f>
        <v>ARS</v>
      </c>
      <c r="B1097" t="str">
        <f>+'[2]por cuent'!B1097</f>
        <v>486000518</v>
      </c>
      <c r="C1097" t="str">
        <f>+'[2]por cuent'!C1097</f>
        <v>Olaizola, Martin Simon</v>
      </c>
      <c r="D1097" s="35">
        <f>+'[2]por cuent'!G1097</f>
        <v>13000000</v>
      </c>
      <c r="E1097" s="35">
        <f>+'[2]por cuent'!H1097</f>
        <v>13000000</v>
      </c>
      <c r="F1097" t="str">
        <f>+'[2]por cuent'!I1097</f>
        <v>486</v>
      </c>
    </row>
    <row r="1098" spans="1:6" x14ac:dyDescent="0.35">
      <c r="A1098" t="str">
        <f>+'[2]por cuent'!A1098</f>
        <v>ARS</v>
      </c>
      <c r="B1098" t="str">
        <f>+'[2]por cuent'!B1098</f>
        <v>486000520</v>
      </c>
      <c r="C1098" t="str">
        <f>+'[2]por cuent'!C1098</f>
        <v>Arancibia, Jorge Hugo</v>
      </c>
      <c r="D1098" s="35">
        <f>+'[2]por cuent'!G1098</f>
        <v>205889373.19999999</v>
      </c>
      <c r="E1098" s="35">
        <f>+'[2]por cuent'!H1098</f>
        <v>205889373.19999999</v>
      </c>
      <c r="F1098" t="str">
        <f>+'[2]por cuent'!I1098</f>
        <v>486</v>
      </c>
    </row>
    <row r="1099" spans="1:6" x14ac:dyDescent="0.35">
      <c r="A1099" t="str">
        <f>+'[2]por cuent'!A1099</f>
        <v>ARS</v>
      </c>
      <c r="B1099" t="str">
        <f>+'[2]por cuent'!B1099</f>
        <v>486000522</v>
      </c>
      <c r="C1099" t="str">
        <f>+'[2]por cuent'!C1099</f>
        <v>Peres, Marcelo</v>
      </c>
      <c r="D1099" s="35">
        <f>+'[2]por cuent'!G1099</f>
        <v>3752010</v>
      </c>
      <c r="E1099" s="35">
        <f>+'[2]por cuent'!H1099</f>
        <v>3752010</v>
      </c>
      <c r="F1099" t="str">
        <f>+'[2]por cuent'!I1099</f>
        <v>486</v>
      </c>
    </row>
    <row r="1100" spans="1:6" x14ac:dyDescent="0.35">
      <c r="A1100" t="str">
        <f>+'[2]por cuent'!A1100</f>
        <v>ARS</v>
      </c>
      <c r="B1100" t="str">
        <f>+'[2]por cuent'!B1100</f>
        <v>486000523</v>
      </c>
      <c r="C1100" t="str">
        <f>+'[2]por cuent'!C1100</f>
        <v>Hayet, Martina</v>
      </c>
      <c r="D1100" s="35">
        <f>+'[2]por cuent'!G1100</f>
        <v>116967661.72</v>
      </c>
      <c r="E1100" s="35">
        <f>+'[2]por cuent'!H1100</f>
        <v>116967661.72</v>
      </c>
      <c r="F1100" t="str">
        <f>+'[2]por cuent'!I1100</f>
        <v>486</v>
      </c>
    </row>
    <row r="1101" spans="1:6" x14ac:dyDescent="0.35">
      <c r="A1101" t="str">
        <f>+'[2]por cuent'!A1101</f>
        <v>ARS</v>
      </c>
      <c r="B1101" t="str">
        <f>+'[2]por cuent'!B1101</f>
        <v>486002121</v>
      </c>
      <c r="C1101" t="str">
        <f>+'[2]por cuent'!C1101</f>
        <v>UG VALORES SA (TRADING)</v>
      </c>
      <c r="D1101" s="35">
        <f>+'[2]por cuent'!G1101</f>
        <v>15204902876.450001</v>
      </c>
      <c r="E1101" s="35">
        <f>+'[2]por cuent'!H1101</f>
        <v>15204902876.450001</v>
      </c>
      <c r="F1101" t="str">
        <f>+'[2]por cuent'!I1101</f>
        <v>486</v>
      </c>
    </row>
    <row r="1102" spans="1:6" x14ac:dyDescent="0.35">
      <c r="A1102" t="str">
        <f>+'[2]por cuent'!A1102</f>
        <v>ARS</v>
      </c>
      <c r="B1102" t="str">
        <f>+'[2]por cuent'!B1102</f>
        <v>486003030</v>
      </c>
      <c r="C1102" t="str">
        <f>+'[2]por cuent'!C1102</f>
        <v>Chevallier Boutell, Joaquin (trade senebi)</v>
      </c>
      <c r="D1102" s="35">
        <f>+'[2]por cuent'!G1102</f>
        <v>2018442381.6900001</v>
      </c>
      <c r="E1102" s="35">
        <f>+'[2]por cuent'!H1102</f>
        <v>2018442381.6900001</v>
      </c>
      <c r="F1102" t="str">
        <f>+'[2]por cuent'!I1102</f>
        <v>486</v>
      </c>
    </row>
    <row r="1103" spans="1:6" x14ac:dyDescent="0.35">
      <c r="A1103" t="str">
        <f>+'[2]por cuent'!A1103</f>
        <v>ARS</v>
      </c>
      <c r="B1103" t="str">
        <f>+'[2]por cuent'!B1103</f>
        <v>486003232</v>
      </c>
      <c r="C1103" t="str">
        <f>+'[2]por cuent'!C1103</f>
        <v>ZAFIRO CAPITAL SA</v>
      </c>
      <c r="D1103" s="35">
        <f>+'[2]por cuent'!G1103</f>
        <v>2376824051.1300001</v>
      </c>
      <c r="E1103" s="35">
        <f>+'[2]por cuent'!H1103</f>
        <v>2376824051.1300001</v>
      </c>
      <c r="F1103" t="str">
        <f>+'[2]por cuent'!I1103</f>
        <v>486</v>
      </c>
    </row>
    <row r="1104" spans="1:6" x14ac:dyDescent="0.35">
      <c r="A1104" t="str">
        <f>+'[2]por cuent'!A1104</f>
        <v>ARS</v>
      </c>
      <c r="B1104" t="str">
        <f>+'[2]por cuent'!B1104</f>
        <v>486004545</v>
      </c>
      <c r="C1104" t="str">
        <f>+'[2]por cuent'!C1104</f>
        <v>UG Valores SA (Trading2)</v>
      </c>
      <c r="D1104" s="35">
        <f>+'[2]por cuent'!G1104</f>
        <v>11448477.300000001</v>
      </c>
      <c r="E1104" s="35">
        <f>+'[2]por cuent'!H1104</f>
        <v>11448477.300000001</v>
      </c>
      <c r="F1104" t="str">
        <f>+'[2]por cuent'!I1104</f>
        <v>486</v>
      </c>
    </row>
    <row r="1105" spans="1:6" x14ac:dyDescent="0.35">
      <c r="A1105" t="str">
        <f>+'[2]por cuent'!A1105</f>
        <v>ARS</v>
      </c>
      <c r="B1105" t="str">
        <f>+'[2]por cuent'!B1105</f>
        <v>486005002</v>
      </c>
      <c r="C1105" t="str">
        <f>+'[2]por cuent'!C1105</f>
        <v>LA COMODIDAD MATA SRL</v>
      </c>
      <c r="D1105" s="35">
        <f>+'[2]por cuent'!G1105</f>
        <v>108168716.37</v>
      </c>
      <c r="E1105" s="35">
        <f>+'[2]por cuent'!H1105</f>
        <v>108168716.37</v>
      </c>
      <c r="F1105" t="str">
        <f>+'[2]por cuent'!I1105</f>
        <v>486</v>
      </c>
    </row>
    <row r="1106" spans="1:6" x14ac:dyDescent="0.35">
      <c r="A1106" t="str">
        <f>+'[2]por cuent'!A1106</f>
        <v>ARS</v>
      </c>
      <c r="B1106" t="str">
        <f>+'[2]por cuent'!B1106</f>
        <v>486005009</v>
      </c>
      <c r="C1106" t="str">
        <f>+'[2]por cuent'!C1106</f>
        <v>Fideicomiso Catedral HI y JK</v>
      </c>
      <c r="D1106" s="35">
        <f>+'[2]por cuent'!G1106</f>
        <v>4181069.1</v>
      </c>
      <c r="E1106" s="35">
        <f>+'[2]por cuent'!H1106</f>
        <v>4181069.1</v>
      </c>
      <c r="F1106" t="str">
        <f>+'[2]por cuent'!I1106</f>
        <v>486</v>
      </c>
    </row>
    <row r="1107" spans="1:6" x14ac:dyDescent="0.35">
      <c r="A1107" t="str">
        <f>+'[2]por cuent'!A1107</f>
        <v>ARS</v>
      </c>
      <c r="B1107" t="str">
        <f>+'[2]por cuent'!B1107</f>
        <v>486005010</v>
      </c>
      <c r="C1107" t="str">
        <f>+'[2]por cuent'!C1107</f>
        <v>NIUCAPITAL SRL</v>
      </c>
      <c r="D1107" s="35">
        <f>+'[2]por cuent'!G1107</f>
        <v>27565367.100000001</v>
      </c>
      <c r="E1107" s="35">
        <f>+'[2]por cuent'!H1107</f>
        <v>27565367.100000001</v>
      </c>
      <c r="F1107" t="str">
        <f>+'[2]por cuent'!I1107</f>
        <v>486</v>
      </c>
    </row>
    <row r="1108" spans="1:6" x14ac:dyDescent="0.35">
      <c r="A1108" t="str">
        <f>+'[2]por cuent'!A1108</f>
        <v>ARS</v>
      </c>
      <c r="B1108" t="str">
        <f>+'[2]por cuent'!B1108</f>
        <v>486005011</v>
      </c>
      <c r="C1108" t="str">
        <f>+'[2]por cuent'!C1108</f>
        <v>NIUCAPITAL SPA</v>
      </c>
      <c r="D1108" s="35">
        <f>+'[2]por cuent'!G1108</f>
        <v>26692164.84</v>
      </c>
      <c r="E1108" s="35">
        <f>+'[2]por cuent'!H1108</f>
        <v>26692164.84</v>
      </c>
      <c r="F1108" t="str">
        <f>+'[2]por cuent'!I1108</f>
        <v>486</v>
      </c>
    </row>
    <row r="1109" spans="1:6" x14ac:dyDescent="0.35">
      <c r="A1109" t="str">
        <f>+'[2]por cuent'!A1109</f>
        <v>ARS</v>
      </c>
      <c r="B1109" t="str">
        <f>+'[2]por cuent'!B1109</f>
        <v>486005012</v>
      </c>
      <c r="C1109" t="str">
        <f>+'[2]por cuent'!C1109</f>
        <v>ANDES AGROS</v>
      </c>
      <c r="D1109" s="35">
        <f>+'[2]por cuent'!G1109</f>
        <v>13904731.859999999</v>
      </c>
      <c r="E1109" s="35">
        <f>+'[2]por cuent'!H1109</f>
        <v>13904731.859999999</v>
      </c>
      <c r="F1109" t="str">
        <f>+'[2]por cuent'!I1109</f>
        <v>486</v>
      </c>
    </row>
    <row r="1110" spans="1:6" x14ac:dyDescent="0.35">
      <c r="A1110" t="str">
        <f>+'[2]por cuent'!A1110</f>
        <v>ARS</v>
      </c>
      <c r="B1110" t="str">
        <f>+'[2]por cuent'!B1110</f>
        <v>486005013</v>
      </c>
      <c r="C1110" t="str">
        <f>+'[2]por cuent'!C1110</f>
        <v xml:space="preserve"> PROCAN MATERIALES ELECTRICOS SRL</v>
      </c>
      <c r="D1110" s="35">
        <f>+'[2]por cuent'!G1110</f>
        <v>445749325.33999997</v>
      </c>
      <c r="E1110" s="35">
        <f>+'[2]por cuent'!H1110</f>
        <v>445749325.33999997</v>
      </c>
      <c r="F1110" t="str">
        <f>+'[2]por cuent'!I1110</f>
        <v>486</v>
      </c>
    </row>
    <row r="1111" spans="1:6" x14ac:dyDescent="0.35">
      <c r="A1111" t="str">
        <f>+'[2]por cuent'!A1111</f>
        <v>ARS</v>
      </c>
      <c r="B1111" t="str">
        <f>+'[2]por cuent'!B1111</f>
        <v>486005016</v>
      </c>
      <c r="C1111" t="str">
        <f>+'[2]por cuent'!C1111</f>
        <v>Hola Compañia de Seguros de Personas S.A.</v>
      </c>
      <c r="D1111" s="35">
        <f>+'[2]por cuent'!G1111</f>
        <v>149625848.19999999</v>
      </c>
      <c r="E1111" s="35">
        <f>+'[2]por cuent'!H1111</f>
        <v>149625848.19999999</v>
      </c>
      <c r="F1111" t="str">
        <f>+'[2]por cuent'!I1111</f>
        <v>486</v>
      </c>
    </row>
    <row r="1112" spans="1:6" x14ac:dyDescent="0.35">
      <c r="A1112" t="str">
        <f>+'[2]por cuent'!A1112</f>
        <v>ARS</v>
      </c>
      <c r="B1112" t="str">
        <f>+'[2]por cuent'!B1112</f>
        <v>486005021</v>
      </c>
      <c r="C1112" t="str">
        <f>+'[2]por cuent'!C1112</f>
        <v>Cinco Yardas S.R.L</v>
      </c>
      <c r="D1112" s="35">
        <f>+'[2]por cuent'!G1112</f>
        <v>1055275399.8</v>
      </c>
      <c r="E1112" s="35">
        <f>+'[2]por cuent'!H1112</f>
        <v>1055275399.8</v>
      </c>
      <c r="F1112" t="str">
        <f>+'[2]por cuent'!I1112</f>
        <v>486</v>
      </c>
    </row>
    <row r="1113" spans="1:6" x14ac:dyDescent="0.35">
      <c r="A1113" t="str">
        <f>+'[2]por cuent'!A1113</f>
        <v>ARS</v>
      </c>
      <c r="B1113" t="str">
        <f>+'[2]por cuent'!B1113</f>
        <v>486007373</v>
      </c>
      <c r="C1113" t="str">
        <f>+'[2]por cuent'!C1113</f>
        <v>Marque, Joaquín Enrique (BOT)</v>
      </c>
      <c r="D1113" s="35">
        <f>+'[2]por cuent'!G1113</f>
        <v>165833205716.5</v>
      </c>
      <c r="E1113" s="35">
        <f>+'[2]por cuent'!H1113</f>
        <v>165833205716.5</v>
      </c>
      <c r="F1113" t="str">
        <f>+'[2]por cuent'!I1113</f>
        <v>486</v>
      </c>
    </row>
    <row r="1114" spans="1:6" x14ac:dyDescent="0.35">
      <c r="A1114" t="str">
        <f>+'[2]por cuent'!A1114</f>
        <v>ARS</v>
      </c>
      <c r="B1114" t="str">
        <f>+'[2]por cuent'!B1114</f>
        <v>486100115</v>
      </c>
      <c r="C1114" t="str">
        <f>+'[2]por cuent'!C1114</f>
        <v>[C.E.R.A.] Vilariño, Federico Manuel</v>
      </c>
      <c r="D1114" s="35">
        <f>+'[2]por cuent'!G1114</f>
        <v>2266351337.6799998</v>
      </c>
      <c r="E1114" s="35">
        <f>+'[2]por cuent'!H1114</f>
        <v>2266351337.6799998</v>
      </c>
      <c r="F1114" t="str">
        <f>+'[2]por cuent'!I1114</f>
        <v>486</v>
      </c>
    </row>
    <row r="1115" spans="1:6" x14ac:dyDescent="0.35">
      <c r="A1115" t="str">
        <f>+'[2]por cuent'!A1115</f>
        <v>ARS</v>
      </c>
      <c r="B1115" t="str">
        <f>+'[2]por cuent'!B1115</f>
        <v>486100129</v>
      </c>
      <c r="C1115" t="str">
        <f>+'[2]por cuent'!C1115</f>
        <v>[C.E.R.A.] Vilariño, Juan Cruz</v>
      </c>
      <c r="D1115" s="35">
        <f>+'[2]por cuent'!G1115</f>
        <v>1716730105.2</v>
      </c>
      <c r="E1115" s="35">
        <f>+'[2]por cuent'!H1115</f>
        <v>1716730105.2</v>
      </c>
      <c r="F1115" t="str">
        <f>+'[2]por cuent'!I1115</f>
        <v>486</v>
      </c>
    </row>
    <row r="1116" spans="1:6" x14ac:dyDescent="0.35">
      <c r="A1116" t="str">
        <f>+'[2]por cuent'!A1116</f>
        <v>ARS</v>
      </c>
      <c r="B1116" t="str">
        <f>+'[2]por cuent'!B1116</f>
        <v>486100269</v>
      </c>
      <c r="C1116" t="str">
        <f>+'[2]por cuent'!C1116</f>
        <v>[C.E.R.A.] Vilariño, Agustin</v>
      </c>
      <c r="D1116" s="35">
        <f>+'[2]por cuent'!G1116</f>
        <v>20134458.5</v>
      </c>
      <c r="E1116" s="35">
        <f>+'[2]por cuent'!H1116</f>
        <v>20134458.5</v>
      </c>
      <c r="F1116" t="str">
        <f>+'[2]por cuent'!I1116</f>
        <v>486</v>
      </c>
    </row>
    <row r="1117" spans="1:6" x14ac:dyDescent="0.35">
      <c r="A1117" t="str">
        <f>+'[2]por cuent'!A1117</f>
        <v>ARS</v>
      </c>
      <c r="B1117" t="str">
        <f>+'[2]por cuent'!B1117</f>
        <v>492000007</v>
      </c>
      <c r="C1117" t="str">
        <f>+'[2]por cuent'!C1117</f>
        <v>EMELKA SA</v>
      </c>
      <c r="D1117" s="35">
        <f>+'[2]por cuent'!G1117</f>
        <v>211038357.19999999</v>
      </c>
      <c r="E1117" s="35">
        <f>+'[2]por cuent'!H1117</f>
        <v>211038357.19999999</v>
      </c>
      <c r="F1117" t="str">
        <f>+'[2]por cuent'!I1117</f>
        <v>492</v>
      </c>
    </row>
    <row r="1118" spans="1:6" x14ac:dyDescent="0.35">
      <c r="A1118" t="str">
        <f>+'[2]por cuent'!A1118</f>
        <v>ARS</v>
      </c>
      <c r="B1118" t="str">
        <f>+'[2]por cuent'!B1118</f>
        <v>492000010</v>
      </c>
      <c r="C1118" t="str">
        <f>+'[2]por cuent'!C1118</f>
        <v>POSSE SANTIAGO</v>
      </c>
      <c r="D1118" s="35">
        <f>+'[2]por cuent'!G1118</f>
        <v>16598640.1</v>
      </c>
      <c r="E1118" s="35">
        <f>+'[2]por cuent'!H1118</f>
        <v>16598640.1</v>
      </c>
      <c r="F1118" t="str">
        <f>+'[2]por cuent'!I1118</f>
        <v>492</v>
      </c>
    </row>
    <row r="1119" spans="1:6" x14ac:dyDescent="0.35">
      <c r="A1119" t="str">
        <f>+'[2]por cuent'!A1119</f>
        <v>ARS</v>
      </c>
      <c r="B1119" t="str">
        <f>+'[2]por cuent'!B1119</f>
        <v>492000028</v>
      </c>
      <c r="C1119" t="str">
        <f>+'[2]por cuent'!C1119</f>
        <v>SOUTHCROSS LOGISTICS S.A.</v>
      </c>
      <c r="D1119" s="35">
        <f>+'[2]por cuent'!G1119</f>
        <v>93293825.920000002</v>
      </c>
      <c r="E1119" s="35">
        <f>+'[2]por cuent'!H1119</f>
        <v>93293825.920000002</v>
      </c>
      <c r="F1119" t="str">
        <f>+'[2]por cuent'!I1119</f>
        <v>492</v>
      </c>
    </row>
    <row r="1120" spans="1:6" x14ac:dyDescent="0.35">
      <c r="A1120" t="str">
        <f>+'[2]por cuent'!A1120</f>
        <v>ARS</v>
      </c>
      <c r="B1120" t="str">
        <f>+'[2]por cuent'!B1120</f>
        <v>492000029</v>
      </c>
      <c r="C1120" t="str">
        <f>+'[2]por cuent'!C1120</f>
        <v>RICSA</v>
      </c>
      <c r="D1120" s="35">
        <f>+'[2]por cuent'!G1120</f>
        <v>224698014941.82001</v>
      </c>
      <c r="E1120" s="35">
        <f>+'[2]por cuent'!H1120</f>
        <v>224698014941.82001</v>
      </c>
      <c r="F1120" t="str">
        <f>+'[2]por cuent'!I1120</f>
        <v>492</v>
      </c>
    </row>
    <row r="1121" spans="1:6" x14ac:dyDescent="0.35">
      <c r="A1121" t="str">
        <f>+'[2]por cuent'!A1121</f>
        <v>ARS</v>
      </c>
      <c r="B1121" t="str">
        <f>+'[2]por cuent'!B1121</f>
        <v>492000030</v>
      </c>
      <c r="C1121" t="str">
        <f>+'[2]por cuent'!C1121</f>
        <v>PRECIADO, JUAN JOSE</v>
      </c>
      <c r="D1121" s="35">
        <f>+'[2]por cuent'!G1121</f>
        <v>22706934708.860001</v>
      </c>
      <c r="E1121" s="35">
        <f>+'[2]por cuent'!H1121</f>
        <v>22706934708.860001</v>
      </c>
      <c r="F1121" t="str">
        <f>+'[2]por cuent'!I1121</f>
        <v>492</v>
      </c>
    </row>
    <row r="1122" spans="1:6" x14ac:dyDescent="0.35">
      <c r="A1122" t="str">
        <f>+'[2]por cuent'!A1122</f>
        <v>ARS</v>
      </c>
      <c r="B1122" t="str">
        <f>+'[2]por cuent'!B1122</f>
        <v>492000034</v>
      </c>
      <c r="C1122" t="str">
        <f>+'[2]por cuent'!C1122</f>
        <v>CENTROCARD SA</v>
      </c>
      <c r="D1122" s="35">
        <f>+'[2]por cuent'!G1122</f>
        <v>1474030732.26</v>
      </c>
      <c r="E1122" s="35">
        <f>+'[2]por cuent'!H1122</f>
        <v>1474030732.26</v>
      </c>
      <c r="F1122" t="str">
        <f>+'[2]por cuent'!I1122</f>
        <v>492</v>
      </c>
    </row>
    <row r="1123" spans="1:6" x14ac:dyDescent="0.35">
      <c r="A1123" t="str">
        <f>+'[2]por cuent'!A1123</f>
        <v>ARS</v>
      </c>
      <c r="B1123" t="str">
        <f>+'[2]por cuent'!B1123</f>
        <v>492000059</v>
      </c>
      <c r="C1123" t="str">
        <f>+'[2]por cuent'!C1123</f>
        <v>Tear, Federico</v>
      </c>
      <c r="D1123" s="35">
        <f>+'[2]por cuent'!G1123</f>
        <v>97716880.260000005</v>
      </c>
      <c r="E1123" s="35">
        <f>+'[2]por cuent'!H1123</f>
        <v>97716880.260000005</v>
      </c>
      <c r="F1123" t="str">
        <f>+'[2]por cuent'!I1123</f>
        <v>492</v>
      </c>
    </row>
    <row r="1124" spans="1:6" x14ac:dyDescent="0.35">
      <c r="A1124" t="str">
        <f>+'[2]por cuent'!A1124</f>
        <v>ARS</v>
      </c>
      <c r="B1124" t="str">
        <f>+'[2]por cuent'!B1124</f>
        <v>492000077</v>
      </c>
      <c r="C1124" t="str">
        <f>+'[2]por cuent'!C1124</f>
        <v>LAYUN MARCELA</v>
      </c>
      <c r="D1124" s="35">
        <f>+'[2]por cuent'!G1124</f>
        <v>6515917.9000000004</v>
      </c>
      <c r="E1124" s="35">
        <f>+'[2]por cuent'!H1124</f>
        <v>6515917.9000000004</v>
      </c>
      <c r="F1124" t="str">
        <f>+'[2]por cuent'!I1124</f>
        <v>492</v>
      </c>
    </row>
    <row r="1125" spans="1:6" x14ac:dyDescent="0.35">
      <c r="A1125" t="str">
        <f>+'[2]por cuent'!A1125</f>
        <v>ARS</v>
      </c>
      <c r="B1125" t="str">
        <f>+'[2]por cuent'!B1125</f>
        <v>492000094</v>
      </c>
      <c r="C1125" t="str">
        <f>+'[2]por cuent'!C1125</f>
        <v>Silvina Hillar / Federico Tear</v>
      </c>
      <c r="D1125" s="35">
        <f>+'[2]por cuent'!G1125</f>
        <v>340417400</v>
      </c>
      <c r="E1125" s="35">
        <f>+'[2]por cuent'!H1125</f>
        <v>340417400</v>
      </c>
      <c r="F1125" t="str">
        <f>+'[2]por cuent'!I1125</f>
        <v>492</v>
      </c>
    </row>
    <row r="1126" spans="1:6" x14ac:dyDescent="0.35">
      <c r="A1126" t="str">
        <f>+'[2]por cuent'!A1126</f>
        <v>ARS</v>
      </c>
      <c r="B1126" t="str">
        <f>+'[2]por cuent'!B1126</f>
        <v>492000095</v>
      </c>
      <c r="C1126" t="str">
        <f>+'[2]por cuent'!C1126</f>
        <v>María Paula Tear</v>
      </c>
      <c r="D1126" s="35">
        <f>+'[2]por cuent'!G1126</f>
        <v>151411259</v>
      </c>
      <c r="E1126" s="35">
        <f>+'[2]por cuent'!H1126</f>
        <v>151411259</v>
      </c>
      <c r="F1126" t="str">
        <f>+'[2]por cuent'!I1126</f>
        <v>492</v>
      </c>
    </row>
    <row r="1127" spans="1:6" x14ac:dyDescent="0.35">
      <c r="A1127" t="str">
        <f>+'[2]por cuent'!A1127</f>
        <v>ARS</v>
      </c>
      <c r="B1127" t="str">
        <f>+'[2]por cuent'!B1127</f>
        <v>492000107</v>
      </c>
      <c r="C1127" t="str">
        <f>+'[2]por cuent'!C1127</f>
        <v>Carlos Alberto Diez</v>
      </c>
      <c r="D1127" s="35">
        <f>+'[2]por cuent'!G1127</f>
        <v>100000000</v>
      </c>
      <c r="E1127" s="35">
        <f>+'[2]por cuent'!H1127</f>
        <v>100000000</v>
      </c>
      <c r="F1127" t="str">
        <f>+'[2]por cuent'!I1127</f>
        <v>492</v>
      </c>
    </row>
    <row r="1128" spans="1:6" x14ac:dyDescent="0.35">
      <c r="A1128" t="str">
        <f>+'[2]por cuent'!A1128</f>
        <v>ARS</v>
      </c>
      <c r="B1128" t="str">
        <f>+'[2]por cuent'!B1128</f>
        <v>492000109</v>
      </c>
      <c r="C1128" t="str">
        <f>+'[2]por cuent'!C1128</f>
        <v xml:space="preserve">Olaizola Joaquín </v>
      </c>
      <c r="D1128" s="35">
        <f>+'[2]por cuent'!G1128</f>
        <v>5590.2</v>
      </c>
      <c r="E1128" s="35">
        <f>+'[2]por cuent'!H1128</f>
        <v>5590.2</v>
      </c>
      <c r="F1128" t="str">
        <f>+'[2]por cuent'!I1128</f>
        <v>492</v>
      </c>
    </row>
    <row r="1129" spans="1:6" x14ac:dyDescent="0.35">
      <c r="A1129" t="str">
        <f>+'[2]por cuent'!A1129</f>
        <v>ARS</v>
      </c>
      <c r="B1129" t="str">
        <f>+'[2]por cuent'!B1129</f>
        <v>492000110</v>
      </c>
      <c r="C1129" t="str">
        <f>+'[2]por cuent'!C1129</f>
        <v>Mini Mario Luigi</v>
      </c>
      <c r="D1129" s="35">
        <f>+'[2]por cuent'!G1129</f>
        <v>2188944.4</v>
      </c>
      <c r="E1129" s="35">
        <f>+'[2]por cuent'!H1129</f>
        <v>2188944.4</v>
      </c>
      <c r="F1129" t="str">
        <f>+'[2]por cuent'!I1129</f>
        <v>492</v>
      </c>
    </row>
    <row r="1130" spans="1:6" x14ac:dyDescent="0.35">
      <c r="A1130" t="str">
        <f>+'[2]por cuent'!A1130</f>
        <v>ARS</v>
      </c>
      <c r="B1130" t="str">
        <f>+'[2]por cuent'!B1130</f>
        <v>492000118</v>
      </c>
      <c r="C1130" t="str">
        <f>+'[2]por cuent'!C1130</f>
        <v>Federico Alberto Ceballos</v>
      </c>
      <c r="D1130" s="35">
        <f>+'[2]por cuent'!G1130</f>
        <v>5025431</v>
      </c>
      <c r="E1130" s="35">
        <f>+'[2]por cuent'!H1130</f>
        <v>5025431</v>
      </c>
      <c r="F1130" t="str">
        <f>+'[2]por cuent'!I1130</f>
        <v>492</v>
      </c>
    </row>
    <row r="1131" spans="1:6" x14ac:dyDescent="0.35">
      <c r="A1131" t="str">
        <f>+'[2]por cuent'!A1131</f>
        <v>ARS</v>
      </c>
      <c r="B1131" t="str">
        <f>+'[2]por cuent'!B1131</f>
        <v>492000125</v>
      </c>
      <c r="C1131" t="str">
        <f>+'[2]por cuent'!C1131</f>
        <v>Francisco Rivera Mirande</v>
      </c>
      <c r="D1131" s="35">
        <f>+'[2]por cuent'!G1131</f>
        <v>18228</v>
      </c>
      <c r="E1131" s="35">
        <f>+'[2]por cuent'!H1131</f>
        <v>18228</v>
      </c>
      <c r="F1131" t="str">
        <f>+'[2]por cuent'!I1131</f>
        <v>492</v>
      </c>
    </row>
    <row r="1132" spans="1:6" x14ac:dyDescent="0.35">
      <c r="A1132" t="str">
        <f>+'[2]por cuent'!A1132</f>
        <v>ARS</v>
      </c>
      <c r="B1132" t="str">
        <f>+'[2]por cuent'!B1132</f>
        <v>492000129</v>
      </c>
      <c r="C1132" t="str">
        <f>+'[2]por cuent'!C1132</f>
        <v>AXIS ESTRATEGIA 6 FCI</v>
      </c>
      <c r="D1132" s="35">
        <f>+'[2]por cuent'!G1132</f>
        <v>15981813785.370001</v>
      </c>
      <c r="E1132" s="35">
        <f>+'[2]por cuent'!H1132</f>
        <v>15981813785.370001</v>
      </c>
      <c r="F1132" t="str">
        <f>+'[2]por cuent'!I1132</f>
        <v>492</v>
      </c>
    </row>
    <row r="1133" spans="1:6" x14ac:dyDescent="0.35">
      <c r="A1133" t="str">
        <f>+'[2]por cuent'!A1133</f>
        <v>ARS</v>
      </c>
      <c r="B1133" t="str">
        <f>+'[2]por cuent'!B1133</f>
        <v>492000139</v>
      </c>
      <c r="C1133" t="str">
        <f>+'[2]por cuent'!C1133</f>
        <v>Kobeliovsky Simon Gustavo</v>
      </c>
      <c r="D1133" s="35">
        <f>+'[2]por cuent'!G1133</f>
        <v>13349106.300000001</v>
      </c>
      <c r="E1133" s="35">
        <f>+'[2]por cuent'!H1133</f>
        <v>13349106.300000001</v>
      </c>
      <c r="F1133" t="str">
        <f>+'[2]por cuent'!I1133</f>
        <v>492</v>
      </c>
    </row>
    <row r="1134" spans="1:6" x14ac:dyDescent="0.35">
      <c r="A1134" t="str">
        <f>+'[2]por cuent'!A1134</f>
        <v>ARS</v>
      </c>
      <c r="B1134" t="str">
        <f>+'[2]por cuent'!B1134</f>
        <v>492000164</v>
      </c>
      <c r="C1134" t="str">
        <f>+'[2]por cuent'!C1134</f>
        <v>Bizland SAU</v>
      </c>
      <c r="D1134" s="35">
        <f>+'[2]por cuent'!G1134</f>
        <v>874599675.03999996</v>
      </c>
      <c r="E1134" s="35">
        <f>+'[2]por cuent'!H1134</f>
        <v>874599675.03999996</v>
      </c>
      <c r="F1134" t="str">
        <f>+'[2]por cuent'!I1134</f>
        <v>492</v>
      </c>
    </row>
    <row r="1135" spans="1:6" x14ac:dyDescent="0.35">
      <c r="A1135" t="str">
        <f>+'[2]por cuent'!A1135</f>
        <v>ARS</v>
      </c>
      <c r="B1135" t="str">
        <f>+'[2]por cuent'!B1135</f>
        <v>492000181</v>
      </c>
      <c r="C1135" t="str">
        <f>+'[2]por cuent'!C1135</f>
        <v>Berenice Mariel Correa</v>
      </c>
      <c r="D1135" s="35">
        <f>+'[2]por cuent'!G1135</f>
        <v>127624</v>
      </c>
      <c r="E1135" s="35">
        <f>+'[2]por cuent'!H1135</f>
        <v>127624</v>
      </c>
      <c r="F1135" t="str">
        <f>+'[2]por cuent'!I1135</f>
        <v>492</v>
      </c>
    </row>
    <row r="1136" spans="1:6" x14ac:dyDescent="0.35">
      <c r="A1136" t="str">
        <f>+'[2]por cuent'!A1136</f>
        <v>ARS</v>
      </c>
      <c r="B1136" t="str">
        <f>+'[2]por cuent'!B1136</f>
        <v>492000184</v>
      </c>
      <c r="C1136" t="str">
        <f>+'[2]por cuent'!C1136</f>
        <v>Celotto Construcciones SRL</v>
      </c>
      <c r="D1136" s="35">
        <f>+'[2]por cuent'!G1136</f>
        <v>9376503.0399999991</v>
      </c>
      <c r="E1136" s="35">
        <f>+'[2]por cuent'!H1136</f>
        <v>9376503.0399999991</v>
      </c>
      <c r="F1136" t="str">
        <f>+'[2]por cuent'!I1136</f>
        <v>492</v>
      </c>
    </row>
    <row r="1137" spans="1:6" x14ac:dyDescent="0.35">
      <c r="A1137" t="str">
        <f>+'[2]por cuent'!A1137</f>
        <v>ARS</v>
      </c>
      <c r="B1137" t="str">
        <f>+'[2]por cuent'!B1137</f>
        <v>492000193</v>
      </c>
      <c r="C1137" t="str">
        <f>+'[2]por cuent'!C1137</f>
        <v>Dario Hernan Irigaray</v>
      </c>
      <c r="D1137" s="35">
        <f>+'[2]por cuent'!G1137</f>
        <v>34379527.200000003</v>
      </c>
      <c r="E1137" s="35">
        <f>+'[2]por cuent'!H1137</f>
        <v>34379527.200000003</v>
      </c>
      <c r="F1137" t="str">
        <f>+'[2]por cuent'!I1137</f>
        <v>492</v>
      </c>
    </row>
    <row r="1138" spans="1:6" x14ac:dyDescent="0.35">
      <c r="A1138" t="str">
        <f>+'[2]por cuent'!A1138</f>
        <v>ARS</v>
      </c>
      <c r="B1138" t="str">
        <f>+'[2]por cuent'!B1138</f>
        <v>492000197</v>
      </c>
      <c r="C1138" t="str">
        <f>+'[2]por cuent'!C1138</f>
        <v>TEAR, MARIA JOSE</v>
      </c>
      <c r="D1138" s="35">
        <f>+'[2]por cuent'!G1138</f>
        <v>20000000</v>
      </c>
      <c r="E1138" s="35">
        <f>+'[2]por cuent'!H1138</f>
        <v>20000000</v>
      </c>
      <c r="F1138" t="str">
        <f>+'[2]por cuent'!I1138</f>
        <v>492</v>
      </c>
    </row>
    <row r="1139" spans="1:6" x14ac:dyDescent="0.35">
      <c r="A1139" t="str">
        <f>+'[2]por cuent'!A1139</f>
        <v>ARS</v>
      </c>
      <c r="B1139" t="str">
        <f>+'[2]por cuent'!B1139</f>
        <v>492000199</v>
      </c>
      <c r="C1139" t="str">
        <f>+'[2]por cuent'!C1139</f>
        <v>Corralon Aconquija S.R.L</v>
      </c>
      <c r="D1139" s="35">
        <f>+'[2]por cuent'!G1139</f>
        <v>23267852.050000001</v>
      </c>
      <c r="E1139" s="35">
        <f>+'[2]por cuent'!H1139</f>
        <v>23267852.050000001</v>
      </c>
      <c r="F1139" t="str">
        <f>+'[2]por cuent'!I1139</f>
        <v>492</v>
      </c>
    </row>
    <row r="1140" spans="1:6" x14ac:dyDescent="0.35">
      <c r="A1140" t="str">
        <f>+'[2]por cuent'!A1140</f>
        <v>ARS</v>
      </c>
      <c r="B1140" t="str">
        <f>+'[2]por cuent'!B1140</f>
        <v>492000215</v>
      </c>
      <c r="C1140" t="str">
        <f>+'[2]por cuent'!C1140</f>
        <v>AGRO. ARG S.R.L.</v>
      </c>
      <c r="D1140" s="35">
        <f>+'[2]por cuent'!G1140</f>
        <v>32794762.859999999</v>
      </c>
      <c r="E1140" s="35">
        <f>+'[2]por cuent'!H1140</f>
        <v>32794762.859999999</v>
      </c>
      <c r="F1140" t="str">
        <f>+'[2]por cuent'!I1140</f>
        <v>492</v>
      </c>
    </row>
    <row r="1141" spans="1:6" x14ac:dyDescent="0.35">
      <c r="A1141" t="str">
        <f>+'[2]por cuent'!A1141</f>
        <v>ARS</v>
      </c>
      <c r="B1141" t="str">
        <f>+'[2]por cuent'!B1141</f>
        <v>492000239</v>
      </c>
      <c r="C1141" t="str">
        <f>+'[2]por cuent'!C1141</f>
        <v>KOBELIOVSKY, MATIAS</v>
      </c>
      <c r="D1141" s="35">
        <f>+'[2]por cuent'!G1141</f>
        <v>3554200</v>
      </c>
      <c r="E1141" s="35">
        <f>+'[2]por cuent'!H1141</f>
        <v>3554200</v>
      </c>
      <c r="F1141" t="str">
        <f>+'[2]por cuent'!I1141</f>
        <v>492</v>
      </c>
    </row>
    <row r="1142" spans="1:6" x14ac:dyDescent="0.35">
      <c r="A1142" t="str">
        <f>+'[2]por cuent'!A1142</f>
        <v>ARS</v>
      </c>
      <c r="B1142" t="str">
        <f>+'[2]por cuent'!B1142</f>
        <v>492000242</v>
      </c>
      <c r="C1142" t="str">
        <f>+'[2]por cuent'!C1142</f>
        <v>AFB AVALES SGR</v>
      </c>
      <c r="D1142" s="35">
        <f>+'[2]por cuent'!G1142</f>
        <v>213888958.40000001</v>
      </c>
      <c r="E1142" s="35">
        <f>+'[2]por cuent'!H1142</f>
        <v>213888958.40000001</v>
      </c>
      <c r="F1142" t="str">
        <f>+'[2]por cuent'!I1142</f>
        <v>492</v>
      </c>
    </row>
    <row r="1143" spans="1:6" x14ac:dyDescent="0.35">
      <c r="A1143" t="str">
        <f>+'[2]por cuent'!A1143</f>
        <v>ARS</v>
      </c>
      <c r="B1143" t="str">
        <f>+'[2]por cuent'!B1143</f>
        <v>492000256</v>
      </c>
      <c r="C1143" t="str">
        <f>+'[2]por cuent'!C1143</f>
        <v>BERGOGLIO, EMANUEL HORACIO</v>
      </c>
      <c r="D1143" s="35">
        <f>+'[2]por cuent'!G1143</f>
        <v>39994469.189999998</v>
      </c>
      <c r="E1143" s="35">
        <f>+'[2]por cuent'!H1143</f>
        <v>39994469.189999998</v>
      </c>
      <c r="F1143" t="str">
        <f>+'[2]por cuent'!I1143</f>
        <v>492</v>
      </c>
    </row>
    <row r="1144" spans="1:6" x14ac:dyDescent="0.35">
      <c r="A1144" t="str">
        <f>+'[2]por cuent'!A1144</f>
        <v>ARS</v>
      </c>
      <c r="B1144" t="str">
        <f>+'[2]por cuent'!B1144</f>
        <v>492000258</v>
      </c>
      <c r="C1144" t="str">
        <f>+'[2]por cuent'!C1144</f>
        <v>MAZZEO BARRERA, RAMIRO TOMAS</v>
      </c>
      <c r="D1144" s="35">
        <f>+'[2]por cuent'!G1144</f>
        <v>1594592.93</v>
      </c>
      <c r="E1144" s="35">
        <f>+'[2]por cuent'!H1144</f>
        <v>1594592.93</v>
      </c>
      <c r="F1144" t="str">
        <f>+'[2]por cuent'!I1144</f>
        <v>492</v>
      </c>
    </row>
    <row r="1145" spans="1:6" x14ac:dyDescent="0.35">
      <c r="A1145" t="str">
        <f>+'[2]por cuent'!A1145</f>
        <v>ARS</v>
      </c>
      <c r="B1145" t="str">
        <f>+'[2]por cuent'!B1145</f>
        <v>492000264</v>
      </c>
      <c r="C1145" t="str">
        <f>+'[2]por cuent'!C1145</f>
        <v>DIEZ, ALEJO CARLOS</v>
      </c>
      <c r="D1145" s="35">
        <f>+'[2]por cuent'!G1145</f>
        <v>1205482.3999999999</v>
      </c>
      <c r="E1145" s="35">
        <f>+'[2]por cuent'!H1145</f>
        <v>1205482.3999999999</v>
      </c>
      <c r="F1145" t="str">
        <f>+'[2]por cuent'!I1145</f>
        <v>492</v>
      </c>
    </row>
    <row r="1146" spans="1:6" x14ac:dyDescent="0.35">
      <c r="A1146" t="str">
        <f>+'[2]por cuent'!A1146</f>
        <v>ARS</v>
      </c>
      <c r="B1146" t="str">
        <f>+'[2]por cuent'!B1146</f>
        <v>492000266</v>
      </c>
      <c r="C1146" t="str">
        <f>+'[2]por cuent'!C1146</f>
        <v>CANTOCHAP S.A.</v>
      </c>
      <c r="D1146" s="35">
        <f>+'[2]por cuent'!G1146</f>
        <v>230842825.66</v>
      </c>
      <c r="E1146" s="35">
        <f>+'[2]por cuent'!H1146</f>
        <v>230842825.66</v>
      </c>
      <c r="F1146" t="str">
        <f>+'[2]por cuent'!I1146</f>
        <v>492</v>
      </c>
    </row>
    <row r="1147" spans="1:6" x14ac:dyDescent="0.35">
      <c r="A1147" t="str">
        <f>+'[2]por cuent'!A1147</f>
        <v>ARS</v>
      </c>
      <c r="B1147" t="str">
        <f>+'[2]por cuent'!B1147</f>
        <v>492000284</v>
      </c>
      <c r="C1147" t="str">
        <f>+'[2]por cuent'!C1147</f>
        <v>L K GLOBAL SA</v>
      </c>
      <c r="D1147" s="35">
        <f>+'[2]por cuent'!G1147</f>
        <v>23664330</v>
      </c>
      <c r="E1147" s="35">
        <f>+'[2]por cuent'!H1147</f>
        <v>23664330</v>
      </c>
      <c r="F1147" t="str">
        <f>+'[2]por cuent'!I1147</f>
        <v>492</v>
      </c>
    </row>
    <row r="1148" spans="1:6" x14ac:dyDescent="0.35">
      <c r="A1148" t="str">
        <f>+'[2]por cuent'!A1148</f>
        <v>ARS</v>
      </c>
      <c r="B1148" t="str">
        <f>+'[2]por cuent'!B1148</f>
        <v>492000285</v>
      </c>
      <c r="C1148" t="str">
        <f>+'[2]por cuent'!C1148</f>
        <v>EPA SAS</v>
      </c>
      <c r="D1148" s="35">
        <f>+'[2]por cuent'!G1148</f>
        <v>45678151.579999998</v>
      </c>
      <c r="E1148" s="35">
        <f>+'[2]por cuent'!H1148</f>
        <v>45678151.579999998</v>
      </c>
      <c r="F1148" t="str">
        <f>+'[2]por cuent'!I1148</f>
        <v>492</v>
      </c>
    </row>
    <row r="1149" spans="1:6" x14ac:dyDescent="0.35">
      <c r="A1149" t="str">
        <f>+'[2]por cuent'!A1149</f>
        <v>ARS</v>
      </c>
      <c r="B1149" t="str">
        <f>+'[2]por cuent'!B1149</f>
        <v>492000305</v>
      </c>
      <c r="C1149" t="str">
        <f>+'[2]por cuent'!C1149</f>
        <v>DIEZ, VICTORIA</v>
      </c>
      <c r="D1149" s="35">
        <f>+'[2]por cuent'!G1149</f>
        <v>1228153</v>
      </c>
      <c r="E1149" s="35">
        <f>+'[2]por cuent'!H1149</f>
        <v>1228153</v>
      </c>
      <c r="F1149" t="str">
        <f>+'[2]por cuent'!I1149</f>
        <v>492</v>
      </c>
    </row>
    <row r="1150" spans="1:6" x14ac:dyDescent="0.35">
      <c r="A1150" t="str">
        <f>+'[2]por cuent'!A1150</f>
        <v>ARS</v>
      </c>
      <c r="B1150" t="str">
        <f>+'[2]por cuent'!B1150</f>
        <v>492000310</v>
      </c>
      <c r="C1150" t="str">
        <f>+'[2]por cuent'!C1150</f>
        <v>RED INGENIERIA SRL</v>
      </c>
      <c r="D1150" s="35">
        <f>+'[2]por cuent'!G1150</f>
        <v>108699117</v>
      </c>
      <c r="E1150" s="35">
        <f>+'[2]por cuent'!H1150</f>
        <v>108699117</v>
      </c>
      <c r="F1150" t="str">
        <f>+'[2]por cuent'!I1150</f>
        <v>492</v>
      </c>
    </row>
    <row r="1151" spans="1:6" x14ac:dyDescent="0.35">
      <c r="A1151" t="str">
        <f>+'[2]por cuent'!A1151</f>
        <v>ARS</v>
      </c>
      <c r="B1151" t="str">
        <f>+'[2]por cuent'!B1151</f>
        <v>492000312</v>
      </c>
      <c r="C1151" t="str">
        <f>+'[2]por cuent'!C1151</f>
        <v>IND ERCO S A</v>
      </c>
      <c r="D1151" s="35">
        <f>+'[2]por cuent'!G1151</f>
        <v>49519200.009999998</v>
      </c>
      <c r="E1151" s="35">
        <f>+'[2]por cuent'!H1151</f>
        <v>49519200.009999998</v>
      </c>
      <c r="F1151" t="str">
        <f>+'[2]por cuent'!I1151</f>
        <v>492</v>
      </c>
    </row>
    <row r="1152" spans="1:6" x14ac:dyDescent="0.35">
      <c r="A1152" t="str">
        <f>+'[2]por cuent'!A1152</f>
        <v>ARS</v>
      </c>
      <c r="B1152" t="str">
        <f>+'[2]por cuent'!B1152</f>
        <v>492000313</v>
      </c>
      <c r="C1152" t="str">
        <f>+'[2]por cuent'!C1152</f>
        <v>SILICARO, REGINA MARTA</v>
      </c>
      <c r="D1152" s="35">
        <f>+'[2]por cuent'!G1152</f>
        <v>18132478.5</v>
      </c>
      <c r="E1152" s="35">
        <f>+'[2]por cuent'!H1152</f>
        <v>18132478.5</v>
      </c>
      <c r="F1152" t="str">
        <f>+'[2]por cuent'!I1152</f>
        <v>492</v>
      </c>
    </row>
    <row r="1153" spans="1:6" x14ac:dyDescent="0.35">
      <c r="A1153" t="str">
        <f>+'[2]por cuent'!A1153</f>
        <v>ARS</v>
      </c>
      <c r="B1153" t="str">
        <f>+'[2]por cuent'!B1153</f>
        <v>492000322</v>
      </c>
      <c r="C1153" t="str">
        <f>+'[2]por cuent'!C1153</f>
        <v>DOEYO, TOMAS o BUSTINGORRI, ANA INES</v>
      </c>
      <c r="D1153" s="35">
        <f>+'[2]por cuent'!G1153</f>
        <v>1943422.5</v>
      </c>
      <c r="E1153" s="35">
        <f>+'[2]por cuent'!H1153</f>
        <v>1943422.5</v>
      </c>
      <c r="F1153" t="str">
        <f>+'[2]por cuent'!I1153</f>
        <v>492</v>
      </c>
    </row>
    <row r="1154" spans="1:6" x14ac:dyDescent="0.35">
      <c r="A1154" t="str">
        <f>+'[2]por cuent'!A1154</f>
        <v>ARS</v>
      </c>
      <c r="B1154" t="str">
        <f>+'[2]por cuent'!B1154</f>
        <v>492000328</v>
      </c>
      <c r="C1154" t="str">
        <f>+'[2]por cuent'!C1154</f>
        <v>ANELO, MARCOS</v>
      </c>
      <c r="D1154" s="35">
        <f>+'[2]por cuent'!G1154</f>
        <v>682550019</v>
      </c>
      <c r="E1154" s="35">
        <f>+'[2]por cuent'!H1154</f>
        <v>682550019</v>
      </c>
      <c r="F1154" t="str">
        <f>+'[2]por cuent'!I1154</f>
        <v>492</v>
      </c>
    </row>
    <row r="1155" spans="1:6" x14ac:dyDescent="0.35">
      <c r="A1155" t="str">
        <f>+'[2]por cuent'!A1155</f>
        <v>ARS</v>
      </c>
      <c r="B1155" t="str">
        <f>+'[2]por cuent'!B1155</f>
        <v>492000330</v>
      </c>
      <c r="C1155" t="str">
        <f>+'[2]por cuent'!C1155</f>
        <v>CURCHOD, FERNANDO ALBERTO</v>
      </c>
      <c r="D1155" s="35">
        <f>+'[2]por cuent'!G1155</f>
        <v>12616079.449999999</v>
      </c>
      <c r="E1155" s="35">
        <f>+'[2]por cuent'!H1155</f>
        <v>12616079.449999999</v>
      </c>
      <c r="F1155" t="str">
        <f>+'[2]por cuent'!I1155</f>
        <v>492</v>
      </c>
    </row>
    <row r="1156" spans="1:6" x14ac:dyDescent="0.35">
      <c r="A1156" t="str">
        <f>+'[2]por cuent'!A1156</f>
        <v>ARS</v>
      </c>
      <c r="B1156" t="str">
        <f>+'[2]por cuent'!B1156</f>
        <v>492000332</v>
      </c>
      <c r="C1156" t="str">
        <f>+'[2]por cuent'!C1156</f>
        <v>ZAMMITTO S.R.L.</v>
      </c>
      <c r="D1156" s="35">
        <f>+'[2]por cuent'!G1156</f>
        <v>13742814.83</v>
      </c>
      <c r="E1156" s="35">
        <f>+'[2]por cuent'!H1156</f>
        <v>13742814.83</v>
      </c>
      <c r="F1156" t="str">
        <f>+'[2]por cuent'!I1156</f>
        <v>492</v>
      </c>
    </row>
    <row r="1157" spans="1:6" x14ac:dyDescent="0.35">
      <c r="A1157" t="str">
        <f>+'[2]por cuent'!A1157</f>
        <v>ARS</v>
      </c>
      <c r="B1157" t="str">
        <f>+'[2]por cuent'!B1157</f>
        <v>492000335</v>
      </c>
      <c r="C1157" t="str">
        <f>+'[2]por cuent'!C1157</f>
        <v xml:space="preserve">AXIS ESTRATEGIA 19 </v>
      </c>
      <c r="D1157" s="35">
        <f>+'[2]por cuent'!G1157</f>
        <v>24318802704.02</v>
      </c>
      <c r="E1157" s="35">
        <f>+'[2]por cuent'!H1157</f>
        <v>24318802704.02</v>
      </c>
      <c r="F1157" t="str">
        <f>+'[2]por cuent'!I1157</f>
        <v>492</v>
      </c>
    </row>
    <row r="1158" spans="1:6" x14ac:dyDescent="0.35">
      <c r="A1158" t="str">
        <f>+'[2]por cuent'!A1158</f>
        <v>ARS</v>
      </c>
      <c r="B1158" t="str">
        <f>+'[2]por cuent'!B1158</f>
        <v>492000345</v>
      </c>
      <c r="C1158" t="str">
        <f>+'[2]por cuent'!C1158</f>
        <v>INDEPENDENT AGENTS S.A.</v>
      </c>
      <c r="D1158" s="35">
        <f>+'[2]por cuent'!G1158</f>
        <v>82559591.280000001</v>
      </c>
      <c r="E1158" s="35">
        <f>+'[2]por cuent'!H1158</f>
        <v>82559591.280000001</v>
      </c>
      <c r="F1158" t="str">
        <f>+'[2]por cuent'!I1158</f>
        <v>492</v>
      </c>
    </row>
    <row r="1159" spans="1:6" x14ac:dyDescent="0.35">
      <c r="A1159" t="str">
        <f>+'[2]por cuent'!A1159</f>
        <v>ARS</v>
      </c>
      <c r="B1159" t="str">
        <f>+'[2]por cuent'!B1159</f>
        <v>492000348</v>
      </c>
      <c r="C1159" t="str">
        <f>+'[2]por cuent'!C1159</f>
        <v>MARINANGELI, VANESA CAROLINA</v>
      </c>
      <c r="D1159" s="35">
        <f>+'[2]por cuent'!G1159</f>
        <v>1863</v>
      </c>
      <c r="E1159" s="35">
        <f>+'[2]por cuent'!H1159</f>
        <v>1863</v>
      </c>
      <c r="F1159" t="str">
        <f>+'[2]por cuent'!I1159</f>
        <v>492</v>
      </c>
    </row>
    <row r="1160" spans="1:6" x14ac:dyDescent="0.35">
      <c r="A1160" t="str">
        <f>+'[2]por cuent'!A1160</f>
        <v>ARS</v>
      </c>
      <c r="B1160" t="str">
        <f>+'[2]por cuent'!B1160</f>
        <v>492000352</v>
      </c>
      <c r="C1160" t="str">
        <f>+'[2]por cuent'!C1160</f>
        <v>ABACA, GUILLERMO EDUARDO</v>
      </c>
      <c r="D1160" s="35">
        <f>+'[2]por cuent'!G1160</f>
        <v>465824.1</v>
      </c>
      <c r="E1160" s="35">
        <f>+'[2]por cuent'!H1160</f>
        <v>465824.1</v>
      </c>
      <c r="F1160" t="str">
        <f>+'[2]por cuent'!I1160</f>
        <v>492</v>
      </c>
    </row>
    <row r="1161" spans="1:6" x14ac:dyDescent="0.35">
      <c r="A1161" t="str">
        <f>+'[2]por cuent'!A1161</f>
        <v>ARS</v>
      </c>
      <c r="B1161" t="str">
        <f>+'[2]por cuent'!B1161</f>
        <v>492000362</v>
      </c>
      <c r="C1161" t="str">
        <f>+'[2]por cuent'!C1161</f>
        <v>COLMEGNA, FERNANDO MATIAS</v>
      </c>
      <c r="D1161" s="35">
        <f>+'[2]por cuent'!G1161</f>
        <v>1953735</v>
      </c>
      <c r="E1161" s="35">
        <f>+'[2]por cuent'!H1161</f>
        <v>1953735</v>
      </c>
      <c r="F1161" t="str">
        <f>+'[2]por cuent'!I1161</f>
        <v>492</v>
      </c>
    </row>
    <row r="1162" spans="1:6" x14ac:dyDescent="0.35">
      <c r="A1162" t="str">
        <f>+'[2]por cuent'!A1162</f>
        <v>ARS</v>
      </c>
      <c r="B1162" t="str">
        <f>+'[2]por cuent'!B1162</f>
        <v>492000363</v>
      </c>
      <c r="C1162" t="str">
        <f>+'[2]por cuent'!C1162</f>
        <v>CABRERA, EULALIA ALICIA</v>
      </c>
      <c r="D1162" s="35">
        <f>+'[2]por cuent'!G1162</f>
        <v>571970563.08000004</v>
      </c>
      <c r="E1162" s="35">
        <f>+'[2]por cuent'!H1162</f>
        <v>571970563.08000004</v>
      </c>
      <c r="F1162" t="str">
        <f>+'[2]por cuent'!I1162</f>
        <v>492</v>
      </c>
    </row>
    <row r="1163" spans="1:6" x14ac:dyDescent="0.35">
      <c r="A1163" t="str">
        <f>+'[2]por cuent'!A1163</f>
        <v>ARS</v>
      </c>
      <c r="B1163" t="str">
        <f>+'[2]por cuent'!B1163</f>
        <v>492000364</v>
      </c>
      <c r="C1163" t="str">
        <f>+'[2]por cuent'!C1163</f>
        <v xml:space="preserve">AXIS FCI ABIERTO PYMES 2 </v>
      </c>
      <c r="D1163" s="35">
        <f>+'[2]por cuent'!G1163</f>
        <v>12333308263.860001</v>
      </c>
      <c r="E1163" s="35">
        <f>+'[2]por cuent'!H1163</f>
        <v>12333308263.860001</v>
      </c>
      <c r="F1163" t="str">
        <f>+'[2]por cuent'!I1163</f>
        <v>492</v>
      </c>
    </row>
    <row r="1164" spans="1:6" x14ac:dyDescent="0.35">
      <c r="A1164" t="str">
        <f>+'[2]por cuent'!A1164</f>
        <v>ARS</v>
      </c>
      <c r="B1164" t="str">
        <f>+'[2]por cuent'!B1164</f>
        <v>492000372</v>
      </c>
      <c r="C1164" t="str">
        <f>+'[2]por cuent'!C1164</f>
        <v>SOIMU, MARCELO DANIEL</v>
      </c>
      <c r="D1164" s="35">
        <f>+'[2]por cuent'!G1164</f>
        <v>8098341.4000000004</v>
      </c>
      <c r="E1164" s="35">
        <f>+'[2]por cuent'!H1164</f>
        <v>8098341.4000000004</v>
      </c>
      <c r="F1164" t="str">
        <f>+'[2]por cuent'!I1164</f>
        <v>492</v>
      </c>
    </row>
    <row r="1165" spans="1:6" x14ac:dyDescent="0.35">
      <c r="A1165" t="str">
        <f>+'[2]por cuent'!A1165</f>
        <v>ARS</v>
      </c>
      <c r="B1165" t="str">
        <f>+'[2]por cuent'!B1165</f>
        <v>492000374</v>
      </c>
      <c r="C1165" t="str">
        <f>+'[2]por cuent'!C1165</f>
        <v>TRANSPORTE KALEMEN HUE S.R.L.</v>
      </c>
      <c r="D1165" s="35">
        <f>+'[2]por cuent'!G1165</f>
        <v>72481950.459999993</v>
      </c>
      <c r="E1165" s="35">
        <f>+'[2]por cuent'!H1165</f>
        <v>72481950.459999993</v>
      </c>
      <c r="F1165" t="str">
        <f>+'[2]por cuent'!I1165</f>
        <v>492</v>
      </c>
    </row>
    <row r="1166" spans="1:6" x14ac:dyDescent="0.35">
      <c r="A1166" t="str">
        <f>+'[2]por cuent'!A1166</f>
        <v>ARS</v>
      </c>
      <c r="B1166" t="str">
        <f>+'[2]por cuent'!B1166</f>
        <v>492000378</v>
      </c>
      <c r="C1166" t="str">
        <f>+'[2]por cuent'!C1166</f>
        <v>MOLLE, EMILIO MARIANO o BENEVENTANO, KARINA ALEJANDRA</v>
      </c>
      <c r="D1166" s="35">
        <f>+'[2]por cuent'!G1166</f>
        <v>17060574.18</v>
      </c>
      <c r="E1166" s="35">
        <f>+'[2]por cuent'!H1166</f>
        <v>17060574.18</v>
      </c>
      <c r="F1166" t="str">
        <f>+'[2]por cuent'!I1166</f>
        <v>492</v>
      </c>
    </row>
    <row r="1167" spans="1:6" x14ac:dyDescent="0.35">
      <c r="A1167" t="str">
        <f>+'[2]por cuent'!A1167</f>
        <v>ARS</v>
      </c>
      <c r="B1167" t="str">
        <f>+'[2]por cuent'!B1167</f>
        <v>492000382</v>
      </c>
      <c r="C1167" t="str">
        <f>+'[2]por cuent'!C1167</f>
        <v>MEDINA, LUCAS HERNAN</v>
      </c>
      <c r="D1167" s="35">
        <f>+'[2]por cuent'!G1167</f>
        <v>2272512.1</v>
      </c>
      <c r="E1167" s="35">
        <f>+'[2]por cuent'!H1167</f>
        <v>2272512.1</v>
      </c>
      <c r="F1167" t="str">
        <f>+'[2]por cuent'!I1167</f>
        <v>492</v>
      </c>
    </row>
    <row r="1168" spans="1:6" x14ac:dyDescent="0.35">
      <c r="A1168" t="str">
        <f>+'[2]por cuent'!A1168</f>
        <v>ARS</v>
      </c>
      <c r="B1168" t="str">
        <f>+'[2]por cuent'!B1168</f>
        <v>492000388</v>
      </c>
      <c r="C1168" t="str">
        <f>+'[2]por cuent'!C1168</f>
        <v>AUTOMOTORES DE CUYO S. A. S.</v>
      </c>
      <c r="D1168" s="35">
        <f>+'[2]por cuent'!G1168</f>
        <v>20240463.66</v>
      </c>
      <c r="E1168" s="35">
        <f>+'[2]por cuent'!H1168</f>
        <v>20240463.66</v>
      </c>
      <c r="F1168" t="str">
        <f>+'[2]por cuent'!I1168</f>
        <v>492</v>
      </c>
    </row>
    <row r="1169" spans="1:6" x14ac:dyDescent="0.35">
      <c r="A1169" t="str">
        <f>+'[2]por cuent'!A1169</f>
        <v>ARS</v>
      </c>
      <c r="B1169" t="str">
        <f>+'[2]por cuent'!B1169</f>
        <v>492000390</v>
      </c>
      <c r="C1169" t="str">
        <f>+'[2]por cuent'!C1169</f>
        <v>OLAIZOLA, MARTIN SIMON</v>
      </c>
      <c r="D1169" s="35">
        <f>+'[2]por cuent'!G1169</f>
        <v>22108.799999999999</v>
      </c>
      <c r="E1169" s="35">
        <f>+'[2]por cuent'!H1169</f>
        <v>22108.799999999999</v>
      </c>
      <c r="F1169" t="str">
        <f>+'[2]por cuent'!I1169</f>
        <v>492</v>
      </c>
    </row>
    <row r="1170" spans="1:6" x14ac:dyDescent="0.35">
      <c r="A1170" t="str">
        <f>+'[2]por cuent'!A1170</f>
        <v>ARS</v>
      </c>
      <c r="B1170" t="str">
        <f>+'[2]por cuent'!B1170</f>
        <v>492000391</v>
      </c>
      <c r="C1170" t="str">
        <f>+'[2]por cuent'!C1170</f>
        <v>[C.E.R.A] GONZALEZ, JORGE HORACIO</v>
      </c>
      <c r="D1170" s="35">
        <f>+'[2]por cuent'!G1170</f>
        <v>15700</v>
      </c>
      <c r="E1170" s="35">
        <f>+'[2]por cuent'!H1170</f>
        <v>15700</v>
      </c>
      <c r="F1170" t="str">
        <f>+'[2]por cuent'!I1170</f>
        <v>492</v>
      </c>
    </row>
    <row r="1171" spans="1:6" x14ac:dyDescent="0.35">
      <c r="A1171" t="str">
        <f>+'[2]por cuent'!A1171</f>
        <v>ARS</v>
      </c>
      <c r="B1171" t="str">
        <f>+'[2]por cuent'!B1171</f>
        <v>492000392</v>
      </c>
      <c r="C1171" t="str">
        <f>+'[2]por cuent'!C1171</f>
        <v>ROMCZYK, JORGE PEDRO</v>
      </c>
      <c r="D1171" s="35">
        <f>+'[2]por cuent'!G1171</f>
        <v>312559482.07999998</v>
      </c>
      <c r="E1171" s="35">
        <f>+'[2]por cuent'!H1171</f>
        <v>312559482.07999998</v>
      </c>
      <c r="F1171" t="str">
        <f>+'[2]por cuent'!I1171</f>
        <v>492</v>
      </c>
    </row>
    <row r="1172" spans="1:6" x14ac:dyDescent="0.35">
      <c r="A1172" t="str">
        <f>+'[2]por cuent'!A1172</f>
        <v>ARS</v>
      </c>
      <c r="B1172" t="str">
        <f>+'[2]por cuent'!B1172</f>
        <v>492000402</v>
      </c>
      <c r="C1172" t="str">
        <f>+'[2]por cuent'!C1172</f>
        <v>FIDEICOMISO MIÑONES 1872</v>
      </c>
      <c r="D1172" s="35">
        <f>+'[2]por cuent'!G1172</f>
        <v>3034356</v>
      </c>
      <c r="E1172" s="35">
        <f>+'[2]por cuent'!H1172</f>
        <v>3034356</v>
      </c>
      <c r="F1172" t="str">
        <f>+'[2]por cuent'!I1172</f>
        <v>492</v>
      </c>
    </row>
    <row r="1173" spans="1:6" x14ac:dyDescent="0.35">
      <c r="A1173" t="str">
        <f>+'[2]por cuent'!A1173</f>
        <v>ARS</v>
      </c>
      <c r="B1173" t="str">
        <f>+'[2]por cuent'!B1173</f>
        <v>492000406</v>
      </c>
      <c r="C1173" t="str">
        <f>+'[2]por cuent'!C1173</f>
        <v>[C.E.R.A.] SUAREZ GORRIA, FEDERICO</v>
      </c>
      <c r="D1173" s="35">
        <f>+'[2]por cuent'!G1173</f>
        <v>31730</v>
      </c>
      <c r="E1173" s="35">
        <f>+'[2]por cuent'!H1173</f>
        <v>31730</v>
      </c>
      <c r="F1173" t="str">
        <f>+'[2]por cuent'!I1173</f>
        <v>492</v>
      </c>
    </row>
    <row r="1174" spans="1:6" x14ac:dyDescent="0.35">
      <c r="A1174" t="str">
        <f>+'[2]por cuent'!A1174</f>
        <v>ARS</v>
      </c>
      <c r="B1174" t="str">
        <f>+'[2]por cuent'!B1174</f>
        <v>492000409</v>
      </c>
      <c r="C1174" t="str">
        <f>+'[2]por cuent'!C1174</f>
        <v>[C.E.R.A] COMPAÑIA AVICOLA SA</v>
      </c>
      <c r="D1174" s="35">
        <f>+'[2]por cuent'!G1174</f>
        <v>7421.6</v>
      </c>
      <c r="E1174" s="35">
        <f>+'[2]por cuent'!H1174</f>
        <v>7421.6</v>
      </c>
      <c r="F1174" t="str">
        <f>+'[2]por cuent'!I1174</f>
        <v>492</v>
      </c>
    </row>
    <row r="1175" spans="1:6" x14ac:dyDescent="0.35">
      <c r="A1175" t="str">
        <f>+'[2]por cuent'!A1175</f>
        <v>ARS</v>
      </c>
      <c r="B1175" t="str">
        <f>+'[2]por cuent'!B1175</f>
        <v>492000410</v>
      </c>
      <c r="C1175" t="str">
        <f>+'[2]por cuent'!C1175</f>
        <v>[C.E.R.A] FABIAN ANTONIO BELLETIERI</v>
      </c>
      <c r="D1175" s="35">
        <f>+'[2]por cuent'!G1175</f>
        <v>931.1</v>
      </c>
      <c r="E1175" s="35">
        <f>+'[2]por cuent'!H1175</f>
        <v>931.1</v>
      </c>
      <c r="F1175" t="str">
        <f>+'[2]por cuent'!I1175</f>
        <v>492</v>
      </c>
    </row>
    <row r="1176" spans="1:6" x14ac:dyDescent="0.35">
      <c r="A1176" t="str">
        <f>+'[2]por cuent'!A1176</f>
        <v>ARS</v>
      </c>
      <c r="B1176" t="str">
        <f>+'[2]por cuent'!B1176</f>
        <v>492000411</v>
      </c>
      <c r="C1176" t="str">
        <f>+'[2]por cuent'!C1176</f>
        <v>[C.E.R.A] Granjas Carnave S.A</v>
      </c>
      <c r="D1176" s="35">
        <f>+'[2]por cuent'!G1176</f>
        <v>8597</v>
      </c>
      <c r="E1176" s="35">
        <f>+'[2]por cuent'!H1176</f>
        <v>8597</v>
      </c>
      <c r="F1176" t="str">
        <f>+'[2]por cuent'!I1176</f>
        <v>492</v>
      </c>
    </row>
    <row r="1177" spans="1:6" x14ac:dyDescent="0.35">
      <c r="A1177" t="str">
        <f>+'[2]por cuent'!A1177</f>
        <v>ARS</v>
      </c>
      <c r="B1177" t="str">
        <f>+'[2]por cuent'!B1177</f>
        <v>492000414</v>
      </c>
      <c r="C1177" t="str">
        <f>+'[2]por cuent'!C1177</f>
        <v xml:space="preserve">[C.E.R.A]  Agroservicios Humboldt </v>
      </c>
      <c r="D1177" s="35">
        <f>+'[2]por cuent'!G1177</f>
        <v>13237</v>
      </c>
      <c r="E1177" s="35">
        <f>+'[2]por cuent'!H1177</f>
        <v>13237</v>
      </c>
      <c r="F1177" t="str">
        <f>+'[2]por cuent'!I1177</f>
        <v>492</v>
      </c>
    </row>
    <row r="1178" spans="1:6" x14ac:dyDescent="0.35">
      <c r="A1178" t="str">
        <f>+'[2]por cuent'!A1178</f>
        <v>ARS</v>
      </c>
      <c r="B1178" t="str">
        <f>+'[2]por cuent'!B1178</f>
        <v>492000418</v>
      </c>
      <c r="C1178" t="str">
        <f>+'[2]por cuent'!C1178</f>
        <v>CERAVOLO, ANGEL FRANCISCO</v>
      </c>
      <c r="D1178" s="35">
        <f>+'[2]por cuent'!G1178</f>
        <v>3836</v>
      </c>
      <c r="E1178" s="35">
        <f>+'[2]por cuent'!H1178</f>
        <v>3836</v>
      </c>
      <c r="F1178" t="str">
        <f>+'[2]por cuent'!I1178</f>
        <v>492</v>
      </c>
    </row>
    <row r="1179" spans="1:6" x14ac:dyDescent="0.35">
      <c r="A1179" t="str">
        <f>+'[2]por cuent'!A1179</f>
        <v>ARS</v>
      </c>
      <c r="B1179" t="str">
        <f>+'[2]por cuent'!B1179</f>
        <v>492000421</v>
      </c>
      <c r="C1179" t="str">
        <f>+'[2]por cuent'!C1179</f>
        <v>CASTELLANOS 12 FIDEICOMISO</v>
      </c>
      <c r="D1179" s="35">
        <f>+'[2]por cuent'!G1179</f>
        <v>23992126</v>
      </c>
      <c r="E1179" s="35">
        <f>+'[2]por cuent'!H1179</f>
        <v>23992126</v>
      </c>
      <c r="F1179" t="str">
        <f>+'[2]por cuent'!I1179</f>
        <v>492</v>
      </c>
    </row>
    <row r="1180" spans="1:6" x14ac:dyDescent="0.35">
      <c r="A1180" t="str">
        <f>+'[2]por cuent'!A1180</f>
        <v>ARS</v>
      </c>
      <c r="B1180" t="str">
        <f>+'[2]por cuent'!B1180</f>
        <v>492000433</v>
      </c>
      <c r="C1180" t="str">
        <f>+'[2]por cuent'!C1180</f>
        <v>ABRAHAM, LEANDRO DAMIAN</v>
      </c>
      <c r="D1180" s="35">
        <f>+'[2]por cuent'!G1180</f>
        <v>361500</v>
      </c>
      <c r="E1180" s="35">
        <f>+'[2]por cuent'!H1180</f>
        <v>361500</v>
      </c>
      <c r="F1180" t="str">
        <f>+'[2]por cuent'!I1180</f>
        <v>492</v>
      </c>
    </row>
    <row r="1181" spans="1:6" x14ac:dyDescent="0.35">
      <c r="A1181" t="str">
        <f>+'[2]por cuent'!A1181</f>
        <v>ARS</v>
      </c>
      <c r="B1181" t="str">
        <f>+'[2]por cuent'!B1181</f>
        <v>492000443</v>
      </c>
      <c r="C1181" t="str">
        <f>+'[2]por cuent'!C1181</f>
        <v>MOYANO, DIEGO OMAR</v>
      </c>
      <c r="D1181" s="35">
        <f>+'[2]por cuent'!G1181</f>
        <v>2016124.5</v>
      </c>
      <c r="E1181" s="35">
        <f>+'[2]por cuent'!H1181</f>
        <v>2016124.5</v>
      </c>
      <c r="F1181" t="str">
        <f>+'[2]por cuent'!I1181</f>
        <v>492</v>
      </c>
    </row>
    <row r="1182" spans="1:6" x14ac:dyDescent="0.35">
      <c r="A1182" t="str">
        <f>+'[2]por cuent'!A1182</f>
        <v>ARS</v>
      </c>
      <c r="B1182" t="str">
        <f>+'[2]por cuent'!B1182</f>
        <v>492000453</v>
      </c>
      <c r="C1182" t="str">
        <f>+'[2]por cuent'!C1182</f>
        <v>PTP ARGENTINA S. A.</v>
      </c>
      <c r="D1182" s="35">
        <f>+'[2]por cuent'!G1182</f>
        <v>47427234.93</v>
      </c>
      <c r="E1182" s="35">
        <f>+'[2]por cuent'!H1182</f>
        <v>47427234.93</v>
      </c>
      <c r="F1182" t="str">
        <f>+'[2]por cuent'!I1182</f>
        <v>492</v>
      </c>
    </row>
    <row r="1183" spans="1:6" x14ac:dyDescent="0.35">
      <c r="A1183" t="str">
        <f>+'[2]por cuent'!A1183</f>
        <v>ARS</v>
      </c>
      <c r="B1183" t="str">
        <f>+'[2]por cuent'!B1183</f>
        <v>492000466</v>
      </c>
      <c r="C1183" t="str">
        <f>+'[2]por cuent'!C1183</f>
        <v>FREDDI, LUIS NICOLAS</v>
      </c>
      <c r="D1183" s="35">
        <f>+'[2]por cuent'!G1183</f>
        <v>61254.6</v>
      </c>
      <c r="E1183" s="35">
        <f>+'[2]por cuent'!H1183</f>
        <v>61254.6</v>
      </c>
      <c r="F1183" t="str">
        <f>+'[2]por cuent'!I1183</f>
        <v>492</v>
      </c>
    </row>
    <row r="1184" spans="1:6" x14ac:dyDescent="0.35">
      <c r="A1184" t="str">
        <f>+'[2]por cuent'!A1184</f>
        <v>ARS</v>
      </c>
      <c r="B1184" t="str">
        <f>+'[2]por cuent'!B1184</f>
        <v>492000469</v>
      </c>
      <c r="C1184" t="str">
        <f>+'[2]por cuent'!C1184</f>
        <v>BAZERQUE, NICOLAS</v>
      </c>
      <c r="D1184" s="35">
        <f>+'[2]por cuent'!G1184</f>
        <v>2982161.1</v>
      </c>
      <c r="E1184" s="35">
        <f>+'[2]por cuent'!H1184</f>
        <v>2982161.1</v>
      </c>
      <c r="F1184" t="str">
        <f>+'[2]por cuent'!I1184</f>
        <v>492</v>
      </c>
    </row>
    <row r="1185" spans="1:6" x14ac:dyDescent="0.35">
      <c r="A1185" t="str">
        <f>+'[2]por cuent'!A1185</f>
        <v>ARS</v>
      </c>
      <c r="B1185" t="str">
        <f>+'[2]por cuent'!B1185</f>
        <v>492000471</v>
      </c>
      <c r="C1185" t="str">
        <f>+'[2]por cuent'!C1185</f>
        <v>PISTACHOS EL RAMBLON FIDEICOMISO</v>
      </c>
      <c r="D1185" s="35">
        <f>+'[2]por cuent'!G1185</f>
        <v>227430081.09999999</v>
      </c>
      <c r="E1185" s="35">
        <f>+'[2]por cuent'!H1185</f>
        <v>227430081.09999999</v>
      </c>
      <c r="F1185" t="str">
        <f>+'[2]por cuent'!I1185</f>
        <v>492</v>
      </c>
    </row>
    <row r="1186" spans="1:6" x14ac:dyDescent="0.35">
      <c r="A1186" t="str">
        <f>+'[2]por cuent'!A1186</f>
        <v>ARS</v>
      </c>
      <c r="B1186" t="str">
        <f>+'[2]por cuent'!B1186</f>
        <v>492000473</v>
      </c>
      <c r="C1186" t="str">
        <f>+'[2]por cuent'!C1186</f>
        <v>RIZZO, PABLO RUBEN</v>
      </c>
      <c r="D1186" s="35">
        <f>+'[2]por cuent'!G1186</f>
        <v>300661.8</v>
      </c>
      <c r="E1186" s="35">
        <f>+'[2]por cuent'!H1186</f>
        <v>300661.8</v>
      </c>
      <c r="F1186" t="str">
        <f>+'[2]por cuent'!I1186</f>
        <v>492</v>
      </c>
    </row>
    <row r="1187" spans="1:6" x14ac:dyDescent="0.35">
      <c r="A1187" t="str">
        <f>+'[2]por cuent'!A1187</f>
        <v>ARS</v>
      </c>
      <c r="B1187" t="str">
        <f>+'[2]por cuent'!B1187</f>
        <v>492000477</v>
      </c>
      <c r="C1187" t="str">
        <f>+'[2]por cuent'!C1187</f>
        <v>EL ARRAYAN SA.</v>
      </c>
      <c r="D1187" s="35">
        <f>+'[2]por cuent'!G1187</f>
        <v>17350016.210000001</v>
      </c>
      <c r="E1187" s="35">
        <f>+'[2]por cuent'!H1187</f>
        <v>17350016.210000001</v>
      </c>
      <c r="F1187" t="str">
        <f>+'[2]por cuent'!I1187</f>
        <v>492</v>
      </c>
    </row>
    <row r="1188" spans="1:6" x14ac:dyDescent="0.35">
      <c r="A1188" t="str">
        <f>+'[2]por cuent'!A1188</f>
        <v>ARS</v>
      </c>
      <c r="B1188" t="str">
        <f>+'[2]por cuent'!B1188</f>
        <v>492000481</v>
      </c>
      <c r="C1188" t="str">
        <f>+'[2]por cuent'!C1188</f>
        <v>BRUNO, JUAN CRUZ o BAZZANO, MARIA ALEJANDRA</v>
      </c>
      <c r="D1188" s="35">
        <f>+'[2]por cuent'!G1188</f>
        <v>70637443.150000006</v>
      </c>
      <c r="E1188" s="35">
        <f>+'[2]por cuent'!H1188</f>
        <v>70637443.150000006</v>
      </c>
      <c r="F1188" t="str">
        <f>+'[2]por cuent'!I1188</f>
        <v>492</v>
      </c>
    </row>
    <row r="1189" spans="1:6" x14ac:dyDescent="0.35">
      <c r="A1189" t="str">
        <f>+'[2]por cuent'!A1189</f>
        <v>ARS</v>
      </c>
      <c r="B1189" t="str">
        <f>+'[2]por cuent'!B1189</f>
        <v>492000489</v>
      </c>
      <c r="C1189" t="str">
        <f>+'[2]por cuent'!C1189</f>
        <v>PISANO, NICOLAS</v>
      </c>
      <c r="D1189" s="35">
        <f>+'[2]por cuent'!G1189</f>
        <v>4450730.8</v>
      </c>
      <c r="E1189" s="35">
        <f>+'[2]por cuent'!H1189</f>
        <v>4450730.8</v>
      </c>
      <c r="F1189" t="str">
        <f>+'[2]por cuent'!I1189</f>
        <v>492</v>
      </c>
    </row>
    <row r="1190" spans="1:6" x14ac:dyDescent="0.35">
      <c r="A1190" t="str">
        <f>+'[2]por cuent'!A1190</f>
        <v>ARS</v>
      </c>
      <c r="B1190" t="str">
        <f>+'[2]por cuent'!B1190</f>
        <v>492000492</v>
      </c>
      <c r="C1190" t="str">
        <f>+'[2]por cuent'!C1190</f>
        <v>GRUPO NIOI S. A.</v>
      </c>
      <c r="D1190" s="35">
        <f>+'[2]por cuent'!G1190</f>
        <v>30191265.550000001</v>
      </c>
      <c r="E1190" s="35">
        <f>+'[2]por cuent'!H1190</f>
        <v>30191265.550000001</v>
      </c>
      <c r="F1190" t="str">
        <f>+'[2]por cuent'!I1190</f>
        <v>492</v>
      </c>
    </row>
    <row r="1191" spans="1:6" x14ac:dyDescent="0.35">
      <c r="A1191" t="str">
        <f>+'[2]por cuent'!A1191</f>
        <v>ARS</v>
      </c>
      <c r="B1191" t="str">
        <f>+'[2]por cuent'!B1191</f>
        <v>492000493</v>
      </c>
      <c r="C1191" t="str">
        <f>+'[2]por cuent'!C1191</f>
        <v>SCHMITTENDORF, GRETEL</v>
      </c>
      <c r="D1191" s="35">
        <f>+'[2]por cuent'!G1191</f>
        <v>6402500</v>
      </c>
      <c r="E1191" s="35">
        <f>+'[2]por cuent'!H1191</f>
        <v>6402500</v>
      </c>
      <c r="F1191" t="str">
        <f>+'[2]por cuent'!I1191</f>
        <v>492</v>
      </c>
    </row>
    <row r="1192" spans="1:6" x14ac:dyDescent="0.35">
      <c r="A1192" t="str">
        <f>+'[2]por cuent'!A1192</f>
        <v>ARS</v>
      </c>
      <c r="B1192" t="str">
        <f>+'[2]por cuent'!B1192</f>
        <v>492000501</v>
      </c>
      <c r="C1192" t="str">
        <f>+'[2]por cuent'!C1192</f>
        <v>CORESA GROUP S.R.L.</v>
      </c>
      <c r="D1192" s="35">
        <f>+'[2]por cuent'!G1192</f>
        <v>302458933.72000003</v>
      </c>
      <c r="E1192" s="35">
        <f>+'[2]por cuent'!H1192</f>
        <v>302458933.72000003</v>
      </c>
      <c r="F1192" t="str">
        <f>+'[2]por cuent'!I1192</f>
        <v>492</v>
      </c>
    </row>
    <row r="1193" spans="1:6" x14ac:dyDescent="0.35">
      <c r="A1193" t="str">
        <f>+'[2]por cuent'!A1193</f>
        <v>ARS</v>
      </c>
      <c r="B1193" t="str">
        <f>+'[2]por cuent'!B1193</f>
        <v>492000502</v>
      </c>
      <c r="C1193" t="str">
        <f>+'[2]por cuent'!C1193</f>
        <v>Pioli, Rocio Belen</v>
      </c>
      <c r="D1193" s="35">
        <f>+'[2]por cuent'!G1193</f>
        <v>1037478.96</v>
      </c>
      <c r="E1193" s="35">
        <f>+'[2]por cuent'!H1193</f>
        <v>1037478.96</v>
      </c>
      <c r="F1193" t="str">
        <f>+'[2]por cuent'!I1193</f>
        <v>492</v>
      </c>
    </row>
    <row r="1194" spans="1:6" x14ac:dyDescent="0.35">
      <c r="A1194" t="str">
        <f>+'[2]por cuent'!A1194</f>
        <v>ARS</v>
      </c>
      <c r="B1194" t="str">
        <f>+'[2]por cuent'!B1194</f>
        <v>492000505</v>
      </c>
      <c r="C1194" t="str">
        <f>+'[2]por cuent'!C1194</f>
        <v>Fabian Antonio Bellettieri / Candelaria Bellettieri Maria / Gonzalo Antonio Bellettieri</v>
      </c>
      <c r="D1194" s="35">
        <f>+'[2]por cuent'!G1194</f>
        <v>14477531780.76</v>
      </c>
      <c r="E1194" s="35">
        <f>+'[2]por cuent'!H1194</f>
        <v>14477531780.76</v>
      </c>
      <c r="F1194" t="str">
        <f>+'[2]por cuent'!I1194</f>
        <v>492</v>
      </c>
    </row>
    <row r="1195" spans="1:6" x14ac:dyDescent="0.35">
      <c r="A1195" t="str">
        <f>+'[2]por cuent'!A1195</f>
        <v>ARS</v>
      </c>
      <c r="B1195" t="str">
        <f>+'[2]por cuent'!B1195</f>
        <v>492000507</v>
      </c>
      <c r="C1195" t="str">
        <f>+'[2]por cuent'!C1195</f>
        <v>Don, Lelia Elena</v>
      </c>
      <c r="D1195" s="35">
        <f>+'[2]por cuent'!G1195</f>
        <v>5787068</v>
      </c>
      <c r="E1195" s="35">
        <f>+'[2]por cuent'!H1195</f>
        <v>5787068</v>
      </c>
      <c r="F1195" t="str">
        <f>+'[2]por cuent'!I1195</f>
        <v>492</v>
      </c>
    </row>
    <row r="1196" spans="1:6" x14ac:dyDescent="0.35">
      <c r="A1196" t="str">
        <f>+'[2]por cuent'!A1196</f>
        <v>ARS</v>
      </c>
      <c r="B1196" t="str">
        <f>+'[2]por cuent'!B1196</f>
        <v>492000508</v>
      </c>
      <c r="C1196" t="str">
        <f>+'[2]por cuent'!C1196</f>
        <v>Hernandez, Victor Fabian</v>
      </c>
      <c r="D1196" s="35">
        <f>+'[2]por cuent'!G1196</f>
        <v>38654387</v>
      </c>
      <c r="E1196" s="35">
        <f>+'[2]por cuent'!H1196</f>
        <v>38654387</v>
      </c>
      <c r="F1196" t="str">
        <f>+'[2]por cuent'!I1196</f>
        <v>492</v>
      </c>
    </row>
    <row r="1197" spans="1:6" x14ac:dyDescent="0.35">
      <c r="A1197" t="str">
        <f>+'[2]por cuent'!A1197</f>
        <v>ARS</v>
      </c>
      <c r="B1197" t="str">
        <f>+'[2]por cuent'!B1197</f>
        <v>492000509</v>
      </c>
      <c r="C1197" t="str">
        <f>+'[2]por cuent'!C1197</f>
        <v>CORPORACION ROYT ARGENTINA S.A</v>
      </c>
      <c r="D1197" s="35">
        <f>+'[2]por cuent'!G1197</f>
        <v>197683200</v>
      </c>
      <c r="E1197" s="35">
        <f>+'[2]por cuent'!H1197</f>
        <v>197683200</v>
      </c>
      <c r="F1197" t="str">
        <f>+'[2]por cuent'!I1197</f>
        <v>492</v>
      </c>
    </row>
    <row r="1198" spans="1:6" x14ac:dyDescent="0.35">
      <c r="A1198" t="str">
        <f>+'[2]por cuent'!A1198</f>
        <v>ARS</v>
      </c>
      <c r="B1198" t="str">
        <f>+'[2]por cuent'!B1198</f>
        <v>492000529</v>
      </c>
      <c r="C1198" t="str">
        <f>+'[2]por cuent'!C1198</f>
        <v>POSSE, SANTIAGO o CORDOVA, CAMILA ROCIO</v>
      </c>
      <c r="D1198" s="35">
        <f>+'[2]por cuent'!G1198</f>
        <v>306650</v>
      </c>
      <c r="E1198" s="35">
        <f>+'[2]por cuent'!H1198</f>
        <v>306650</v>
      </c>
      <c r="F1198" t="str">
        <f>+'[2]por cuent'!I1198</f>
        <v>492</v>
      </c>
    </row>
    <row r="1199" spans="1:6" x14ac:dyDescent="0.35">
      <c r="A1199" t="str">
        <f>+'[2]por cuent'!A1199</f>
        <v>ARS</v>
      </c>
      <c r="B1199" t="str">
        <f>+'[2]por cuent'!B1199</f>
        <v>492000530</v>
      </c>
      <c r="C1199" t="str">
        <f>+'[2]por cuent'!C1199</f>
        <v>YUBERO REPUESTOS S.A.S</v>
      </c>
      <c r="D1199" s="35">
        <f>+'[2]por cuent'!G1199</f>
        <v>10019540.67</v>
      </c>
      <c r="E1199" s="35">
        <f>+'[2]por cuent'!H1199</f>
        <v>10019540.67</v>
      </c>
      <c r="F1199" t="str">
        <f>+'[2]por cuent'!I1199</f>
        <v>492</v>
      </c>
    </row>
    <row r="1200" spans="1:6" x14ac:dyDescent="0.35">
      <c r="A1200" t="str">
        <f>+'[2]por cuent'!A1200</f>
        <v>ARS</v>
      </c>
      <c r="B1200" t="str">
        <f>+'[2]por cuent'!B1200</f>
        <v>492000532</v>
      </c>
      <c r="C1200" t="str">
        <f>+'[2]por cuent'!C1200</f>
        <v>CRUZ BULACIA, VALENTIN</v>
      </c>
      <c r="D1200" s="35">
        <f>+'[2]por cuent'!G1200</f>
        <v>157320</v>
      </c>
      <c r="E1200" s="35">
        <f>+'[2]por cuent'!H1200</f>
        <v>157320</v>
      </c>
      <c r="F1200" t="str">
        <f>+'[2]por cuent'!I1200</f>
        <v>492</v>
      </c>
    </row>
    <row r="1201" spans="1:6" x14ac:dyDescent="0.35">
      <c r="A1201" t="str">
        <f>+'[2]por cuent'!A1201</f>
        <v>ARS</v>
      </c>
      <c r="B1201" t="str">
        <f>+'[2]por cuent'!B1201</f>
        <v>492000549</v>
      </c>
      <c r="C1201" t="str">
        <f>+'[2]por cuent'!C1201</f>
        <v>CANTARUTTI, JAVIER OSVALDO</v>
      </c>
      <c r="D1201" s="35">
        <f>+'[2]por cuent'!G1201</f>
        <v>18473704.800000001</v>
      </c>
      <c r="E1201" s="35">
        <f>+'[2]por cuent'!H1201</f>
        <v>18473704.800000001</v>
      </c>
      <c r="F1201" t="str">
        <f>+'[2]por cuent'!I1201</f>
        <v>492</v>
      </c>
    </row>
    <row r="1202" spans="1:6" x14ac:dyDescent="0.35">
      <c r="A1202" t="str">
        <f>+'[2]por cuent'!A1202</f>
        <v>ARS</v>
      </c>
      <c r="B1202" t="str">
        <f>+'[2]por cuent'!B1202</f>
        <v>492000559</v>
      </c>
      <c r="C1202" t="str">
        <f>+'[2]por cuent'!C1202</f>
        <v>3MC SA</v>
      </c>
      <c r="D1202" s="35">
        <f>+'[2]por cuent'!G1202</f>
        <v>16188681.6</v>
      </c>
      <c r="E1202" s="35">
        <f>+'[2]por cuent'!H1202</f>
        <v>16188681.6</v>
      </c>
      <c r="F1202" t="str">
        <f>+'[2]por cuent'!I1202</f>
        <v>492</v>
      </c>
    </row>
    <row r="1203" spans="1:6" x14ac:dyDescent="0.35">
      <c r="A1203" t="str">
        <f>+'[2]por cuent'!A1203</f>
        <v>ARS</v>
      </c>
      <c r="B1203" t="str">
        <f>+'[2]por cuent'!B1203</f>
        <v>492000563</v>
      </c>
      <c r="C1203" t="str">
        <f>+'[2]por cuent'!C1203</f>
        <v>ROSS INSUMOS S. R. L.</v>
      </c>
      <c r="D1203" s="35">
        <f>+'[2]por cuent'!G1203</f>
        <v>3002116.81</v>
      </c>
      <c r="E1203" s="35">
        <f>+'[2]por cuent'!H1203</f>
        <v>3002116.81</v>
      </c>
      <c r="F1203" t="str">
        <f>+'[2]por cuent'!I1203</f>
        <v>492</v>
      </c>
    </row>
    <row r="1204" spans="1:6" x14ac:dyDescent="0.35">
      <c r="A1204" t="str">
        <f>+'[2]por cuent'!A1204</f>
        <v>ARS</v>
      </c>
      <c r="B1204" t="str">
        <f>+'[2]por cuent'!B1204</f>
        <v>492000564</v>
      </c>
      <c r="C1204" t="str">
        <f>+'[2]por cuent'!C1204</f>
        <v>CELERITY S.R.L.</v>
      </c>
      <c r="D1204" s="35">
        <f>+'[2]por cuent'!G1204</f>
        <v>59724121.140000001</v>
      </c>
      <c r="E1204" s="35">
        <f>+'[2]por cuent'!H1204</f>
        <v>59724121.140000001</v>
      </c>
      <c r="F1204" t="str">
        <f>+'[2]por cuent'!I1204</f>
        <v>492</v>
      </c>
    </row>
    <row r="1205" spans="1:6" x14ac:dyDescent="0.35">
      <c r="A1205" t="str">
        <f>+'[2]por cuent'!A1205</f>
        <v>ARS</v>
      </c>
      <c r="B1205" t="str">
        <f>+'[2]por cuent'!B1205</f>
        <v>492000569</v>
      </c>
      <c r="C1205" t="str">
        <f>+'[2]por cuent'!C1205</f>
        <v>AGRODROP DROP SYSTEM</v>
      </c>
      <c r="D1205" s="35">
        <f>+'[2]por cuent'!G1205</f>
        <v>9561136.0500000007</v>
      </c>
      <c r="E1205" s="35">
        <f>+'[2]por cuent'!H1205</f>
        <v>9561136.0500000007</v>
      </c>
      <c r="F1205" t="str">
        <f>+'[2]por cuent'!I1205</f>
        <v>492</v>
      </c>
    </row>
    <row r="1206" spans="1:6" x14ac:dyDescent="0.35">
      <c r="A1206" t="str">
        <f>+'[2]por cuent'!A1206</f>
        <v>ARS</v>
      </c>
      <c r="B1206" t="str">
        <f>+'[2]por cuent'!B1206</f>
        <v>492000571</v>
      </c>
      <c r="C1206" t="str">
        <f>+'[2]por cuent'!C1206</f>
        <v>BENTIA ENERGY SA</v>
      </c>
      <c r="D1206" s="35">
        <f>+'[2]por cuent'!G1206</f>
        <v>1638298463.77</v>
      </c>
      <c r="E1206" s="35">
        <f>+'[2]por cuent'!H1206</f>
        <v>1638298463.77</v>
      </c>
      <c r="F1206" t="str">
        <f>+'[2]por cuent'!I1206</f>
        <v>492</v>
      </c>
    </row>
    <row r="1207" spans="1:6" x14ac:dyDescent="0.35">
      <c r="A1207" t="str">
        <f>+'[2]por cuent'!A1207</f>
        <v>ARS</v>
      </c>
      <c r="B1207" t="str">
        <f>+'[2]por cuent'!B1207</f>
        <v>492000576</v>
      </c>
      <c r="C1207" t="str">
        <f>+'[2]por cuent'!C1207</f>
        <v>FRISTARG SRL</v>
      </c>
      <c r="D1207" s="35">
        <f>+'[2]por cuent'!G1207</f>
        <v>198041563.80000001</v>
      </c>
      <c r="E1207" s="35">
        <f>+'[2]por cuent'!H1207</f>
        <v>198041563.80000001</v>
      </c>
      <c r="F1207" t="str">
        <f>+'[2]por cuent'!I1207</f>
        <v>492</v>
      </c>
    </row>
    <row r="1208" spans="1:6" x14ac:dyDescent="0.35">
      <c r="A1208" t="str">
        <f>+'[2]por cuent'!A1208</f>
        <v>ARS</v>
      </c>
      <c r="B1208" t="str">
        <f>+'[2]por cuent'!B1208</f>
        <v>492000578</v>
      </c>
      <c r="C1208" t="str">
        <f>+'[2]por cuent'!C1208</f>
        <v>SEVA, MARCELA ADRIANA</v>
      </c>
      <c r="D1208" s="35">
        <f>+'[2]por cuent'!G1208</f>
        <v>19705</v>
      </c>
      <c r="E1208" s="35">
        <f>+'[2]por cuent'!H1208</f>
        <v>19705</v>
      </c>
      <c r="F1208" t="str">
        <f>+'[2]por cuent'!I1208</f>
        <v>492</v>
      </c>
    </row>
    <row r="1209" spans="1:6" x14ac:dyDescent="0.35">
      <c r="A1209" t="str">
        <f>+'[2]por cuent'!A1209</f>
        <v>ARS</v>
      </c>
      <c r="B1209" t="str">
        <f>+'[2]por cuent'!B1209</f>
        <v>492000579</v>
      </c>
      <c r="C1209" t="str">
        <f>+'[2]por cuent'!C1209</f>
        <v>oliva, yesica paola</v>
      </c>
      <c r="D1209" s="35">
        <f>+'[2]por cuent'!G1209</f>
        <v>98450.1</v>
      </c>
      <c r="E1209" s="35">
        <f>+'[2]por cuent'!H1209</f>
        <v>98450.1</v>
      </c>
      <c r="F1209" t="str">
        <f>+'[2]por cuent'!I1209</f>
        <v>492</v>
      </c>
    </row>
    <row r="1210" spans="1:6" x14ac:dyDescent="0.35">
      <c r="A1210" t="str">
        <f>+'[2]por cuent'!A1210</f>
        <v>ARS</v>
      </c>
      <c r="B1210" t="str">
        <f>+'[2]por cuent'!B1210</f>
        <v>492000580</v>
      </c>
      <c r="C1210" t="str">
        <f>+'[2]por cuent'!C1210</f>
        <v>IDRAET SRL</v>
      </c>
      <c r="D1210" s="35">
        <f>+'[2]por cuent'!G1210</f>
        <v>7918324.0999999996</v>
      </c>
      <c r="E1210" s="35">
        <f>+'[2]por cuent'!H1210</f>
        <v>7918324.0999999996</v>
      </c>
      <c r="F1210" t="str">
        <f>+'[2]por cuent'!I1210</f>
        <v>492</v>
      </c>
    </row>
    <row r="1211" spans="1:6" x14ac:dyDescent="0.35">
      <c r="A1211" t="str">
        <f>+'[2]por cuent'!A1211</f>
        <v>ARS</v>
      </c>
      <c r="B1211" t="str">
        <f>+'[2]por cuent'!B1211</f>
        <v>492000581</v>
      </c>
      <c r="C1211" t="str">
        <f>+'[2]por cuent'!C1211</f>
        <v>BENTIA ENERGY S.A. E ING. SIMA S.A. U.T.E.</v>
      </c>
      <c r="D1211" s="35">
        <f>+'[2]por cuent'!G1211</f>
        <v>1000000065.75</v>
      </c>
      <c r="E1211" s="35">
        <f>+'[2]por cuent'!H1211</f>
        <v>1000000065.75</v>
      </c>
      <c r="F1211" t="str">
        <f>+'[2]por cuent'!I1211</f>
        <v>492</v>
      </c>
    </row>
    <row r="1212" spans="1:6" x14ac:dyDescent="0.35">
      <c r="A1212" t="str">
        <f>+'[2]por cuent'!A1212</f>
        <v>ARS</v>
      </c>
      <c r="B1212" t="str">
        <f>+'[2]por cuent'!B1212</f>
        <v>492000582</v>
      </c>
      <c r="C1212" t="str">
        <f>+'[2]por cuent'!C1212</f>
        <v>INDIO S. R. L. EN FORMACION</v>
      </c>
      <c r="D1212" s="35">
        <f>+'[2]por cuent'!G1212</f>
        <v>10190730.41</v>
      </c>
      <c r="E1212" s="35">
        <f>+'[2]por cuent'!H1212</f>
        <v>10190730.41</v>
      </c>
      <c r="F1212" t="str">
        <f>+'[2]por cuent'!I1212</f>
        <v>492</v>
      </c>
    </row>
    <row r="1213" spans="1:6" x14ac:dyDescent="0.35">
      <c r="A1213" t="str">
        <f>+'[2]por cuent'!A1213</f>
        <v>ARS</v>
      </c>
      <c r="B1213" t="str">
        <f>+'[2]por cuent'!B1213</f>
        <v>492000588</v>
      </c>
      <c r="C1213" t="str">
        <f>+'[2]por cuent'!C1213</f>
        <v>JOSVIC SRL</v>
      </c>
      <c r="D1213" s="35">
        <f>+'[2]por cuent'!G1213</f>
        <v>43430932.859999999</v>
      </c>
      <c r="E1213" s="35">
        <f>+'[2]por cuent'!H1213</f>
        <v>43430932.859999999</v>
      </c>
      <c r="F1213" t="str">
        <f>+'[2]por cuent'!I1213</f>
        <v>492</v>
      </c>
    </row>
    <row r="1214" spans="1:6" x14ac:dyDescent="0.35">
      <c r="A1214" t="str">
        <f>+'[2]por cuent'!A1214</f>
        <v>ARS</v>
      </c>
      <c r="B1214" t="str">
        <f>+'[2]por cuent'!B1214</f>
        <v>492000592</v>
      </c>
      <c r="C1214" t="str">
        <f>+'[2]por cuent'!C1214</f>
        <v>BRAINMED S.R.L.</v>
      </c>
      <c r="D1214" s="35">
        <f>+'[2]por cuent'!G1214</f>
        <v>199065875</v>
      </c>
      <c r="E1214" s="35">
        <f>+'[2]por cuent'!H1214</f>
        <v>199065875</v>
      </c>
      <c r="F1214" t="str">
        <f>+'[2]por cuent'!I1214</f>
        <v>492</v>
      </c>
    </row>
    <row r="1215" spans="1:6" x14ac:dyDescent="0.35">
      <c r="A1215" t="str">
        <f>+'[2]por cuent'!A1215</f>
        <v>ARS</v>
      </c>
      <c r="B1215" t="str">
        <f>+'[2]por cuent'!B1215</f>
        <v>493001040</v>
      </c>
      <c r="C1215" t="str">
        <f>+'[2]por cuent'!C1215</f>
        <v xml:space="preserve">MORELLI Carina Andrea </v>
      </c>
      <c r="D1215" s="35">
        <f>+'[2]por cuent'!G1215</f>
        <v>513812550.5</v>
      </c>
      <c r="E1215" s="35">
        <f>+'[2]por cuent'!H1215</f>
        <v>513812550.5</v>
      </c>
      <c r="F1215" t="str">
        <f>+'[2]por cuent'!I1215</f>
        <v>493</v>
      </c>
    </row>
    <row r="1216" spans="1:6" x14ac:dyDescent="0.35">
      <c r="A1216" t="str">
        <f>+'[2]por cuent'!A1216</f>
        <v>ARS</v>
      </c>
      <c r="B1216" t="str">
        <f>+'[2]por cuent'!B1216</f>
        <v>493001383</v>
      </c>
      <c r="C1216" t="str">
        <f>+'[2]por cuent'!C1216</f>
        <v>BARMANN MARIA LAURA</v>
      </c>
      <c r="D1216" s="35">
        <f>+'[2]por cuent'!G1216</f>
        <v>9650213.1999999993</v>
      </c>
      <c r="E1216" s="35">
        <f>+'[2]por cuent'!H1216</f>
        <v>9650213.1999999993</v>
      </c>
      <c r="F1216" t="str">
        <f>+'[2]por cuent'!I1216</f>
        <v>493</v>
      </c>
    </row>
    <row r="1217" spans="1:6" x14ac:dyDescent="0.35">
      <c r="A1217" t="str">
        <f>+'[2]por cuent'!A1217</f>
        <v>ARS</v>
      </c>
      <c r="B1217" t="str">
        <f>+'[2]por cuent'!B1217</f>
        <v>493003181</v>
      </c>
      <c r="C1217" t="str">
        <f>+'[2]por cuent'!C1217</f>
        <v>CASTELLARIN SILVIA BEATRIZ</v>
      </c>
      <c r="D1217" s="35">
        <f>+'[2]por cuent'!G1217</f>
        <v>68591203.280000001</v>
      </c>
      <c r="E1217" s="35">
        <f>+'[2]por cuent'!H1217</f>
        <v>68591203.280000001</v>
      </c>
      <c r="F1217" t="str">
        <f>+'[2]por cuent'!I1217</f>
        <v>493</v>
      </c>
    </row>
    <row r="1218" spans="1:6" x14ac:dyDescent="0.35">
      <c r="A1218" t="str">
        <f>+'[2]por cuent'!A1218</f>
        <v>ARS</v>
      </c>
      <c r="B1218" t="str">
        <f>+'[2]por cuent'!B1218</f>
        <v>493003287</v>
      </c>
      <c r="C1218" t="str">
        <f>+'[2]por cuent'!C1218</f>
        <v>CASAS David Carlos</v>
      </c>
      <c r="D1218" s="35">
        <f>+'[2]por cuent'!G1218</f>
        <v>1027526</v>
      </c>
      <c r="E1218" s="35">
        <f>+'[2]por cuent'!H1218</f>
        <v>1027526</v>
      </c>
      <c r="F1218" t="str">
        <f>+'[2]por cuent'!I1218</f>
        <v>493</v>
      </c>
    </row>
    <row r="1219" spans="1:6" x14ac:dyDescent="0.35">
      <c r="A1219" t="str">
        <f>+'[2]por cuent'!A1219</f>
        <v>ARS</v>
      </c>
      <c r="B1219" t="str">
        <f>+'[2]por cuent'!B1219</f>
        <v>493003801</v>
      </c>
      <c r="C1219" t="str">
        <f>+'[2]por cuent'!C1219</f>
        <v>CAREY Maria</v>
      </c>
      <c r="D1219" s="35">
        <f>+'[2]por cuent'!G1219</f>
        <v>9432.2999999999993</v>
      </c>
      <c r="E1219" s="35">
        <f>+'[2]por cuent'!H1219</f>
        <v>9432.2999999999993</v>
      </c>
      <c r="F1219" t="str">
        <f>+'[2]por cuent'!I1219</f>
        <v>493</v>
      </c>
    </row>
    <row r="1220" spans="1:6" x14ac:dyDescent="0.35">
      <c r="A1220" t="str">
        <f>+'[2]por cuent'!A1220</f>
        <v>ARS</v>
      </c>
      <c r="B1220" t="str">
        <f>+'[2]por cuent'!B1220</f>
        <v>493003829</v>
      </c>
      <c r="C1220" t="str">
        <f>+'[2]por cuent'!C1220</f>
        <v>CAREY SANTIAGO PATRICIO</v>
      </c>
      <c r="D1220" s="35">
        <f>+'[2]por cuent'!G1220</f>
        <v>17814.900000000001</v>
      </c>
      <c r="E1220" s="35">
        <f>+'[2]por cuent'!H1220</f>
        <v>17814.900000000001</v>
      </c>
      <c r="F1220" t="str">
        <f>+'[2]por cuent'!I1220</f>
        <v>493</v>
      </c>
    </row>
    <row r="1221" spans="1:6" x14ac:dyDescent="0.35">
      <c r="A1221" t="str">
        <f>+'[2]por cuent'!A1221</f>
        <v>ARS</v>
      </c>
      <c r="B1221" t="str">
        <f>+'[2]por cuent'!B1221</f>
        <v>493004012</v>
      </c>
      <c r="C1221" t="str">
        <f>+'[2]por cuent'!C1221</f>
        <v>CAREY EDUARDO JORGE</v>
      </c>
      <c r="D1221" s="35">
        <f>+'[2]por cuent'!G1221</f>
        <v>3336</v>
      </c>
      <c r="E1221" s="35">
        <f>+'[2]por cuent'!H1221</f>
        <v>3336</v>
      </c>
      <c r="F1221" t="str">
        <f>+'[2]por cuent'!I1221</f>
        <v>493</v>
      </c>
    </row>
    <row r="1222" spans="1:6" x14ac:dyDescent="0.35">
      <c r="A1222" t="str">
        <f>+'[2]por cuent'!A1222</f>
        <v>ARS</v>
      </c>
      <c r="B1222" t="str">
        <f>+'[2]por cuent'!B1222</f>
        <v>493004018</v>
      </c>
      <c r="C1222" t="str">
        <f>+'[2]por cuent'!C1222</f>
        <v>HASENBALG Victoria</v>
      </c>
      <c r="D1222" s="35">
        <f>+'[2]por cuent'!G1222</f>
        <v>4318250</v>
      </c>
      <c r="E1222" s="35">
        <f>+'[2]por cuent'!H1222</f>
        <v>4318250</v>
      </c>
      <c r="F1222" t="str">
        <f>+'[2]por cuent'!I1222</f>
        <v>493</v>
      </c>
    </row>
    <row r="1223" spans="1:6" x14ac:dyDescent="0.35">
      <c r="A1223" t="str">
        <f>+'[2]por cuent'!A1223</f>
        <v>ARS</v>
      </c>
      <c r="B1223" t="str">
        <f>+'[2]por cuent'!B1223</f>
        <v>493004026</v>
      </c>
      <c r="C1223" t="str">
        <f>+'[2]por cuent'!C1223</f>
        <v>MORELLI Carina Andrea</v>
      </c>
      <c r="D1223" s="35">
        <f>+'[2]por cuent'!G1223</f>
        <v>159689118.5</v>
      </c>
      <c r="E1223" s="35">
        <f>+'[2]por cuent'!H1223</f>
        <v>159689118.5</v>
      </c>
      <c r="F1223" t="str">
        <f>+'[2]por cuent'!I1223</f>
        <v>493</v>
      </c>
    </row>
    <row r="1224" spans="1:6" x14ac:dyDescent="0.35">
      <c r="A1224" t="str">
        <f>+'[2]por cuent'!A1224</f>
        <v>ARS</v>
      </c>
      <c r="B1224" t="str">
        <f>+'[2]por cuent'!B1224</f>
        <v>493004106</v>
      </c>
      <c r="C1224" t="str">
        <f>+'[2]por cuent'!C1224</f>
        <v>NAPOLEONI Adrian F.</v>
      </c>
      <c r="D1224" s="35">
        <f>+'[2]por cuent'!G1224</f>
        <v>9502798</v>
      </c>
      <c r="E1224" s="35">
        <f>+'[2]por cuent'!H1224</f>
        <v>9502798</v>
      </c>
      <c r="F1224" t="str">
        <f>+'[2]por cuent'!I1224</f>
        <v>493</v>
      </c>
    </row>
    <row r="1225" spans="1:6" x14ac:dyDescent="0.35">
      <c r="A1225" t="str">
        <f>+'[2]por cuent'!A1225</f>
        <v>ARS</v>
      </c>
      <c r="B1225" t="str">
        <f>+'[2]por cuent'!B1225</f>
        <v>493004143</v>
      </c>
      <c r="C1225" t="str">
        <f>+'[2]por cuent'!C1225</f>
        <v>CONECTAR BURSATIL S.A.</v>
      </c>
      <c r="D1225" s="35">
        <f>+'[2]por cuent'!G1225</f>
        <v>526791619.14999998</v>
      </c>
      <c r="E1225" s="35">
        <f>+'[2]por cuent'!H1225</f>
        <v>526791619.14999998</v>
      </c>
      <c r="F1225" t="str">
        <f>+'[2]por cuent'!I1225</f>
        <v>493</v>
      </c>
    </row>
    <row r="1226" spans="1:6" x14ac:dyDescent="0.35">
      <c r="A1226" t="str">
        <f>+'[2]por cuent'!A1226</f>
        <v>ARS</v>
      </c>
      <c r="B1226" t="str">
        <f>+'[2]por cuent'!B1226</f>
        <v>493004237</v>
      </c>
      <c r="C1226" t="str">
        <f>+'[2]por cuent'!C1226</f>
        <v>BORGNA Nancy</v>
      </c>
      <c r="D1226" s="35">
        <f>+'[2]por cuent'!G1226</f>
        <v>1435736.28</v>
      </c>
      <c r="E1226" s="35">
        <f>+'[2]por cuent'!H1226</f>
        <v>1435736.28</v>
      </c>
      <c r="F1226" t="str">
        <f>+'[2]por cuent'!I1226</f>
        <v>493</v>
      </c>
    </row>
    <row r="1227" spans="1:6" x14ac:dyDescent="0.35">
      <c r="A1227" t="str">
        <f>+'[2]por cuent'!A1227</f>
        <v>ARS</v>
      </c>
      <c r="B1227" t="str">
        <f>+'[2]por cuent'!B1227</f>
        <v>493004357</v>
      </c>
      <c r="C1227" t="str">
        <f>+'[2]por cuent'!C1227</f>
        <v>CASTIGLIONI Gustavo Jorge</v>
      </c>
      <c r="D1227" s="35">
        <f>+'[2]por cuent'!G1227</f>
        <v>30937101.719999999</v>
      </c>
      <c r="E1227" s="35">
        <f>+'[2]por cuent'!H1227</f>
        <v>30937101.719999999</v>
      </c>
      <c r="F1227" t="str">
        <f>+'[2]por cuent'!I1227</f>
        <v>493</v>
      </c>
    </row>
    <row r="1228" spans="1:6" x14ac:dyDescent="0.35">
      <c r="A1228" t="str">
        <f>+'[2]por cuent'!A1228</f>
        <v>ARS</v>
      </c>
      <c r="B1228" t="str">
        <f>+'[2]por cuent'!B1228</f>
        <v>493004437</v>
      </c>
      <c r="C1228" t="str">
        <f>+'[2]por cuent'!C1228</f>
        <v>ARCE Claudia Mariela</v>
      </c>
      <c r="D1228" s="35">
        <f>+'[2]por cuent'!G1228</f>
        <v>49620679.990000002</v>
      </c>
      <c r="E1228" s="35">
        <f>+'[2]por cuent'!H1228</f>
        <v>49620679.990000002</v>
      </c>
      <c r="F1228" t="str">
        <f>+'[2]por cuent'!I1228</f>
        <v>493</v>
      </c>
    </row>
    <row r="1229" spans="1:6" x14ac:dyDescent="0.35">
      <c r="A1229" t="str">
        <f>+'[2]por cuent'!A1229</f>
        <v>ARS</v>
      </c>
      <c r="B1229" t="str">
        <f>+'[2]por cuent'!B1229</f>
        <v>493004567</v>
      </c>
      <c r="C1229" t="str">
        <f>+'[2]por cuent'!C1229</f>
        <v>WISCHNIVETZKY Ana Luisa</v>
      </c>
      <c r="D1229" s="35">
        <f>+'[2]por cuent'!G1229</f>
        <v>155785834.56</v>
      </c>
      <c r="E1229" s="35">
        <f>+'[2]por cuent'!H1229</f>
        <v>155785834.56</v>
      </c>
      <c r="F1229" t="str">
        <f>+'[2]por cuent'!I1229</f>
        <v>493</v>
      </c>
    </row>
    <row r="1230" spans="1:6" x14ac:dyDescent="0.35">
      <c r="A1230" t="str">
        <f>+'[2]por cuent'!A1230</f>
        <v>ARS</v>
      </c>
      <c r="B1230" t="str">
        <f>+'[2]por cuent'!B1230</f>
        <v>493004580</v>
      </c>
      <c r="C1230" t="str">
        <f>+'[2]por cuent'!C1230</f>
        <v>GRUPO MALAU S.A.</v>
      </c>
      <c r="D1230" s="35">
        <f>+'[2]por cuent'!G1230</f>
        <v>225865988</v>
      </c>
      <c r="E1230" s="35">
        <f>+'[2]por cuent'!H1230</f>
        <v>225865988</v>
      </c>
      <c r="F1230" t="str">
        <f>+'[2]por cuent'!I1230</f>
        <v>493</v>
      </c>
    </row>
    <row r="1231" spans="1:6" x14ac:dyDescent="0.35">
      <c r="A1231" t="str">
        <f>+'[2]por cuent'!A1231</f>
        <v>ARS</v>
      </c>
      <c r="B1231" t="str">
        <f>+'[2]por cuent'!B1231</f>
        <v>493004624</v>
      </c>
      <c r="C1231" t="str">
        <f>+'[2]por cuent'!C1231</f>
        <v>LODOLO María Inés</v>
      </c>
      <c r="D1231" s="35">
        <f>+'[2]por cuent'!G1231</f>
        <v>11153000</v>
      </c>
      <c r="E1231" s="35">
        <f>+'[2]por cuent'!H1231</f>
        <v>11153000</v>
      </c>
      <c r="F1231" t="str">
        <f>+'[2]por cuent'!I1231</f>
        <v>493</v>
      </c>
    </row>
    <row r="1232" spans="1:6" x14ac:dyDescent="0.35">
      <c r="A1232" t="str">
        <f>+'[2]por cuent'!A1232</f>
        <v>ARS</v>
      </c>
      <c r="B1232" t="str">
        <f>+'[2]por cuent'!B1232</f>
        <v>493004678</v>
      </c>
      <c r="C1232" t="str">
        <f>+'[2]por cuent'!C1232</f>
        <v>PANIGUTTO CARLOS NICOLAS</v>
      </c>
      <c r="D1232" s="35">
        <f>+'[2]por cuent'!G1232</f>
        <v>1040330</v>
      </c>
      <c r="E1232" s="35">
        <f>+'[2]por cuent'!H1232</f>
        <v>1040330</v>
      </c>
      <c r="F1232" t="str">
        <f>+'[2]por cuent'!I1232</f>
        <v>493</v>
      </c>
    </row>
    <row r="1233" spans="1:6" x14ac:dyDescent="0.35">
      <c r="A1233" t="str">
        <f>+'[2]por cuent'!A1233</f>
        <v>ARS</v>
      </c>
      <c r="B1233" t="str">
        <f>+'[2]por cuent'!B1233</f>
        <v>493004697</v>
      </c>
      <c r="C1233" t="str">
        <f>+'[2]por cuent'!C1233</f>
        <v>ZAPATA Simon Alberto</v>
      </c>
      <c r="D1233" s="35">
        <f>+'[2]por cuent'!G1233</f>
        <v>57708264.5</v>
      </c>
      <c r="E1233" s="35">
        <f>+'[2]por cuent'!H1233</f>
        <v>57708264.5</v>
      </c>
      <c r="F1233" t="str">
        <f>+'[2]por cuent'!I1233</f>
        <v>493</v>
      </c>
    </row>
    <row r="1234" spans="1:6" x14ac:dyDescent="0.35">
      <c r="A1234" t="str">
        <f>+'[2]por cuent'!A1234</f>
        <v>ARS</v>
      </c>
      <c r="B1234" t="str">
        <f>+'[2]por cuent'!B1234</f>
        <v>493004734</v>
      </c>
      <c r="C1234" t="str">
        <f>+'[2]por cuent'!C1234</f>
        <v>RANCIARI Maria Sol</v>
      </c>
      <c r="D1234" s="35">
        <f>+'[2]por cuent'!G1234</f>
        <v>1200700</v>
      </c>
      <c r="E1234" s="35">
        <f>+'[2]por cuent'!H1234</f>
        <v>1200700</v>
      </c>
      <c r="F1234" t="str">
        <f>+'[2]por cuent'!I1234</f>
        <v>493</v>
      </c>
    </row>
    <row r="1235" spans="1:6" x14ac:dyDescent="0.35">
      <c r="A1235" t="str">
        <f>+'[2]por cuent'!A1235</f>
        <v>ARS</v>
      </c>
      <c r="B1235" t="str">
        <f>+'[2]por cuent'!B1235</f>
        <v>493004741</v>
      </c>
      <c r="C1235" t="str">
        <f>+'[2]por cuent'!C1235</f>
        <v>DE AGUILAR Gonzalo Fernando</v>
      </c>
      <c r="D1235" s="35">
        <f>+'[2]por cuent'!G1235</f>
        <v>33539987.510000002</v>
      </c>
      <c r="E1235" s="35">
        <f>+'[2]por cuent'!H1235</f>
        <v>33539987.510000002</v>
      </c>
      <c r="F1235" t="str">
        <f>+'[2]por cuent'!I1235</f>
        <v>493</v>
      </c>
    </row>
    <row r="1236" spans="1:6" x14ac:dyDescent="0.35">
      <c r="A1236" t="str">
        <f>+'[2]por cuent'!A1236</f>
        <v>ARS</v>
      </c>
      <c r="B1236" t="str">
        <f>+'[2]por cuent'!B1236</f>
        <v>493004772</v>
      </c>
      <c r="C1236" t="str">
        <f>+'[2]por cuent'!C1236</f>
        <v>MARCHENA Javier Luis</v>
      </c>
      <c r="D1236" s="35">
        <f>+'[2]por cuent'!G1236</f>
        <v>6691.2</v>
      </c>
      <c r="E1236" s="35">
        <f>+'[2]por cuent'!H1236</f>
        <v>6691.2</v>
      </c>
      <c r="F1236" t="str">
        <f>+'[2]por cuent'!I1236</f>
        <v>493</v>
      </c>
    </row>
    <row r="1237" spans="1:6" x14ac:dyDescent="0.35">
      <c r="A1237" t="str">
        <f>+'[2]por cuent'!A1237</f>
        <v>ARS</v>
      </c>
      <c r="B1237" t="str">
        <f>+'[2]por cuent'!B1237</f>
        <v>493004909</v>
      </c>
      <c r="C1237" t="str">
        <f>+'[2]por cuent'!C1237</f>
        <v>CRAVERO Roberto Mauro</v>
      </c>
      <c r="D1237" s="35">
        <f>+'[2]por cuent'!G1237</f>
        <v>3422000</v>
      </c>
      <c r="E1237" s="35">
        <f>+'[2]por cuent'!H1237</f>
        <v>3422000</v>
      </c>
      <c r="F1237" t="str">
        <f>+'[2]por cuent'!I1237</f>
        <v>493</v>
      </c>
    </row>
    <row r="1238" spans="1:6" x14ac:dyDescent="0.35">
      <c r="A1238" t="str">
        <f>+'[2]por cuent'!A1238</f>
        <v>ARS</v>
      </c>
      <c r="B1238" t="str">
        <f>+'[2]por cuent'!B1238</f>
        <v>493004920</v>
      </c>
      <c r="C1238" t="str">
        <f>+'[2]por cuent'!C1238</f>
        <v>BIASSI JOSE LUIS</v>
      </c>
      <c r="D1238" s="35">
        <f>+'[2]por cuent'!G1238</f>
        <v>36078372</v>
      </c>
      <c r="E1238" s="35">
        <f>+'[2]por cuent'!H1238</f>
        <v>36078372</v>
      </c>
      <c r="F1238" t="str">
        <f>+'[2]por cuent'!I1238</f>
        <v>493</v>
      </c>
    </row>
    <row r="1239" spans="1:6" x14ac:dyDescent="0.35">
      <c r="A1239" t="str">
        <f>+'[2]por cuent'!A1239</f>
        <v>ARS</v>
      </c>
      <c r="B1239" t="str">
        <f>+'[2]por cuent'!B1239</f>
        <v>493004922</v>
      </c>
      <c r="C1239" t="str">
        <f>+'[2]por cuent'!C1239</f>
        <v>AREVALO Adriana</v>
      </c>
      <c r="D1239" s="35">
        <f>+'[2]por cuent'!G1239</f>
        <v>1741089</v>
      </c>
      <c r="E1239" s="35">
        <f>+'[2]por cuent'!H1239</f>
        <v>1741089</v>
      </c>
      <c r="F1239" t="str">
        <f>+'[2]por cuent'!I1239</f>
        <v>493</v>
      </c>
    </row>
    <row r="1240" spans="1:6" x14ac:dyDescent="0.35">
      <c r="A1240" t="str">
        <f>+'[2]por cuent'!A1240</f>
        <v>ARS</v>
      </c>
      <c r="B1240" t="str">
        <f>+'[2]por cuent'!B1240</f>
        <v>493005019</v>
      </c>
      <c r="C1240" t="str">
        <f>+'[2]por cuent'!C1240</f>
        <v>BARONE Maria Del Carmen</v>
      </c>
      <c r="D1240" s="35">
        <f>+'[2]por cuent'!G1240</f>
        <v>103320</v>
      </c>
      <c r="E1240" s="35">
        <f>+'[2]por cuent'!H1240</f>
        <v>103320</v>
      </c>
      <c r="F1240" t="str">
        <f>+'[2]por cuent'!I1240</f>
        <v>493</v>
      </c>
    </row>
    <row r="1241" spans="1:6" x14ac:dyDescent="0.35">
      <c r="A1241" t="str">
        <f>+'[2]por cuent'!A1241</f>
        <v>ARS</v>
      </c>
      <c r="B1241" t="str">
        <f>+'[2]por cuent'!B1241</f>
        <v>493005146</v>
      </c>
      <c r="C1241" t="str">
        <f>+'[2]por cuent'!C1241</f>
        <v>NEIROTTI Julian Edgardo</v>
      </c>
      <c r="D1241" s="35">
        <f>+'[2]por cuent'!G1241</f>
        <v>2326750</v>
      </c>
      <c r="E1241" s="35">
        <f>+'[2]por cuent'!H1241</f>
        <v>2326750</v>
      </c>
      <c r="F1241" t="str">
        <f>+'[2]por cuent'!I1241</f>
        <v>493</v>
      </c>
    </row>
    <row r="1242" spans="1:6" x14ac:dyDescent="0.35">
      <c r="A1242" t="str">
        <f>+'[2]por cuent'!A1242</f>
        <v>ARS</v>
      </c>
      <c r="B1242" t="str">
        <f>+'[2]por cuent'!B1242</f>
        <v>493005181</v>
      </c>
      <c r="C1242" t="str">
        <f>+'[2]por cuent'!C1242</f>
        <v>GHIOLDI JUAN SEBASTIAN</v>
      </c>
      <c r="D1242" s="35">
        <f>+'[2]por cuent'!G1242</f>
        <v>2506.8000000000002</v>
      </c>
      <c r="E1242" s="35">
        <f>+'[2]por cuent'!H1242</f>
        <v>2506.8000000000002</v>
      </c>
      <c r="F1242" t="str">
        <f>+'[2]por cuent'!I1242</f>
        <v>493</v>
      </c>
    </row>
    <row r="1243" spans="1:6" x14ac:dyDescent="0.35">
      <c r="A1243" t="str">
        <f>+'[2]por cuent'!A1243</f>
        <v>ARS</v>
      </c>
      <c r="B1243" t="str">
        <f>+'[2]por cuent'!B1243</f>
        <v>493005209</v>
      </c>
      <c r="C1243" t="str">
        <f>+'[2]por cuent'!C1243</f>
        <v>BUELGA Carlos Hector</v>
      </c>
      <c r="D1243" s="35">
        <f>+'[2]por cuent'!G1243</f>
        <v>35350</v>
      </c>
      <c r="E1243" s="35">
        <f>+'[2]por cuent'!H1243</f>
        <v>35350</v>
      </c>
      <c r="F1243" t="str">
        <f>+'[2]por cuent'!I1243</f>
        <v>493</v>
      </c>
    </row>
    <row r="1244" spans="1:6" x14ac:dyDescent="0.35">
      <c r="A1244" t="str">
        <f>+'[2]por cuent'!A1244</f>
        <v>ARS</v>
      </c>
      <c r="B1244" t="str">
        <f>+'[2]por cuent'!B1244</f>
        <v>493005240</v>
      </c>
      <c r="C1244" t="str">
        <f>+'[2]por cuent'!C1244</f>
        <v>GHIOLDI ESTEBAN AGUSTIN</v>
      </c>
      <c r="D1244" s="35">
        <f>+'[2]por cuent'!G1244</f>
        <v>649000</v>
      </c>
      <c r="E1244" s="35">
        <f>+'[2]por cuent'!H1244</f>
        <v>649000</v>
      </c>
      <c r="F1244" t="str">
        <f>+'[2]por cuent'!I1244</f>
        <v>493</v>
      </c>
    </row>
    <row r="1245" spans="1:6" x14ac:dyDescent="0.35">
      <c r="A1245" t="str">
        <f>+'[2]por cuent'!A1245</f>
        <v>ARS</v>
      </c>
      <c r="B1245" t="str">
        <f>+'[2]por cuent'!B1245</f>
        <v>493005281</v>
      </c>
      <c r="C1245" t="str">
        <f>+'[2]por cuent'!C1245</f>
        <v>CARLONI Norma</v>
      </c>
      <c r="D1245" s="35">
        <f>+'[2]por cuent'!G1245</f>
        <v>503388</v>
      </c>
      <c r="E1245" s="35">
        <f>+'[2]por cuent'!H1245</f>
        <v>503388</v>
      </c>
      <c r="F1245" t="str">
        <f>+'[2]por cuent'!I1245</f>
        <v>493</v>
      </c>
    </row>
    <row r="1246" spans="1:6" x14ac:dyDescent="0.35">
      <c r="A1246" t="str">
        <f>+'[2]por cuent'!A1246</f>
        <v>ARS</v>
      </c>
      <c r="B1246" t="str">
        <f>+'[2]por cuent'!B1246</f>
        <v>493005294</v>
      </c>
      <c r="C1246" t="str">
        <f>+'[2]por cuent'!C1246</f>
        <v>PESCETTO Sergio Daniel</v>
      </c>
      <c r="D1246" s="35">
        <f>+'[2]por cuent'!G1246</f>
        <v>1023397.57</v>
      </c>
      <c r="E1246" s="35">
        <f>+'[2]por cuent'!H1246</f>
        <v>1023397.57</v>
      </c>
      <c r="F1246" t="str">
        <f>+'[2]por cuent'!I1246</f>
        <v>493</v>
      </c>
    </row>
    <row r="1247" spans="1:6" x14ac:dyDescent="0.35">
      <c r="A1247" t="str">
        <f>+'[2]por cuent'!A1247</f>
        <v>ARS</v>
      </c>
      <c r="B1247" t="str">
        <f>+'[2]por cuent'!B1247</f>
        <v>493005298</v>
      </c>
      <c r="C1247" t="str">
        <f>+'[2]por cuent'!C1247</f>
        <v>ZINCZUK Juan</v>
      </c>
      <c r="D1247" s="35">
        <f>+'[2]por cuent'!G1247</f>
        <v>3537000</v>
      </c>
      <c r="E1247" s="35">
        <f>+'[2]por cuent'!H1247</f>
        <v>3537000</v>
      </c>
      <c r="F1247" t="str">
        <f>+'[2]por cuent'!I1247</f>
        <v>493</v>
      </c>
    </row>
    <row r="1248" spans="1:6" x14ac:dyDescent="0.35">
      <c r="A1248" t="str">
        <f>+'[2]por cuent'!A1248</f>
        <v>ARS</v>
      </c>
      <c r="B1248" t="str">
        <f>+'[2]por cuent'!B1248</f>
        <v>493005389</v>
      </c>
      <c r="C1248" t="str">
        <f>+'[2]por cuent'!C1248</f>
        <v>DAVICINO Gaston Martin</v>
      </c>
      <c r="D1248" s="35">
        <f>+'[2]por cuent'!G1248</f>
        <v>3561464.8</v>
      </c>
      <c r="E1248" s="35">
        <f>+'[2]por cuent'!H1248</f>
        <v>3561464.8</v>
      </c>
      <c r="F1248" t="str">
        <f>+'[2]por cuent'!I1248</f>
        <v>493</v>
      </c>
    </row>
    <row r="1249" spans="1:6" x14ac:dyDescent="0.35">
      <c r="A1249" t="str">
        <f>+'[2]por cuent'!A1249</f>
        <v>ARS</v>
      </c>
      <c r="B1249" t="str">
        <f>+'[2]por cuent'!B1249</f>
        <v>493005445</v>
      </c>
      <c r="C1249" t="str">
        <f>+'[2]por cuent'!C1249</f>
        <v>BERTERO Miguel Angel</v>
      </c>
      <c r="D1249" s="35">
        <f>+'[2]por cuent'!G1249</f>
        <v>12930</v>
      </c>
      <c r="E1249" s="35">
        <f>+'[2]por cuent'!H1249</f>
        <v>12930</v>
      </c>
      <c r="F1249" t="str">
        <f>+'[2]por cuent'!I1249</f>
        <v>493</v>
      </c>
    </row>
    <row r="1250" spans="1:6" x14ac:dyDescent="0.35">
      <c r="A1250" t="str">
        <f>+'[2]por cuent'!A1250</f>
        <v>ARS</v>
      </c>
      <c r="B1250" t="str">
        <f>+'[2]por cuent'!B1250</f>
        <v>493005446</v>
      </c>
      <c r="C1250" t="str">
        <f>+'[2]por cuent'!C1250</f>
        <v>BERTERO BOERO S.A.</v>
      </c>
      <c r="D1250" s="35">
        <f>+'[2]por cuent'!G1250</f>
        <v>98549134</v>
      </c>
      <c r="E1250" s="35">
        <f>+'[2]por cuent'!H1250</f>
        <v>98549134</v>
      </c>
      <c r="F1250" t="str">
        <f>+'[2]por cuent'!I1250</f>
        <v>493</v>
      </c>
    </row>
    <row r="1251" spans="1:6" x14ac:dyDescent="0.35">
      <c r="A1251" t="str">
        <f>+'[2]por cuent'!A1251</f>
        <v>ARS</v>
      </c>
      <c r="B1251" t="str">
        <f>+'[2]por cuent'!B1251</f>
        <v>493005478</v>
      </c>
      <c r="C1251" t="str">
        <f>+'[2]por cuent'!C1251</f>
        <v>NICOLINO Maria Isabel</v>
      </c>
      <c r="D1251" s="35">
        <f>+'[2]por cuent'!G1251</f>
        <v>120405413.84</v>
      </c>
      <c r="E1251" s="35">
        <f>+'[2]por cuent'!H1251</f>
        <v>120405413.84</v>
      </c>
      <c r="F1251" t="str">
        <f>+'[2]por cuent'!I1251</f>
        <v>493</v>
      </c>
    </row>
    <row r="1252" spans="1:6" x14ac:dyDescent="0.35">
      <c r="A1252" t="str">
        <f>+'[2]por cuent'!A1252</f>
        <v>ARS</v>
      </c>
      <c r="B1252" t="str">
        <f>+'[2]por cuent'!B1252</f>
        <v>493005504</v>
      </c>
      <c r="C1252" t="str">
        <f>+'[2]por cuent'!C1252</f>
        <v>TRINI, ARTURO</v>
      </c>
      <c r="D1252" s="35">
        <f>+'[2]por cuent'!G1252</f>
        <v>10760</v>
      </c>
      <c r="E1252" s="35">
        <f>+'[2]por cuent'!H1252</f>
        <v>10760</v>
      </c>
      <c r="F1252" t="str">
        <f>+'[2]por cuent'!I1252</f>
        <v>493</v>
      </c>
    </row>
    <row r="1253" spans="1:6" x14ac:dyDescent="0.35">
      <c r="A1253" t="str">
        <f>+'[2]por cuent'!A1253</f>
        <v>ARS</v>
      </c>
      <c r="B1253" t="str">
        <f>+'[2]por cuent'!B1253</f>
        <v>493005507</v>
      </c>
      <c r="C1253" t="str">
        <f>+'[2]por cuent'!C1253</f>
        <v>GILOTTI, MARIA EUGENIA</v>
      </c>
      <c r="D1253" s="35">
        <f>+'[2]por cuent'!G1253</f>
        <v>11145911</v>
      </c>
      <c r="E1253" s="35">
        <f>+'[2]por cuent'!H1253</f>
        <v>11145911</v>
      </c>
      <c r="F1253" t="str">
        <f>+'[2]por cuent'!I1253</f>
        <v>493</v>
      </c>
    </row>
    <row r="1254" spans="1:6" x14ac:dyDescent="0.35">
      <c r="A1254" t="str">
        <f>+'[2]por cuent'!A1254</f>
        <v>ARS</v>
      </c>
      <c r="B1254" t="str">
        <f>+'[2]por cuent'!B1254</f>
        <v>493005535</v>
      </c>
      <c r="C1254" t="str">
        <f>+'[2]por cuent'!C1254</f>
        <v>ASCHERI EDMUNDO DANIEL</v>
      </c>
      <c r="D1254" s="35">
        <f>+'[2]por cuent'!G1254</f>
        <v>844000</v>
      </c>
      <c r="E1254" s="35">
        <f>+'[2]por cuent'!H1254</f>
        <v>844000</v>
      </c>
      <c r="F1254" t="str">
        <f>+'[2]por cuent'!I1254</f>
        <v>493</v>
      </c>
    </row>
    <row r="1255" spans="1:6" x14ac:dyDescent="0.35">
      <c r="A1255" t="str">
        <f>+'[2]por cuent'!A1255</f>
        <v>ARS</v>
      </c>
      <c r="B1255" t="str">
        <f>+'[2]por cuent'!B1255</f>
        <v>493005542</v>
      </c>
      <c r="C1255" t="str">
        <f>+'[2]por cuent'!C1255</f>
        <v>CASTELLARIN MARTA GRACIELA</v>
      </c>
      <c r="D1255" s="35">
        <f>+'[2]por cuent'!G1255</f>
        <v>7755261.9199999999</v>
      </c>
      <c r="E1255" s="35">
        <f>+'[2]por cuent'!H1255</f>
        <v>7755261.9199999999</v>
      </c>
      <c r="F1255" t="str">
        <f>+'[2]por cuent'!I1255</f>
        <v>493</v>
      </c>
    </row>
    <row r="1256" spans="1:6" x14ac:dyDescent="0.35">
      <c r="A1256" t="str">
        <f>+'[2]por cuent'!A1256</f>
        <v>ARS</v>
      </c>
      <c r="B1256" t="str">
        <f>+'[2]por cuent'!B1256</f>
        <v>493005543</v>
      </c>
      <c r="C1256" t="str">
        <f>+'[2]por cuent'!C1256</f>
        <v>Concrete S.A.</v>
      </c>
      <c r="D1256" s="35">
        <f>+'[2]por cuent'!G1256</f>
        <v>12359986.199999999</v>
      </c>
      <c r="E1256" s="35">
        <f>+'[2]por cuent'!H1256</f>
        <v>12359986.199999999</v>
      </c>
      <c r="F1256" t="str">
        <f>+'[2]por cuent'!I1256</f>
        <v>493</v>
      </c>
    </row>
    <row r="1257" spans="1:6" x14ac:dyDescent="0.35">
      <c r="A1257" t="str">
        <f>+'[2]por cuent'!A1257</f>
        <v>ARS</v>
      </c>
      <c r="B1257" t="str">
        <f>+'[2]por cuent'!B1257</f>
        <v>493005577</v>
      </c>
      <c r="C1257" t="str">
        <f>+'[2]por cuent'!C1257</f>
        <v>CANNARSA Pablo Roman</v>
      </c>
      <c r="D1257" s="35">
        <f>+'[2]por cuent'!G1257</f>
        <v>3425700</v>
      </c>
      <c r="E1257" s="35">
        <f>+'[2]por cuent'!H1257</f>
        <v>3425700</v>
      </c>
      <c r="F1257" t="str">
        <f>+'[2]por cuent'!I1257</f>
        <v>493</v>
      </c>
    </row>
    <row r="1258" spans="1:6" x14ac:dyDescent="0.35">
      <c r="A1258" t="str">
        <f>+'[2]por cuent'!A1258</f>
        <v>ARS</v>
      </c>
      <c r="B1258" t="str">
        <f>+'[2]por cuent'!B1258</f>
        <v>493005587</v>
      </c>
      <c r="C1258" t="str">
        <f>+'[2]por cuent'!C1258</f>
        <v>LODOLO GUILLERMO MARCOS</v>
      </c>
      <c r="D1258" s="35">
        <f>+'[2]por cuent'!G1258</f>
        <v>4991020</v>
      </c>
      <c r="E1258" s="35">
        <f>+'[2]por cuent'!H1258</f>
        <v>4991020</v>
      </c>
      <c r="F1258" t="str">
        <f>+'[2]por cuent'!I1258</f>
        <v>493</v>
      </c>
    </row>
    <row r="1259" spans="1:6" x14ac:dyDescent="0.35">
      <c r="A1259" t="str">
        <f>+'[2]por cuent'!A1259</f>
        <v>ARS</v>
      </c>
      <c r="B1259" t="str">
        <f>+'[2]por cuent'!B1259</f>
        <v>493005594</v>
      </c>
      <c r="C1259" t="str">
        <f>+'[2]por cuent'!C1259</f>
        <v>GONZALEZ DANIEL EDGARDO</v>
      </c>
      <c r="D1259" s="35">
        <f>+'[2]por cuent'!G1259</f>
        <v>1178826256.3</v>
      </c>
      <c r="E1259" s="35">
        <f>+'[2]por cuent'!H1259</f>
        <v>1178826256.3</v>
      </c>
      <c r="F1259" t="str">
        <f>+'[2]por cuent'!I1259</f>
        <v>493</v>
      </c>
    </row>
    <row r="1260" spans="1:6" x14ac:dyDescent="0.35">
      <c r="A1260" t="str">
        <f>+'[2]por cuent'!A1260</f>
        <v>ARS</v>
      </c>
      <c r="B1260" t="str">
        <f>+'[2]por cuent'!B1260</f>
        <v>493005600</v>
      </c>
      <c r="C1260" t="str">
        <f>+'[2]por cuent'!C1260</f>
        <v>SANCHEZ Lauriano Ventura</v>
      </c>
      <c r="D1260" s="35">
        <f>+'[2]por cuent'!G1260</f>
        <v>226655059</v>
      </c>
      <c r="E1260" s="35">
        <f>+'[2]por cuent'!H1260</f>
        <v>226655059</v>
      </c>
      <c r="F1260" t="str">
        <f>+'[2]por cuent'!I1260</f>
        <v>493</v>
      </c>
    </row>
    <row r="1261" spans="1:6" x14ac:dyDescent="0.35">
      <c r="A1261" t="str">
        <f>+'[2]por cuent'!A1261</f>
        <v>ARS</v>
      </c>
      <c r="B1261" t="str">
        <f>+'[2]por cuent'!B1261</f>
        <v>493005658</v>
      </c>
      <c r="C1261" t="str">
        <f>+'[2]por cuent'!C1261</f>
        <v>MIRETTI, Octavio Mauro o BERTOLOTTI , Patricia Monica</v>
      </c>
      <c r="D1261" s="35">
        <f>+'[2]por cuent'!G1261</f>
        <v>9086206.7799999993</v>
      </c>
      <c r="E1261" s="35">
        <f>+'[2]por cuent'!H1261</f>
        <v>9086206.7799999993</v>
      </c>
      <c r="F1261" t="str">
        <f>+'[2]por cuent'!I1261</f>
        <v>493</v>
      </c>
    </row>
    <row r="1262" spans="1:6" x14ac:dyDescent="0.35">
      <c r="A1262" t="str">
        <f>+'[2]por cuent'!A1262</f>
        <v>ARS</v>
      </c>
      <c r="B1262" t="str">
        <f>+'[2]por cuent'!B1262</f>
        <v>493005666</v>
      </c>
      <c r="C1262" t="str">
        <f>+'[2]por cuent'!C1262</f>
        <v>GONZALEZ, Damian</v>
      </c>
      <c r="D1262" s="35">
        <f>+'[2]por cuent'!G1262</f>
        <v>2954719</v>
      </c>
      <c r="E1262" s="35">
        <f>+'[2]por cuent'!H1262</f>
        <v>2954719</v>
      </c>
      <c r="F1262" t="str">
        <f>+'[2]por cuent'!I1262</f>
        <v>493</v>
      </c>
    </row>
    <row r="1263" spans="1:6" x14ac:dyDescent="0.35">
      <c r="A1263" t="str">
        <f>+'[2]por cuent'!A1263</f>
        <v>ARS</v>
      </c>
      <c r="B1263" t="str">
        <f>+'[2]por cuent'!B1263</f>
        <v>493005671</v>
      </c>
      <c r="C1263" t="str">
        <f>+'[2]por cuent'!C1263</f>
        <v>IMAZ PIO ENRIQUE</v>
      </c>
      <c r="D1263" s="35">
        <f>+'[2]por cuent'!G1263</f>
        <v>1362342.94</v>
      </c>
      <c r="E1263" s="35">
        <f>+'[2]por cuent'!H1263</f>
        <v>1362342.94</v>
      </c>
      <c r="F1263" t="str">
        <f>+'[2]por cuent'!I1263</f>
        <v>493</v>
      </c>
    </row>
    <row r="1264" spans="1:6" x14ac:dyDescent="0.35">
      <c r="A1264" t="str">
        <f>+'[2]por cuent'!A1264</f>
        <v>ARS</v>
      </c>
      <c r="B1264" t="str">
        <f>+'[2]por cuent'!B1264</f>
        <v>493005676</v>
      </c>
      <c r="C1264" t="str">
        <f>+'[2]por cuent'!C1264</f>
        <v>FLEMING, IGNACIO</v>
      </c>
      <c r="D1264" s="35">
        <f>+'[2]por cuent'!G1264</f>
        <v>52750</v>
      </c>
      <c r="E1264" s="35">
        <f>+'[2]por cuent'!H1264</f>
        <v>52750</v>
      </c>
      <c r="F1264" t="str">
        <f>+'[2]por cuent'!I1264</f>
        <v>493</v>
      </c>
    </row>
    <row r="1265" spans="1:6" x14ac:dyDescent="0.35">
      <c r="A1265" t="str">
        <f>+'[2]por cuent'!A1265</f>
        <v>ARS</v>
      </c>
      <c r="B1265" t="str">
        <f>+'[2]por cuent'!B1265</f>
        <v>493005682</v>
      </c>
      <c r="C1265" t="str">
        <f>+'[2]por cuent'!C1265</f>
        <v>PERASSI, CARLOS AGUSTIN</v>
      </c>
      <c r="D1265" s="35">
        <f>+'[2]por cuent'!G1265</f>
        <v>18047400</v>
      </c>
      <c r="E1265" s="35">
        <f>+'[2]por cuent'!H1265</f>
        <v>18047400</v>
      </c>
      <c r="F1265" t="str">
        <f>+'[2]por cuent'!I1265</f>
        <v>493</v>
      </c>
    </row>
    <row r="1266" spans="1:6" x14ac:dyDescent="0.35">
      <c r="A1266" t="str">
        <f>+'[2]por cuent'!A1266</f>
        <v>ARS</v>
      </c>
      <c r="B1266" t="str">
        <f>+'[2]por cuent'!B1266</f>
        <v>493005683</v>
      </c>
      <c r="C1266" t="str">
        <f>+'[2]por cuent'!C1266</f>
        <v>BENITEZ, Hector Daniel</v>
      </c>
      <c r="D1266" s="35">
        <f>+'[2]por cuent'!G1266</f>
        <v>282700</v>
      </c>
      <c r="E1266" s="35">
        <f>+'[2]por cuent'!H1266</f>
        <v>282700</v>
      </c>
      <c r="F1266" t="str">
        <f>+'[2]por cuent'!I1266</f>
        <v>493</v>
      </c>
    </row>
    <row r="1267" spans="1:6" x14ac:dyDescent="0.35">
      <c r="A1267" t="str">
        <f>+'[2]por cuent'!A1267</f>
        <v>ARS</v>
      </c>
      <c r="B1267" t="str">
        <f>+'[2]por cuent'!B1267</f>
        <v>493005695</v>
      </c>
      <c r="C1267" t="str">
        <f>+'[2]por cuent'!C1267</f>
        <v>OLIVA, Nelly Isabel o BOTT, Mariela Beatriz</v>
      </c>
      <c r="D1267" s="35">
        <f>+'[2]por cuent'!G1267</f>
        <v>56006611.670000002</v>
      </c>
      <c r="E1267" s="35">
        <f>+'[2]por cuent'!H1267</f>
        <v>56006611.670000002</v>
      </c>
      <c r="F1267" t="str">
        <f>+'[2]por cuent'!I1267</f>
        <v>493</v>
      </c>
    </row>
    <row r="1268" spans="1:6" x14ac:dyDescent="0.35">
      <c r="A1268" t="str">
        <f>+'[2]por cuent'!A1268</f>
        <v>ARS</v>
      </c>
      <c r="B1268" t="str">
        <f>+'[2]por cuent'!B1268</f>
        <v>493005700</v>
      </c>
      <c r="C1268" t="str">
        <f>+'[2]por cuent'!C1268</f>
        <v>DENI, Ana Ines</v>
      </c>
      <c r="D1268" s="35">
        <f>+'[2]por cuent'!G1268</f>
        <v>29106128.300000001</v>
      </c>
      <c r="E1268" s="35">
        <f>+'[2]por cuent'!H1268</f>
        <v>29106128.300000001</v>
      </c>
      <c r="F1268" t="str">
        <f>+'[2]por cuent'!I1268</f>
        <v>493</v>
      </c>
    </row>
    <row r="1269" spans="1:6" x14ac:dyDescent="0.35">
      <c r="A1269" t="str">
        <f>+'[2]por cuent'!A1269</f>
        <v>ARS</v>
      </c>
      <c r="B1269" t="str">
        <f>+'[2]por cuent'!B1269</f>
        <v>493005819</v>
      </c>
      <c r="C1269" t="str">
        <f>+'[2]por cuent'!C1269</f>
        <v>INDUSTRIAS DARMET S.A.</v>
      </c>
      <c r="D1269" s="35">
        <f>+'[2]por cuent'!G1269</f>
        <v>6712</v>
      </c>
      <c r="E1269" s="35">
        <f>+'[2]por cuent'!H1269</f>
        <v>6712</v>
      </c>
      <c r="F1269" t="str">
        <f>+'[2]por cuent'!I1269</f>
        <v>493</v>
      </c>
    </row>
    <row r="1270" spans="1:6" x14ac:dyDescent="0.35">
      <c r="A1270" t="str">
        <f>+'[2]por cuent'!A1270</f>
        <v>ARS</v>
      </c>
      <c r="B1270" t="str">
        <f>+'[2]por cuent'!B1270</f>
        <v>493005831</v>
      </c>
      <c r="C1270" t="str">
        <f>+'[2]por cuent'!C1270</f>
        <v>BOGGIO REALDO OSCAR</v>
      </c>
      <c r="D1270" s="35">
        <f>+'[2]por cuent'!G1270</f>
        <v>3336</v>
      </c>
      <c r="E1270" s="35">
        <f>+'[2]por cuent'!H1270</f>
        <v>3336</v>
      </c>
      <c r="F1270" t="str">
        <f>+'[2]por cuent'!I1270</f>
        <v>493</v>
      </c>
    </row>
    <row r="1271" spans="1:6" x14ac:dyDescent="0.35">
      <c r="A1271" t="str">
        <f>+'[2]por cuent'!A1271</f>
        <v>ARS</v>
      </c>
      <c r="B1271" t="str">
        <f>+'[2]por cuent'!B1271</f>
        <v>493006014</v>
      </c>
      <c r="C1271" t="str">
        <f>+'[2]por cuent'!C1271</f>
        <v>DEL TEDESCO, Marcelo Andres</v>
      </c>
      <c r="D1271" s="35">
        <f>+'[2]por cuent'!G1271</f>
        <v>2587500</v>
      </c>
      <c r="E1271" s="35">
        <f>+'[2]por cuent'!H1271</f>
        <v>2587500</v>
      </c>
      <c r="F1271" t="str">
        <f>+'[2]por cuent'!I1271</f>
        <v>493</v>
      </c>
    </row>
    <row r="1272" spans="1:6" x14ac:dyDescent="0.35">
      <c r="A1272" t="str">
        <f>+'[2]por cuent'!A1272</f>
        <v>ARS</v>
      </c>
      <c r="B1272" t="str">
        <f>+'[2]por cuent'!B1272</f>
        <v>493006106</v>
      </c>
      <c r="C1272" t="str">
        <f>+'[2]por cuent'!C1272</f>
        <v>LAURINO, Guillermo Andres</v>
      </c>
      <c r="D1272" s="35">
        <f>+'[2]por cuent'!G1272</f>
        <v>5021700</v>
      </c>
      <c r="E1272" s="35">
        <f>+'[2]por cuent'!H1272</f>
        <v>5021700</v>
      </c>
      <c r="F1272" t="str">
        <f>+'[2]por cuent'!I1272</f>
        <v>493</v>
      </c>
    </row>
    <row r="1273" spans="1:6" x14ac:dyDescent="0.35">
      <c r="A1273" t="str">
        <f>+'[2]por cuent'!A1273</f>
        <v>ARS</v>
      </c>
      <c r="B1273" t="str">
        <f>+'[2]por cuent'!B1273</f>
        <v>493006137</v>
      </c>
      <c r="C1273" t="str">
        <f>+'[2]por cuent'!C1273</f>
        <v>PRIO, Alicia Esther</v>
      </c>
      <c r="D1273" s="35">
        <f>+'[2]por cuent'!G1273</f>
        <v>37058792.299999997</v>
      </c>
      <c r="E1273" s="35">
        <f>+'[2]por cuent'!H1273</f>
        <v>37058792.299999997</v>
      </c>
      <c r="F1273" t="str">
        <f>+'[2]por cuent'!I1273</f>
        <v>493</v>
      </c>
    </row>
    <row r="1274" spans="1:6" x14ac:dyDescent="0.35">
      <c r="A1274" t="str">
        <f>+'[2]por cuent'!A1274</f>
        <v>ARS</v>
      </c>
      <c r="B1274" t="str">
        <f>+'[2]por cuent'!B1274</f>
        <v>493006167</v>
      </c>
      <c r="C1274" t="str">
        <f>+'[2]por cuent'!C1274</f>
        <v>BERTERO MIGUEL ANGEL Y BERTERO MARIA CLOTILDE VERONICA S.H</v>
      </c>
      <c r="D1274" s="35">
        <f>+'[2]por cuent'!G1274</f>
        <v>92121230.900000006</v>
      </c>
      <c r="E1274" s="35">
        <f>+'[2]por cuent'!H1274</f>
        <v>92121230.900000006</v>
      </c>
      <c r="F1274" t="str">
        <f>+'[2]por cuent'!I1274</f>
        <v>493</v>
      </c>
    </row>
    <row r="1275" spans="1:6" x14ac:dyDescent="0.35">
      <c r="A1275" t="str">
        <f>+'[2]por cuent'!A1275</f>
        <v>ARS</v>
      </c>
      <c r="B1275" t="str">
        <f>+'[2]por cuent'!B1275</f>
        <v>493006204</v>
      </c>
      <c r="C1275" t="str">
        <f>+'[2]por cuent'!C1275</f>
        <v>TURISMO CAREY S.R.L</v>
      </c>
      <c r="D1275" s="35">
        <f>+'[2]por cuent'!G1275</f>
        <v>95784135.549999997</v>
      </c>
      <c r="E1275" s="35">
        <f>+'[2]por cuent'!H1275</f>
        <v>95784135.549999997</v>
      </c>
      <c r="F1275" t="str">
        <f>+'[2]por cuent'!I1275</f>
        <v>493</v>
      </c>
    </row>
    <row r="1276" spans="1:6" x14ac:dyDescent="0.35">
      <c r="A1276" t="str">
        <f>+'[2]por cuent'!A1276</f>
        <v>ARS</v>
      </c>
      <c r="B1276" t="str">
        <f>+'[2]por cuent'!B1276</f>
        <v>493006214</v>
      </c>
      <c r="C1276" t="str">
        <f>+'[2]por cuent'!C1276</f>
        <v xml:space="preserve">CERRUTTI Carlos Alberto </v>
      </c>
      <c r="D1276" s="35">
        <f>+'[2]por cuent'!G1276</f>
        <v>87937802.900000006</v>
      </c>
      <c r="E1276" s="35">
        <f>+'[2]por cuent'!H1276</f>
        <v>87937802.900000006</v>
      </c>
      <c r="F1276" t="str">
        <f>+'[2]por cuent'!I1276</f>
        <v>493</v>
      </c>
    </row>
    <row r="1277" spans="1:6" x14ac:dyDescent="0.35">
      <c r="A1277" t="str">
        <f>+'[2]por cuent'!A1277</f>
        <v>ARS</v>
      </c>
      <c r="B1277" t="str">
        <f>+'[2]por cuent'!B1277</f>
        <v>493006220</v>
      </c>
      <c r="C1277" t="str">
        <f>+'[2]por cuent'!C1277</f>
        <v>BOGGIO , Hugo Alberto</v>
      </c>
      <c r="D1277" s="35">
        <f>+'[2]por cuent'!G1277</f>
        <v>1011494.9</v>
      </c>
      <c r="E1277" s="35">
        <f>+'[2]por cuent'!H1277</f>
        <v>1011494.9</v>
      </c>
      <c r="F1277" t="str">
        <f>+'[2]por cuent'!I1277</f>
        <v>493</v>
      </c>
    </row>
    <row r="1278" spans="1:6" x14ac:dyDescent="0.35">
      <c r="A1278" t="str">
        <f>+'[2]por cuent'!A1278</f>
        <v>ARS</v>
      </c>
      <c r="B1278" t="str">
        <f>+'[2]por cuent'!B1278</f>
        <v>493006283</v>
      </c>
      <c r="C1278" t="str">
        <f>+'[2]por cuent'!C1278</f>
        <v>FERRARIS, Federico alberto</v>
      </c>
      <c r="D1278" s="35">
        <f>+'[2]por cuent'!G1278</f>
        <v>880650</v>
      </c>
      <c r="E1278" s="35">
        <f>+'[2]por cuent'!H1278</f>
        <v>880650</v>
      </c>
      <c r="F1278" t="str">
        <f>+'[2]por cuent'!I1278</f>
        <v>493</v>
      </c>
    </row>
    <row r="1279" spans="1:6" x14ac:dyDescent="0.35">
      <c r="A1279" t="str">
        <f>+'[2]por cuent'!A1279</f>
        <v>ARS</v>
      </c>
      <c r="B1279" t="str">
        <f>+'[2]por cuent'!B1279</f>
        <v>493006287</v>
      </c>
      <c r="C1279" t="str">
        <f>+'[2]por cuent'!C1279</f>
        <v xml:space="preserve">TURCATO, Mariano Luis </v>
      </c>
      <c r="D1279" s="35">
        <f>+'[2]por cuent'!G1279</f>
        <v>2327125.6</v>
      </c>
      <c r="E1279" s="35">
        <f>+'[2]por cuent'!H1279</f>
        <v>2327125.6</v>
      </c>
      <c r="F1279" t="str">
        <f>+'[2]por cuent'!I1279</f>
        <v>493</v>
      </c>
    </row>
    <row r="1280" spans="1:6" x14ac:dyDescent="0.35">
      <c r="A1280" t="str">
        <f>+'[2]por cuent'!A1280</f>
        <v>ARS</v>
      </c>
      <c r="B1280" t="str">
        <f>+'[2]por cuent'!B1280</f>
        <v>493006321</v>
      </c>
      <c r="C1280" t="str">
        <f>+'[2]por cuent'!C1280</f>
        <v>MATTOS, Alejandro</v>
      </c>
      <c r="D1280" s="35">
        <f>+'[2]por cuent'!G1280</f>
        <v>1964660</v>
      </c>
      <c r="E1280" s="35">
        <f>+'[2]por cuent'!H1280</f>
        <v>1964660</v>
      </c>
      <c r="F1280" t="str">
        <f>+'[2]por cuent'!I1280</f>
        <v>493</v>
      </c>
    </row>
    <row r="1281" spans="1:6" x14ac:dyDescent="0.35">
      <c r="A1281" t="str">
        <f>+'[2]por cuent'!A1281</f>
        <v>ARS</v>
      </c>
      <c r="B1281" t="str">
        <f>+'[2]por cuent'!B1281</f>
        <v>493006365</v>
      </c>
      <c r="C1281" t="str">
        <f>+'[2]por cuent'!C1281</f>
        <v xml:space="preserve">BARBARINI , Marcos Alejandro </v>
      </c>
      <c r="D1281" s="35">
        <f>+'[2]por cuent'!G1281</f>
        <v>2000159.06</v>
      </c>
      <c r="E1281" s="35">
        <f>+'[2]por cuent'!H1281</f>
        <v>2000159.06</v>
      </c>
      <c r="F1281" t="str">
        <f>+'[2]por cuent'!I1281</f>
        <v>493</v>
      </c>
    </row>
    <row r="1282" spans="1:6" x14ac:dyDescent="0.35">
      <c r="A1282" t="str">
        <f>+'[2]por cuent'!A1282</f>
        <v>ARS</v>
      </c>
      <c r="B1282" t="str">
        <f>+'[2]por cuent'!B1282</f>
        <v>493006418</v>
      </c>
      <c r="C1282" t="str">
        <f>+'[2]por cuent'!C1282</f>
        <v>CRAVERO, VALENTINA</v>
      </c>
      <c r="D1282" s="35">
        <f>+'[2]por cuent'!G1282</f>
        <v>92000000</v>
      </c>
      <c r="E1282" s="35">
        <f>+'[2]por cuent'!H1282</f>
        <v>92000000</v>
      </c>
      <c r="F1282" t="str">
        <f>+'[2]por cuent'!I1282</f>
        <v>493</v>
      </c>
    </row>
    <row r="1283" spans="1:6" x14ac:dyDescent="0.35">
      <c r="A1283" t="str">
        <f>+'[2]por cuent'!A1283</f>
        <v>ARS</v>
      </c>
      <c r="B1283" t="str">
        <f>+'[2]por cuent'!B1283</f>
        <v>493006436</v>
      </c>
      <c r="C1283" t="str">
        <f>+'[2]por cuent'!C1283</f>
        <v>STECHINA, Gabriel Andres</v>
      </c>
      <c r="D1283" s="35">
        <f>+'[2]por cuent'!G1283</f>
        <v>27375210.100000001</v>
      </c>
      <c r="E1283" s="35">
        <f>+'[2]por cuent'!H1283</f>
        <v>27375210.100000001</v>
      </c>
      <c r="F1283" t="str">
        <f>+'[2]por cuent'!I1283</f>
        <v>493</v>
      </c>
    </row>
    <row r="1284" spans="1:6" x14ac:dyDescent="0.35">
      <c r="A1284" t="str">
        <f>+'[2]por cuent'!A1284</f>
        <v>ARS</v>
      </c>
      <c r="B1284" t="str">
        <f>+'[2]por cuent'!B1284</f>
        <v>493006451</v>
      </c>
      <c r="C1284" t="str">
        <f>+'[2]por cuent'!C1284</f>
        <v xml:space="preserve">FEDELI , CECILIA LORENA </v>
      </c>
      <c r="D1284" s="35">
        <f>+'[2]por cuent'!G1284</f>
        <v>1564000</v>
      </c>
      <c r="E1284" s="35">
        <f>+'[2]por cuent'!H1284</f>
        <v>1564000</v>
      </c>
      <c r="F1284" t="str">
        <f>+'[2]por cuent'!I1284</f>
        <v>493</v>
      </c>
    </row>
    <row r="1285" spans="1:6" x14ac:dyDescent="0.35">
      <c r="A1285" t="str">
        <f>+'[2]por cuent'!A1285</f>
        <v>ARS</v>
      </c>
      <c r="B1285" t="str">
        <f>+'[2]por cuent'!B1285</f>
        <v>493006475</v>
      </c>
      <c r="C1285" t="str">
        <f>+'[2]por cuent'!C1285</f>
        <v>RODRIGUEZ Lucas Alberto</v>
      </c>
      <c r="D1285" s="35">
        <f>+'[2]por cuent'!G1285</f>
        <v>23328567.699999999</v>
      </c>
      <c r="E1285" s="35">
        <f>+'[2]por cuent'!H1285</f>
        <v>23328567.699999999</v>
      </c>
      <c r="F1285" t="str">
        <f>+'[2]por cuent'!I1285</f>
        <v>493</v>
      </c>
    </row>
    <row r="1286" spans="1:6" x14ac:dyDescent="0.35">
      <c r="A1286" t="str">
        <f>+'[2]por cuent'!A1286</f>
        <v>ARS</v>
      </c>
      <c r="B1286" t="str">
        <f>+'[2]por cuent'!B1286</f>
        <v>493006476</v>
      </c>
      <c r="C1286" t="str">
        <f>+'[2]por cuent'!C1286</f>
        <v xml:space="preserve">VERDONDONI, PAMELA NOEMI </v>
      </c>
      <c r="D1286" s="35">
        <f>+'[2]por cuent'!G1286</f>
        <v>5587780</v>
      </c>
      <c r="E1286" s="35">
        <f>+'[2]por cuent'!H1286</f>
        <v>5587780</v>
      </c>
      <c r="F1286" t="str">
        <f>+'[2]por cuent'!I1286</f>
        <v>493</v>
      </c>
    </row>
    <row r="1287" spans="1:6" x14ac:dyDescent="0.35">
      <c r="A1287" t="str">
        <f>+'[2]por cuent'!A1287</f>
        <v>ARS</v>
      </c>
      <c r="B1287" t="str">
        <f>+'[2]por cuent'!B1287</f>
        <v>493006524</v>
      </c>
      <c r="C1287" t="str">
        <f>+'[2]por cuent'!C1287</f>
        <v>MIRANDA GASTON GONZALO</v>
      </c>
      <c r="D1287" s="35">
        <f>+'[2]por cuent'!G1287</f>
        <v>758784</v>
      </c>
      <c r="E1287" s="35">
        <f>+'[2]por cuent'!H1287</f>
        <v>758784</v>
      </c>
      <c r="F1287" t="str">
        <f>+'[2]por cuent'!I1287</f>
        <v>493</v>
      </c>
    </row>
    <row r="1288" spans="1:6" x14ac:dyDescent="0.35">
      <c r="A1288" t="str">
        <f>+'[2]por cuent'!A1288</f>
        <v>ARS</v>
      </c>
      <c r="B1288" t="str">
        <f>+'[2]por cuent'!B1288</f>
        <v>493006538</v>
      </c>
      <c r="C1288" t="str">
        <f>+'[2]por cuent'!C1288</f>
        <v xml:space="preserve">CASAS, Alejandra Ines </v>
      </c>
      <c r="D1288" s="35">
        <f>+'[2]por cuent'!G1288</f>
        <v>98660</v>
      </c>
      <c r="E1288" s="35">
        <f>+'[2]por cuent'!H1288</f>
        <v>98660</v>
      </c>
      <c r="F1288" t="str">
        <f>+'[2]por cuent'!I1288</f>
        <v>493</v>
      </c>
    </row>
    <row r="1289" spans="1:6" x14ac:dyDescent="0.35">
      <c r="A1289" t="str">
        <f>+'[2]por cuent'!A1289</f>
        <v>ARS</v>
      </c>
      <c r="B1289" t="str">
        <f>+'[2]por cuent'!B1289</f>
        <v>493006610</v>
      </c>
      <c r="C1289" t="str">
        <f>+'[2]por cuent'!C1289</f>
        <v>SEMINO, Fernanda</v>
      </c>
      <c r="D1289" s="35">
        <f>+'[2]por cuent'!G1289</f>
        <v>18484537.370000001</v>
      </c>
      <c r="E1289" s="35">
        <f>+'[2]por cuent'!H1289</f>
        <v>18484537.370000001</v>
      </c>
      <c r="F1289" t="str">
        <f>+'[2]por cuent'!I1289</f>
        <v>493</v>
      </c>
    </row>
    <row r="1290" spans="1:6" x14ac:dyDescent="0.35">
      <c r="A1290" t="str">
        <f>+'[2]por cuent'!A1290</f>
        <v>ARS</v>
      </c>
      <c r="B1290" t="str">
        <f>+'[2]por cuent'!B1290</f>
        <v>493006618</v>
      </c>
      <c r="C1290" t="str">
        <f>+'[2]por cuent'!C1290</f>
        <v>PUNTO ROSARIO S.R.L</v>
      </c>
      <c r="D1290" s="35">
        <f>+'[2]por cuent'!G1290</f>
        <v>211696119.99000001</v>
      </c>
      <c r="E1290" s="35">
        <f>+'[2]por cuent'!H1290</f>
        <v>211696119.99000001</v>
      </c>
      <c r="F1290" t="str">
        <f>+'[2]por cuent'!I1290</f>
        <v>493</v>
      </c>
    </row>
    <row r="1291" spans="1:6" x14ac:dyDescent="0.35">
      <c r="A1291" t="str">
        <f>+'[2]por cuent'!A1291</f>
        <v>ARS</v>
      </c>
      <c r="B1291" t="str">
        <f>+'[2]por cuent'!B1291</f>
        <v>493006635</v>
      </c>
      <c r="C1291" t="str">
        <f>+'[2]por cuent'!C1291</f>
        <v>MAJUL Marcelino Rogelio</v>
      </c>
      <c r="D1291" s="35">
        <f>+'[2]por cuent'!G1291</f>
        <v>3329274.99</v>
      </c>
      <c r="E1291" s="35">
        <f>+'[2]por cuent'!H1291</f>
        <v>3329274.99</v>
      </c>
      <c r="F1291" t="str">
        <f>+'[2]por cuent'!I1291</f>
        <v>493</v>
      </c>
    </row>
    <row r="1292" spans="1:6" x14ac:dyDescent="0.35">
      <c r="A1292" t="str">
        <f>+'[2]por cuent'!A1292</f>
        <v>ARS</v>
      </c>
      <c r="B1292" t="str">
        <f>+'[2]por cuent'!B1292</f>
        <v>493006656</v>
      </c>
      <c r="C1292" t="str">
        <f>+'[2]por cuent'!C1292</f>
        <v>SILVA, Fabian René</v>
      </c>
      <c r="D1292" s="35">
        <f>+'[2]por cuent'!G1292</f>
        <v>19395</v>
      </c>
      <c r="E1292" s="35">
        <f>+'[2]por cuent'!H1292</f>
        <v>19395</v>
      </c>
      <c r="F1292" t="str">
        <f>+'[2]por cuent'!I1292</f>
        <v>493</v>
      </c>
    </row>
    <row r="1293" spans="1:6" x14ac:dyDescent="0.35">
      <c r="A1293" t="str">
        <f>+'[2]por cuent'!A1293</f>
        <v>ARS</v>
      </c>
      <c r="B1293" t="str">
        <f>+'[2]por cuent'!B1293</f>
        <v>493006671</v>
      </c>
      <c r="C1293" t="str">
        <f>+'[2]por cuent'!C1293</f>
        <v>MURIADO, Marcelo</v>
      </c>
      <c r="D1293" s="35">
        <f>+'[2]por cuent'!G1293</f>
        <v>103357080</v>
      </c>
      <c r="E1293" s="35">
        <f>+'[2]por cuent'!H1293</f>
        <v>103357080</v>
      </c>
      <c r="F1293" t="str">
        <f>+'[2]por cuent'!I1293</f>
        <v>493</v>
      </c>
    </row>
    <row r="1294" spans="1:6" x14ac:dyDescent="0.35">
      <c r="A1294" t="str">
        <f>+'[2]por cuent'!A1294</f>
        <v>ARS</v>
      </c>
      <c r="B1294" t="str">
        <f>+'[2]por cuent'!B1294</f>
        <v>493006703</v>
      </c>
      <c r="C1294" t="str">
        <f>+'[2]por cuent'!C1294</f>
        <v>LA RINCONADA EMPRENDIMIENTOS S.A</v>
      </c>
      <c r="D1294" s="35">
        <f>+'[2]por cuent'!G1294</f>
        <v>38776247</v>
      </c>
      <c r="E1294" s="35">
        <f>+'[2]por cuent'!H1294</f>
        <v>38776247</v>
      </c>
      <c r="F1294" t="str">
        <f>+'[2]por cuent'!I1294</f>
        <v>493</v>
      </c>
    </row>
    <row r="1295" spans="1:6" x14ac:dyDescent="0.35">
      <c r="A1295" t="str">
        <f>+'[2]por cuent'!A1295</f>
        <v>ARS</v>
      </c>
      <c r="B1295" t="str">
        <f>+'[2]por cuent'!B1295</f>
        <v>493006765</v>
      </c>
      <c r="C1295" t="str">
        <f>+'[2]por cuent'!C1295</f>
        <v>NISNIEVICH, David Ezequiel</v>
      </c>
      <c r="D1295" s="35">
        <f>+'[2]por cuent'!G1295</f>
        <v>1594760</v>
      </c>
      <c r="E1295" s="35">
        <f>+'[2]por cuent'!H1295</f>
        <v>1594760</v>
      </c>
      <c r="F1295" t="str">
        <f>+'[2]por cuent'!I1295</f>
        <v>493</v>
      </c>
    </row>
    <row r="1296" spans="1:6" x14ac:dyDescent="0.35">
      <c r="A1296" t="str">
        <f>+'[2]por cuent'!A1296</f>
        <v>ARS</v>
      </c>
      <c r="B1296" t="str">
        <f>+'[2]por cuent'!B1296</f>
        <v>493006817</v>
      </c>
      <c r="C1296" t="str">
        <f>+'[2]por cuent'!C1296</f>
        <v>FLOTAS COMERCIALES SRL</v>
      </c>
      <c r="D1296" s="35">
        <f>+'[2]por cuent'!G1296</f>
        <v>298550811.5</v>
      </c>
      <c r="E1296" s="35">
        <f>+'[2]por cuent'!H1296</f>
        <v>298550811.5</v>
      </c>
      <c r="F1296" t="str">
        <f>+'[2]por cuent'!I1296</f>
        <v>493</v>
      </c>
    </row>
    <row r="1297" spans="1:6" x14ac:dyDescent="0.35">
      <c r="A1297" t="str">
        <f>+'[2]por cuent'!A1297</f>
        <v>ARS</v>
      </c>
      <c r="B1297" t="str">
        <f>+'[2]por cuent'!B1297</f>
        <v>493006887</v>
      </c>
      <c r="C1297" t="str">
        <f>+'[2]por cuent'!C1297</f>
        <v>SEMINO, Carlos</v>
      </c>
      <c r="D1297" s="35">
        <f>+'[2]por cuent'!G1297</f>
        <v>15129187.470000001</v>
      </c>
      <c r="E1297" s="35">
        <f>+'[2]por cuent'!H1297</f>
        <v>15129187.470000001</v>
      </c>
      <c r="F1297" t="str">
        <f>+'[2]por cuent'!I1297</f>
        <v>493</v>
      </c>
    </row>
    <row r="1298" spans="1:6" x14ac:dyDescent="0.35">
      <c r="A1298" t="str">
        <f>+'[2]por cuent'!A1298</f>
        <v>ARS</v>
      </c>
      <c r="B1298" t="str">
        <f>+'[2]por cuent'!B1298</f>
        <v>493007028</v>
      </c>
      <c r="C1298" t="str">
        <f>+'[2]por cuent'!C1298</f>
        <v>CALVO, Carlos Rosendo</v>
      </c>
      <c r="D1298" s="35">
        <f>+'[2]por cuent'!G1298</f>
        <v>224699995.11000001</v>
      </c>
      <c r="E1298" s="35">
        <f>+'[2]por cuent'!H1298</f>
        <v>224699995.11000001</v>
      </c>
      <c r="F1298" t="str">
        <f>+'[2]por cuent'!I1298</f>
        <v>493</v>
      </c>
    </row>
    <row r="1299" spans="1:6" x14ac:dyDescent="0.35">
      <c r="A1299" t="str">
        <f>+'[2]por cuent'!A1299</f>
        <v>ARS</v>
      </c>
      <c r="B1299" t="str">
        <f>+'[2]por cuent'!B1299</f>
        <v>493007111</v>
      </c>
      <c r="C1299" t="str">
        <f>+'[2]por cuent'!C1299</f>
        <v>TOURN, María Rosario</v>
      </c>
      <c r="D1299" s="35">
        <f>+'[2]por cuent'!G1299</f>
        <v>32138327.600000001</v>
      </c>
      <c r="E1299" s="35">
        <f>+'[2]por cuent'!H1299</f>
        <v>32138327.600000001</v>
      </c>
      <c r="F1299" t="str">
        <f>+'[2]por cuent'!I1299</f>
        <v>493</v>
      </c>
    </row>
    <row r="1300" spans="1:6" x14ac:dyDescent="0.35">
      <c r="A1300" t="str">
        <f>+'[2]por cuent'!A1300</f>
        <v>ARS</v>
      </c>
      <c r="B1300" t="str">
        <f>+'[2]por cuent'!B1300</f>
        <v>493007137</v>
      </c>
      <c r="C1300" t="str">
        <f>+'[2]por cuent'!C1300</f>
        <v>MAINIERI, ADRIAN OSVALDO</v>
      </c>
      <c r="D1300" s="35">
        <f>+'[2]por cuent'!G1300</f>
        <v>143300105</v>
      </c>
      <c r="E1300" s="35">
        <f>+'[2]por cuent'!H1300</f>
        <v>143300105</v>
      </c>
      <c r="F1300" t="str">
        <f>+'[2]por cuent'!I1300</f>
        <v>493</v>
      </c>
    </row>
    <row r="1301" spans="1:6" x14ac:dyDescent="0.35">
      <c r="A1301" t="str">
        <f>+'[2]por cuent'!A1301</f>
        <v>ARS</v>
      </c>
      <c r="B1301" t="str">
        <f>+'[2]por cuent'!B1301</f>
        <v>493007192</v>
      </c>
      <c r="C1301" t="str">
        <f>+'[2]por cuent'!C1301</f>
        <v>MARULL, ELENA MARIA</v>
      </c>
      <c r="D1301" s="35">
        <f>+'[2]por cuent'!G1301</f>
        <v>178000</v>
      </c>
      <c r="E1301" s="35">
        <f>+'[2]por cuent'!H1301</f>
        <v>178000</v>
      </c>
      <c r="F1301" t="str">
        <f>+'[2]por cuent'!I1301</f>
        <v>493</v>
      </c>
    </row>
    <row r="1302" spans="1:6" x14ac:dyDescent="0.35">
      <c r="A1302" t="str">
        <f>+'[2]por cuent'!A1302</f>
        <v>ARS</v>
      </c>
      <c r="B1302" t="str">
        <f>+'[2]por cuent'!B1302</f>
        <v>493007205</v>
      </c>
      <c r="C1302" t="str">
        <f>+'[2]por cuent'!C1302</f>
        <v>EL HORMIGON S.A.</v>
      </c>
      <c r="D1302" s="35">
        <f>+'[2]por cuent'!G1302</f>
        <v>31653588.18</v>
      </c>
      <c r="E1302" s="35">
        <f>+'[2]por cuent'!H1302</f>
        <v>31653588.18</v>
      </c>
      <c r="F1302" t="str">
        <f>+'[2]por cuent'!I1302</f>
        <v>493</v>
      </c>
    </row>
    <row r="1303" spans="1:6" x14ac:dyDescent="0.35">
      <c r="A1303" t="str">
        <f>+'[2]por cuent'!A1303</f>
        <v>ARS</v>
      </c>
      <c r="B1303" t="str">
        <f>+'[2]por cuent'!B1303</f>
        <v>493007218</v>
      </c>
      <c r="C1303" t="str">
        <f>+'[2]por cuent'!C1303</f>
        <v>DE MARCO, MARTIN ALEJANDRO</v>
      </c>
      <c r="D1303" s="35">
        <f>+'[2]por cuent'!G1303</f>
        <v>26323806</v>
      </c>
      <c r="E1303" s="35">
        <f>+'[2]por cuent'!H1303</f>
        <v>26323806</v>
      </c>
      <c r="F1303" t="str">
        <f>+'[2]por cuent'!I1303</f>
        <v>493</v>
      </c>
    </row>
    <row r="1304" spans="1:6" x14ac:dyDescent="0.35">
      <c r="A1304" t="str">
        <f>+'[2]por cuent'!A1304</f>
        <v>ARS</v>
      </c>
      <c r="B1304" t="str">
        <f>+'[2]por cuent'!B1304</f>
        <v>493007227</v>
      </c>
      <c r="C1304" t="str">
        <f>+'[2]por cuent'!C1304</f>
        <v>GARCIA DANIEL ENRIQUE</v>
      </c>
      <c r="D1304" s="35">
        <f>+'[2]por cuent'!G1304</f>
        <v>6690.4</v>
      </c>
      <c r="E1304" s="35">
        <f>+'[2]por cuent'!H1304</f>
        <v>6690.4</v>
      </c>
      <c r="F1304" t="str">
        <f>+'[2]por cuent'!I1304</f>
        <v>493</v>
      </c>
    </row>
    <row r="1305" spans="1:6" x14ac:dyDescent="0.35">
      <c r="A1305" t="str">
        <f>+'[2]por cuent'!A1305</f>
        <v>ARS</v>
      </c>
      <c r="B1305" t="str">
        <f>+'[2]por cuent'!B1305</f>
        <v>493007237</v>
      </c>
      <c r="C1305" t="str">
        <f>+'[2]por cuent'!C1305</f>
        <v>GOMEZ, MONICA IRUPE</v>
      </c>
      <c r="D1305" s="35">
        <f>+'[2]por cuent'!G1305</f>
        <v>542000</v>
      </c>
      <c r="E1305" s="35">
        <f>+'[2]por cuent'!H1305</f>
        <v>542000</v>
      </c>
      <c r="F1305" t="str">
        <f>+'[2]por cuent'!I1305</f>
        <v>493</v>
      </c>
    </row>
    <row r="1306" spans="1:6" x14ac:dyDescent="0.35">
      <c r="A1306" t="str">
        <f>+'[2]por cuent'!A1306</f>
        <v>ARS</v>
      </c>
      <c r="B1306" t="str">
        <f>+'[2]por cuent'!B1306</f>
        <v>493007254</v>
      </c>
      <c r="C1306" t="str">
        <f>+'[2]por cuent'!C1306</f>
        <v>ARDELLINI, BRIAN URIEL</v>
      </c>
      <c r="D1306" s="35">
        <f>+'[2]por cuent'!G1306</f>
        <v>95614870.219999999</v>
      </c>
      <c r="E1306" s="35">
        <f>+'[2]por cuent'!H1306</f>
        <v>95614870.219999999</v>
      </c>
      <c r="F1306" t="str">
        <f>+'[2]por cuent'!I1306</f>
        <v>493</v>
      </c>
    </row>
    <row r="1307" spans="1:6" x14ac:dyDescent="0.35">
      <c r="A1307" t="str">
        <f>+'[2]por cuent'!A1307</f>
        <v>ARS</v>
      </c>
      <c r="B1307" t="str">
        <f>+'[2]por cuent'!B1307</f>
        <v>493007256</v>
      </c>
      <c r="C1307" t="str">
        <f>+'[2]por cuent'!C1307</f>
        <v>BIO GLOBAL S.R.L.</v>
      </c>
      <c r="D1307" s="35">
        <f>+'[2]por cuent'!G1307</f>
        <v>206228945.5</v>
      </c>
      <c r="E1307" s="35">
        <f>+'[2]por cuent'!H1307</f>
        <v>206228945.5</v>
      </c>
      <c r="F1307" t="str">
        <f>+'[2]por cuent'!I1307</f>
        <v>493</v>
      </c>
    </row>
    <row r="1308" spans="1:6" x14ac:dyDescent="0.35">
      <c r="A1308" t="str">
        <f>+'[2]por cuent'!A1308</f>
        <v>ARS</v>
      </c>
      <c r="B1308" t="str">
        <f>+'[2]por cuent'!B1308</f>
        <v>493007260</v>
      </c>
      <c r="C1308" t="str">
        <f>+'[2]por cuent'!C1308</f>
        <v>ARIAS, Elena Isabel</v>
      </c>
      <c r="D1308" s="35">
        <f>+'[2]por cuent'!G1308</f>
        <v>6314535</v>
      </c>
      <c r="E1308" s="35">
        <f>+'[2]por cuent'!H1308</f>
        <v>6314535</v>
      </c>
      <c r="F1308" t="str">
        <f>+'[2]por cuent'!I1308</f>
        <v>493</v>
      </c>
    </row>
    <row r="1309" spans="1:6" x14ac:dyDescent="0.35">
      <c r="A1309" t="str">
        <f>+'[2]por cuent'!A1309</f>
        <v>ARS</v>
      </c>
      <c r="B1309" t="str">
        <f>+'[2]por cuent'!B1309</f>
        <v>493007261</v>
      </c>
      <c r="C1309" t="str">
        <f>+'[2]por cuent'!C1309</f>
        <v>JARAMAGO S.A.</v>
      </c>
      <c r="D1309" s="35">
        <f>+'[2]por cuent'!G1309</f>
        <v>4004360</v>
      </c>
      <c r="E1309" s="35">
        <f>+'[2]por cuent'!H1309</f>
        <v>4004360</v>
      </c>
      <c r="F1309" t="str">
        <f>+'[2]por cuent'!I1309</f>
        <v>493</v>
      </c>
    </row>
    <row r="1310" spans="1:6" x14ac:dyDescent="0.35">
      <c r="A1310" t="str">
        <f>+'[2]por cuent'!A1310</f>
        <v>ARS</v>
      </c>
      <c r="B1310" t="str">
        <f>+'[2]por cuent'!B1310</f>
        <v>493007263</v>
      </c>
      <c r="C1310" t="str">
        <f>+'[2]por cuent'!C1310</f>
        <v>BOTT, Mariela Beatriz</v>
      </c>
      <c r="D1310" s="35">
        <f>+'[2]por cuent'!G1310</f>
        <v>5633035.6200000001</v>
      </c>
      <c r="E1310" s="35">
        <f>+'[2]por cuent'!H1310</f>
        <v>5633035.6200000001</v>
      </c>
      <c r="F1310" t="str">
        <f>+'[2]por cuent'!I1310</f>
        <v>493</v>
      </c>
    </row>
    <row r="1311" spans="1:6" x14ac:dyDescent="0.35">
      <c r="A1311" t="str">
        <f>+'[2]por cuent'!A1311</f>
        <v>ARS</v>
      </c>
      <c r="B1311" t="str">
        <f>+'[2]por cuent'!B1311</f>
        <v>493007273</v>
      </c>
      <c r="C1311" t="str">
        <f>+'[2]por cuent'!C1311</f>
        <v>BERTINI, NANCI ROSALIA</v>
      </c>
      <c r="D1311" s="35">
        <f>+'[2]por cuent'!G1311</f>
        <v>4427460.9000000004</v>
      </c>
      <c r="E1311" s="35">
        <f>+'[2]por cuent'!H1311</f>
        <v>4427460.9000000004</v>
      </c>
      <c r="F1311" t="str">
        <f>+'[2]por cuent'!I1311</f>
        <v>493</v>
      </c>
    </row>
    <row r="1312" spans="1:6" x14ac:dyDescent="0.35">
      <c r="A1312" t="str">
        <f>+'[2]por cuent'!A1312</f>
        <v>ARS</v>
      </c>
      <c r="B1312" t="str">
        <f>+'[2]por cuent'!B1312</f>
        <v>493007321</v>
      </c>
      <c r="C1312" t="str">
        <f>+'[2]por cuent'!C1312</f>
        <v>GADEA, GUILLERMO RAUL</v>
      </c>
      <c r="D1312" s="35">
        <f>+'[2]por cuent'!G1312</f>
        <v>15548000</v>
      </c>
      <c r="E1312" s="35">
        <f>+'[2]por cuent'!H1312</f>
        <v>15548000</v>
      </c>
      <c r="F1312" t="str">
        <f>+'[2]por cuent'!I1312</f>
        <v>493</v>
      </c>
    </row>
    <row r="1313" spans="1:6" x14ac:dyDescent="0.35">
      <c r="A1313" t="str">
        <f>+'[2]por cuent'!A1313</f>
        <v>ARS</v>
      </c>
      <c r="B1313" t="str">
        <f>+'[2]por cuent'!B1313</f>
        <v>493007322</v>
      </c>
      <c r="C1313" t="str">
        <f>+'[2]por cuent'!C1313</f>
        <v>CAREY MARIA MONICA</v>
      </c>
      <c r="D1313" s="35">
        <f>+'[2]por cuent'!G1313</f>
        <v>2248230.2000000002</v>
      </c>
      <c r="E1313" s="35">
        <f>+'[2]por cuent'!H1313</f>
        <v>2248230.2000000002</v>
      </c>
      <c r="F1313" t="str">
        <f>+'[2]por cuent'!I1313</f>
        <v>493</v>
      </c>
    </row>
    <row r="1314" spans="1:6" x14ac:dyDescent="0.35">
      <c r="A1314" t="str">
        <f>+'[2]por cuent'!A1314</f>
        <v>ARS</v>
      </c>
      <c r="B1314" t="str">
        <f>+'[2]por cuent'!B1314</f>
        <v>493007327</v>
      </c>
      <c r="C1314" t="str">
        <f>+'[2]por cuent'!C1314</f>
        <v xml:space="preserve">CHIESA ANA ELISA </v>
      </c>
      <c r="D1314" s="35">
        <f>+'[2]por cuent'!G1314</f>
        <v>3756</v>
      </c>
      <c r="E1314" s="35">
        <f>+'[2]por cuent'!H1314</f>
        <v>3756</v>
      </c>
      <c r="F1314" t="str">
        <f>+'[2]por cuent'!I1314</f>
        <v>493</v>
      </c>
    </row>
    <row r="1315" spans="1:6" x14ac:dyDescent="0.35">
      <c r="A1315" t="str">
        <f>+'[2]por cuent'!A1315</f>
        <v>ARS</v>
      </c>
      <c r="B1315" t="str">
        <f>+'[2]por cuent'!B1315</f>
        <v>493007353</v>
      </c>
      <c r="C1315" t="str">
        <f>+'[2]por cuent'!C1315</f>
        <v>GLOBAL TURISMO S.R.L</v>
      </c>
      <c r="D1315" s="35">
        <f>+'[2]por cuent'!G1315</f>
        <v>39112.5</v>
      </c>
      <c r="E1315" s="35">
        <f>+'[2]por cuent'!H1315</f>
        <v>39112.5</v>
      </c>
      <c r="F1315" t="str">
        <f>+'[2]por cuent'!I1315</f>
        <v>493</v>
      </c>
    </row>
    <row r="1316" spans="1:6" x14ac:dyDescent="0.35">
      <c r="A1316" t="str">
        <f>+'[2]por cuent'!A1316</f>
        <v>ARS</v>
      </c>
      <c r="B1316" t="str">
        <f>+'[2]por cuent'!B1316</f>
        <v>493007356</v>
      </c>
      <c r="C1316" t="str">
        <f>+'[2]por cuent'!C1316</f>
        <v>[C.E.R.A.] BOTT Mariela Beatriz</v>
      </c>
      <c r="D1316" s="35">
        <f>+'[2]por cuent'!G1316</f>
        <v>7807.5</v>
      </c>
      <c r="E1316" s="35">
        <f>+'[2]por cuent'!H1316</f>
        <v>7807.5</v>
      </c>
      <c r="F1316" t="str">
        <f>+'[2]por cuent'!I1316</f>
        <v>493</v>
      </c>
    </row>
    <row r="1317" spans="1:6" x14ac:dyDescent="0.35">
      <c r="A1317" t="str">
        <f>+'[2]por cuent'!A1317</f>
        <v>ARS</v>
      </c>
      <c r="B1317" t="str">
        <f>+'[2]por cuent'!B1317</f>
        <v>493007358</v>
      </c>
      <c r="C1317" t="str">
        <f>+'[2]por cuent'!C1317</f>
        <v>AQUILANTI RAMIRO</v>
      </c>
      <c r="D1317" s="35">
        <f>+'[2]por cuent'!G1317</f>
        <v>19743685</v>
      </c>
      <c r="E1317" s="35">
        <f>+'[2]por cuent'!H1317</f>
        <v>19743685</v>
      </c>
      <c r="F1317" t="str">
        <f>+'[2]por cuent'!I1317</f>
        <v>493</v>
      </c>
    </row>
    <row r="1318" spans="1:6" x14ac:dyDescent="0.35">
      <c r="A1318" t="str">
        <f>+'[2]por cuent'!A1318</f>
        <v>ARS</v>
      </c>
      <c r="B1318" t="str">
        <f>+'[2]por cuent'!B1318</f>
        <v>493007359</v>
      </c>
      <c r="C1318" t="str">
        <f>+'[2]por cuent'!C1318</f>
        <v>[C.E.R.A.] CANSINO CINTIA INES</v>
      </c>
      <c r="D1318" s="35">
        <f>+'[2]por cuent'!G1318</f>
        <v>193694.1</v>
      </c>
      <c r="E1318" s="35">
        <f>+'[2]por cuent'!H1318</f>
        <v>193694.1</v>
      </c>
      <c r="F1318" t="str">
        <f>+'[2]por cuent'!I1318</f>
        <v>493</v>
      </c>
    </row>
    <row r="1319" spans="1:6" x14ac:dyDescent="0.35">
      <c r="A1319" t="str">
        <f>+'[2]por cuent'!A1319</f>
        <v>ARS</v>
      </c>
      <c r="B1319" t="str">
        <f>+'[2]por cuent'!B1319</f>
        <v>493007362</v>
      </c>
      <c r="C1319" t="str">
        <f>+'[2]por cuent'!C1319</f>
        <v>SIRYI GUSTAVO ALEJANDRO</v>
      </c>
      <c r="D1319" s="35">
        <f>+'[2]por cuent'!G1319</f>
        <v>2574.3000000000002</v>
      </c>
      <c r="E1319" s="35">
        <f>+'[2]por cuent'!H1319</f>
        <v>2574.3000000000002</v>
      </c>
      <c r="F1319" t="str">
        <f>+'[2]por cuent'!I1319</f>
        <v>493</v>
      </c>
    </row>
    <row r="1320" spans="1:6" x14ac:dyDescent="0.35">
      <c r="A1320" t="str">
        <f>+'[2]por cuent'!A1320</f>
        <v>ARS</v>
      </c>
      <c r="B1320" t="str">
        <f>+'[2]por cuent'!B1320</f>
        <v>493007364</v>
      </c>
      <c r="C1320" t="str">
        <f>+'[2]por cuent'!C1320</f>
        <v>MANAR S.A</v>
      </c>
      <c r="D1320" s="35">
        <f>+'[2]por cuent'!G1320</f>
        <v>457976479</v>
      </c>
      <c r="E1320" s="35">
        <f>+'[2]por cuent'!H1320</f>
        <v>457976479</v>
      </c>
      <c r="F1320" t="str">
        <f>+'[2]por cuent'!I1320</f>
        <v>493</v>
      </c>
    </row>
    <row r="1321" spans="1:6" x14ac:dyDescent="0.35">
      <c r="A1321" t="str">
        <f>+'[2]por cuent'!A1321</f>
        <v>ARS</v>
      </c>
      <c r="B1321" t="str">
        <f>+'[2]por cuent'!B1321</f>
        <v>493007368</v>
      </c>
      <c r="C1321" t="str">
        <f>+'[2]por cuent'!C1321</f>
        <v>SEGOVIA MARIA DE LOS ANGELES</v>
      </c>
      <c r="D1321" s="35">
        <f>+'[2]por cuent'!G1321</f>
        <v>55180560</v>
      </c>
      <c r="E1321" s="35">
        <f>+'[2]por cuent'!H1321</f>
        <v>55180560</v>
      </c>
      <c r="F1321" t="str">
        <f>+'[2]por cuent'!I1321</f>
        <v>493</v>
      </c>
    </row>
    <row r="1322" spans="1:6" x14ac:dyDescent="0.35">
      <c r="A1322" t="str">
        <f>+'[2]por cuent'!A1322</f>
        <v>ARS</v>
      </c>
      <c r="B1322" t="str">
        <f>+'[2]por cuent'!B1322</f>
        <v>493007370</v>
      </c>
      <c r="C1322" t="str">
        <f>+'[2]por cuent'!C1322</f>
        <v>DI MARCO GUIDO</v>
      </c>
      <c r="D1322" s="35">
        <f>+'[2]por cuent'!G1322</f>
        <v>173100561.61000001</v>
      </c>
      <c r="E1322" s="35">
        <f>+'[2]por cuent'!H1322</f>
        <v>173100561.61000001</v>
      </c>
      <c r="F1322" t="str">
        <f>+'[2]por cuent'!I1322</f>
        <v>493</v>
      </c>
    </row>
    <row r="1323" spans="1:6" x14ac:dyDescent="0.35">
      <c r="A1323" t="str">
        <f>+'[2]por cuent'!A1323</f>
        <v>ARS</v>
      </c>
      <c r="B1323" t="str">
        <f>+'[2]por cuent'!B1323</f>
        <v>493007371</v>
      </c>
      <c r="C1323" t="str">
        <f>+'[2]por cuent'!C1323</f>
        <v>SERVICIOS DE TRANSMISION DE DATOS TRANSDATOS SA</v>
      </c>
      <c r="D1323" s="35">
        <f>+'[2]por cuent'!G1323</f>
        <v>54756097.630000003</v>
      </c>
      <c r="E1323" s="35">
        <f>+'[2]por cuent'!H1323</f>
        <v>54756097.630000003</v>
      </c>
      <c r="F1323" t="str">
        <f>+'[2]por cuent'!I1323</f>
        <v>493</v>
      </c>
    </row>
    <row r="1324" spans="1:6" x14ac:dyDescent="0.35">
      <c r="A1324" t="str">
        <f>+'[2]por cuent'!A1324</f>
        <v>ARS</v>
      </c>
      <c r="B1324" t="str">
        <f>+'[2]por cuent'!B1324</f>
        <v>493007374</v>
      </c>
      <c r="C1324" t="str">
        <f>+'[2]por cuent'!C1324</f>
        <v>ASOCIACION CIVIL CIRCUITO VERDE</v>
      </c>
      <c r="D1324" s="35">
        <f>+'[2]por cuent'!G1324</f>
        <v>1172995.2</v>
      </c>
      <c r="E1324" s="35">
        <f>+'[2]por cuent'!H1324</f>
        <v>1172995.2</v>
      </c>
      <c r="F1324" t="str">
        <f>+'[2]por cuent'!I1324</f>
        <v>493</v>
      </c>
    </row>
    <row r="1325" spans="1:6" x14ac:dyDescent="0.35">
      <c r="A1325" t="str">
        <f>+'[2]por cuent'!A1325</f>
        <v>ARS</v>
      </c>
      <c r="B1325" t="str">
        <f>+'[2]por cuent'!B1325</f>
        <v>493007379</v>
      </c>
      <c r="C1325" t="str">
        <f>+'[2]por cuent'!C1325</f>
        <v>INFANTE MARIA DE LAS MERCEDES</v>
      </c>
      <c r="D1325" s="35">
        <f>+'[2]por cuent'!G1325</f>
        <v>5950580.9699999997</v>
      </c>
      <c r="E1325" s="35">
        <f>+'[2]por cuent'!H1325</f>
        <v>5950580.9699999997</v>
      </c>
      <c r="F1325" t="str">
        <f>+'[2]por cuent'!I1325</f>
        <v>493</v>
      </c>
    </row>
    <row r="1326" spans="1:6" x14ac:dyDescent="0.35">
      <c r="A1326" t="str">
        <f>+'[2]por cuent'!A1326</f>
        <v>ARS</v>
      </c>
      <c r="B1326" t="str">
        <f>+'[2]por cuent'!B1326</f>
        <v>493007380</v>
      </c>
      <c r="C1326" t="str">
        <f>+'[2]por cuent'!C1326</f>
        <v>BRAUCHLI MAXIMILIANO ARIEL</v>
      </c>
      <c r="D1326" s="35">
        <f>+'[2]por cuent'!G1326</f>
        <v>1359855</v>
      </c>
      <c r="E1326" s="35">
        <f>+'[2]por cuent'!H1326</f>
        <v>1359855</v>
      </c>
      <c r="F1326" t="str">
        <f>+'[2]por cuent'!I1326</f>
        <v>493</v>
      </c>
    </row>
    <row r="1327" spans="1:6" x14ac:dyDescent="0.35">
      <c r="A1327" t="str">
        <f>+'[2]por cuent'!A1327</f>
        <v>ARS</v>
      </c>
      <c r="B1327" t="str">
        <f>+'[2]por cuent'!B1327</f>
        <v>493007388</v>
      </c>
      <c r="C1327" t="str">
        <f>+'[2]por cuent'!C1327</f>
        <v>GARETTO SUSANA NORMA</v>
      </c>
      <c r="D1327" s="35">
        <f>+'[2]por cuent'!G1327</f>
        <v>15689214.699999999</v>
      </c>
      <c r="E1327" s="35">
        <f>+'[2]por cuent'!H1327</f>
        <v>15689214.699999999</v>
      </c>
      <c r="F1327" t="str">
        <f>+'[2]por cuent'!I1327</f>
        <v>493</v>
      </c>
    </row>
    <row r="1328" spans="1:6" x14ac:dyDescent="0.35">
      <c r="A1328" t="str">
        <f>+'[2]por cuent'!A1328</f>
        <v>ARS</v>
      </c>
      <c r="B1328" t="str">
        <f>+'[2]por cuent'!B1328</f>
        <v>493007392</v>
      </c>
      <c r="C1328" t="str">
        <f>+'[2]por cuent'!C1328</f>
        <v>REUIL RODRIGO MATIAS</v>
      </c>
      <c r="D1328" s="35">
        <f>+'[2]por cuent'!G1328</f>
        <v>3001003</v>
      </c>
      <c r="E1328" s="35">
        <f>+'[2]por cuent'!H1328</f>
        <v>3001003</v>
      </c>
      <c r="F1328" t="str">
        <f>+'[2]por cuent'!I1328</f>
        <v>493</v>
      </c>
    </row>
    <row r="1329" spans="1:6" x14ac:dyDescent="0.35">
      <c r="A1329" t="str">
        <f>+'[2]por cuent'!A1329</f>
        <v>ARS</v>
      </c>
      <c r="B1329" t="str">
        <f>+'[2]por cuent'!B1329</f>
        <v>493007393</v>
      </c>
      <c r="C1329" t="str">
        <f>+'[2]por cuent'!C1329</f>
        <v>ORTIZ ANTONIO FRANCISCO</v>
      </c>
      <c r="D1329" s="35">
        <f>+'[2]por cuent'!G1329</f>
        <v>129378.5</v>
      </c>
      <c r="E1329" s="35">
        <f>+'[2]por cuent'!H1329</f>
        <v>129378.5</v>
      </c>
      <c r="F1329" t="str">
        <f>+'[2]por cuent'!I1329</f>
        <v>493</v>
      </c>
    </row>
    <row r="1330" spans="1:6" x14ac:dyDescent="0.35">
      <c r="A1330" t="str">
        <f>+'[2]por cuent'!A1330</f>
        <v>ARS</v>
      </c>
      <c r="B1330" t="str">
        <f>+'[2]por cuent'!B1330</f>
        <v>493007399</v>
      </c>
      <c r="C1330" t="str">
        <f>+'[2]por cuent'!C1330</f>
        <v>MURATURE REGGIARDO LUCIO SANTIAGO</v>
      </c>
      <c r="D1330" s="35">
        <f>+'[2]por cuent'!G1330</f>
        <v>4913032.5999999996</v>
      </c>
      <c r="E1330" s="35">
        <f>+'[2]por cuent'!H1330</f>
        <v>4913032.5999999996</v>
      </c>
      <c r="F1330" t="str">
        <f>+'[2]por cuent'!I1330</f>
        <v>493</v>
      </c>
    </row>
    <row r="1331" spans="1:6" x14ac:dyDescent="0.35">
      <c r="A1331" t="str">
        <f>+'[2]por cuent'!A1331</f>
        <v>ARS</v>
      </c>
      <c r="B1331" t="str">
        <f>+'[2]por cuent'!B1331</f>
        <v>493007403</v>
      </c>
      <c r="C1331" t="str">
        <f>+'[2]por cuent'!C1331</f>
        <v>AMSLER MARIA FERNANDA</v>
      </c>
      <c r="D1331" s="35">
        <f>+'[2]por cuent'!G1331</f>
        <v>27825498.920000002</v>
      </c>
      <c r="E1331" s="35">
        <f>+'[2]por cuent'!H1331</f>
        <v>27825498.920000002</v>
      </c>
      <c r="F1331" t="str">
        <f>+'[2]por cuent'!I1331</f>
        <v>493</v>
      </c>
    </row>
    <row r="1332" spans="1:6" x14ac:dyDescent="0.35">
      <c r="A1332" t="str">
        <f>+'[2]por cuent'!A1332</f>
        <v>ARS</v>
      </c>
      <c r="B1332" t="str">
        <f>+'[2]por cuent'!B1332</f>
        <v>493007406</v>
      </c>
      <c r="C1332" t="str">
        <f>+'[2]por cuent'!C1332</f>
        <v>BERIZZO OSCAR CLAUDIO</v>
      </c>
      <c r="D1332" s="35">
        <f>+'[2]por cuent'!G1332</f>
        <v>32935518</v>
      </c>
      <c r="E1332" s="35">
        <f>+'[2]por cuent'!H1332</f>
        <v>32935518</v>
      </c>
      <c r="F1332" t="str">
        <f>+'[2]por cuent'!I1332</f>
        <v>493</v>
      </c>
    </row>
    <row r="1333" spans="1:6" x14ac:dyDescent="0.35">
      <c r="A1333" t="str">
        <f>+'[2]por cuent'!A1333</f>
        <v>ARS</v>
      </c>
      <c r="B1333" t="str">
        <f>+'[2]por cuent'!B1333</f>
        <v>493007409</v>
      </c>
      <c r="C1333" t="str">
        <f>+'[2]por cuent'!C1333</f>
        <v>MALIZIA NERINA</v>
      </c>
      <c r="D1333" s="35">
        <f>+'[2]por cuent'!G1333</f>
        <v>1482965</v>
      </c>
      <c r="E1333" s="35">
        <f>+'[2]por cuent'!H1333</f>
        <v>1482965</v>
      </c>
      <c r="F1333" t="str">
        <f>+'[2]por cuent'!I1333</f>
        <v>493</v>
      </c>
    </row>
    <row r="1334" spans="1:6" x14ac:dyDescent="0.35">
      <c r="A1334" t="str">
        <f>+'[2]por cuent'!A1334</f>
        <v>ARS</v>
      </c>
      <c r="B1334" t="str">
        <f>+'[2]por cuent'!B1334</f>
        <v>493007411</v>
      </c>
      <c r="C1334" t="str">
        <f>+'[2]por cuent'!C1334</f>
        <v>CUMINETTI JUAN CARLOS</v>
      </c>
      <c r="D1334" s="35">
        <f>+'[2]por cuent'!G1334</f>
        <v>226616</v>
      </c>
      <c r="E1334" s="35">
        <f>+'[2]por cuent'!H1334</f>
        <v>226616</v>
      </c>
      <c r="F1334" t="str">
        <f>+'[2]por cuent'!I1334</f>
        <v>493</v>
      </c>
    </row>
    <row r="1335" spans="1:6" x14ac:dyDescent="0.35">
      <c r="A1335" t="str">
        <f>+'[2]por cuent'!A1335</f>
        <v>ARS</v>
      </c>
      <c r="B1335" t="str">
        <f>+'[2]por cuent'!B1335</f>
        <v>493007412</v>
      </c>
      <c r="C1335" t="str">
        <f>+'[2]por cuent'!C1335</f>
        <v>CRECIENTE ANALIA LAURA</v>
      </c>
      <c r="D1335" s="35">
        <f>+'[2]por cuent'!G1335</f>
        <v>227000</v>
      </c>
      <c r="E1335" s="35">
        <f>+'[2]por cuent'!H1335</f>
        <v>227000</v>
      </c>
      <c r="F1335" t="str">
        <f>+'[2]por cuent'!I1335</f>
        <v>493</v>
      </c>
    </row>
    <row r="1336" spans="1:6" x14ac:dyDescent="0.35">
      <c r="A1336" t="str">
        <f>+'[2]por cuent'!A1336</f>
        <v>ARS</v>
      </c>
      <c r="B1336" t="str">
        <f>+'[2]por cuent'!B1336</f>
        <v>493007415</v>
      </c>
      <c r="C1336" t="str">
        <f>+'[2]por cuent'!C1336</f>
        <v>MILANO MARTIN MIGUEL</v>
      </c>
      <c r="D1336" s="35">
        <f>+'[2]por cuent'!G1336</f>
        <v>779450</v>
      </c>
      <c r="E1336" s="35">
        <f>+'[2]por cuent'!H1336</f>
        <v>779450</v>
      </c>
      <c r="F1336" t="str">
        <f>+'[2]por cuent'!I1336</f>
        <v>493</v>
      </c>
    </row>
    <row r="1337" spans="1:6" x14ac:dyDescent="0.35">
      <c r="A1337" t="str">
        <f>+'[2]por cuent'!A1337</f>
        <v>ARS</v>
      </c>
      <c r="B1337" t="str">
        <f>+'[2]por cuent'!B1337</f>
        <v>493010010</v>
      </c>
      <c r="C1337" t="str">
        <f>+'[2]por cuent'!C1337</f>
        <v>ARIAS Jorge Roberto</v>
      </c>
      <c r="D1337" s="35">
        <f>+'[2]por cuent'!G1337</f>
        <v>180739.3</v>
      </c>
      <c r="E1337" s="35">
        <f>+'[2]por cuent'!H1337</f>
        <v>180739.3</v>
      </c>
      <c r="F1337" t="str">
        <f>+'[2]por cuent'!I1337</f>
        <v>493</v>
      </c>
    </row>
    <row r="1338" spans="1:6" x14ac:dyDescent="0.35">
      <c r="A1338" t="str">
        <f>+'[2]por cuent'!A1338</f>
        <v>ARS</v>
      </c>
      <c r="B1338" t="str">
        <f>+'[2]por cuent'!B1338</f>
        <v>493010031</v>
      </c>
      <c r="C1338" t="str">
        <f>+'[2]por cuent'!C1338</f>
        <v>ARIAS Rodrigo German</v>
      </c>
      <c r="D1338" s="35">
        <f>+'[2]por cuent'!G1338</f>
        <v>8463.7999999999993</v>
      </c>
      <c r="E1338" s="35">
        <f>+'[2]por cuent'!H1338</f>
        <v>8463.7999999999993</v>
      </c>
      <c r="F1338" t="str">
        <f>+'[2]por cuent'!I1338</f>
        <v>493</v>
      </c>
    </row>
    <row r="1339" spans="1:6" x14ac:dyDescent="0.35">
      <c r="A1339" t="str">
        <f>+'[2]por cuent'!A1339</f>
        <v>ARS</v>
      </c>
      <c r="B1339" t="str">
        <f>+'[2]por cuent'!B1339</f>
        <v>493010053</v>
      </c>
      <c r="C1339" t="str">
        <f>+'[2]por cuent'!C1339</f>
        <v>MUÑOZ, Vicente Rodolfo</v>
      </c>
      <c r="D1339" s="35">
        <f>+'[2]por cuent'!G1339</f>
        <v>73125</v>
      </c>
      <c r="E1339" s="35">
        <f>+'[2]por cuent'!H1339</f>
        <v>73125</v>
      </c>
      <c r="F1339" t="str">
        <f>+'[2]por cuent'!I1339</f>
        <v>493</v>
      </c>
    </row>
    <row r="1340" spans="1:6" x14ac:dyDescent="0.35">
      <c r="A1340" t="str">
        <f>+'[2]por cuent'!A1340</f>
        <v>ARS</v>
      </c>
      <c r="B1340" t="str">
        <f>+'[2]por cuent'!B1340</f>
        <v>493010072</v>
      </c>
      <c r="C1340" t="str">
        <f>+'[2]por cuent'!C1340</f>
        <v>FIPENCO SA</v>
      </c>
      <c r="D1340" s="35">
        <f>+'[2]por cuent'!G1340</f>
        <v>4998</v>
      </c>
      <c r="E1340" s="35">
        <f>+'[2]por cuent'!H1340</f>
        <v>4998</v>
      </c>
      <c r="F1340" t="str">
        <f>+'[2]por cuent'!I1340</f>
        <v>493</v>
      </c>
    </row>
    <row r="1341" spans="1:6" x14ac:dyDescent="0.35">
      <c r="A1341" t="str">
        <f>+'[2]por cuent'!A1341</f>
        <v>ARS</v>
      </c>
      <c r="B1341" t="str">
        <f>+'[2]por cuent'!B1341</f>
        <v>493010075</v>
      </c>
      <c r="C1341" t="str">
        <f>+'[2]por cuent'!C1341</f>
        <v>SANJURJO EDUARDO DANIEL</v>
      </c>
      <c r="D1341" s="35">
        <f>+'[2]por cuent'!G1341</f>
        <v>91759725.5</v>
      </c>
      <c r="E1341" s="35">
        <f>+'[2]por cuent'!H1341</f>
        <v>91759725.5</v>
      </c>
      <c r="F1341" t="str">
        <f>+'[2]por cuent'!I1341</f>
        <v>493</v>
      </c>
    </row>
    <row r="1342" spans="1:6" x14ac:dyDescent="0.35">
      <c r="A1342" t="str">
        <f>+'[2]por cuent'!A1342</f>
        <v>ARS</v>
      </c>
      <c r="B1342" t="str">
        <f>+'[2]por cuent'!B1342</f>
        <v>534000010</v>
      </c>
      <c r="C1342" t="str">
        <f>+'[2]por cuent'!C1342</f>
        <v>MULTIPLO BURSATIL S.A.</v>
      </c>
      <c r="D1342" s="35">
        <f>+'[2]por cuent'!G1342</f>
        <v>1345696621.0899999</v>
      </c>
      <c r="E1342" s="35">
        <f>+'[2]por cuent'!H1342</f>
        <v>1345696621.0899999</v>
      </c>
      <c r="F1342" t="str">
        <f>+'[2]por cuent'!I1342</f>
        <v>534</v>
      </c>
    </row>
    <row r="1343" spans="1:6" x14ac:dyDescent="0.35">
      <c r="A1343" t="str">
        <f>+'[2]por cuent'!A1343</f>
        <v>ARS</v>
      </c>
      <c r="B1343" t="str">
        <f>+'[2]por cuent'!B1343</f>
        <v>534000011</v>
      </c>
      <c r="C1343" t="str">
        <f>+'[2]por cuent'!C1343</f>
        <v>Ricardo Romero Mengual &amp; Gabriela Cerrato</v>
      </c>
      <c r="D1343" s="35">
        <f>+'[2]por cuent'!G1343</f>
        <v>9989042.0999999996</v>
      </c>
      <c r="E1343" s="35">
        <f>+'[2]por cuent'!H1343</f>
        <v>9989042.0999999996</v>
      </c>
      <c r="F1343" t="str">
        <f>+'[2]por cuent'!I1343</f>
        <v>534</v>
      </c>
    </row>
    <row r="1344" spans="1:6" x14ac:dyDescent="0.35">
      <c r="A1344" t="str">
        <f>+'[2]por cuent'!A1344</f>
        <v>ARS</v>
      </c>
      <c r="B1344" t="str">
        <f>+'[2]por cuent'!B1344</f>
        <v>534000012</v>
      </c>
      <c r="C1344" t="str">
        <f>+'[2]por cuent'!C1344</f>
        <v>Klixar S.R.L.</v>
      </c>
      <c r="D1344" s="35">
        <f>+'[2]por cuent'!G1344</f>
        <v>4000407539</v>
      </c>
      <c r="E1344" s="35">
        <f>+'[2]por cuent'!H1344</f>
        <v>4000407539</v>
      </c>
      <c r="F1344" t="str">
        <f>+'[2]por cuent'!I1344</f>
        <v>534</v>
      </c>
    </row>
    <row r="1345" spans="1:6" x14ac:dyDescent="0.35">
      <c r="A1345" t="str">
        <f>+'[2]por cuent'!A1345</f>
        <v>ARS</v>
      </c>
      <c r="B1345" t="str">
        <f>+'[2]por cuent'!B1345</f>
        <v>534000013</v>
      </c>
      <c r="C1345" t="str">
        <f>+'[2]por cuent'!C1345</f>
        <v>Francisco Gaubeca &amp; Marta Fernández &amp; Enrique Gaubeca</v>
      </c>
      <c r="D1345" s="35">
        <f>+'[2]por cuent'!G1345</f>
        <v>298291394.89999998</v>
      </c>
      <c r="E1345" s="35">
        <f>+'[2]por cuent'!H1345</f>
        <v>298291394.89999998</v>
      </c>
      <c r="F1345" t="str">
        <f>+'[2]por cuent'!I1345</f>
        <v>534</v>
      </c>
    </row>
    <row r="1346" spans="1:6" x14ac:dyDescent="0.35">
      <c r="A1346" t="str">
        <f>+'[2]por cuent'!A1346</f>
        <v>ARS</v>
      </c>
      <c r="B1346" t="str">
        <f>+'[2]por cuent'!B1346</f>
        <v>534000016</v>
      </c>
      <c r="C1346" t="str">
        <f>+'[2]por cuent'!C1346</f>
        <v>Gonzalo Lires</v>
      </c>
      <c r="D1346" s="35">
        <f>+'[2]por cuent'!G1346</f>
        <v>4312901</v>
      </c>
      <c r="E1346" s="35">
        <f>+'[2]por cuent'!H1346</f>
        <v>4312901</v>
      </c>
      <c r="F1346" t="str">
        <f>+'[2]por cuent'!I1346</f>
        <v>534</v>
      </c>
    </row>
    <row r="1347" spans="1:6" x14ac:dyDescent="0.35">
      <c r="A1347" t="str">
        <f>+'[2]por cuent'!A1347</f>
        <v>ARS</v>
      </c>
      <c r="B1347" t="str">
        <f>+'[2]por cuent'!B1347</f>
        <v>534000017</v>
      </c>
      <c r="C1347" t="str">
        <f>+'[2]por cuent'!C1347</f>
        <v>Ricardo Romero Mundani &amp; Graciela Mengual</v>
      </c>
      <c r="D1347" s="35">
        <f>+'[2]por cuent'!G1347</f>
        <v>336472547</v>
      </c>
      <c r="E1347" s="35">
        <f>+'[2]por cuent'!H1347</f>
        <v>336472547</v>
      </c>
      <c r="F1347" t="str">
        <f>+'[2]por cuent'!I1347</f>
        <v>534</v>
      </c>
    </row>
    <row r="1348" spans="1:6" x14ac:dyDescent="0.35">
      <c r="A1348" t="str">
        <f>+'[2]por cuent'!A1348</f>
        <v>ARS</v>
      </c>
      <c r="B1348" t="str">
        <f>+'[2]por cuent'!B1348</f>
        <v>534000018</v>
      </c>
      <c r="C1348" t="str">
        <f>+'[2]por cuent'!C1348</f>
        <v>Schneider, Guillermo Omar, Garcia Fraguas, Monica Paola &amp; otros</v>
      </c>
      <c r="D1348" s="35">
        <f>+'[2]por cuent'!G1348</f>
        <v>13953</v>
      </c>
      <c r="E1348" s="35">
        <f>+'[2]por cuent'!H1348</f>
        <v>13953</v>
      </c>
      <c r="F1348" t="str">
        <f>+'[2]por cuent'!I1348</f>
        <v>534</v>
      </c>
    </row>
    <row r="1349" spans="1:6" x14ac:dyDescent="0.35">
      <c r="A1349" t="str">
        <f>+'[2]por cuent'!A1349</f>
        <v>ARS</v>
      </c>
      <c r="B1349" t="str">
        <f>+'[2]por cuent'!B1349</f>
        <v>534000022</v>
      </c>
      <c r="C1349" t="str">
        <f>+'[2]por cuent'!C1349</f>
        <v>Lesko SACIFIA</v>
      </c>
      <c r="D1349" s="35">
        <f>+'[2]por cuent'!G1349</f>
        <v>523172713.79000002</v>
      </c>
      <c r="E1349" s="35">
        <f>+'[2]por cuent'!H1349</f>
        <v>523172713.79000002</v>
      </c>
      <c r="F1349" t="str">
        <f>+'[2]por cuent'!I1349</f>
        <v>534</v>
      </c>
    </row>
    <row r="1350" spans="1:6" x14ac:dyDescent="0.35">
      <c r="A1350" t="str">
        <f>+'[2]por cuent'!A1350</f>
        <v>ARS</v>
      </c>
      <c r="B1350" t="str">
        <f>+'[2]por cuent'!B1350</f>
        <v>534000027</v>
      </c>
      <c r="C1350" t="str">
        <f>+'[2]por cuent'!C1350</f>
        <v xml:space="preserve">Martinez Leandro </v>
      </c>
      <c r="D1350" s="35">
        <f>+'[2]por cuent'!G1350</f>
        <v>896934</v>
      </c>
      <c r="E1350" s="35">
        <f>+'[2]por cuent'!H1350</f>
        <v>896934</v>
      </c>
      <c r="F1350" t="str">
        <f>+'[2]por cuent'!I1350</f>
        <v>534</v>
      </c>
    </row>
    <row r="1351" spans="1:6" x14ac:dyDescent="0.35">
      <c r="A1351" t="str">
        <f>+'[2]por cuent'!A1351</f>
        <v>ARS</v>
      </c>
      <c r="B1351" t="str">
        <f>+'[2]por cuent'!B1351</f>
        <v>534000028</v>
      </c>
      <c r="C1351" t="str">
        <f>+'[2]por cuent'!C1351</f>
        <v>Romero Oneto, Alejandro &amp; Obarrio Victoria</v>
      </c>
      <c r="D1351" s="35">
        <f>+'[2]por cuent'!G1351</f>
        <v>555230000</v>
      </c>
      <c r="E1351" s="35">
        <f>+'[2]por cuent'!H1351</f>
        <v>555230000</v>
      </c>
      <c r="F1351" t="str">
        <f>+'[2]por cuent'!I1351</f>
        <v>534</v>
      </c>
    </row>
    <row r="1352" spans="1:6" x14ac:dyDescent="0.35">
      <c r="A1352" t="str">
        <f>+'[2]por cuent'!A1352</f>
        <v>ARS</v>
      </c>
      <c r="B1352" t="str">
        <f>+'[2]por cuent'!B1352</f>
        <v>534000030</v>
      </c>
      <c r="C1352" t="str">
        <f>+'[2]por cuent'!C1352</f>
        <v>Speck Katherine &amp; Traverso Martin</v>
      </c>
      <c r="D1352" s="35">
        <f>+'[2]por cuent'!G1352</f>
        <v>12248709</v>
      </c>
      <c r="E1352" s="35">
        <f>+'[2]por cuent'!H1352</f>
        <v>12248709</v>
      </c>
      <c r="F1352" t="str">
        <f>+'[2]por cuent'!I1352</f>
        <v>534</v>
      </c>
    </row>
    <row r="1353" spans="1:6" x14ac:dyDescent="0.35">
      <c r="A1353" t="str">
        <f>+'[2]por cuent'!A1353</f>
        <v>ARS</v>
      </c>
      <c r="B1353" t="str">
        <f>+'[2]por cuent'!B1353</f>
        <v>534000041</v>
      </c>
      <c r="C1353" t="str">
        <f>+'[2]por cuent'!C1353</f>
        <v>Cerrato Héctor &amp; Cerrato, Gabriela</v>
      </c>
      <c r="D1353" s="35">
        <f>+'[2]por cuent'!G1353</f>
        <v>554887713</v>
      </c>
      <c r="E1353" s="35">
        <f>+'[2]por cuent'!H1353</f>
        <v>554887713</v>
      </c>
      <c r="F1353" t="str">
        <f>+'[2]por cuent'!I1353</f>
        <v>534</v>
      </c>
    </row>
    <row r="1354" spans="1:6" x14ac:dyDescent="0.35">
      <c r="A1354" t="str">
        <f>+'[2]por cuent'!A1354</f>
        <v>ARS</v>
      </c>
      <c r="B1354" t="str">
        <f>+'[2]por cuent'!B1354</f>
        <v>534000044</v>
      </c>
      <c r="C1354" t="str">
        <f>+'[2]por cuent'!C1354</f>
        <v>Bianchetti, Elsa Olga &amp; Garcia Fraguas, Mónica</v>
      </c>
      <c r="D1354" s="35">
        <f>+'[2]por cuent'!G1354</f>
        <v>63082300</v>
      </c>
      <c r="E1354" s="35">
        <f>+'[2]por cuent'!H1354</f>
        <v>63082300</v>
      </c>
      <c r="F1354" t="str">
        <f>+'[2]por cuent'!I1354</f>
        <v>534</v>
      </c>
    </row>
    <row r="1355" spans="1:6" x14ac:dyDescent="0.35">
      <c r="A1355" t="str">
        <f>+'[2]por cuent'!A1355</f>
        <v>ARS</v>
      </c>
      <c r="B1355" t="str">
        <f>+'[2]por cuent'!B1355</f>
        <v>534000045</v>
      </c>
      <c r="C1355" t="str">
        <f>+'[2]por cuent'!C1355</f>
        <v>Edron S.A.</v>
      </c>
      <c r="D1355" s="35">
        <f>+'[2]por cuent'!G1355</f>
        <v>1525154</v>
      </c>
      <c r="E1355" s="35">
        <f>+'[2]por cuent'!H1355</f>
        <v>1525154</v>
      </c>
      <c r="F1355" t="str">
        <f>+'[2]por cuent'!I1355</f>
        <v>534</v>
      </c>
    </row>
    <row r="1356" spans="1:6" x14ac:dyDescent="0.35">
      <c r="A1356" t="str">
        <f>+'[2]por cuent'!A1356</f>
        <v>ARS</v>
      </c>
      <c r="B1356" t="str">
        <f>+'[2]por cuent'!B1356</f>
        <v>534000047</v>
      </c>
      <c r="C1356" t="str">
        <f>+'[2]por cuent'!C1356</f>
        <v>Payva Enrique &amp; Sanchez Rapela &amp; otros</v>
      </c>
      <c r="D1356" s="35">
        <f>+'[2]por cuent'!G1356</f>
        <v>7544677</v>
      </c>
      <c r="E1356" s="35">
        <f>+'[2]por cuent'!H1356</f>
        <v>7544677</v>
      </c>
      <c r="F1356" t="str">
        <f>+'[2]por cuent'!I1356</f>
        <v>534</v>
      </c>
    </row>
    <row r="1357" spans="1:6" x14ac:dyDescent="0.35">
      <c r="A1357" t="str">
        <f>+'[2]por cuent'!A1357</f>
        <v>ARS</v>
      </c>
      <c r="B1357" t="str">
        <f>+'[2]por cuent'!B1357</f>
        <v>534000048</v>
      </c>
      <c r="C1357" t="str">
        <f>+'[2]por cuent'!C1357</f>
        <v>Herrneder Ma. Laura &amp; Repetto Isabel</v>
      </c>
      <c r="D1357" s="35">
        <f>+'[2]por cuent'!G1357</f>
        <v>1066233</v>
      </c>
      <c r="E1357" s="35">
        <f>+'[2]por cuent'!H1357</f>
        <v>1066233</v>
      </c>
      <c r="F1357" t="str">
        <f>+'[2]por cuent'!I1357</f>
        <v>534</v>
      </c>
    </row>
    <row r="1358" spans="1:6" x14ac:dyDescent="0.35">
      <c r="A1358" t="str">
        <f>+'[2]por cuent'!A1358</f>
        <v>ARS</v>
      </c>
      <c r="B1358" t="str">
        <f>+'[2]por cuent'!B1358</f>
        <v>534000052</v>
      </c>
      <c r="C1358" t="str">
        <f>+'[2]por cuent'!C1358</f>
        <v>Matranca, Enriqueta &amp; Busnelli, Esteban</v>
      </c>
      <c r="D1358" s="35">
        <f>+'[2]por cuent'!G1358</f>
        <v>1692901</v>
      </c>
      <c r="E1358" s="35">
        <f>+'[2]por cuent'!H1358</f>
        <v>1692901</v>
      </c>
      <c r="F1358" t="str">
        <f>+'[2]por cuent'!I1358</f>
        <v>534</v>
      </c>
    </row>
    <row r="1359" spans="1:6" x14ac:dyDescent="0.35">
      <c r="A1359" t="str">
        <f>+'[2]por cuent'!A1359</f>
        <v>ARS</v>
      </c>
      <c r="B1359" t="str">
        <f>+'[2]por cuent'!B1359</f>
        <v>534000064</v>
      </c>
      <c r="C1359" t="str">
        <f>+'[2]por cuent'!C1359</f>
        <v>CH4 Insumos y Servicios S.A.</v>
      </c>
      <c r="D1359" s="35">
        <f>+'[2]por cuent'!G1359</f>
        <v>97997753</v>
      </c>
      <c r="E1359" s="35">
        <f>+'[2]por cuent'!H1359</f>
        <v>97997753</v>
      </c>
      <c r="F1359" t="str">
        <f>+'[2]por cuent'!I1359</f>
        <v>534</v>
      </c>
    </row>
    <row r="1360" spans="1:6" x14ac:dyDescent="0.35">
      <c r="A1360" t="str">
        <f>+'[2]por cuent'!A1360</f>
        <v>ARS</v>
      </c>
      <c r="B1360" t="str">
        <f>+'[2]por cuent'!B1360</f>
        <v>534000068</v>
      </c>
      <c r="C1360" t="str">
        <f>+'[2]por cuent'!C1360</f>
        <v>Frutos del Norte S.A.</v>
      </c>
      <c r="D1360" s="35">
        <f>+'[2]por cuent'!G1360</f>
        <v>1704628</v>
      </c>
      <c r="E1360" s="35">
        <f>+'[2]por cuent'!H1360</f>
        <v>1704628</v>
      </c>
      <c r="F1360" t="str">
        <f>+'[2]por cuent'!I1360</f>
        <v>534</v>
      </c>
    </row>
    <row r="1361" spans="1:6" x14ac:dyDescent="0.35">
      <c r="A1361" t="str">
        <f>+'[2]por cuent'!A1361</f>
        <v>ARS</v>
      </c>
      <c r="B1361" t="str">
        <f>+'[2]por cuent'!B1361</f>
        <v>534000070</v>
      </c>
      <c r="C1361" t="str">
        <f>+'[2]por cuent'!C1361</f>
        <v>Romero Oneto Eduardo &amp; Baumgart Elena</v>
      </c>
      <c r="D1361" s="35">
        <f>+'[2]por cuent'!G1361</f>
        <v>998629065</v>
      </c>
      <c r="E1361" s="35">
        <f>+'[2]por cuent'!H1361</f>
        <v>998629065</v>
      </c>
      <c r="F1361" t="str">
        <f>+'[2]por cuent'!I1361</f>
        <v>534</v>
      </c>
    </row>
    <row r="1362" spans="1:6" x14ac:dyDescent="0.35">
      <c r="A1362" t="str">
        <f>+'[2]por cuent'!A1362</f>
        <v>ARS</v>
      </c>
      <c r="B1362" t="str">
        <f>+'[2]por cuent'!B1362</f>
        <v>534000073</v>
      </c>
      <c r="C1362" t="str">
        <f>+'[2]por cuent'!C1362</f>
        <v>Ramirez Eduardo &amp; Hernandez Marcela</v>
      </c>
      <c r="D1362" s="35">
        <f>+'[2]por cuent'!G1362</f>
        <v>8421221</v>
      </c>
      <c r="E1362" s="35">
        <f>+'[2]por cuent'!H1362</f>
        <v>8421221</v>
      </c>
      <c r="F1362" t="str">
        <f>+'[2]por cuent'!I1362</f>
        <v>534</v>
      </c>
    </row>
    <row r="1363" spans="1:6" x14ac:dyDescent="0.35">
      <c r="A1363" t="str">
        <f>+'[2]por cuent'!A1363</f>
        <v>ARS</v>
      </c>
      <c r="B1363" t="str">
        <f>+'[2]por cuent'!B1363</f>
        <v>534000075</v>
      </c>
      <c r="C1363" t="str">
        <f>+'[2]por cuent'!C1363</f>
        <v>Cogo Luis Alberto, Cogo Orellana Florencia &amp; Cogo Orellana Luciano</v>
      </c>
      <c r="D1363" s="35">
        <f>+'[2]por cuent'!G1363</f>
        <v>739248</v>
      </c>
      <c r="E1363" s="35">
        <f>+'[2]por cuent'!H1363</f>
        <v>739248</v>
      </c>
      <c r="F1363" t="str">
        <f>+'[2]por cuent'!I1363</f>
        <v>534</v>
      </c>
    </row>
    <row r="1364" spans="1:6" x14ac:dyDescent="0.35">
      <c r="A1364" t="str">
        <f>+'[2]por cuent'!A1364</f>
        <v>ARS</v>
      </c>
      <c r="B1364" t="str">
        <f>+'[2]por cuent'!B1364</f>
        <v>534000076</v>
      </c>
      <c r="C1364" t="str">
        <f>+'[2]por cuent'!C1364</f>
        <v>Gaubeca Molina Ma. Eugenia &amp; Gaubeca Molina Ma. Fernanda</v>
      </c>
      <c r="D1364" s="35">
        <f>+'[2]por cuent'!G1364</f>
        <v>3066734</v>
      </c>
      <c r="E1364" s="35">
        <f>+'[2]por cuent'!H1364</f>
        <v>3066734</v>
      </c>
      <c r="F1364" t="str">
        <f>+'[2]por cuent'!I1364</f>
        <v>534</v>
      </c>
    </row>
    <row r="1365" spans="1:6" x14ac:dyDescent="0.35">
      <c r="A1365" t="str">
        <f>+'[2]por cuent'!A1365</f>
        <v>ARS</v>
      </c>
      <c r="B1365" t="str">
        <f>+'[2]por cuent'!B1365</f>
        <v>534000077</v>
      </c>
      <c r="C1365" t="str">
        <f>+'[2]por cuent'!C1365</f>
        <v>Gaubeca Klix, Verónica</v>
      </c>
      <c r="D1365" s="35">
        <f>+'[2]por cuent'!G1365</f>
        <v>2739848</v>
      </c>
      <c r="E1365" s="35">
        <f>+'[2]por cuent'!H1365</f>
        <v>2739848</v>
      </c>
      <c r="F1365" t="str">
        <f>+'[2]por cuent'!I1365</f>
        <v>534</v>
      </c>
    </row>
    <row r="1366" spans="1:6" x14ac:dyDescent="0.35">
      <c r="A1366" t="str">
        <f>+'[2]por cuent'!A1366</f>
        <v>ARS</v>
      </c>
      <c r="B1366" t="str">
        <f>+'[2]por cuent'!B1366</f>
        <v>534000080</v>
      </c>
      <c r="C1366" t="str">
        <f>+'[2]por cuent'!C1366</f>
        <v>Ibarra, Eliseo Agustín</v>
      </c>
      <c r="D1366" s="35">
        <f>+'[2]por cuent'!G1366</f>
        <v>1985670</v>
      </c>
      <c r="E1366" s="35">
        <f>+'[2]por cuent'!H1366</f>
        <v>1985670</v>
      </c>
      <c r="F1366" t="str">
        <f>+'[2]por cuent'!I1366</f>
        <v>534</v>
      </c>
    </row>
    <row r="1367" spans="1:6" x14ac:dyDescent="0.35">
      <c r="A1367" t="str">
        <f>+'[2]por cuent'!A1367</f>
        <v>ARS</v>
      </c>
      <c r="B1367" t="str">
        <f>+'[2]por cuent'!B1367</f>
        <v>534000082</v>
      </c>
      <c r="C1367" t="str">
        <f>+'[2]por cuent'!C1367</f>
        <v>Aguiló Ivanna &amp; D'Apice Diego</v>
      </c>
      <c r="D1367" s="35">
        <f>+'[2]por cuent'!G1367</f>
        <v>175004861</v>
      </c>
      <c r="E1367" s="35">
        <f>+'[2]por cuent'!H1367</f>
        <v>175004861</v>
      </c>
      <c r="F1367" t="str">
        <f>+'[2]por cuent'!I1367</f>
        <v>534</v>
      </c>
    </row>
    <row r="1368" spans="1:6" x14ac:dyDescent="0.35">
      <c r="A1368" t="str">
        <f>+'[2]por cuent'!A1368</f>
        <v>ARS</v>
      </c>
      <c r="B1368" t="str">
        <f>+'[2]por cuent'!B1368</f>
        <v>534000089</v>
      </c>
      <c r="C1368" t="str">
        <f>+'[2]por cuent'!C1368</f>
        <v>Sardi, Graciela María Isabel</v>
      </c>
      <c r="D1368" s="35">
        <f>+'[2]por cuent'!G1368</f>
        <v>54294043</v>
      </c>
      <c r="E1368" s="35">
        <f>+'[2]por cuent'!H1368</f>
        <v>54294043</v>
      </c>
      <c r="F1368" t="str">
        <f>+'[2]por cuent'!I1368</f>
        <v>534</v>
      </c>
    </row>
    <row r="1369" spans="1:6" x14ac:dyDescent="0.35">
      <c r="A1369" t="str">
        <f>+'[2]por cuent'!A1369</f>
        <v>ARS</v>
      </c>
      <c r="B1369" t="str">
        <f>+'[2]por cuent'!B1369</f>
        <v>534000091</v>
      </c>
      <c r="C1369" t="str">
        <f>+'[2]por cuent'!C1369</f>
        <v>Monorreno SRL</v>
      </c>
      <c r="D1369" s="35">
        <f>+'[2]por cuent'!G1369</f>
        <v>44994755</v>
      </c>
      <c r="E1369" s="35">
        <f>+'[2]por cuent'!H1369</f>
        <v>44994755</v>
      </c>
      <c r="F1369" t="str">
        <f>+'[2]por cuent'!I1369</f>
        <v>534</v>
      </c>
    </row>
    <row r="1370" spans="1:6" x14ac:dyDescent="0.35">
      <c r="A1370" t="str">
        <f>+'[2]por cuent'!A1370</f>
        <v>ARS</v>
      </c>
      <c r="B1370" t="str">
        <f>+'[2]por cuent'!B1370</f>
        <v>534000094</v>
      </c>
      <c r="C1370" t="str">
        <f>+'[2]por cuent'!C1370</f>
        <v>Romero Oneto, Alejandro &amp; Obarrio Victoria</v>
      </c>
      <c r="D1370" s="35">
        <f>+'[2]por cuent'!G1370</f>
        <v>314543543.08999997</v>
      </c>
      <c r="E1370" s="35">
        <f>+'[2]por cuent'!H1370</f>
        <v>314543543.08999997</v>
      </c>
      <c r="F1370" t="str">
        <f>+'[2]por cuent'!I1370</f>
        <v>534</v>
      </c>
    </row>
    <row r="1371" spans="1:6" x14ac:dyDescent="0.35">
      <c r="A1371" t="str">
        <f>+'[2]por cuent'!A1371</f>
        <v>ARS</v>
      </c>
      <c r="B1371" t="str">
        <f>+'[2]por cuent'!B1371</f>
        <v>534000097</v>
      </c>
      <c r="C1371" t="str">
        <f>+'[2]por cuent'!C1371</f>
        <v>Losungen 2018 S.R.L.</v>
      </c>
      <c r="D1371" s="35">
        <f>+'[2]por cuent'!G1371</f>
        <v>117089000</v>
      </c>
      <c r="E1371" s="35">
        <f>+'[2]por cuent'!H1371</f>
        <v>117089000</v>
      </c>
      <c r="F1371" t="str">
        <f>+'[2]por cuent'!I1371</f>
        <v>534</v>
      </c>
    </row>
    <row r="1372" spans="1:6" x14ac:dyDescent="0.35">
      <c r="A1372" t="str">
        <f>+'[2]por cuent'!A1372</f>
        <v>ARS</v>
      </c>
      <c r="B1372" t="str">
        <f>+'[2]por cuent'!B1372</f>
        <v>534000106</v>
      </c>
      <c r="C1372" t="str">
        <f>+'[2]por cuent'!C1372</f>
        <v>Korn, Julián</v>
      </c>
      <c r="D1372" s="35">
        <f>+'[2]por cuent'!G1372</f>
        <v>2274754</v>
      </c>
      <c r="E1372" s="35">
        <f>+'[2]por cuent'!H1372</f>
        <v>2274754</v>
      </c>
      <c r="F1372" t="str">
        <f>+'[2]por cuent'!I1372</f>
        <v>534</v>
      </c>
    </row>
    <row r="1373" spans="1:6" x14ac:dyDescent="0.35">
      <c r="A1373" t="str">
        <f>+'[2]por cuent'!A1373</f>
        <v>ARS</v>
      </c>
      <c r="B1373" t="str">
        <f>+'[2]por cuent'!B1373</f>
        <v>534000107</v>
      </c>
      <c r="C1373" t="str">
        <f>+'[2]por cuent'!C1373</f>
        <v>Romero Mundani, Melisa &amp; Carluccio, Federico</v>
      </c>
      <c r="D1373" s="35">
        <f>+'[2]por cuent'!G1373</f>
        <v>38991142</v>
      </c>
      <c r="E1373" s="35">
        <f>+'[2]por cuent'!H1373</f>
        <v>38991142</v>
      </c>
      <c r="F1373" t="str">
        <f>+'[2]por cuent'!I1373</f>
        <v>534</v>
      </c>
    </row>
    <row r="1374" spans="1:6" x14ac:dyDescent="0.35">
      <c r="A1374" t="str">
        <f>+'[2]por cuent'!A1374</f>
        <v>ARS</v>
      </c>
      <c r="B1374" t="str">
        <f>+'[2]por cuent'!B1374</f>
        <v>534000109</v>
      </c>
      <c r="C1374" t="str">
        <f>+'[2]por cuent'!C1374</f>
        <v>LIC Latin América S.A.</v>
      </c>
      <c r="D1374" s="35">
        <f>+'[2]por cuent'!G1374</f>
        <v>774897474</v>
      </c>
      <c r="E1374" s="35">
        <f>+'[2]por cuent'!H1374</f>
        <v>774897474</v>
      </c>
      <c r="F1374" t="str">
        <f>+'[2]por cuent'!I1374</f>
        <v>534</v>
      </c>
    </row>
    <row r="1375" spans="1:6" x14ac:dyDescent="0.35">
      <c r="A1375" t="str">
        <f>+'[2]por cuent'!A1375</f>
        <v>ARS</v>
      </c>
      <c r="B1375" t="str">
        <f>+'[2]por cuent'!B1375</f>
        <v>534000111</v>
      </c>
      <c r="C1375" t="str">
        <f>+'[2]por cuent'!C1375</f>
        <v>Licastro Prado, Florencia &amp; Gaubeca Klix, Enrique</v>
      </c>
      <c r="D1375" s="35">
        <f>+'[2]por cuent'!G1375</f>
        <v>953952822</v>
      </c>
      <c r="E1375" s="35">
        <f>+'[2]por cuent'!H1375</f>
        <v>953952822</v>
      </c>
      <c r="F1375" t="str">
        <f>+'[2]por cuent'!I1375</f>
        <v>534</v>
      </c>
    </row>
    <row r="1376" spans="1:6" x14ac:dyDescent="0.35">
      <c r="A1376" t="str">
        <f>+'[2]por cuent'!A1376</f>
        <v>ARS</v>
      </c>
      <c r="B1376" t="str">
        <f>+'[2]por cuent'!B1376</f>
        <v>534000115</v>
      </c>
      <c r="C1376" t="str">
        <f>+'[2]por cuent'!C1376</f>
        <v>Dansa S.A.</v>
      </c>
      <c r="D1376" s="35">
        <f>+'[2]por cuent'!G1376</f>
        <v>1282680</v>
      </c>
      <c r="E1376" s="35">
        <f>+'[2]por cuent'!H1376</f>
        <v>1282680</v>
      </c>
      <c r="F1376" t="str">
        <f>+'[2]por cuent'!I1376</f>
        <v>534</v>
      </c>
    </row>
    <row r="1377" spans="1:6" x14ac:dyDescent="0.35">
      <c r="A1377" t="str">
        <f>+'[2]por cuent'!A1377</f>
        <v>ARS</v>
      </c>
      <c r="B1377" t="str">
        <f>+'[2]por cuent'!B1377</f>
        <v>534000116</v>
      </c>
      <c r="C1377" t="str">
        <f>+'[2]por cuent'!C1377</f>
        <v>Dinpe S.A.</v>
      </c>
      <c r="D1377" s="35">
        <f>+'[2]por cuent'!G1377</f>
        <v>14606264</v>
      </c>
      <c r="E1377" s="35">
        <f>+'[2]por cuent'!H1377</f>
        <v>14606264</v>
      </c>
      <c r="F1377" t="str">
        <f>+'[2]por cuent'!I1377</f>
        <v>534</v>
      </c>
    </row>
    <row r="1378" spans="1:6" x14ac:dyDescent="0.35">
      <c r="A1378" t="str">
        <f>+'[2]por cuent'!A1378</f>
        <v>ARS</v>
      </c>
      <c r="B1378" t="str">
        <f>+'[2]por cuent'!B1378</f>
        <v>534000123</v>
      </c>
      <c r="C1378" t="str">
        <f>+'[2]por cuent'!C1378</f>
        <v>Razuri, Victor Andrés</v>
      </c>
      <c r="D1378" s="35">
        <f>+'[2]por cuent'!G1378</f>
        <v>5538251</v>
      </c>
      <c r="E1378" s="35">
        <f>+'[2]por cuent'!H1378</f>
        <v>5538251</v>
      </c>
      <c r="F1378" t="str">
        <f>+'[2]por cuent'!I1378</f>
        <v>534</v>
      </c>
    </row>
    <row r="1379" spans="1:6" x14ac:dyDescent="0.35">
      <c r="A1379" t="str">
        <f>+'[2]por cuent'!A1379</f>
        <v>ARS</v>
      </c>
      <c r="B1379" t="str">
        <f>+'[2]por cuent'!B1379</f>
        <v>534000129</v>
      </c>
      <c r="C1379" t="str">
        <f>+'[2]por cuent'!C1379</f>
        <v>Ceballos, Mariana Luz</v>
      </c>
      <c r="D1379" s="35">
        <f>+'[2]por cuent'!G1379</f>
        <v>763350</v>
      </c>
      <c r="E1379" s="35">
        <f>+'[2]por cuent'!H1379</f>
        <v>763350</v>
      </c>
      <c r="F1379" t="str">
        <f>+'[2]por cuent'!I1379</f>
        <v>534</v>
      </c>
    </row>
    <row r="1380" spans="1:6" x14ac:dyDescent="0.35">
      <c r="A1380" t="str">
        <f>+'[2]por cuent'!A1380</f>
        <v>ARS</v>
      </c>
      <c r="B1380" t="str">
        <f>+'[2]por cuent'!B1380</f>
        <v>534000131</v>
      </c>
      <c r="C1380" t="str">
        <f>+'[2]por cuent'!C1380</f>
        <v>Castelnuovo, Leandro Fabian (II)</v>
      </c>
      <c r="D1380" s="35">
        <f>+'[2]por cuent'!G1380</f>
        <v>2615818</v>
      </c>
      <c r="E1380" s="35">
        <f>+'[2]por cuent'!H1380</f>
        <v>2615818</v>
      </c>
      <c r="F1380" t="str">
        <f>+'[2]por cuent'!I1380</f>
        <v>534</v>
      </c>
    </row>
    <row r="1381" spans="1:6" x14ac:dyDescent="0.35">
      <c r="A1381" t="str">
        <f>+'[2]por cuent'!A1381</f>
        <v>ARS</v>
      </c>
      <c r="B1381" t="str">
        <f>+'[2]por cuent'!B1381</f>
        <v>534000134</v>
      </c>
      <c r="C1381" t="str">
        <f>+'[2]por cuent'!C1381</f>
        <v>Martin, Nicolas &amp; Malaisi, Maria Belen</v>
      </c>
      <c r="D1381" s="35">
        <f>+'[2]por cuent'!G1381</f>
        <v>169872952</v>
      </c>
      <c r="E1381" s="35">
        <f>+'[2]por cuent'!H1381</f>
        <v>169872952</v>
      </c>
      <c r="F1381" t="str">
        <f>+'[2]por cuent'!I1381</f>
        <v>534</v>
      </c>
    </row>
    <row r="1382" spans="1:6" x14ac:dyDescent="0.35">
      <c r="A1382" t="str">
        <f>+'[2]por cuent'!A1382</f>
        <v>ARS</v>
      </c>
      <c r="B1382" t="str">
        <f>+'[2]por cuent'!B1382</f>
        <v>534000135</v>
      </c>
      <c r="C1382" t="str">
        <f>+'[2]por cuent'!C1382</f>
        <v>Hermida, Fernando &amp; Hermida, Fernando (h)</v>
      </c>
      <c r="D1382" s="35">
        <f>+'[2]por cuent'!G1382</f>
        <v>38821596</v>
      </c>
      <c r="E1382" s="35">
        <f>+'[2]por cuent'!H1382</f>
        <v>38821596</v>
      </c>
      <c r="F1382" t="str">
        <f>+'[2]por cuent'!I1382</f>
        <v>534</v>
      </c>
    </row>
    <row r="1383" spans="1:6" x14ac:dyDescent="0.35">
      <c r="A1383" t="str">
        <f>+'[2]por cuent'!A1383</f>
        <v>ARS</v>
      </c>
      <c r="B1383" t="str">
        <f>+'[2]por cuent'!B1383</f>
        <v>534000136</v>
      </c>
      <c r="C1383" t="str">
        <f>+'[2]por cuent'!C1383</f>
        <v>Dantur, Gladys Josefina &amp; Dantur, Marcelo E.</v>
      </c>
      <c r="D1383" s="35">
        <f>+'[2]por cuent'!G1383</f>
        <v>6148978</v>
      </c>
      <c r="E1383" s="35">
        <f>+'[2]por cuent'!H1383</f>
        <v>6148978</v>
      </c>
      <c r="F1383" t="str">
        <f>+'[2]por cuent'!I1383</f>
        <v>534</v>
      </c>
    </row>
    <row r="1384" spans="1:6" x14ac:dyDescent="0.35">
      <c r="A1384" t="str">
        <f>+'[2]por cuent'!A1384</f>
        <v>ARS</v>
      </c>
      <c r="B1384" t="str">
        <f>+'[2]por cuent'!B1384</f>
        <v>534000138</v>
      </c>
      <c r="C1384" t="str">
        <f>+'[2]por cuent'!C1384</f>
        <v>Grisolia, Enrique Fernando</v>
      </c>
      <c r="D1384" s="35">
        <f>+'[2]por cuent'!G1384</f>
        <v>82154188</v>
      </c>
      <c r="E1384" s="35">
        <f>+'[2]por cuent'!H1384</f>
        <v>82154188</v>
      </c>
      <c r="F1384" t="str">
        <f>+'[2]por cuent'!I1384</f>
        <v>534</v>
      </c>
    </row>
    <row r="1385" spans="1:6" x14ac:dyDescent="0.35">
      <c r="A1385" t="str">
        <f>+'[2]por cuent'!A1385</f>
        <v>ARS</v>
      </c>
      <c r="B1385" t="str">
        <f>+'[2]por cuent'!B1385</f>
        <v>534000139</v>
      </c>
      <c r="C1385" t="str">
        <f>+'[2]por cuent'!C1385</f>
        <v>Podestá, Oscar Sebastián &amp; Campos, María Cecilia</v>
      </c>
      <c r="D1385" s="35">
        <f>+'[2]por cuent'!G1385</f>
        <v>1461027</v>
      </c>
      <c r="E1385" s="35">
        <f>+'[2]por cuent'!H1385</f>
        <v>1461027</v>
      </c>
      <c r="F1385" t="str">
        <f>+'[2]por cuent'!I1385</f>
        <v>534</v>
      </c>
    </row>
    <row r="1386" spans="1:6" x14ac:dyDescent="0.35">
      <c r="A1386" t="str">
        <f>+'[2]por cuent'!A1386</f>
        <v>ARS</v>
      </c>
      <c r="B1386" t="str">
        <f>+'[2]por cuent'!B1386</f>
        <v>534000141</v>
      </c>
      <c r="C1386" t="str">
        <f>+'[2]por cuent'!C1386</f>
        <v>Fornasari, Daniel &amp; Dominguez, Nora &amp; Fornasari, Lucia</v>
      </c>
      <c r="D1386" s="35">
        <f>+'[2]por cuent'!G1386</f>
        <v>8829358</v>
      </c>
      <c r="E1386" s="35">
        <f>+'[2]por cuent'!H1386</f>
        <v>8829358</v>
      </c>
      <c r="F1386" t="str">
        <f>+'[2]por cuent'!I1386</f>
        <v>534</v>
      </c>
    </row>
    <row r="1387" spans="1:6" x14ac:dyDescent="0.35">
      <c r="A1387" t="str">
        <f>+'[2]por cuent'!A1387</f>
        <v>ARS</v>
      </c>
      <c r="B1387" t="str">
        <f>+'[2]por cuent'!B1387</f>
        <v>534000147</v>
      </c>
      <c r="C1387" t="str">
        <f>+'[2]por cuent'!C1387</f>
        <v>Speck, Raúl Alberto</v>
      </c>
      <c r="D1387" s="35">
        <f>+'[2]por cuent'!G1387</f>
        <v>3959002</v>
      </c>
      <c r="E1387" s="35">
        <f>+'[2]por cuent'!H1387</f>
        <v>3959002</v>
      </c>
      <c r="F1387" t="str">
        <f>+'[2]por cuent'!I1387</f>
        <v>534</v>
      </c>
    </row>
    <row r="1388" spans="1:6" x14ac:dyDescent="0.35">
      <c r="A1388" t="str">
        <f>+'[2]por cuent'!A1388</f>
        <v>ARS</v>
      </c>
      <c r="B1388" t="str">
        <f>+'[2]por cuent'!B1388</f>
        <v>534000153</v>
      </c>
      <c r="C1388" t="str">
        <f>+'[2]por cuent'!C1388</f>
        <v>Alumini Engenharia S.A. Lesko S.A.C.I.F.I.A. Unión Transitoria</v>
      </c>
      <c r="D1388" s="35">
        <f>+'[2]por cuent'!G1388</f>
        <v>5495933</v>
      </c>
      <c r="E1388" s="35">
        <f>+'[2]por cuent'!H1388</f>
        <v>5495933</v>
      </c>
      <c r="F1388" t="str">
        <f>+'[2]por cuent'!I1388</f>
        <v>534</v>
      </c>
    </row>
    <row r="1389" spans="1:6" x14ac:dyDescent="0.35">
      <c r="A1389" t="str">
        <f>+'[2]por cuent'!A1389</f>
        <v>ARS</v>
      </c>
      <c r="B1389" t="str">
        <f>+'[2]por cuent'!B1389</f>
        <v>534000154</v>
      </c>
      <c r="C1389" t="str">
        <f>+'[2]por cuent'!C1389</f>
        <v>Díaz, Matías Nicolás</v>
      </c>
      <c r="D1389" s="35">
        <f>+'[2]por cuent'!G1389</f>
        <v>81873904.5</v>
      </c>
      <c r="E1389" s="35">
        <f>+'[2]por cuent'!H1389</f>
        <v>81873904.5</v>
      </c>
      <c r="F1389" t="str">
        <f>+'[2]por cuent'!I1389</f>
        <v>534</v>
      </c>
    </row>
    <row r="1390" spans="1:6" x14ac:dyDescent="0.35">
      <c r="A1390" t="str">
        <f>+'[2]por cuent'!A1390</f>
        <v>ARS</v>
      </c>
      <c r="B1390" t="str">
        <f>+'[2]por cuent'!B1390</f>
        <v>534000158</v>
      </c>
      <c r="C1390" t="str">
        <f>+'[2]por cuent'!C1390</f>
        <v>Bernardini, Gonzalo Angel</v>
      </c>
      <c r="D1390" s="35">
        <f>+'[2]por cuent'!G1390</f>
        <v>1170234</v>
      </c>
      <c r="E1390" s="35">
        <f>+'[2]por cuent'!H1390</f>
        <v>1170234</v>
      </c>
      <c r="F1390" t="str">
        <f>+'[2]por cuent'!I1390</f>
        <v>534</v>
      </c>
    </row>
    <row r="1391" spans="1:6" x14ac:dyDescent="0.35">
      <c r="A1391" t="str">
        <f>+'[2]por cuent'!A1391</f>
        <v>ARS</v>
      </c>
      <c r="B1391" t="str">
        <f>+'[2]por cuent'!B1391</f>
        <v>534000162</v>
      </c>
      <c r="C1391" t="str">
        <f>+'[2]por cuent'!C1391</f>
        <v>Monaco Rolando &amp; Barolo María del Carmen</v>
      </c>
      <c r="D1391" s="35">
        <f>+'[2]por cuent'!G1391</f>
        <v>69753070</v>
      </c>
      <c r="E1391" s="35">
        <f>+'[2]por cuent'!H1391</f>
        <v>69753070</v>
      </c>
      <c r="F1391" t="str">
        <f>+'[2]por cuent'!I1391</f>
        <v>534</v>
      </c>
    </row>
    <row r="1392" spans="1:6" x14ac:dyDescent="0.35">
      <c r="A1392" t="str">
        <f>+'[2]por cuent'!A1392</f>
        <v>ARS</v>
      </c>
      <c r="B1392" t="str">
        <f>+'[2]por cuent'!B1392</f>
        <v>534000166</v>
      </c>
      <c r="C1392" t="str">
        <f>+'[2]por cuent'!C1392</f>
        <v>Marvezy, Gabriela Edith &amp; Loiacono, Martín Luis</v>
      </c>
      <c r="D1392" s="35">
        <f>+'[2]por cuent'!G1392</f>
        <v>4702720</v>
      </c>
      <c r="E1392" s="35">
        <f>+'[2]por cuent'!H1392</f>
        <v>4702720</v>
      </c>
      <c r="F1392" t="str">
        <f>+'[2]por cuent'!I1392</f>
        <v>534</v>
      </c>
    </row>
    <row r="1393" spans="1:6" x14ac:dyDescent="0.35">
      <c r="A1393" t="str">
        <f>+'[2]por cuent'!A1393</f>
        <v>ARS</v>
      </c>
      <c r="B1393" t="str">
        <f>+'[2]por cuent'!B1393</f>
        <v>534000167</v>
      </c>
      <c r="C1393" t="str">
        <f>+'[2]por cuent'!C1393</f>
        <v>Falcón Gustavo &amp; Falcón Raúl</v>
      </c>
      <c r="D1393" s="35">
        <f>+'[2]por cuent'!G1393</f>
        <v>1475342</v>
      </c>
      <c r="E1393" s="35">
        <f>+'[2]por cuent'!H1393</f>
        <v>1475342</v>
      </c>
      <c r="F1393" t="str">
        <f>+'[2]por cuent'!I1393</f>
        <v>534</v>
      </c>
    </row>
    <row r="1394" spans="1:6" x14ac:dyDescent="0.35">
      <c r="A1394" t="str">
        <f>+'[2]por cuent'!A1394</f>
        <v>ARS</v>
      </c>
      <c r="B1394" t="str">
        <f>+'[2]por cuent'!B1394</f>
        <v>534000170</v>
      </c>
      <c r="C1394" t="str">
        <f>+'[2]por cuent'!C1394</f>
        <v>Marini, María Victoria &amp; Dominguez, Juan Manuel</v>
      </c>
      <c r="D1394" s="35">
        <f>+'[2]por cuent'!G1394</f>
        <v>3243.2</v>
      </c>
      <c r="E1394" s="35">
        <f>+'[2]por cuent'!H1394</f>
        <v>3243.2</v>
      </c>
      <c r="F1394" t="str">
        <f>+'[2]por cuent'!I1394</f>
        <v>534</v>
      </c>
    </row>
    <row r="1395" spans="1:6" x14ac:dyDescent="0.35">
      <c r="A1395" t="str">
        <f>+'[2]por cuent'!A1395</f>
        <v>ARS</v>
      </c>
      <c r="B1395" t="str">
        <f>+'[2]por cuent'!B1395</f>
        <v>534000173</v>
      </c>
      <c r="C1395" t="str">
        <f>+'[2]por cuent'!C1395</f>
        <v>Fidegroup SA</v>
      </c>
      <c r="D1395" s="35">
        <f>+'[2]por cuent'!G1395</f>
        <v>5222618</v>
      </c>
      <c r="E1395" s="35">
        <f>+'[2]por cuent'!H1395</f>
        <v>5222618</v>
      </c>
      <c r="F1395" t="str">
        <f>+'[2]por cuent'!I1395</f>
        <v>534</v>
      </c>
    </row>
    <row r="1396" spans="1:6" x14ac:dyDescent="0.35">
      <c r="A1396" t="str">
        <f>+'[2]por cuent'!A1396</f>
        <v>ARS</v>
      </c>
      <c r="B1396" t="str">
        <f>+'[2]por cuent'!B1396</f>
        <v>534000174</v>
      </c>
      <c r="C1396" t="str">
        <f>+'[2]por cuent'!C1396</f>
        <v>Martínez, Fernando Nicolás &amp; Di Giacomo, María Gimena</v>
      </c>
      <c r="D1396" s="35">
        <f>+'[2]por cuent'!G1396</f>
        <v>56858214</v>
      </c>
      <c r="E1396" s="35">
        <f>+'[2]por cuent'!H1396</f>
        <v>56858214</v>
      </c>
      <c r="F1396" t="str">
        <f>+'[2]por cuent'!I1396</f>
        <v>534</v>
      </c>
    </row>
    <row r="1397" spans="1:6" x14ac:dyDescent="0.35">
      <c r="A1397" t="str">
        <f>+'[2]por cuent'!A1397</f>
        <v>ARS</v>
      </c>
      <c r="B1397" t="str">
        <f>+'[2]por cuent'!B1397</f>
        <v>534000176</v>
      </c>
      <c r="C1397" t="str">
        <f>+'[2]por cuent'!C1397</f>
        <v>Fornasari Esencias SRL</v>
      </c>
      <c r="D1397" s="35">
        <f>+'[2]por cuent'!G1397</f>
        <v>968704732</v>
      </c>
      <c r="E1397" s="35">
        <f>+'[2]por cuent'!H1397</f>
        <v>968704732</v>
      </c>
      <c r="F1397" t="str">
        <f>+'[2]por cuent'!I1397</f>
        <v>534</v>
      </c>
    </row>
    <row r="1398" spans="1:6" x14ac:dyDescent="0.35">
      <c r="A1398" t="str">
        <f>+'[2]por cuent'!A1398</f>
        <v>ARS</v>
      </c>
      <c r="B1398" t="str">
        <f>+'[2]por cuent'!B1398</f>
        <v>534000178</v>
      </c>
      <c r="C1398" t="str">
        <f>+'[2]por cuent'!C1398</f>
        <v>Potencialidades Asociación Civil</v>
      </c>
      <c r="D1398" s="35">
        <f>+'[2]por cuent'!G1398</f>
        <v>1903801</v>
      </c>
      <c r="E1398" s="35">
        <f>+'[2]por cuent'!H1398</f>
        <v>1903801</v>
      </c>
      <c r="F1398" t="str">
        <f>+'[2]por cuent'!I1398</f>
        <v>534</v>
      </c>
    </row>
    <row r="1399" spans="1:6" x14ac:dyDescent="0.35">
      <c r="A1399" t="str">
        <f>+'[2]por cuent'!A1399</f>
        <v>ARS</v>
      </c>
      <c r="B1399" t="str">
        <f>+'[2]por cuent'!B1399</f>
        <v>534000180</v>
      </c>
      <c r="C1399" t="str">
        <f>+'[2]por cuent'!C1399</f>
        <v>Lesko SACIFIA (II)</v>
      </c>
      <c r="D1399" s="35">
        <f>+'[2]por cuent'!G1399</f>
        <v>6550453000</v>
      </c>
      <c r="E1399" s="35">
        <f>+'[2]por cuent'!H1399</f>
        <v>6550453000</v>
      </c>
      <c r="F1399" t="str">
        <f>+'[2]por cuent'!I1399</f>
        <v>534</v>
      </c>
    </row>
    <row r="1400" spans="1:6" x14ac:dyDescent="0.35">
      <c r="A1400" t="str">
        <f>+'[2]por cuent'!A1400</f>
        <v>ARS</v>
      </c>
      <c r="B1400" t="str">
        <f>+'[2]por cuent'!B1400</f>
        <v>534000182</v>
      </c>
      <c r="C1400" t="str">
        <f>+'[2]por cuent'!C1400</f>
        <v>DUBAC URBANISMO S.A.</v>
      </c>
      <c r="D1400" s="35">
        <f>+'[2]por cuent'!G1400</f>
        <v>159900069.5</v>
      </c>
      <c r="E1400" s="35">
        <f>+'[2]por cuent'!H1400</f>
        <v>159900069.5</v>
      </c>
      <c r="F1400" t="str">
        <f>+'[2]por cuent'!I1400</f>
        <v>534</v>
      </c>
    </row>
    <row r="1401" spans="1:6" x14ac:dyDescent="0.35">
      <c r="A1401" t="str">
        <f>+'[2]por cuent'!A1401</f>
        <v>ARS</v>
      </c>
      <c r="B1401" t="str">
        <f>+'[2]por cuent'!B1401</f>
        <v>534000184</v>
      </c>
      <c r="C1401" t="str">
        <f>+'[2]por cuent'!C1401</f>
        <v>Agroindustrias Monaco SRL</v>
      </c>
      <c r="D1401" s="35">
        <f>+'[2]por cuent'!G1401</f>
        <v>90366563</v>
      </c>
      <c r="E1401" s="35">
        <f>+'[2]por cuent'!H1401</f>
        <v>90366563</v>
      </c>
      <c r="F1401" t="str">
        <f>+'[2]por cuent'!I1401</f>
        <v>534</v>
      </c>
    </row>
    <row r="1402" spans="1:6" x14ac:dyDescent="0.35">
      <c r="A1402" t="str">
        <f>+'[2]por cuent'!A1402</f>
        <v>ARS</v>
      </c>
      <c r="B1402" t="str">
        <f>+'[2]por cuent'!B1402</f>
        <v>534000185</v>
      </c>
      <c r="C1402" t="str">
        <f>+'[2]por cuent'!C1402</f>
        <v>Bastanchuri, Ignacio &amp; Carpineti, Ma. Elena &amp; Bastanchuri, Ma. Mercedes (II)</v>
      </c>
      <c r="D1402" s="35">
        <f>+'[2]por cuent'!G1402</f>
        <v>41044389.5</v>
      </c>
      <c r="E1402" s="35">
        <f>+'[2]por cuent'!H1402</f>
        <v>41044389.5</v>
      </c>
      <c r="F1402" t="str">
        <f>+'[2]por cuent'!I1402</f>
        <v>534</v>
      </c>
    </row>
    <row r="1403" spans="1:6" x14ac:dyDescent="0.35">
      <c r="A1403" t="str">
        <f>+'[2]por cuent'!A1403</f>
        <v>ARS</v>
      </c>
      <c r="B1403" t="str">
        <f>+'[2]por cuent'!B1403</f>
        <v>534000186</v>
      </c>
      <c r="C1403" t="str">
        <f>+'[2]por cuent'!C1403</f>
        <v>Sardi, Flavia María (II)</v>
      </c>
      <c r="D1403" s="35">
        <f>+'[2]por cuent'!G1403</f>
        <v>3297817</v>
      </c>
      <c r="E1403" s="35">
        <f>+'[2]por cuent'!H1403</f>
        <v>3297817</v>
      </c>
      <c r="F1403" t="str">
        <f>+'[2]por cuent'!I1403</f>
        <v>534</v>
      </c>
    </row>
    <row r="1404" spans="1:6" x14ac:dyDescent="0.35">
      <c r="A1404" t="str">
        <f>+'[2]por cuent'!A1404</f>
        <v>ARS</v>
      </c>
      <c r="B1404" t="str">
        <f>+'[2]por cuent'!B1404</f>
        <v>534000191</v>
      </c>
      <c r="C1404" t="str">
        <f>+'[2]por cuent'!C1404</f>
        <v xml:space="preserve">CRCC L. SUC ARG. -- LESKO SACIFIA -- INDUVIA SA </v>
      </c>
      <c r="D1404" s="35">
        <f>+'[2]por cuent'!G1404</f>
        <v>2048232386</v>
      </c>
      <c r="E1404" s="35">
        <f>+'[2]por cuent'!H1404</f>
        <v>2048232386</v>
      </c>
      <c r="F1404" t="str">
        <f>+'[2]por cuent'!I1404</f>
        <v>534</v>
      </c>
    </row>
    <row r="1405" spans="1:6" x14ac:dyDescent="0.35">
      <c r="A1405" t="str">
        <f>+'[2]por cuent'!A1405</f>
        <v>ARS</v>
      </c>
      <c r="B1405" t="str">
        <f>+'[2]por cuent'!B1405</f>
        <v>534000192</v>
      </c>
      <c r="C1405" t="str">
        <f>+'[2]por cuent'!C1405</f>
        <v>MEL CITY S.A.</v>
      </c>
      <c r="D1405" s="35">
        <f>+'[2]por cuent'!G1405</f>
        <v>233625000</v>
      </c>
      <c r="E1405" s="35">
        <f>+'[2]por cuent'!H1405</f>
        <v>233625000</v>
      </c>
      <c r="F1405" t="str">
        <f>+'[2]por cuent'!I1405</f>
        <v>534</v>
      </c>
    </row>
    <row r="1406" spans="1:6" x14ac:dyDescent="0.35">
      <c r="A1406" t="str">
        <f>+'[2]por cuent'!A1406</f>
        <v>ARS</v>
      </c>
      <c r="B1406" t="str">
        <f>+'[2]por cuent'!B1406</f>
        <v>534000194</v>
      </c>
      <c r="C1406" t="str">
        <f>+'[2]por cuent'!C1406</f>
        <v>Frutos del Norte S.A. (II)</v>
      </c>
      <c r="D1406" s="35">
        <f>+'[2]por cuent'!G1406</f>
        <v>775157000</v>
      </c>
      <c r="E1406" s="35">
        <f>+'[2]por cuent'!H1406</f>
        <v>775157000</v>
      </c>
      <c r="F1406" t="str">
        <f>+'[2]por cuent'!I1406</f>
        <v>534</v>
      </c>
    </row>
    <row r="1407" spans="1:6" x14ac:dyDescent="0.35">
      <c r="A1407" t="str">
        <f>+'[2]por cuent'!A1407</f>
        <v>ARS</v>
      </c>
      <c r="B1407" t="str">
        <f>+'[2]por cuent'!B1407</f>
        <v>534000195</v>
      </c>
      <c r="C1407" t="str">
        <f>+'[2]por cuent'!C1407</f>
        <v xml:space="preserve">Speck, Raúl Alberto (II) </v>
      </c>
      <c r="D1407" s="35">
        <f>+'[2]por cuent'!G1407</f>
        <v>480930</v>
      </c>
      <c r="E1407" s="35">
        <f>+'[2]por cuent'!H1407</f>
        <v>480930</v>
      </c>
      <c r="F1407" t="str">
        <f>+'[2]por cuent'!I1407</f>
        <v>534</v>
      </c>
    </row>
    <row r="1408" spans="1:6" x14ac:dyDescent="0.35">
      <c r="A1408" t="str">
        <f>+'[2]por cuent'!A1408</f>
        <v>ARS</v>
      </c>
      <c r="B1408" t="str">
        <f>+'[2]por cuent'!B1408</f>
        <v>534000196</v>
      </c>
      <c r="C1408" t="str">
        <f>+'[2]por cuent'!C1408</f>
        <v xml:space="preserve">MOLINO NSTRA SRA DE LUJAN SH (II) </v>
      </c>
      <c r="D1408" s="35">
        <f>+'[2]por cuent'!G1408</f>
        <v>972854</v>
      </c>
      <c r="E1408" s="35">
        <f>+'[2]por cuent'!H1408</f>
        <v>972854</v>
      </c>
      <c r="F1408" t="str">
        <f>+'[2]por cuent'!I1408</f>
        <v>534</v>
      </c>
    </row>
    <row r="1409" spans="1:6" x14ac:dyDescent="0.35">
      <c r="A1409" t="str">
        <f>+'[2]por cuent'!A1409</f>
        <v>ARS</v>
      </c>
      <c r="B1409" t="str">
        <f>+'[2]por cuent'!B1409</f>
        <v>534000199</v>
      </c>
      <c r="C1409" t="str">
        <f>+'[2]por cuent'!C1409</f>
        <v>MAOAR SRL</v>
      </c>
      <c r="D1409" s="35">
        <f>+'[2]por cuent'!G1409</f>
        <v>32366515.489999998</v>
      </c>
      <c r="E1409" s="35">
        <f>+'[2]por cuent'!H1409</f>
        <v>32366515.489999998</v>
      </c>
      <c r="F1409" t="str">
        <f>+'[2]por cuent'!I1409</f>
        <v>534</v>
      </c>
    </row>
    <row r="1410" spans="1:6" x14ac:dyDescent="0.35">
      <c r="A1410" t="str">
        <f>+'[2]por cuent'!A1410</f>
        <v>ARS</v>
      </c>
      <c r="B1410" t="str">
        <f>+'[2]por cuent'!B1410</f>
        <v>534000201</v>
      </c>
      <c r="C1410" t="str">
        <f>+'[2]por cuent'!C1410</f>
        <v>Pulenta Francisco &amp; Pulenta Daniela &amp; Pulenta María Julieta &amp; Pulenta Mariana &amp; Zyszkowicz Cristina</v>
      </c>
      <c r="D1410" s="35">
        <f>+'[2]por cuent'!G1410</f>
        <v>283620260.00999999</v>
      </c>
      <c r="E1410" s="35">
        <f>+'[2]por cuent'!H1410</f>
        <v>283620260.00999999</v>
      </c>
      <c r="F1410" t="str">
        <f>+'[2]por cuent'!I1410</f>
        <v>534</v>
      </c>
    </row>
    <row r="1411" spans="1:6" x14ac:dyDescent="0.35">
      <c r="A1411" t="str">
        <f>+'[2]por cuent'!A1411</f>
        <v>ARS</v>
      </c>
      <c r="B1411" t="str">
        <f>+'[2]por cuent'!B1411</f>
        <v>534000202</v>
      </c>
      <c r="C1411" t="str">
        <f>+'[2]por cuent'!C1411</f>
        <v>GROUP FAHEY SRL</v>
      </c>
      <c r="D1411" s="35">
        <f>+'[2]por cuent'!G1411</f>
        <v>3767007</v>
      </c>
      <c r="E1411" s="35">
        <f>+'[2]por cuent'!H1411</f>
        <v>3767007</v>
      </c>
      <c r="F1411" t="str">
        <f>+'[2]por cuent'!I1411</f>
        <v>534</v>
      </c>
    </row>
    <row r="1412" spans="1:6" x14ac:dyDescent="0.35">
      <c r="A1412" t="str">
        <f>+'[2]por cuent'!A1412</f>
        <v>ARS</v>
      </c>
      <c r="B1412" t="str">
        <f>+'[2]por cuent'!B1412</f>
        <v>534000204</v>
      </c>
      <c r="C1412" t="str">
        <f>+'[2]por cuent'!C1412</f>
        <v>Maggi, Ana Maria &amp; Caviglia, Fernando Cristian</v>
      </c>
      <c r="D1412" s="35">
        <f>+'[2]por cuent'!G1412</f>
        <v>2758845</v>
      </c>
      <c r="E1412" s="35">
        <f>+'[2]por cuent'!H1412</f>
        <v>2758845</v>
      </c>
      <c r="F1412" t="str">
        <f>+'[2]por cuent'!I1412</f>
        <v>534</v>
      </c>
    </row>
    <row r="1413" spans="1:6" x14ac:dyDescent="0.35">
      <c r="A1413" t="str">
        <f>+'[2]por cuent'!A1413</f>
        <v>ARS</v>
      </c>
      <c r="B1413" t="str">
        <f>+'[2]por cuent'!B1413</f>
        <v>534000206</v>
      </c>
      <c r="C1413" t="str">
        <f>+'[2]por cuent'!C1413</f>
        <v>Podesta, Maximiliano</v>
      </c>
      <c r="D1413" s="35">
        <f>+'[2]por cuent'!G1413</f>
        <v>102770167</v>
      </c>
      <c r="E1413" s="35">
        <f>+'[2]por cuent'!H1413</f>
        <v>102770167</v>
      </c>
      <c r="F1413" t="str">
        <f>+'[2]por cuent'!I1413</f>
        <v>534</v>
      </c>
    </row>
    <row r="1414" spans="1:6" x14ac:dyDescent="0.35">
      <c r="A1414" t="str">
        <f>+'[2]por cuent'!A1414</f>
        <v>ARS</v>
      </c>
      <c r="B1414" t="str">
        <f>+'[2]por cuent'!B1414</f>
        <v>534000207</v>
      </c>
      <c r="C1414" t="str">
        <f>+'[2]por cuent'!C1414</f>
        <v>Bertsos, Martin Alejandro</v>
      </c>
      <c r="D1414" s="35">
        <f>+'[2]por cuent'!G1414</f>
        <v>217649192</v>
      </c>
      <c r="E1414" s="35">
        <f>+'[2]por cuent'!H1414</f>
        <v>217649192</v>
      </c>
      <c r="F1414" t="str">
        <f>+'[2]por cuent'!I1414</f>
        <v>534</v>
      </c>
    </row>
    <row r="1415" spans="1:6" x14ac:dyDescent="0.35">
      <c r="A1415" t="str">
        <f>+'[2]por cuent'!A1415</f>
        <v>ARS</v>
      </c>
      <c r="B1415" t="str">
        <f>+'[2]por cuent'!B1415</f>
        <v>534000209</v>
      </c>
      <c r="C1415" t="str">
        <f>+'[2]por cuent'!C1415</f>
        <v>Campomane, María Cristina &amp; Percossi, María Luciana</v>
      </c>
      <c r="D1415" s="35">
        <f>+'[2]por cuent'!G1415</f>
        <v>97909637</v>
      </c>
      <c r="E1415" s="35">
        <f>+'[2]por cuent'!H1415</f>
        <v>97909637</v>
      </c>
      <c r="F1415" t="str">
        <f>+'[2]por cuent'!I1415</f>
        <v>534</v>
      </c>
    </row>
    <row r="1416" spans="1:6" x14ac:dyDescent="0.35">
      <c r="A1416" t="str">
        <f>+'[2]por cuent'!A1416</f>
        <v>ARS</v>
      </c>
      <c r="B1416" t="str">
        <f>+'[2]por cuent'!B1416</f>
        <v>534000210</v>
      </c>
      <c r="C1416" t="str">
        <f>+'[2]por cuent'!C1416</f>
        <v>Magri, José &amp; Prieto, Cecilia</v>
      </c>
      <c r="D1416" s="35">
        <f>+'[2]por cuent'!G1416</f>
        <v>12970955</v>
      </c>
      <c r="E1416" s="35">
        <f>+'[2]por cuent'!H1416</f>
        <v>12970955</v>
      </c>
      <c r="F1416" t="str">
        <f>+'[2]por cuent'!I1416</f>
        <v>534</v>
      </c>
    </row>
    <row r="1417" spans="1:6" x14ac:dyDescent="0.35">
      <c r="A1417" t="str">
        <f>+'[2]por cuent'!A1417</f>
        <v>ARS</v>
      </c>
      <c r="B1417" t="str">
        <f>+'[2]por cuent'!B1417</f>
        <v>534000211</v>
      </c>
      <c r="C1417" t="str">
        <f>+'[2]por cuent'!C1417</f>
        <v>Merlo, Juana &amp; Lopez, Adriana Maria</v>
      </c>
      <c r="D1417" s="35">
        <f>+'[2]por cuent'!G1417</f>
        <v>149489977</v>
      </c>
      <c r="E1417" s="35">
        <f>+'[2]por cuent'!H1417</f>
        <v>149489977</v>
      </c>
      <c r="F1417" t="str">
        <f>+'[2]por cuent'!I1417</f>
        <v>534</v>
      </c>
    </row>
    <row r="1418" spans="1:6" x14ac:dyDescent="0.35">
      <c r="A1418" t="str">
        <f>+'[2]por cuent'!A1418</f>
        <v>ARS</v>
      </c>
      <c r="B1418" t="str">
        <f>+'[2]por cuent'!B1418</f>
        <v>534000212</v>
      </c>
      <c r="C1418" t="str">
        <f>+'[2]por cuent'!C1418</f>
        <v>Merlo, Daniel Horacio &amp; Lopez, Adriana Maria</v>
      </c>
      <c r="D1418" s="35">
        <f>+'[2]por cuent'!G1418</f>
        <v>151590756</v>
      </c>
      <c r="E1418" s="35">
        <f>+'[2]por cuent'!H1418</f>
        <v>151590756</v>
      </c>
      <c r="F1418" t="str">
        <f>+'[2]por cuent'!I1418</f>
        <v>534</v>
      </c>
    </row>
    <row r="1419" spans="1:6" x14ac:dyDescent="0.35">
      <c r="A1419" t="str">
        <f>+'[2]por cuent'!A1419</f>
        <v>ARS</v>
      </c>
      <c r="B1419" t="str">
        <f>+'[2]por cuent'!B1419</f>
        <v>534000300</v>
      </c>
      <c r="C1419" t="str">
        <f>+'[2]por cuent'!C1419</f>
        <v>BCSA SD AXIS ESTRATEGIA 14</v>
      </c>
      <c r="D1419" s="35">
        <f>+'[2]por cuent'!G1419</f>
        <v>56345267100.519997</v>
      </c>
      <c r="E1419" s="35">
        <f>+'[2]por cuent'!H1419</f>
        <v>56345267100.519997</v>
      </c>
      <c r="F1419" t="str">
        <f>+'[2]por cuent'!I1419</f>
        <v>534</v>
      </c>
    </row>
    <row r="1420" spans="1:6" x14ac:dyDescent="0.35">
      <c r="A1420" t="str">
        <f>+'[2]por cuent'!A1420</f>
        <v>ARS</v>
      </c>
      <c r="B1420" t="str">
        <f>+'[2]por cuent'!B1420</f>
        <v>534000500</v>
      </c>
      <c r="C1420" t="str">
        <f>+'[2]por cuent'!C1420</f>
        <v>Molawczyk, Martin Alejandro &amp; Chevriau, Silvia Zulema</v>
      </c>
      <c r="D1420" s="35">
        <f>+'[2]por cuent'!G1420</f>
        <v>2663880</v>
      </c>
      <c r="E1420" s="35">
        <f>+'[2]por cuent'!H1420</f>
        <v>2663880</v>
      </c>
      <c r="F1420" t="str">
        <f>+'[2]por cuent'!I1420</f>
        <v>534</v>
      </c>
    </row>
    <row r="1421" spans="1:6" x14ac:dyDescent="0.35">
      <c r="A1421" t="str">
        <f>+'[2]por cuent'!A1421</f>
        <v>ARS</v>
      </c>
      <c r="B1421" t="str">
        <f>+'[2]por cuent'!B1421</f>
        <v>534000502</v>
      </c>
      <c r="C1421" t="str">
        <f>+'[2]por cuent'!C1421</f>
        <v>Laffont Oscar &amp; Perri Mariana</v>
      </c>
      <c r="D1421" s="35">
        <f>+'[2]por cuent'!G1421</f>
        <v>4385229</v>
      </c>
      <c r="E1421" s="35">
        <f>+'[2]por cuent'!H1421</f>
        <v>4385229</v>
      </c>
      <c r="F1421" t="str">
        <f>+'[2]por cuent'!I1421</f>
        <v>534</v>
      </c>
    </row>
    <row r="1422" spans="1:6" x14ac:dyDescent="0.35">
      <c r="A1422" t="str">
        <f>+'[2]por cuent'!A1422</f>
        <v>ARS</v>
      </c>
      <c r="B1422" t="str">
        <f>+'[2]por cuent'!B1422</f>
        <v>534000505</v>
      </c>
      <c r="C1422" t="str">
        <f>+'[2]por cuent'!C1422</f>
        <v>Patti Marcelo &amp; Zurita Silvia</v>
      </c>
      <c r="D1422" s="35">
        <f>+'[2]por cuent'!G1422</f>
        <v>453806540</v>
      </c>
      <c r="E1422" s="35">
        <f>+'[2]por cuent'!H1422</f>
        <v>453806540</v>
      </c>
      <c r="F1422" t="str">
        <f>+'[2]por cuent'!I1422</f>
        <v>534</v>
      </c>
    </row>
    <row r="1423" spans="1:6" x14ac:dyDescent="0.35">
      <c r="A1423" t="str">
        <f>+'[2]por cuent'!A1423</f>
        <v>ARS</v>
      </c>
      <c r="B1423" t="str">
        <f>+'[2]por cuent'!B1423</f>
        <v>534000508</v>
      </c>
      <c r="C1423" t="str">
        <f>+'[2]por cuent'!C1423</f>
        <v>Molawczyk, Enrique Eduardo &amp; Molawczyk, Martín</v>
      </c>
      <c r="D1423" s="35">
        <f>+'[2]por cuent'!G1423</f>
        <v>43522362</v>
      </c>
      <c r="E1423" s="35">
        <f>+'[2]por cuent'!H1423</f>
        <v>43522362</v>
      </c>
      <c r="F1423" t="str">
        <f>+'[2]por cuent'!I1423</f>
        <v>534</v>
      </c>
    </row>
    <row r="1424" spans="1:6" x14ac:dyDescent="0.35">
      <c r="A1424" t="str">
        <f>+'[2]por cuent'!A1424</f>
        <v>ARS</v>
      </c>
      <c r="B1424" t="str">
        <f>+'[2]por cuent'!B1424</f>
        <v>534000509</v>
      </c>
      <c r="C1424" t="str">
        <f>+'[2]por cuent'!C1424</f>
        <v>Varrenti, Debora Jimena &amp; Varrenti, Monica Fiorella</v>
      </c>
      <c r="D1424" s="35">
        <f>+'[2]por cuent'!G1424</f>
        <v>2277547</v>
      </c>
      <c r="E1424" s="35">
        <f>+'[2]por cuent'!H1424</f>
        <v>2277547</v>
      </c>
      <c r="F1424" t="str">
        <f>+'[2]por cuent'!I1424</f>
        <v>534</v>
      </c>
    </row>
    <row r="1425" spans="1:6" x14ac:dyDescent="0.35">
      <c r="A1425" t="str">
        <f>+'[2]por cuent'!A1425</f>
        <v>ARS</v>
      </c>
      <c r="B1425" t="str">
        <f>+'[2]por cuent'!B1425</f>
        <v>534000511</v>
      </c>
      <c r="C1425" t="str">
        <f>+'[2]por cuent'!C1425</f>
        <v>Alvarez, Marcelo Fabian &amp; Royau, Beatriz</v>
      </c>
      <c r="D1425" s="35">
        <f>+'[2]por cuent'!G1425</f>
        <v>1825602</v>
      </c>
      <c r="E1425" s="35">
        <f>+'[2]por cuent'!H1425</f>
        <v>1825602</v>
      </c>
      <c r="F1425" t="str">
        <f>+'[2]por cuent'!I1425</f>
        <v>534</v>
      </c>
    </row>
    <row r="1426" spans="1:6" x14ac:dyDescent="0.35">
      <c r="A1426" t="str">
        <f>+'[2]por cuent'!A1426</f>
        <v>ARS</v>
      </c>
      <c r="B1426" t="str">
        <f>+'[2]por cuent'!B1426</f>
        <v>534000605</v>
      </c>
      <c r="C1426" t="str">
        <f>+'[2]por cuent'!C1426</f>
        <v>Pulenta Francisco &amp; Pulenta Alfredo &amp; Pulenta Daniela</v>
      </c>
      <c r="D1426" s="35">
        <f>+'[2]por cuent'!G1426</f>
        <v>1694534</v>
      </c>
      <c r="E1426" s="35">
        <f>+'[2]por cuent'!H1426</f>
        <v>1694534</v>
      </c>
      <c r="F1426" t="str">
        <f>+'[2]por cuent'!I1426</f>
        <v>534</v>
      </c>
    </row>
    <row r="1427" spans="1:6" x14ac:dyDescent="0.35">
      <c r="A1427" t="str">
        <f>+'[2]por cuent'!A1427</f>
        <v>ARS</v>
      </c>
      <c r="B1427" t="str">
        <f>+'[2]por cuent'!B1427</f>
        <v>534000606</v>
      </c>
      <c r="C1427" t="str">
        <f>+'[2]por cuent'!C1427</f>
        <v>Pulenta Alfredo &amp; Pulenta Francisco &amp; Pulenta Daniela &amp; Zyszkowicz Cristina</v>
      </c>
      <c r="D1427" s="35">
        <f>+'[2]por cuent'!G1427</f>
        <v>1100819</v>
      </c>
      <c r="E1427" s="35">
        <f>+'[2]por cuent'!H1427</f>
        <v>1100819</v>
      </c>
      <c r="F1427" t="str">
        <f>+'[2]por cuent'!I1427</f>
        <v>534</v>
      </c>
    </row>
    <row r="1428" spans="1:6" x14ac:dyDescent="0.35">
      <c r="A1428" t="str">
        <f>+'[2]por cuent'!A1428</f>
        <v>ARS</v>
      </c>
      <c r="B1428" t="str">
        <f>+'[2]por cuent'!B1428</f>
        <v>534000650</v>
      </c>
      <c r="C1428" t="str">
        <f>+'[2]por cuent'!C1428</f>
        <v xml:space="preserve">Villalba Diaz, Julián Pedro </v>
      </c>
      <c r="D1428" s="35">
        <f>+'[2]por cuent'!G1428</f>
        <v>902613</v>
      </c>
      <c r="E1428" s="35">
        <f>+'[2]por cuent'!H1428</f>
        <v>902613</v>
      </c>
      <c r="F1428" t="str">
        <f>+'[2]por cuent'!I1428</f>
        <v>534</v>
      </c>
    </row>
    <row r="1429" spans="1:6" x14ac:dyDescent="0.35">
      <c r="A1429" t="str">
        <f>+'[2]por cuent'!A1429</f>
        <v>ARS</v>
      </c>
      <c r="B1429" t="str">
        <f>+'[2]por cuent'!B1429</f>
        <v>534000651</v>
      </c>
      <c r="C1429" t="str">
        <f>+'[2]por cuent'!C1429</f>
        <v>FARMACIA MARIA LAURA CURRO SCS</v>
      </c>
      <c r="D1429" s="35">
        <f>+'[2]por cuent'!G1429</f>
        <v>11843846</v>
      </c>
      <c r="E1429" s="35">
        <f>+'[2]por cuent'!H1429</f>
        <v>11843846</v>
      </c>
      <c r="F1429" t="str">
        <f>+'[2]por cuent'!I1429</f>
        <v>534</v>
      </c>
    </row>
    <row r="1430" spans="1:6" x14ac:dyDescent="0.35">
      <c r="A1430" t="str">
        <f>+'[2]por cuent'!A1430</f>
        <v>ARS</v>
      </c>
      <c r="B1430" t="str">
        <f>+'[2]por cuent'!B1430</f>
        <v>534000652</v>
      </c>
      <c r="C1430" t="str">
        <f>+'[2]por cuent'!C1430</f>
        <v>NUEVA FARMACIA MOURIN SCS</v>
      </c>
      <c r="D1430" s="35">
        <f>+'[2]por cuent'!G1430</f>
        <v>7635177</v>
      </c>
      <c r="E1430" s="35">
        <f>+'[2]por cuent'!H1430</f>
        <v>7635177</v>
      </c>
      <c r="F1430" t="str">
        <f>+'[2]por cuent'!I1430</f>
        <v>534</v>
      </c>
    </row>
    <row r="1431" spans="1:6" x14ac:dyDescent="0.35">
      <c r="A1431" t="str">
        <f>+'[2]por cuent'!A1431</f>
        <v>ARS</v>
      </c>
      <c r="B1431" t="str">
        <f>+'[2]por cuent'!B1431</f>
        <v>534000653</v>
      </c>
      <c r="C1431" t="str">
        <f>+'[2]por cuent'!C1431</f>
        <v>SAN MARTIN 3300 SCS</v>
      </c>
      <c r="D1431" s="35">
        <f>+'[2]por cuent'!G1431</f>
        <v>40087471</v>
      </c>
      <c r="E1431" s="35">
        <f>+'[2]por cuent'!H1431</f>
        <v>40087471</v>
      </c>
      <c r="F1431" t="str">
        <f>+'[2]por cuent'!I1431</f>
        <v>534</v>
      </c>
    </row>
    <row r="1432" spans="1:6" x14ac:dyDescent="0.35">
      <c r="A1432" t="str">
        <f>+'[2]por cuent'!A1432</f>
        <v>ARS</v>
      </c>
      <c r="B1432" t="str">
        <f>+'[2]por cuent'!B1432</f>
        <v>534000654</v>
      </c>
      <c r="C1432" t="str">
        <f>+'[2]por cuent'!C1432</f>
        <v>ROCALAN S.C.S.</v>
      </c>
      <c r="D1432" s="35">
        <f>+'[2]por cuent'!G1432</f>
        <v>17000895</v>
      </c>
      <c r="E1432" s="35">
        <f>+'[2]por cuent'!H1432</f>
        <v>17000895</v>
      </c>
      <c r="F1432" t="str">
        <f>+'[2]por cuent'!I1432</f>
        <v>534</v>
      </c>
    </row>
    <row r="1433" spans="1:6" x14ac:dyDescent="0.35">
      <c r="A1433" t="str">
        <f>+'[2]por cuent'!A1433</f>
        <v>ARS</v>
      </c>
      <c r="B1433" t="str">
        <f>+'[2]por cuent'!B1433</f>
        <v>534000655</v>
      </c>
      <c r="C1433" t="str">
        <f>+'[2]por cuent'!C1433</f>
        <v>FARMACIA CABEZUELO SCS</v>
      </c>
      <c r="D1433" s="35">
        <f>+'[2]por cuent'!G1433</f>
        <v>4775581</v>
      </c>
      <c r="E1433" s="35">
        <f>+'[2]por cuent'!H1433</f>
        <v>4775581</v>
      </c>
      <c r="F1433" t="str">
        <f>+'[2]por cuent'!I1433</f>
        <v>534</v>
      </c>
    </row>
    <row r="1434" spans="1:6" x14ac:dyDescent="0.35">
      <c r="A1434" t="str">
        <f>+'[2]por cuent'!A1434</f>
        <v>ARS</v>
      </c>
      <c r="B1434" t="str">
        <f>+'[2]por cuent'!B1434</f>
        <v>534000656</v>
      </c>
      <c r="C1434" t="str">
        <f>+'[2]por cuent'!C1434</f>
        <v>PFM MARCOS AVELLANEDA SCS</v>
      </c>
      <c r="D1434" s="35">
        <f>+'[2]por cuent'!G1434</f>
        <v>15187522</v>
      </c>
      <c r="E1434" s="35">
        <f>+'[2]por cuent'!H1434</f>
        <v>15187522</v>
      </c>
      <c r="F1434" t="str">
        <f>+'[2]por cuent'!I1434</f>
        <v>534</v>
      </c>
    </row>
    <row r="1435" spans="1:6" x14ac:dyDescent="0.35">
      <c r="A1435" t="str">
        <f>+'[2]por cuent'!A1435</f>
        <v>ARS</v>
      </c>
      <c r="B1435" t="str">
        <f>+'[2]por cuent'!B1435</f>
        <v>534000657</v>
      </c>
      <c r="C1435" t="str">
        <f>+'[2]por cuent'!C1435</f>
        <v>FARMACIA ESCALADA DE LANUS SCS</v>
      </c>
      <c r="D1435" s="35">
        <f>+'[2]por cuent'!G1435</f>
        <v>24537423</v>
      </c>
      <c r="E1435" s="35">
        <f>+'[2]por cuent'!H1435</f>
        <v>24537423</v>
      </c>
      <c r="F1435" t="str">
        <f>+'[2]por cuent'!I1435</f>
        <v>534</v>
      </c>
    </row>
    <row r="1436" spans="1:6" x14ac:dyDescent="0.35">
      <c r="A1436" t="str">
        <f>+'[2]por cuent'!A1436</f>
        <v>ARS</v>
      </c>
      <c r="B1436" t="str">
        <f>+'[2]por cuent'!B1436</f>
        <v>534000658</v>
      </c>
      <c r="C1436" t="str">
        <f>+'[2]por cuent'!C1436</f>
        <v>PFM FARMACIA CENTRAL SCS</v>
      </c>
      <c r="D1436" s="35">
        <f>+'[2]por cuent'!G1436</f>
        <v>2137777</v>
      </c>
      <c r="E1436" s="35">
        <f>+'[2]por cuent'!H1436</f>
        <v>2137777</v>
      </c>
      <c r="F1436" t="str">
        <f>+'[2]por cuent'!I1436</f>
        <v>534</v>
      </c>
    </row>
    <row r="1437" spans="1:6" x14ac:dyDescent="0.35">
      <c r="A1437" t="str">
        <f>+'[2]por cuent'!A1437</f>
        <v>ARS</v>
      </c>
      <c r="B1437" t="str">
        <f>+'[2]por cuent'!B1437</f>
        <v>534000659</v>
      </c>
      <c r="C1437" t="str">
        <f>+'[2]por cuent'!C1437</f>
        <v>RIVADALVEAR SCS</v>
      </c>
      <c r="D1437" s="35">
        <f>+'[2]por cuent'!G1437</f>
        <v>24951972</v>
      </c>
      <c r="E1437" s="35">
        <f>+'[2]por cuent'!H1437</f>
        <v>24951972</v>
      </c>
      <c r="F1437" t="str">
        <f>+'[2]por cuent'!I1437</f>
        <v>534</v>
      </c>
    </row>
    <row r="1438" spans="1:6" x14ac:dyDescent="0.35">
      <c r="A1438" t="str">
        <f>+'[2]por cuent'!A1438</f>
        <v>ARS</v>
      </c>
      <c r="B1438" t="str">
        <f>+'[2]por cuent'!B1438</f>
        <v>534000660</v>
      </c>
      <c r="C1438" t="str">
        <f>+'[2]por cuent'!C1438</f>
        <v>FARMACUSTOM BERNAL SCS</v>
      </c>
      <c r="D1438" s="35">
        <f>+'[2]por cuent'!G1438</f>
        <v>15005978</v>
      </c>
      <c r="E1438" s="35">
        <f>+'[2]por cuent'!H1438</f>
        <v>15005978</v>
      </c>
      <c r="F1438" t="str">
        <f>+'[2]por cuent'!I1438</f>
        <v>534</v>
      </c>
    </row>
    <row r="1439" spans="1:6" x14ac:dyDescent="0.35">
      <c r="A1439" t="str">
        <f>+'[2]por cuent'!A1439</f>
        <v>ARS</v>
      </c>
      <c r="B1439" t="str">
        <f>+'[2]por cuent'!B1439</f>
        <v>534000661</v>
      </c>
      <c r="C1439" t="str">
        <f>+'[2]por cuent'!C1439</f>
        <v>FARMACIA FDOCE SCS</v>
      </c>
      <c r="D1439" s="35">
        <f>+'[2]por cuent'!G1439</f>
        <v>35477010</v>
      </c>
      <c r="E1439" s="35">
        <f>+'[2]por cuent'!H1439</f>
        <v>35477010</v>
      </c>
      <c r="F1439" t="str">
        <f>+'[2]por cuent'!I1439</f>
        <v>534</v>
      </c>
    </row>
    <row r="1440" spans="1:6" x14ac:dyDescent="0.35">
      <c r="A1440" t="str">
        <f>+'[2]por cuent'!A1440</f>
        <v>ARS</v>
      </c>
      <c r="B1440" t="str">
        <f>+'[2]por cuent'!B1440</f>
        <v>534000662</v>
      </c>
      <c r="C1440" t="str">
        <f>+'[2]por cuent'!C1440</f>
        <v>FARMACIA DE LA PLAZA SCS</v>
      </c>
      <c r="D1440" s="35">
        <f>+'[2]por cuent'!G1440</f>
        <v>23054742</v>
      </c>
      <c r="E1440" s="35">
        <f>+'[2]por cuent'!H1440</f>
        <v>23054742</v>
      </c>
      <c r="F1440" t="str">
        <f>+'[2]por cuent'!I1440</f>
        <v>534</v>
      </c>
    </row>
    <row r="1441" spans="1:6" x14ac:dyDescent="0.35">
      <c r="A1441" t="str">
        <f>+'[2]por cuent'!A1441</f>
        <v>ARS</v>
      </c>
      <c r="B1441" t="str">
        <f>+'[2]por cuent'!B1441</f>
        <v>534000663</v>
      </c>
      <c r="C1441" t="str">
        <f>+'[2]por cuent'!C1441</f>
        <v>FARMACIA TORRES SCS</v>
      </c>
      <c r="D1441" s="35">
        <f>+'[2]por cuent'!G1441</f>
        <v>9004365</v>
      </c>
      <c r="E1441" s="35">
        <f>+'[2]por cuent'!H1441</f>
        <v>9004365</v>
      </c>
      <c r="F1441" t="str">
        <f>+'[2]por cuent'!I1441</f>
        <v>534</v>
      </c>
    </row>
    <row r="1442" spans="1:6" x14ac:dyDescent="0.35">
      <c r="A1442" t="str">
        <f>+'[2]por cuent'!A1442</f>
        <v>ARS</v>
      </c>
      <c r="B1442" t="str">
        <f>+'[2]por cuent'!B1442</f>
        <v>534000664</v>
      </c>
      <c r="C1442" t="str">
        <f>+'[2]por cuent'!C1442</f>
        <v>BURZACO FARMACEUTICA SCS</v>
      </c>
      <c r="D1442" s="35">
        <f>+'[2]por cuent'!G1442</f>
        <v>374357127.93000001</v>
      </c>
      <c r="E1442" s="35">
        <f>+'[2]por cuent'!H1442</f>
        <v>374357127.93000001</v>
      </c>
      <c r="F1442" t="str">
        <f>+'[2]por cuent'!I1442</f>
        <v>534</v>
      </c>
    </row>
    <row r="1443" spans="1:6" x14ac:dyDescent="0.35">
      <c r="A1443" t="str">
        <f>+'[2]por cuent'!A1443</f>
        <v>ARS</v>
      </c>
      <c r="B1443" t="str">
        <f>+'[2]por cuent'!B1443</f>
        <v>534000665</v>
      </c>
      <c r="C1443" t="str">
        <f>+'[2]por cuent'!C1443</f>
        <v>FARMACIA PASTEUR DE BURZACO SCS</v>
      </c>
      <c r="D1443" s="35">
        <f>+'[2]por cuent'!G1443</f>
        <v>309466974.93000001</v>
      </c>
      <c r="E1443" s="35">
        <f>+'[2]por cuent'!H1443</f>
        <v>309466974.93000001</v>
      </c>
      <c r="F1443" t="str">
        <f>+'[2]por cuent'!I1443</f>
        <v>534</v>
      </c>
    </row>
    <row r="1444" spans="1:6" x14ac:dyDescent="0.35">
      <c r="A1444" t="str">
        <f>+'[2]por cuent'!A1444</f>
        <v>ARS</v>
      </c>
      <c r="B1444" t="str">
        <f>+'[2]por cuent'!B1444</f>
        <v>534000666</v>
      </c>
      <c r="C1444" t="str">
        <f>+'[2]por cuent'!C1444</f>
        <v>GRUPO FARMACEUTICO SCS</v>
      </c>
      <c r="D1444" s="35">
        <f>+'[2]por cuent'!G1444</f>
        <v>5608376</v>
      </c>
      <c r="E1444" s="35">
        <f>+'[2]por cuent'!H1444</f>
        <v>5608376</v>
      </c>
      <c r="F1444" t="str">
        <f>+'[2]por cuent'!I1444</f>
        <v>534</v>
      </c>
    </row>
    <row r="1445" spans="1:6" x14ac:dyDescent="0.35">
      <c r="A1445" t="str">
        <f>+'[2]por cuent'!A1445</f>
        <v>ARS</v>
      </c>
      <c r="B1445" t="str">
        <f>+'[2]por cuent'!B1445</f>
        <v>534000667</v>
      </c>
      <c r="C1445" t="str">
        <f>+'[2]por cuent'!C1445</f>
        <v>PFM NUEVA PRADO SCS</v>
      </c>
      <c r="D1445" s="35">
        <f>+'[2]por cuent'!G1445</f>
        <v>27001221</v>
      </c>
      <c r="E1445" s="35">
        <f>+'[2]por cuent'!H1445</f>
        <v>27001221</v>
      </c>
      <c r="F1445" t="str">
        <f>+'[2]por cuent'!I1445</f>
        <v>534</v>
      </c>
    </row>
    <row r="1446" spans="1:6" x14ac:dyDescent="0.35">
      <c r="A1446" t="str">
        <f>+'[2]por cuent'!A1446</f>
        <v>ARS</v>
      </c>
      <c r="B1446" t="str">
        <f>+'[2]por cuent'!B1446</f>
        <v>534000668</v>
      </c>
      <c r="C1446" t="str">
        <f>+'[2]por cuent'!C1446</f>
        <v>SBATELLA FARMACEUTICA SCS</v>
      </c>
      <c r="D1446" s="35">
        <f>+'[2]por cuent'!G1446</f>
        <v>8513297</v>
      </c>
      <c r="E1446" s="35">
        <f>+'[2]por cuent'!H1446</f>
        <v>8513297</v>
      </c>
      <c r="F1446" t="str">
        <f>+'[2]por cuent'!I1446</f>
        <v>534</v>
      </c>
    </row>
    <row r="1447" spans="1:6" x14ac:dyDescent="0.35">
      <c r="A1447" t="str">
        <f>+'[2]por cuent'!A1447</f>
        <v>ARS</v>
      </c>
      <c r="B1447" t="str">
        <f>+'[2]por cuent'!B1447</f>
        <v>534000669</v>
      </c>
      <c r="C1447" t="str">
        <f>+'[2]por cuent'!C1447</f>
        <v>PFM ITATI SCS</v>
      </c>
      <c r="D1447" s="35">
        <f>+'[2]por cuent'!G1447</f>
        <v>7101508</v>
      </c>
      <c r="E1447" s="35">
        <f>+'[2]por cuent'!H1447</f>
        <v>7101508</v>
      </c>
      <c r="F1447" t="str">
        <f>+'[2]por cuent'!I1447</f>
        <v>534</v>
      </c>
    </row>
    <row r="1448" spans="1:6" x14ac:dyDescent="0.35">
      <c r="A1448" t="str">
        <f>+'[2]por cuent'!A1448</f>
        <v>ARS</v>
      </c>
      <c r="B1448" t="str">
        <f>+'[2]por cuent'!B1448</f>
        <v>534000670</v>
      </c>
      <c r="C1448" t="str">
        <f>+'[2]por cuent'!C1448</f>
        <v>PFM BEFFA SCS</v>
      </c>
      <c r="D1448" s="35">
        <f>+'[2]por cuent'!G1448</f>
        <v>39696909</v>
      </c>
      <c r="E1448" s="35">
        <f>+'[2]por cuent'!H1448</f>
        <v>39696909</v>
      </c>
      <c r="F1448" t="str">
        <f>+'[2]por cuent'!I1448</f>
        <v>534</v>
      </c>
    </row>
    <row r="1449" spans="1:6" x14ac:dyDescent="0.35">
      <c r="A1449" t="str">
        <f>+'[2]por cuent'!A1449</f>
        <v>ARS</v>
      </c>
      <c r="B1449" t="str">
        <f>+'[2]por cuent'!B1449</f>
        <v>534000671</v>
      </c>
      <c r="C1449" t="str">
        <f>+'[2]por cuent'!C1449</f>
        <v>PFM SAN MARTIN 2101 SCS</v>
      </c>
      <c r="D1449" s="35">
        <f>+'[2]por cuent'!G1449</f>
        <v>33770369</v>
      </c>
      <c r="E1449" s="35">
        <f>+'[2]por cuent'!H1449</f>
        <v>33770369</v>
      </c>
      <c r="F1449" t="str">
        <f>+'[2]por cuent'!I1449</f>
        <v>534</v>
      </c>
    </row>
    <row r="1450" spans="1:6" x14ac:dyDescent="0.35">
      <c r="A1450" t="str">
        <f>+'[2]por cuent'!A1450</f>
        <v>ARS</v>
      </c>
      <c r="B1450" t="str">
        <f>+'[2]por cuent'!B1450</f>
        <v>534000672</v>
      </c>
      <c r="C1450" t="str">
        <f>+'[2]por cuent'!C1450</f>
        <v>PFM CHINGOLO SCS</v>
      </c>
      <c r="D1450" s="35">
        <f>+'[2]por cuent'!G1450</f>
        <v>3759437</v>
      </c>
      <c r="E1450" s="35">
        <f>+'[2]por cuent'!H1450</f>
        <v>3759437</v>
      </c>
      <c r="F1450" t="str">
        <f>+'[2]por cuent'!I1450</f>
        <v>534</v>
      </c>
    </row>
    <row r="1451" spans="1:6" x14ac:dyDescent="0.35">
      <c r="A1451" t="str">
        <f>+'[2]por cuent'!A1451</f>
        <v>ARS</v>
      </c>
      <c r="B1451" t="str">
        <f>+'[2]por cuent'!B1451</f>
        <v>534000673</v>
      </c>
      <c r="C1451" t="str">
        <f>+'[2]por cuent'!C1451</f>
        <v>FARMACIA TUYUTI SCS</v>
      </c>
      <c r="D1451" s="35">
        <f>+'[2]por cuent'!G1451</f>
        <v>21068555</v>
      </c>
      <c r="E1451" s="35">
        <f>+'[2]por cuent'!H1451</f>
        <v>21068555</v>
      </c>
      <c r="F1451" t="str">
        <f>+'[2]por cuent'!I1451</f>
        <v>534</v>
      </c>
    </row>
    <row r="1452" spans="1:6" x14ac:dyDescent="0.35">
      <c r="A1452" t="str">
        <f>+'[2]por cuent'!A1452</f>
        <v>ARS</v>
      </c>
      <c r="B1452" t="str">
        <f>+'[2]por cuent'!B1452</f>
        <v>534000674</v>
      </c>
      <c r="C1452" t="str">
        <f>+'[2]por cuent'!C1452</f>
        <v>FARMACIA BIO SCS</v>
      </c>
      <c r="D1452" s="35">
        <f>+'[2]por cuent'!G1452</f>
        <v>10968959</v>
      </c>
      <c r="E1452" s="35">
        <f>+'[2]por cuent'!H1452</f>
        <v>10968959</v>
      </c>
      <c r="F1452" t="str">
        <f>+'[2]por cuent'!I1452</f>
        <v>534</v>
      </c>
    </row>
    <row r="1453" spans="1:6" x14ac:dyDescent="0.35">
      <c r="A1453" t="str">
        <f>+'[2]por cuent'!A1453</f>
        <v>ARS</v>
      </c>
      <c r="B1453" t="str">
        <f>+'[2]por cuent'!B1453</f>
        <v>534000675</v>
      </c>
      <c r="C1453" t="str">
        <f>+'[2]por cuent'!C1453</f>
        <v>WARNES FARMACEUTICA SCS</v>
      </c>
      <c r="D1453" s="35">
        <f>+'[2]por cuent'!G1453</f>
        <v>17144585</v>
      </c>
      <c r="E1453" s="35">
        <f>+'[2]por cuent'!H1453</f>
        <v>17144585</v>
      </c>
      <c r="F1453" t="str">
        <f>+'[2]por cuent'!I1453</f>
        <v>534</v>
      </c>
    </row>
    <row r="1454" spans="1:6" x14ac:dyDescent="0.35">
      <c r="A1454" t="str">
        <f>+'[2]por cuent'!A1454</f>
        <v>ARS</v>
      </c>
      <c r="B1454" t="str">
        <f>+'[2]por cuent'!B1454</f>
        <v>534000676</v>
      </c>
      <c r="C1454" t="str">
        <f>+'[2]por cuent'!C1454</f>
        <v>PDZ REAL STATE S.R.L.</v>
      </c>
      <c r="D1454" s="35">
        <f>+'[2]por cuent'!G1454</f>
        <v>1657982</v>
      </c>
      <c r="E1454" s="35">
        <f>+'[2]por cuent'!H1454</f>
        <v>1657982</v>
      </c>
      <c r="F1454" t="str">
        <f>+'[2]por cuent'!I1454</f>
        <v>534</v>
      </c>
    </row>
    <row r="1455" spans="1:6" x14ac:dyDescent="0.35">
      <c r="A1455" t="str">
        <f>+'[2]por cuent'!A1455</f>
        <v>ARS</v>
      </c>
      <c r="B1455" t="str">
        <f>+'[2]por cuent'!B1455</f>
        <v>534000677</v>
      </c>
      <c r="C1455" t="str">
        <f>+'[2]por cuent'!C1455</f>
        <v xml:space="preserve">LA GRAN BURZACO S.C.S. </v>
      </c>
      <c r="D1455" s="35">
        <f>+'[2]por cuent'!G1455</f>
        <v>8075883</v>
      </c>
      <c r="E1455" s="35">
        <f>+'[2]por cuent'!H1455</f>
        <v>8075883</v>
      </c>
      <c r="F1455" t="str">
        <f>+'[2]por cuent'!I1455</f>
        <v>534</v>
      </c>
    </row>
    <row r="1456" spans="1:6" x14ac:dyDescent="0.35">
      <c r="A1456" t="str">
        <f>+'[2]por cuent'!A1456</f>
        <v>ARS</v>
      </c>
      <c r="B1456" t="str">
        <f>+'[2]por cuent'!B1456</f>
        <v>534000678</v>
      </c>
      <c r="C1456" t="str">
        <f>+'[2]por cuent'!C1456</f>
        <v>FARMACIA LIBERTADORES DE BURZACO S.C.S.</v>
      </c>
      <c r="D1456" s="35">
        <f>+'[2]por cuent'!G1456</f>
        <v>4932272</v>
      </c>
      <c r="E1456" s="35">
        <f>+'[2]por cuent'!H1456</f>
        <v>4932272</v>
      </c>
      <c r="F1456" t="str">
        <f>+'[2]por cuent'!I1456</f>
        <v>534</v>
      </c>
    </row>
    <row r="1457" spans="1:6" x14ac:dyDescent="0.35">
      <c r="A1457" t="str">
        <f>+'[2]por cuent'!A1457</f>
        <v>ARS</v>
      </c>
      <c r="B1457" t="str">
        <f>+'[2]por cuent'!B1457</f>
        <v>534000679</v>
      </c>
      <c r="C1457" t="str">
        <f>+'[2]por cuent'!C1457</f>
        <v>PUNTOFARMA AGRUPACION</v>
      </c>
      <c r="D1457" s="35">
        <f>+'[2]por cuent'!G1457</f>
        <v>532405147.44999999</v>
      </c>
      <c r="E1457" s="35">
        <f>+'[2]por cuent'!H1457</f>
        <v>532405147.44999999</v>
      </c>
      <c r="F1457" t="str">
        <f>+'[2]por cuent'!I1457</f>
        <v>534</v>
      </c>
    </row>
    <row r="1458" spans="1:6" x14ac:dyDescent="0.35">
      <c r="A1458" t="str">
        <f>+'[2]por cuent'!A1458</f>
        <v>ARS</v>
      </c>
      <c r="B1458" t="str">
        <f>+'[2]por cuent'!B1458</f>
        <v>534000680</v>
      </c>
      <c r="C1458" t="str">
        <f>+'[2]por cuent'!C1458</f>
        <v>Affranchino Pablo Nicolás &amp; Zuccarino Nadia Soledad</v>
      </c>
      <c r="D1458" s="35">
        <f>+'[2]por cuent'!G1458</f>
        <v>909745</v>
      </c>
      <c r="E1458" s="35">
        <f>+'[2]por cuent'!H1458</f>
        <v>909745</v>
      </c>
      <c r="F1458" t="str">
        <f>+'[2]por cuent'!I1458</f>
        <v>534</v>
      </c>
    </row>
    <row r="1459" spans="1:6" x14ac:dyDescent="0.35">
      <c r="A1459" t="str">
        <f>+'[2]por cuent'!A1459</f>
        <v>ARS</v>
      </c>
      <c r="B1459" t="str">
        <f>+'[2]por cuent'!B1459</f>
        <v>534000681</v>
      </c>
      <c r="C1459" t="str">
        <f>+'[2]por cuent'!C1459</f>
        <v>IUTRACE S.A.S.</v>
      </c>
      <c r="D1459" s="35">
        <f>+'[2]por cuent'!G1459</f>
        <v>92945742</v>
      </c>
      <c r="E1459" s="35">
        <f>+'[2]por cuent'!H1459</f>
        <v>92945742</v>
      </c>
      <c r="F1459" t="str">
        <f>+'[2]por cuent'!I1459</f>
        <v>534</v>
      </c>
    </row>
    <row r="1460" spans="1:6" x14ac:dyDescent="0.35">
      <c r="A1460" t="str">
        <f>+'[2]por cuent'!A1460</f>
        <v>ARS</v>
      </c>
      <c r="B1460" t="str">
        <f>+'[2]por cuent'!B1460</f>
        <v>534000685</v>
      </c>
      <c r="C1460" t="str">
        <f>+'[2]por cuent'!C1460</f>
        <v>Pedraza, Nestor Hugo</v>
      </c>
      <c r="D1460" s="35">
        <f>+'[2]por cuent'!G1460</f>
        <v>759830</v>
      </c>
      <c r="E1460" s="35">
        <f>+'[2]por cuent'!H1460</f>
        <v>759830</v>
      </c>
      <c r="F1460" t="str">
        <f>+'[2]por cuent'!I1460</f>
        <v>534</v>
      </c>
    </row>
    <row r="1461" spans="1:6" x14ac:dyDescent="0.35">
      <c r="A1461" t="str">
        <f>+'[2]por cuent'!A1461</f>
        <v>ARS</v>
      </c>
      <c r="B1461" t="str">
        <f>+'[2]por cuent'!B1461</f>
        <v>534000752</v>
      </c>
      <c r="C1461" t="str">
        <f>+'[2]por cuent'!C1461</f>
        <v>BLKLEDS S.A.</v>
      </c>
      <c r="D1461" s="35">
        <f>+'[2]por cuent'!G1461</f>
        <v>3931572401.5300002</v>
      </c>
      <c r="E1461" s="35">
        <f>+'[2]por cuent'!H1461</f>
        <v>3931572401.5300002</v>
      </c>
      <c r="F1461" t="str">
        <f>+'[2]por cuent'!I1461</f>
        <v>534</v>
      </c>
    </row>
    <row r="1462" spans="1:6" x14ac:dyDescent="0.35">
      <c r="A1462" t="str">
        <f>+'[2]por cuent'!A1462</f>
        <v>ARS</v>
      </c>
      <c r="B1462" t="str">
        <f>+'[2]por cuent'!B1462</f>
        <v>534000753</v>
      </c>
      <c r="C1462" t="str">
        <f>+'[2]por cuent'!C1462</f>
        <v>Vera Figueroa, Martín &amp; Andrés, Carmen</v>
      </c>
      <c r="D1462" s="35">
        <f>+'[2]por cuent'!G1462</f>
        <v>759865</v>
      </c>
      <c r="E1462" s="35">
        <f>+'[2]por cuent'!H1462</f>
        <v>759865</v>
      </c>
      <c r="F1462" t="str">
        <f>+'[2]por cuent'!I1462</f>
        <v>534</v>
      </c>
    </row>
    <row r="1463" spans="1:6" x14ac:dyDescent="0.35">
      <c r="A1463" t="str">
        <f>+'[2]por cuent'!A1463</f>
        <v>ARS</v>
      </c>
      <c r="B1463" t="str">
        <f>+'[2]por cuent'!B1463</f>
        <v>534000755</v>
      </c>
      <c r="C1463" t="str">
        <f>+'[2]por cuent'!C1463</f>
        <v>Vargas Rojas, Liliana</v>
      </c>
      <c r="D1463" s="35">
        <f>+'[2]por cuent'!G1463</f>
        <v>4116135</v>
      </c>
      <c r="E1463" s="35">
        <f>+'[2]por cuent'!H1463</f>
        <v>4116135</v>
      </c>
      <c r="F1463" t="str">
        <f>+'[2]por cuent'!I1463</f>
        <v>534</v>
      </c>
    </row>
    <row r="1464" spans="1:6" x14ac:dyDescent="0.35">
      <c r="A1464" t="str">
        <f>+'[2]por cuent'!A1464</f>
        <v>ARS</v>
      </c>
      <c r="B1464" t="str">
        <f>+'[2]por cuent'!B1464</f>
        <v>534000756</v>
      </c>
      <c r="C1464" t="str">
        <f>+'[2]por cuent'!C1464</f>
        <v>Gentile Luis Alberto &amp; Páez María Ester</v>
      </c>
      <c r="D1464" s="35">
        <f>+'[2]por cuent'!G1464</f>
        <v>34716482</v>
      </c>
      <c r="E1464" s="35">
        <f>+'[2]por cuent'!H1464</f>
        <v>34716482</v>
      </c>
      <c r="F1464" t="str">
        <f>+'[2]por cuent'!I1464</f>
        <v>534</v>
      </c>
    </row>
    <row r="1465" spans="1:6" x14ac:dyDescent="0.35">
      <c r="A1465" t="str">
        <f>+'[2]por cuent'!A1465</f>
        <v>ARS</v>
      </c>
      <c r="B1465" t="str">
        <f>+'[2]por cuent'!B1465</f>
        <v>534000761</v>
      </c>
      <c r="C1465" t="str">
        <f>+'[2]por cuent'!C1465</f>
        <v>Maghakian, Carlos Alfredo &amp; Nuñez, Noemi Emerita</v>
      </c>
      <c r="D1465" s="35">
        <f>+'[2]por cuent'!G1465</f>
        <v>8450258</v>
      </c>
      <c r="E1465" s="35">
        <f>+'[2]por cuent'!H1465</f>
        <v>8450258</v>
      </c>
      <c r="F1465" t="str">
        <f>+'[2]por cuent'!I1465</f>
        <v>534</v>
      </c>
    </row>
    <row r="1466" spans="1:6" x14ac:dyDescent="0.35">
      <c r="A1466" t="str">
        <f>+'[2]por cuent'!A1466</f>
        <v>ARS</v>
      </c>
      <c r="B1466" t="str">
        <f>+'[2]por cuent'!B1466</f>
        <v>534000762</v>
      </c>
      <c r="C1466" t="str">
        <f>+'[2]por cuent'!C1466</f>
        <v>Maghakian, Valeria Lucía</v>
      </c>
      <c r="D1466" s="35">
        <f>+'[2]por cuent'!G1466</f>
        <v>1326976</v>
      </c>
      <c r="E1466" s="35">
        <f>+'[2]por cuent'!H1466</f>
        <v>1326976</v>
      </c>
      <c r="F1466" t="str">
        <f>+'[2]por cuent'!I1466</f>
        <v>534</v>
      </c>
    </row>
    <row r="1467" spans="1:6" x14ac:dyDescent="0.35">
      <c r="A1467" t="str">
        <f>+'[2]por cuent'!A1467</f>
        <v>ARS</v>
      </c>
      <c r="B1467" t="str">
        <f>+'[2]por cuent'!B1467</f>
        <v>534000763</v>
      </c>
      <c r="C1467" t="str">
        <f>+'[2]por cuent'!C1467</f>
        <v>Ugarte Prado, Ivan</v>
      </c>
      <c r="D1467" s="35">
        <f>+'[2]por cuent'!G1467</f>
        <v>3774431</v>
      </c>
      <c r="E1467" s="35">
        <f>+'[2]por cuent'!H1467</f>
        <v>3774431</v>
      </c>
      <c r="F1467" t="str">
        <f>+'[2]por cuent'!I1467</f>
        <v>534</v>
      </c>
    </row>
    <row r="1468" spans="1:6" x14ac:dyDescent="0.35">
      <c r="A1468" t="str">
        <f>+'[2]por cuent'!A1468</f>
        <v>ARS</v>
      </c>
      <c r="B1468" t="str">
        <f>+'[2]por cuent'!B1468</f>
        <v>534000770</v>
      </c>
      <c r="C1468" t="str">
        <f>+'[2]por cuent'!C1468</f>
        <v>VILAVA S.R.L. (II)</v>
      </c>
      <c r="D1468" s="35">
        <f>+'[2]por cuent'!G1468</f>
        <v>6865511</v>
      </c>
      <c r="E1468" s="35">
        <f>+'[2]por cuent'!H1468</f>
        <v>6865511</v>
      </c>
      <c r="F1468" t="str">
        <f>+'[2]por cuent'!I1468</f>
        <v>534</v>
      </c>
    </row>
    <row r="1469" spans="1:6" x14ac:dyDescent="0.35">
      <c r="A1469" t="str">
        <f>+'[2]por cuent'!A1469</f>
        <v>ARS</v>
      </c>
      <c r="B1469" t="str">
        <f>+'[2]por cuent'!B1469</f>
        <v>534000771</v>
      </c>
      <c r="C1469" t="str">
        <f>+'[2]por cuent'!C1469</f>
        <v>ZEV S.R.L.</v>
      </c>
      <c r="D1469" s="35">
        <f>+'[2]por cuent'!G1469</f>
        <v>11044871</v>
      </c>
      <c r="E1469" s="35">
        <f>+'[2]por cuent'!H1469</f>
        <v>11044871</v>
      </c>
      <c r="F1469" t="str">
        <f>+'[2]por cuent'!I1469</f>
        <v>534</v>
      </c>
    </row>
    <row r="1470" spans="1:6" x14ac:dyDescent="0.35">
      <c r="A1470" t="str">
        <f>+'[2]por cuent'!A1470</f>
        <v>ARS</v>
      </c>
      <c r="B1470" t="str">
        <f>+'[2]por cuent'!B1470</f>
        <v>534000801</v>
      </c>
      <c r="C1470" t="str">
        <f>+'[2]por cuent'!C1470</f>
        <v>Zanazzi, Pablo &amp; Devechi, María</v>
      </c>
      <c r="D1470" s="35">
        <f>+'[2]por cuent'!G1470</f>
        <v>743468</v>
      </c>
      <c r="E1470" s="35">
        <f>+'[2]por cuent'!H1470</f>
        <v>743468</v>
      </c>
      <c r="F1470" t="str">
        <f>+'[2]por cuent'!I1470</f>
        <v>534</v>
      </c>
    </row>
    <row r="1471" spans="1:6" x14ac:dyDescent="0.35">
      <c r="A1471" t="str">
        <f>+'[2]por cuent'!A1471</f>
        <v>ARS</v>
      </c>
      <c r="B1471" t="str">
        <f>+'[2]por cuent'!B1471</f>
        <v>534000802</v>
      </c>
      <c r="C1471" t="str">
        <f>+'[2]por cuent'!C1471</f>
        <v>Babasal S.R.L</v>
      </c>
      <c r="D1471" s="35">
        <f>+'[2]por cuent'!G1471</f>
        <v>142931698.94999999</v>
      </c>
      <c r="E1471" s="35">
        <f>+'[2]por cuent'!H1471</f>
        <v>142931698.94999999</v>
      </c>
      <c r="F1471" t="str">
        <f>+'[2]por cuent'!I1471</f>
        <v>534</v>
      </c>
    </row>
    <row r="1472" spans="1:6" x14ac:dyDescent="0.35">
      <c r="A1472" t="str">
        <f>+'[2]por cuent'!A1472</f>
        <v>ARS</v>
      </c>
      <c r="B1472" t="str">
        <f>+'[2]por cuent'!B1472</f>
        <v>534000804</v>
      </c>
      <c r="C1472" t="str">
        <f>+'[2]por cuent'!C1472</f>
        <v>Carlos Frascaroli &amp; Hijos S.A.</v>
      </c>
      <c r="D1472" s="35">
        <f>+'[2]por cuent'!G1472</f>
        <v>2171343</v>
      </c>
      <c r="E1472" s="35">
        <f>+'[2]por cuent'!H1472</f>
        <v>2171343</v>
      </c>
      <c r="F1472" t="str">
        <f>+'[2]por cuent'!I1472</f>
        <v>534</v>
      </c>
    </row>
    <row r="1473" spans="1:6" x14ac:dyDescent="0.35">
      <c r="A1473" t="str">
        <f>+'[2]por cuent'!A1473</f>
        <v>ARS</v>
      </c>
      <c r="B1473" t="str">
        <f>+'[2]por cuent'!B1473</f>
        <v>534000805</v>
      </c>
      <c r="C1473" t="str">
        <f>+'[2]por cuent'!C1473</f>
        <v>Profesionales en Juego S.R.L</v>
      </c>
      <c r="D1473" s="35">
        <f>+'[2]por cuent'!G1473</f>
        <v>481570</v>
      </c>
      <c r="E1473" s="35">
        <f>+'[2]por cuent'!H1473</f>
        <v>481570</v>
      </c>
      <c r="F1473" t="str">
        <f>+'[2]por cuent'!I1473</f>
        <v>534</v>
      </c>
    </row>
    <row r="1474" spans="1:6" x14ac:dyDescent="0.35">
      <c r="A1474" t="str">
        <f>+'[2]por cuent'!A1474</f>
        <v>ARS</v>
      </c>
      <c r="B1474" t="str">
        <f>+'[2]por cuent'!B1474</f>
        <v>534000809</v>
      </c>
      <c r="C1474" t="str">
        <f>+'[2]por cuent'!C1474</f>
        <v>Energía Controlada S.R.L.</v>
      </c>
      <c r="D1474" s="35">
        <f>+'[2]por cuent'!G1474</f>
        <v>761216</v>
      </c>
      <c r="E1474" s="35">
        <f>+'[2]por cuent'!H1474</f>
        <v>761216</v>
      </c>
      <c r="F1474" t="str">
        <f>+'[2]por cuent'!I1474</f>
        <v>534</v>
      </c>
    </row>
    <row r="1475" spans="1:6" x14ac:dyDescent="0.35">
      <c r="A1475" t="str">
        <f>+'[2]por cuent'!A1475</f>
        <v>ARS</v>
      </c>
      <c r="B1475" t="str">
        <f>+'[2]por cuent'!B1475</f>
        <v>534000810</v>
      </c>
      <c r="C1475" t="str">
        <f>+'[2]por cuent'!C1475</f>
        <v>Silajes Gusmerini Kise SRL</v>
      </c>
      <c r="D1475" s="35">
        <f>+'[2]por cuent'!G1475</f>
        <v>1171779</v>
      </c>
      <c r="E1475" s="35">
        <f>+'[2]por cuent'!H1475</f>
        <v>1171779</v>
      </c>
      <c r="F1475" t="str">
        <f>+'[2]por cuent'!I1475</f>
        <v>534</v>
      </c>
    </row>
    <row r="1476" spans="1:6" x14ac:dyDescent="0.35">
      <c r="A1476" t="str">
        <f>+'[2]por cuent'!A1476</f>
        <v>ARS</v>
      </c>
      <c r="B1476" t="str">
        <f>+'[2]por cuent'!B1476</f>
        <v>534000812</v>
      </c>
      <c r="C1476" t="str">
        <f>+'[2]por cuent'!C1476</f>
        <v>Polial S.R.L.</v>
      </c>
      <c r="D1476" s="35">
        <f>+'[2]por cuent'!G1476</f>
        <v>1262404</v>
      </c>
      <c r="E1476" s="35">
        <f>+'[2]por cuent'!H1476</f>
        <v>1262404</v>
      </c>
      <c r="F1476" t="str">
        <f>+'[2]por cuent'!I1476</f>
        <v>534</v>
      </c>
    </row>
    <row r="1477" spans="1:6" x14ac:dyDescent="0.35">
      <c r="A1477" t="str">
        <f>+'[2]por cuent'!A1477</f>
        <v>ARS</v>
      </c>
      <c r="B1477" t="str">
        <f>+'[2]por cuent'!B1477</f>
        <v>534000813</v>
      </c>
      <c r="C1477" t="str">
        <f>+'[2]por cuent'!C1477</f>
        <v>Agro Gusmerini de Gusmerini FJ, Gusmerini EA y Gusmerini JA</v>
      </c>
      <c r="D1477" s="35">
        <f>+'[2]por cuent'!G1477</f>
        <v>548253625</v>
      </c>
      <c r="E1477" s="35">
        <f>+'[2]por cuent'!H1477</f>
        <v>548253625</v>
      </c>
      <c r="F1477" t="str">
        <f>+'[2]por cuent'!I1477</f>
        <v>534</v>
      </c>
    </row>
    <row r="1478" spans="1:6" x14ac:dyDescent="0.35">
      <c r="A1478" t="str">
        <f>+'[2]por cuent'!A1478</f>
        <v>ARS</v>
      </c>
      <c r="B1478" t="str">
        <f>+'[2]por cuent'!B1478</f>
        <v>534000815</v>
      </c>
      <c r="C1478" t="str">
        <f>+'[2]por cuent'!C1478</f>
        <v>Flexibles Modernos S.A.</v>
      </c>
      <c r="D1478" s="35">
        <f>+'[2]por cuent'!G1478</f>
        <v>771376</v>
      </c>
      <c r="E1478" s="35">
        <f>+'[2]por cuent'!H1478</f>
        <v>771376</v>
      </c>
      <c r="F1478" t="str">
        <f>+'[2]por cuent'!I1478</f>
        <v>534</v>
      </c>
    </row>
    <row r="1479" spans="1:6" x14ac:dyDescent="0.35">
      <c r="A1479" t="str">
        <f>+'[2]por cuent'!A1479</f>
        <v>ARS</v>
      </c>
      <c r="B1479" t="str">
        <f>+'[2]por cuent'!B1479</f>
        <v>534000816</v>
      </c>
      <c r="C1479" t="str">
        <f>+'[2]por cuent'!C1479</f>
        <v>Alvarez, Germán &amp; Isasi, Ivana (II)</v>
      </c>
      <c r="D1479" s="35">
        <f>+'[2]por cuent'!G1479</f>
        <v>16337269</v>
      </c>
      <c r="E1479" s="35">
        <f>+'[2]por cuent'!H1479</f>
        <v>16337269</v>
      </c>
      <c r="F1479" t="str">
        <f>+'[2]por cuent'!I1479</f>
        <v>534</v>
      </c>
    </row>
    <row r="1480" spans="1:6" x14ac:dyDescent="0.35">
      <c r="A1480" t="str">
        <f>+'[2]por cuent'!A1480</f>
        <v>ARS</v>
      </c>
      <c r="B1480" t="str">
        <f>+'[2]por cuent'!B1480</f>
        <v>534000817</v>
      </c>
      <c r="C1480" t="str">
        <f>+'[2]por cuent'!C1480</f>
        <v>E-FRA IN S.A.</v>
      </c>
      <c r="D1480" s="35">
        <f>+'[2]por cuent'!G1480</f>
        <v>819768575.99000001</v>
      </c>
      <c r="E1480" s="35">
        <f>+'[2]por cuent'!H1480</f>
        <v>819768575.99000001</v>
      </c>
      <c r="F1480" t="str">
        <f>+'[2]por cuent'!I1480</f>
        <v>534</v>
      </c>
    </row>
    <row r="1481" spans="1:6" x14ac:dyDescent="0.35">
      <c r="A1481" t="str">
        <f>+'[2]por cuent'!A1481</f>
        <v>ARS</v>
      </c>
      <c r="B1481" t="str">
        <f>+'[2]por cuent'!B1481</f>
        <v>534000824</v>
      </c>
      <c r="C1481" t="str">
        <f>+'[2]por cuent'!C1481</f>
        <v>Esteban Cordero SRL</v>
      </c>
      <c r="D1481" s="35">
        <f>+'[2]por cuent'!G1481</f>
        <v>14985249884.91</v>
      </c>
      <c r="E1481" s="35">
        <f>+'[2]por cuent'!H1481</f>
        <v>14985249884.91</v>
      </c>
      <c r="F1481" t="str">
        <f>+'[2]por cuent'!I1481</f>
        <v>534</v>
      </c>
    </row>
    <row r="1482" spans="1:6" x14ac:dyDescent="0.35">
      <c r="A1482" t="str">
        <f>+'[2]por cuent'!A1482</f>
        <v>ARS</v>
      </c>
      <c r="B1482" t="str">
        <f>+'[2]por cuent'!B1482</f>
        <v>534000862</v>
      </c>
      <c r="C1482" t="str">
        <f>+'[2]por cuent'!C1482</f>
        <v>CEDILAU S.H. de Astiz, Laura - Pfister, Diego y Pfister, Matías</v>
      </c>
      <c r="D1482" s="35">
        <f>+'[2]por cuent'!G1482</f>
        <v>4922505</v>
      </c>
      <c r="E1482" s="35">
        <f>+'[2]por cuent'!H1482</f>
        <v>4922505</v>
      </c>
      <c r="F1482" t="str">
        <f>+'[2]por cuent'!I1482</f>
        <v>534</v>
      </c>
    </row>
    <row r="1483" spans="1:6" x14ac:dyDescent="0.35">
      <c r="A1483" t="str">
        <f>+'[2]por cuent'!A1483</f>
        <v>ARS</v>
      </c>
      <c r="B1483" t="str">
        <f>+'[2]por cuent'!B1483</f>
        <v>534000863</v>
      </c>
      <c r="C1483" t="str">
        <f>+'[2]por cuent'!C1483</f>
        <v>CEDILAU S.H. de Astiz, Laura - Pfister, Diego y Pfister, Matías (II)</v>
      </c>
      <c r="D1483" s="35">
        <f>+'[2]por cuent'!G1483</f>
        <v>234019</v>
      </c>
      <c r="E1483" s="35">
        <f>+'[2]por cuent'!H1483</f>
        <v>234019</v>
      </c>
      <c r="F1483" t="str">
        <f>+'[2]por cuent'!I1483</f>
        <v>534</v>
      </c>
    </row>
    <row r="1484" spans="1:6" x14ac:dyDescent="0.35">
      <c r="A1484" t="str">
        <f>+'[2]por cuent'!A1484</f>
        <v>ARS</v>
      </c>
      <c r="B1484" t="str">
        <f>+'[2]por cuent'!B1484</f>
        <v>534000864</v>
      </c>
      <c r="C1484" t="str">
        <f>+'[2]por cuent'!C1484</f>
        <v>METALURGICA DEL LIBERTADOR SRL</v>
      </c>
      <c r="D1484" s="35">
        <f>+'[2]por cuent'!G1484</f>
        <v>1809608000</v>
      </c>
      <c r="E1484" s="35">
        <f>+'[2]por cuent'!H1484</f>
        <v>1809608000</v>
      </c>
      <c r="F1484" t="str">
        <f>+'[2]por cuent'!I1484</f>
        <v>534</v>
      </c>
    </row>
    <row r="1485" spans="1:6" x14ac:dyDescent="0.35">
      <c r="A1485" t="str">
        <f>+'[2]por cuent'!A1485</f>
        <v>ARS</v>
      </c>
      <c r="B1485" t="str">
        <f>+'[2]por cuent'!B1485</f>
        <v>534000865</v>
      </c>
      <c r="C1485" t="str">
        <f>+'[2]por cuent'!C1485</f>
        <v>Ikurriña S.R.L.</v>
      </c>
      <c r="D1485" s="35">
        <f>+'[2]por cuent'!G1485</f>
        <v>17860285091.349998</v>
      </c>
      <c r="E1485" s="35">
        <f>+'[2]por cuent'!H1485</f>
        <v>17860285091.349998</v>
      </c>
      <c r="F1485" t="str">
        <f>+'[2]por cuent'!I1485</f>
        <v>534</v>
      </c>
    </row>
    <row r="1486" spans="1:6" x14ac:dyDescent="0.35">
      <c r="A1486" t="str">
        <f>+'[2]por cuent'!A1486</f>
        <v>ARS</v>
      </c>
      <c r="B1486" t="str">
        <f>+'[2]por cuent'!B1486</f>
        <v>534000869</v>
      </c>
      <c r="C1486" t="str">
        <f>+'[2]por cuent'!C1486</f>
        <v>CETRANGOLO SCS</v>
      </c>
      <c r="D1486" s="35">
        <f>+'[2]por cuent'!G1486</f>
        <v>243891817.90000001</v>
      </c>
      <c r="E1486" s="35">
        <f>+'[2]por cuent'!H1486</f>
        <v>243891817.90000001</v>
      </c>
      <c r="F1486" t="str">
        <f>+'[2]por cuent'!I1486</f>
        <v>534</v>
      </c>
    </row>
    <row r="1487" spans="1:6" x14ac:dyDescent="0.35">
      <c r="A1487" t="str">
        <f>+'[2]por cuent'!A1487</f>
        <v>ARS</v>
      </c>
      <c r="B1487" t="str">
        <f>+'[2]por cuent'!B1487</f>
        <v>534000876</v>
      </c>
      <c r="C1487" t="str">
        <f>+'[2]por cuent'!C1487</f>
        <v xml:space="preserve">THIS IS DENIM SRL </v>
      </c>
      <c r="D1487" s="35">
        <f>+'[2]por cuent'!G1487</f>
        <v>29141714</v>
      </c>
      <c r="E1487" s="35">
        <f>+'[2]por cuent'!H1487</f>
        <v>29141714</v>
      </c>
      <c r="F1487" t="str">
        <f>+'[2]por cuent'!I1487</f>
        <v>534</v>
      </c>
    </row>
    <row r="1488" spans="1:6" x14ac:dyDescent="0.35">
      <c r="A1488" t="str">
        <f>+'[2]por cuent'!A1488</f>
        <v>ARS</v>
      </c>
      <c r="B1488" t="str">
        <f>+'[2]por cuent'!B1488</f>
        <v>534000877</v>
      </c>
      <c r="C1488" t="str">
        <f>+'[2]por cuent'!C1488</f>
        <v>D´ AMICO PABLO GABRIEL Y D´AMICO MATIAS SEBASTIAN S.H.</v>
      </c>
      <c r="D1488" s="35">
        <f>+'[2]por cuent'!G1488</f>
        <v>595806</v>
      </c>
      <c r="E1488" s="35">
        <f>+'[2]por cuent'!H1488</f>
        <v>595806</v>
      </c>
      <c r="F1488" t="str">
        <f>+'[2]por cuent'!I1488</f>
        <v>534</v>
      </c>
    </row>
    <row r="1489" spans="1:6" x14ac:dyDescent="0.35">
      <c r="A1489" t="str">
        <f>+'[2]por cuent'!A1489</f>
        <v>ARS</v>
      </c>
      <c r="B1489" t="str">
        <f>+'[2]por cuent'!B1489</f>
        <v>534000879</v>
      </c>
      <c r="C1489" t="str">
        <f>+'[2]por cuent'!C1489</f>
        <v>Disterra Wines S.R.L. (II)</v>
      </c>
      <c r="D1489" s="35">
        <f>+'[2]por cuent'!G1489</f>
        <v>129860177</v>
      </c>
      <c r="E1489" s="35">
        <f>+'[2]por cuent'!H1489</f>
        <v>129860177</v>
      </c>
      <c r="F1489" t="str">
        <f>+'[2]por cuent'!I1489</f>
        <v>534</v>
      </c>
    </row>
    <row r="1490" spans="1:6" x14ac:dyDescent="0.35">
      <c r="A1490" t="str">
        <f>+'[2]por cuent'!A1490</f>
        <v>ARS</v>
      </c>
      <c r="B1490" t="str">
        <f>+'[2]por cuent'!B1490</f>
        <v>534000880</v>
      </c>
      <c r="C1490" t="str">
        <f>+'[2]por cuent'!C1490</f>
        <v>Darlan, Alberto Gabriel &amp; Darlan, María Viviana &amp; Darlan, Gabriela Inés &amp; Darlan, Pablo Andrés</v>
      </c>
      <c r="D1490" s="35">
        <f>+'[2]por cuent'!G1490</f>
        <v>708719</v>
      </c>
      <c r="E1490" s="35">
        <f>+'[2]por cuent'!H1490</f>
        <v>708719</v>
      </c>
      <c r="F1490" t="str">
        <f>+'[2]por cuent'!I1490</f>
        <v>534</v>
      </c>
    </row>
    <row r="1491" spans="1:6" x14ac:dyDescent="0.35">
      <c r="A1491" t="str">
        <f>+'[2]por cuent'!A1491</f>
        <v>ARS</v>
      </c>
      <c r="B1491" t="str">
        <f>+'[2]por cuent'!B1491</f>
        <v>534000883</v>
      </c>
      <c r="C1491" t="str">
        <f>+'[2]por cuent'!C1491</f>
        <v>ANEDMAPA SCS</v>
      </c>
      <c r="D1491" s="35">
        <f>+'[2]por cuent'!G1491</f>
        <v>5377081</v>
      </c>
      <c r="E1491" s="35">
        <f>+'[2]por cuent'!H1491</f>
        <v>5377081</v>
      </c>
      <c r="F1491" t="str">
        <f>+'[2]por cuent'!I1491</f>
        <v>534</v>
      </c>
    </row>
    <row r="1492" spans="1:6" x14ac:dyDescent="0.35">
      <c r="A1492" t="str">
        <f>+'[2]por cuent'!A1492</f>
        <v>ARS</v>
      </c>
      <c r="B1492" t="str">
        <f>+'[2]por cuent'!B1492</f>
        <v>534000884</v>
      </c>
      <c r="C1492" t="str">
        <f>+'[2]por cuent'!C1492</f>
        <v>Textil Darlan S.R.L</v>
      </c>
      <c r="D1492" s="35">
        <f>+'[2]por cuent'!G1492</f>
        <v>837053055</v>
      </c>
      <c r="E1492" s="35">
        <f>+'[2]por cuent'!H1492</f>
        <v>837053055</v>
      </c>
      <c r="F1492" t="str">
        <f>+'[2]por cuent'!I1492</f>
        <v>534</v>
      </c>
    </row>
    <row r="1493" spans="1:6" x14ac:dyDescent="0.35">
      <c r="A1493" t="str">
        <f>+'[2]por cuent'!A1493</f>
        <v>ARS</v>
      </c>
      <c r="B1493" t="str">
        <f>+'[2]por cuent'!B1493</f>
        <v>534000885</v>
      </c>
      <c r="C1493" t="str">
        <f>+'[2]por cuent'!C1493</f>
        <v>PALLETS MARCEL S.R.L.</v>
      </c>
      <c r="D1493" s="35">
        <f>+'[2]por cuent'!G1493</f>
        <v>477417776.06999999</v>
      </c>
      <c r="E1493" s="35">
        <f>+'[2]por cuent'!H1493</f>
        <v>477417776.06999999</v>
      </c>
      <c r="F1493" t="str">
        <f>+'[2]por cuent'!I1493</f>
        <v>534</v>
      </c>
    </row>
    <row r="1494" spans="1:6" x14ac:dyDescent="0.35">
      <c r="A1494" t="str">
        <f>+'[2]por cuent'!A1494</f>
        <v>ARS</v>
      </c>
      <c r="B1494" t="str">
        <f>+'[2]por cuent'!B1494</f>
        <v>534000902</v>
      </c>
      <c r="C1494" t="str">
        <f>+'[2]por cuent'!C1494</f>
        <v>SyR Agro Junin S.A.</v>
      </c>
      <c r="D1494" s="35">
        <f>+'[2]por cuent'!G1494</f>
        <v>6091870</v>
      </c>
      <c r="E1494" s="35">
        <f>+'[2]por cuent'!H1494</f>
        <v>6091870</v>
      </c>
      <c r="F1494" t="str">
        <f>+'[2]por cuent'!I1494</f>
        <v>534</v>
      </c>
    </row>
    <row r="1495" spans="1:6" x14ac:dyDescent="0.35">
      <c r="A1495" t="str">
        <f>+'[2]por cuent'!A1495</f>
        <v>ARS</v>
      </c>
      <c r="B1495" t="str">
        <f>+'[2]por cuent'!B1495</f>
        <v>534000908</v>
      </c>
      <c r="C1495" t="str">
        <f>+'[2]por cuent'!C1495</f>
        <v>Carretones Daniel Brito S.R.L.</v>
      </c>
      <c r="D1495" s="35">
        <f>+'[2]por cuent'!G1495</f>
        <v>2234174</v>
      </c>
      <c r="E1495" s="35">
        <f>+'[2]por cuent'!H1495</f>
        <v>2234174</v>
      </c>
      <c r="F1495" t="str">
        <f>+'[2]por cuent'!I1495</f>
        <v>534</v>
      </c>
    </row>
    <row r="1496" spans="1:6" x14ac:dyDescent="0.35">
      <c r="A1496" t="str">
        <f>+'[2]por cuent'!A1496</f>
        <v>ARS</v>
      </c>
      <c r="B1496" t="str">
        <f>+'[2]por cuent'!B1496</f>
        <v>534000909</v>
      </c>
      <c r="C1496" t="str">
        <f>+'[2]por cuent'!C1496</f>
        <v>Industrias Victor Juri S.A.</v>
      </c>
      <c r="D1496" s="35">
        <f>+'[2]por cuent'!G1496</f>
        <v>2081928</v>
      </c>
      <c r="E1496" s="35">
        <f>+'[2]por cuent'!H1496</f>
        <v>2081928</v>
      </c>
      <c r="F1496" t="str">
        <f>+'[2]por cuent'!I1496</f>
        <v>534</v>
      </c>
    </row>
    <row r="1497" spans="1:6" x14ac:dyDescent="0.35">
      <c r="A1497" t="str">
        <f>+'[2]por cuent'!A1497</f>
        <v>ARS</v>
      </c>
      <c r="B1497" t="str">
        <f>+'[2]por cuent'!B1497</f>
        <v>534000910</v>
      </c>
      <c r="C1497" t="str">
        <f>+'[2]por cuent'!C1497</f>
        <v>Sedyco S.R.L.</v>
      </c>
      <c r="D1497" s="35">
        <f>+'[2]por cuent'!G1497</f>
        <v>2750351</v>
      </c>
      <c r="E1497" s="35">
        <f>+'[2]por cuent'!H1497</f>
        <v>2750351</v>
      </c>
      <c r="F1497" t="str">
        <f>+'[2]por cuent'!I1497</f>
        <v>534</v>
      </c>
    </row>
    <row r="1498" spans="1:6" x14ac:dyDescent="0.35">
      <c r="A1498" t="str">
        <f>+'[2]por cuent'!A1498</f>
        <v>ARS</v>
      </c>
      <c r="B1498" t="str">
        <f>+'[2]por cuent'!B1498</f>
        <v>534000912</v>
      </c>
      <c r="C1498" t="str">
        <f>+'[2]por cuent'!C1498</f>
        <v>Serrano, Claudio Nicolás</v>
      </c>
      <c r="D1498" s="35">
        <f>+'[2]por cuent'!G1498</f>
        <v>1517131</v>
      </c>
      <c r="E1498" s="35">
        <f>+'[2]por cuent'!H1498</f>
        <v>1517131</v>
      </c>
      <c r="F1498" t="str">
        <f>+'[2]por cuent'!I1498</f>
        <v>534</v>
      </c>
    </row>
    <row r="1499" spans="1:6" x14ac:dyDescent="0.35">
      <c r="A1499" t="str">
        <f>+'[2]por cuent'!A1499</f>
        <v>ARS</v>
      </c>
      <c r="B1499" t="str">
        <f>+'[2]por cuent'!B1499</f>
        <v>534000917</v>
      </c>
      <c r="C1499" t="str">
        <f>+'[2]por cuent'!C1499</f>
        <v>Huici, Jorge Guillermo</v>
      </c>
      <c r="D1499" s="35">
        <f>+'[2]por cuent'!G1499</f>
        <v>507610</v>
      </c>
      <c r="E1499" s="35">
        <f>+'[2]por cuent'!H1499</f>
        <v>507610</v>
      </c>
      <c r="F1499" t="str">
        <f>+'[2]por cuent'!I1499</f>
        <v>534</v>
      </c>
    </row>
    <row r="1500" spans="1:6" x14ac:dyDescent="0.35">
      <c r="A1500" t="str">
        <f>+'[2]por cuent'!A1500</f>
        <v>ARS</v>
      </c>
      <c r="B1500" t="str">
        <f>+'[2]por cuent'!B1500</f>
        <v>534000926</v>
      </c>
      <c r="C1500" t="str">
        <f>+'[2]por cuent'!C1500</f>
        <v>El Coloso S.A.</v>
      </c>
      <c r="D1500" s="35">
        <f>+'[2]por cuent'!G1500</f>
        <v>1169873</v>
      </c>
      <c r="E1500" s="35">
        <f>+'[2]por cuent'!H1500</f>
        <v>1169873</v>
      </c>
      <c r="F1500" t="str">
        <f>+'[2]por cuent'!I1500</f>
        <v>534</v>
      </c>
    </row>
    <row r="1501" spans="1:6" x14ac:dyDescent="0.35">
      <c r="A1501" t="str">
        <f>+'[2]por cuent'!A1501</f>
        <v>ARS</v>
      </c>
      <c r="B1501" t="str">
        <f>+'[2]por cuent'!B1501</f>
        <v>534000929</v>
      </c>
      <c r="C1501" t="str">
        <f>+'[2]por cuent'!C1501</f>
        <v>Mattone S.A.</v>
      </c>
      <c r="D1501" s="35">
        <f>+'[2]por cuent'!G1501</f>
        <v>1009431</v>
      </c>
      <c r="E1501" s="35">
        <f>+'[2]por cuent'!H1501</f>
        <v>1009431</v>
      </c>
      <c r="F1501" t="str">
        <f>+'[2]por cuent'!I1501</f>
        <v>534</v>
      </c>
    </row>
    <row r="1502" spans="1:6" x14ac:dyDescent="0.35">
      <c r="A1502" t="str">
        <f>+'[2]por cuent'!A1502</f>
        <v>ARS</v>
      </c>
      <c r="B1502" t="str">
        <f>+'[2]por cuent'!B1502</f>
        <v>534000932</v>
      </c>
      <c r="C1502" t="str">
        <f>+'[2]por cuent'!C1502</f>
        <v>Servicios La Escondida SRL</v>
      </c>
      <c r="D1502" s="35">
        <f>+'[2]por cuent'!G1502</f>
        <v>5547760</v>
      </c>
      <c r="E1502" s="35">
        <f>+'[2]por cuent'!H1502</f>
        <v>5547760</v>
      </c>
      <c r="F1502" t="str">
        <f>+'[2]por cuent'!I1502</f>
        <v>534</v>
      </c>
    </row>
    <row r="1503" spans="1:6" x14ac:dyDescent="0.35">
      <c r="A1503" t="str">
        <f>+'[2]por cuent'!A1503</f>
        <v>ARS</v>
      </c>
      <c r="B1503" t="str">
        <f>+'[2]por cuent'!B1503</f>
        <v>534000936</v>
      </c>
      <c r="C1503" t="str">
        <f>+'[2]por cuent'!C1503</f>
        <v>Romero, Ignacio</v>
      </c>
      <c r="D1503" s="35">
        <f>+'[2]por cuent'!G1503</f>
        <v>460714</v>
      </c>
      <c r="E1503" s="35">
        <f>+'[2]por cuent'!H1503</f>
        <v>460714</v>
      </c>
      <c r="F1503" t="str">
        <f>+'[2]por cuent'!I1503</f>
        <v>534</v>
      </c>
    </row>
    <row r="1504" spans="1:6" x14ac:dyDescent="0.35">
      <c r="A1504" t="str">
        <f>+'[2]por cuent'!A1504</f>
        <v>ARS</v>
      </c>
      <c r="B1504" t="str">
        <f>+'[2]por cuent'!B1504</f>
        <v>534000937</v>
      </c>
      <c r="C1504" t="str">
        <f>+'[2]por cuent'!C1504</f>
        <v>Cargas Especiales Garin S.A.</v>
      </c>
      <c r="D1504" s="35">
        <f>+'[2]por cuent'!G1504</f>
        <v>2432545</v>
      </c>
      <c r="E1504" s="35">
        <f>+'[2]por cuent'!H1504</f>
        <v>2432545</v>
      </c>
      <c r="F1504" t="str">
        <f>+'[2]por cuent'!I1504</f>
        <v>534</v>
      </c>
    </row>
    <row r="1505" spans="1:6" x14ac:dyDescent="0.35">
      <c r="A1505" t="str">
        <f>+'[2]por cuent'!A1505</f>
        <v>ARS</v>
      </c>
      <c r="B1505" t="str">
        <f>+'[2]por cuent'!B1505</f>
        <v>534000938</v>
      </c>
      <c r="C1505" t="str">
        <f>+'[2]por cuent'!C1505</f>
        <v>Canessa, Hugo Daniel</v>
      </c>
      <c r="D1505" s="35">
        <f>+'[2]por cuent'!G1505</f>
        <v>4127627</v>
      </c>
      <c r="E1505" s="35">
        <f>+'[2]por cuent'!H1505</f>
        <v>4127627</v>
      </c>
      <c r="F1505" t="str">
        <f>+'[2]por cuent'!I1505</f>
        <v>534</v>
      </c>
    </row>
    <row r="1506" spans="1:6" x14ac:dyDescent="0.35">
      <c r="A1506" t="str">
        <f>+'[2]por cuent'!A1506</f>
        <v>ARS</v>
      </c>
      <c r="B1506" t="str">
        <f>+'[2]por cuent'!B1506</f>
        <v>534000939</v>
      </c>
      <c r="C1506" t="str">
        <f>+'[2]por cuent'!C1506</f>
        <v>SABORIGAL S.A.</v>
      </c>
      <c r="D1506" s="35">
        <f>+'[2]por cuent'!G1506</f>
        <v>720581</v>
      </c>
      <c r="E1506" s="35">
        <f>+'[2]por cuent'!H1506</f>
        <v>720581</v>
      </c>
      <c r="F1506" t="str">
        <f>+'[2]por cuent'!I1506</f>
        <v>534</v>
      </c>
    </row>
    <row r="1507" spans="1:6" x14ac:dyDescent="0.35">
      <c r="A1507" t="str">
        <f>+'[2]por cuent'!A1507</f>
        <v>ARS</v>
      </c>
      <c r="B1507" t="str">
        <f>+'[2]por cuent'!B1507</f>
        <v>534000940</v>
      </c>
      <c r="C1507" t="str">
        <f>+'[2]por cuent'!C1507</f>
        <v>Franco Carlos y Otros SS</v>
      </c>
      <c r="D1507" s="35">
        <f>+'[2]por cuent'!G1507</f>
        <v>690824</v>
      </c>
      <c r="E1507" s="35">
        <f>+'[2]por cuent'!H1507</f>
        <v>690824</v>
      </c>
      <c r="F1507" t="str">
        <f>+'[2]por cuent'!I1507</f>
        <v>534</v>
      </c>
    </row>
    <row r="1508" spans="1:6" x14ac:dyDescent="0.35">
      <c r="A1508" t="str">
        <f>+'[2]por cuent'!A1508</f>
        <v>ARS</v>
      </c>
      <c r="B1508" t="str">
        <f>+'[2]por cuent'!B1508</f>
        <v>534000941</v>
      </c>
      <c r="C1508" t="str">
        <f>+'[2]por cuent'!C1508</f>
        <v>Materiales Rurales El Quebracho S.A.</v>
      </c>
      <c r="D1508" s="35">
        <f>+'[2]por cuent'!G1508</f>
        <v>107508692</v>
      </c>
      <c r="E1508" s="35">
        <f>+'[2]por cuent'!H1508</f>
        <v>107508692</v>
      </c>
      <c r="F1508" t="str">
        <f>+'[2]por cuent'!I1508</f>
        <v>534</v>
      </c>
    </row>
    <row r="1509" spans="1:6" x14ac:dyDescent="0.35">
      <c r="A1509" t="str">
        <f>+'[2]por cuent'!A1509</f>
        <v>ARS</v>
      </c>
      <c r="B1509" t="str">
        <f>+'[2]por cuent'!B1509</f>
        <v>534000942</v>
      </c>
      <c r="C1509" t="str">
        <f>+'[2]por cuent'!C1509</f>
        <v>Rose Patisserie S.R.L.</v>
      </c>
      <c r="D1509" s="35">
        <f>+'[2]por cuent'!G1509</f>
        <v>921567</v>
      </c>
      <c r="E1509" s="35">
        <f>+'[2]por cuent'!H1509</f>
        <v>921567</v>
      </c>
      <c r="F1509" t="str">
        <f>+'[2]por cuent'!I1509</f>
        <v>534</v>
      </c>
    </row>
    <row r="1510" spans="1:6" x14ac:dyDescent="0.35">
      <c r="A1510" t="str">
        <f>+'[2]por cuent'!A1510</f>
        <v>ARS</v>
      </c>
      <c r="B1510" t="str">
        <f>+'[2]por cuent'!B1510</f>
        <v>534000943</v>
      </c>
      <c r="C1510" t="str">
        <f>+'[2]por cuent'!C1510</f>
        <v>IGN Internacional S.R.L. (II)</v>
      </c>
      <c r="D1510" s="35">
        <f>+'[2]por cuent'!G1510</f>
        <v>1383267</v>
      </c>
      <c r="E1510" s="35">
        <f>+'[2]por cuent'!H1510</f>
        <v>1383267</v>
      </c>
      <c r="F1510" t="str">
        <f>+'[2]por cuent'!I1510</f>
        <v>534</v>
      </c>
    </row>
    <row r="1511" spans="1:6" x14ac:dyDescent="0.35">
      <c r="A1511" t="str">
        <f>+'[2]por cuent'!A1511</f>
        <v>ARS</v>
      </c>
      <c r="B1511" t="str">
        <f>+'[2]por cuent'!B1511</f>
        <v>534000945</v>
      </c>
      <c r="C1511" t="str">
        <f>+'[2]por cuent'!C1511</f>
        <v>FGI PAMPA 804 S.A.</v>
      </c>
      <c r="D1511" s="35">
        <f>+'[2]por cuent'!G1511</f>
        <v>612036</v>
      </c>
      <c r="E1511" s="35">
        <f>+'[2]por cuent'!H1511</f>
        <v>612036</v>
      </c>
      <c r="F1511" t="str">
        <f>+'[2]por cuent'!I1511</f>
        <v>534</v>
      </c>
    </row>
    <row r="1512" spans="1:6" x14ac:dyDescent="0.35">
      <c r="A1512" t="str">
        <f>+'[2]por cuent'!A1512</f>
        <v>ARS</v>
      </c>
      <c r="B1512" t="str">
        <f>+'[2]por cuent'!B1512</f>
        <v>534000946</v>
      </c>
      <c r="C1512" t="str">
        <f>+'[2]por cuent'!C1512</f>
        <v xml:space="preserve">Emprendimientos La Gringa S.A. </v>
      </c>
      <c r="D1512" s="35">
        <f>+'[2]por cuent'!G1512</f>
        <v>1397812</v>
      </c>
      <c r="E1512" s="35">
        <f>+'[2]por cuent'!H1512</f>
        <v>1397812</v>
      </c>
      <c r="F1512" t="str">
        <f>+'[2]por cuent'!I1512</f>
        <v>534</v>
      </c>
    </row>
    <row r="1513" spans="1:6" x14ac:dyDescent="0.35">
      <c r="A1513" t="str">
        <f>+'[2]por cuent'!A1513</f>
        <v>ARS</v>
      </c>
      <c r="B1513" t="str">
        <f>+'[2]por cuent'!B1513</f>
        <v>534000947</v>
      </c>
      <c r="C1513" t="str">
        <f>+'[2]por cuent'!C1513</f>
        <v>LOVAN ENTERPRISES S.A.</v>
      </c>
      <c r="D1513" s="35">
        <f>+'[2]por cuent'!G1513</f>
        <v>1664523</v>
      </c>
      <c r="E1513" s="35">
        <f>+'[2]por cuent'!H1513</f>
        <v>1664523</v>
      </c>
      <c r="F1513" t="str">
        <f>+'[2]por cuent'!I1513</f>
        <v>534</v>
      </c>
    </row>
    <row r="1514" spans="1:6" x14ac:dyDescent="0.35">
      <c r="A1514" t="str">
        <f>+'[2]por cuent'!A1514</f>
        <v>ARS</v>
      </c>
      <c r="B1514" t="str">
        <f>+'[2]por cuent'!B1514</f>
        <v>534000948</v>
      </c>
      <c r="C1514" t="str">
        <f>+'[2]por cuent'!C1514</f>
        <v>G&amp;L INTERNACIONAL S.A.</v>
      </c>
      <c r="D1514" s="35">
        <f>+'[2]por cuent'!G1514</f>
        <v>2249883</v>
      </c>
      <c r="E1514" s="35">
        <f>+'[2]por cuent'!H1514</f>
        <v>2249883</v>
      </c>
      <c r="F1514" t="str">
        <f>+'[2]por cuent'!I1514</f>
        <v>534</v>
      </c>
    </row>
    <row r="1515" spans="1:6" x14ac:dyDescent="0.35">
      <c r="A1515" t="str">
        <f>+'[2]por cuent'!A1515</f>
        <v>ARS</v>
      </c>
      <c r="B1515" t="str">
        <f>+'[2]por cuent'!B1515</f>
        <v>534000949</v>
      </c>
      <c r="C1515" t="str">
        <f>+'[2]por cuent'!C1515</f>
        <v>ROMALUS SRL</v>
      </c>
      <c r="D1515" s="35">
        <f>+'[2]por cuent'!G1515</f>
        <v>9073058</v>
      </c>
      <c r="E1515" s="35">
        <f>+'[2]por cuent'!H1515</f>
        <v>9073058</v>
      </c>
      <c r="F1515" t="str">
        <f>+'[2]por cuent'!I1515</f>
        <v>534</v>
      </c>
    </row>
    <row r="1516" spans="1:6" x14ac:dyDescent="0.35">
      <c r="A1516" t="str">
        <f>+'[2]por cuent'!A1516</f>
        <v>ARS</v>
      </c>
      <c r="B1516" t="str">
        <f>+'[2]por cuent'!B1516</f>
        <v>534000950</v>
      </c>
      <c r="C1516" t="str">
        <f>+'[2]por cuent'!C1516</f>
        <v>FRAFA S.R.L.</v>
      </c>
      <c r="D1516" s="35">
        <f>+'[2]por cuent'!G1516</f>
        <v>2840365</v>
      </c>
      <c r="E1516" s="35">
        <f>+'[2]por cuent'!H1516</f>
        <v>2840365</v>
      </c>
      <c r="F1516" t="str">
        <f>+'[2]por cuent'!I1516</f>
        <v>534</v>
      </c>
    </row>
    <row r="1517" spans="1:6" x14ac:dyDescent="0.35">
      <c r="A1517" t="str">
        <f>+'[2]por cuent'!A1517</f>
        <v>ARS</v>
      </c>
      <c r="B1517" t="str">
        <f>+'[2]por cuent'!B1517</f>
        <v>534001003</v>
      </c>
      <c r="C1517" t="str">
        <f>+'[2]por cuent'!C1517</f>
        <v>MOLINO NSTRA SRA DE LUJAN SH</v>
      </c>
      <c r="D1517" s="35">
        <f>+'[2]por cuent'!G1517</f>
        <v>2563292493</v>
      </c>
      <c r="E1517" s="35">
        <f>+'[2]por cuent'!H1517</f>
        <v>2563292493</v>
      </c>
      <c r="F1517" t="str">
        <f>+'[2]por cuent'!I1517</f>
        <v>534</v>
      </c>
    </row>
    <row r="1518" spans="1:6" x14ac:dyDescent="0.35">
      <c r="A1518" t="str">
        <f>+'[2]por cuent'!A1518</f>
        <v>ARS</v>
      </c>
      <c r="B1518" t="str">
        <f>+'[2]por cuent'!B1518</f>
        <v>534001202</v>
      </c>
      <c r="C1518" t="str">
        <f>+'[2]por cuent'!C1518</f>
        <v>MEGABIS SRL</v>
      </c>
      <c r="D1518" s="35">
        <f>+'[2]por cuent'!G1518</f>
        <v>481411</v>
      </c>
      <c r="E1518" s="35">
        <f>+'[2]por cuent'!H1518</f>
        <v>481411</v>
      </c>
      <c r="F1518" t="str">
        <f>+'[2]por cuent'!I1518</f>
        <v>534</v>
      </c>
    </row>
    <row r="1519" spans="1:6" x14ac:dyDescent="0.35">
      <c r="A1519" t="str">
        <f>+'[2]por cuent'!A1519</f>
        <v>ARS</v>
      </c>
      <c r="B1519" t="str">
        <f>+'[2]por cuent'!B1519</f>
        <v>534001203</v>
      </c>
      <c r="C1519" t="str">
        <f>+'[2]por cuent'!C1519</f>
        <v>SMART POP S.A.</v>
      </c>
      <c r="D1519" s="35">
        <f>+'[2]por cuent'!G1519</f>
        <v>463181</v>
      </c>
      <c r="E1519" s="35">
        <f>+'[2]por cuent'!H1519</f>
        <v>463181</v>
      </c>
      <c r="F1519" t="str">
        <f>+'[2]por cuent'!I1519</f>
        <v>534</v>
      </c>
    </row>
    <row r="1520" spans="1:6" x14ac:dyDescent="0.35">
      <c r="A1520" t="str">
        <f>+'[2]por cuent'!A1520</f>
        <v>ARS</v>
      </c>
      <c r="B1520" t="str">
        <f>+'[2]por cuent'!B1520</f>
        <v>534001301</v>
      </c>
      <c r="C1520" t="str">
        <f>+'[2]por cuent'!C1520</f>
        <v>PARARED S.A.</v>
      </c>
      <c r="D1520" s="35">
        <f>+'[2]por cuent'!G1520</f>
        <v>821169720.55999994</v>
      </c>
      <c r="E1520" s="35">
        <f>+'[2]por cuent'!H1520</f>
        <v>821169720.55999994</v>
      </c>
      <c r="F1520" t="str">
        <f>+'[2]por cuent'!I1520</f>
        <v>534</v>
      </c>
    </row>
    <row r="1521" spans="1:6" x14ac:dyDescent="0.35">
      <c r="A1521" t="str">
        <f>+'[2]por cuent'!A1521</f>
        <v>ARS</v>
      </c>
      <c r="B1521" t="str">
        <f>+'[2]por cuent'!B1521</f>
        <v>534001302</v>
      </c>
      <c r="C1521" t="str">
        <f>+'[2]por cuent'!C1521</f>
        <v>VENTILACION TEVA S.A.</v>
      </c>
      <c r="D1521" s="35">
        <f>+'[2]por cuent'!G1521</f>
        <v>1065452571.4400001</v>
      </c>
      <c r="E1521" s="35">
        <f>+'[2]por cuent'!H1521</f>
        <v>1065452571.4400001</v>
      </c>
      <c r="F1521" t="str">
        <f>+'[2]por cuent'!I1521</f>
        <v>534</v>
      </c>
    </row>
    <row r="1522" spans="1:6" x14ac:dyDescent="0.35">
      <c r="A1522" t="str">
        <f>+'[2]por cuent'!A1522</f>
        <v>ARS</v>
      </c>
      <c r="B1522" t="str">
        <f>+'[2]por cuent'!B1522</f>
        <v>534001303</v>
      </c>
      <c r="C1522" t="str">
        <f>+'[2]por cuent'!C1522</f>
        <v>Firmani, Teddy Luis</v>
      </c>
      <c r="D1522" s="35">
        <f>+'[2]por cuent'!G1522</f>
        <v>3659293</v>
      </c>
      <c r="E1522" s="35">
        <f>+'[2]por cuent'!H1522</f>
        <v>3659293</v>
      </c>
      <c r="F1522" t="str">
        <f>+'[2]por cuent'!I1522</f>
        <v>534</v>
      </c>
    </row>
    <row r="1523" spans="1:6" x14ac:dyDescent="0.35">
      <c r="A1523" t="str">
        <f>+'[2]por cuent'!A1523</f>
        <v>ARS</v>
      </c>
      <c r="B1523" t="str">
        <f>+'[2]por cuent'!B1523</f>
        <v>534001304</v>
      </c>
      <c r="C1523" t="str">
        <f>+'[2]por cuent'!C1523</f>
        <v xml:space="preserve">Cortes, Gabriela Noemi &amp; Paradiñeiro, Víctor Hugo &amp; Paradiñeiro, Martina </v>
      </c>
      <c r="D1523" s="35">
        <f>+'[2]por cuent'!G1523</f>
        <v>68925902.629999995</v>
      </c>
      <c r="E1523" s="35">
        <f>+'[2]por cuent'!H1523</f>
        <v>68925902.629999995</v>
      </c>
      <c r="F1523" t="str">
        <f>+'[2]por cuent'!I1523</f>
        <v>534</v>
      </c>
    </row>
    <row r="1524" spans="1:6" x14ac:dyDescent="0.35">
      <c r="A1524" t="str">
        <f>+'[2]por cuent'!A1524</f>
        <v>ARS</v>
      </c>
      <c r="B1524" t="str">
        <f>+'[2]por cuent'!B1524</f>
        <v>534001306</v>
      </c>
      <c r="C1524" t="str">
        <f>+'[2]por cuent'!C1524</f>
        <v>DIIA LITORAL S.R.L.</v>
      </c>
      <c r="D1524" s="35">
        <f>+'[2]por cuent'!G1524</f>
        <v>549671</v>
      </c>
      <c r="E1524" s="35">
        <f>+'[2]por cuent'!H1524</f>
        <v>549671</v>
      </c>
      <c r="F1524" t="str">
        <f>+'[2]por cuent'!I1524</f>
        <v>534</v>
      </c>
    </row>
    <row r="1525" spans="1:6" x14ac:dyDescent="0.35">
      <c r="A1525" t="str">
        <f>+'[2]por cuent'!A1525</f>
        <v>ARS</v>
      </c>
      <c r="B1525" t="str">
        <f>+'[2]por cuent'!B1525</f>
        <v>534001307</v>
      </c>
      <c r="C1525" t="str">
        <f>+'[2]por cuent'!C1525</f>
        <v>Suarez Y Llaneza, Manuel &amp; Arias, Liliana Patricia &amp; Suarez Arias, Julia</v>
      </c>
      <c r="D1525" s="35">
        <f>+'[2]por cuent'!G1525</f>
        <v>3188355</v>
      </c>
      <c r="E1525" s="35">
        <f>+'[2]por cuent'!H1525</f>
        <v>3188355</v>
      </c>
      <c r="F1525" t="str">
        <f>+'[2]por cuent'!I1525</f>
        <v>534</v>
      </c>
    </row>
    <row r="1526" spans="1:6" x14ac:dyDescent="0.35">
      <c r="A1526" t="str">
        <f>+'[2]por cuent'!A1526</f>
        <v>ARS</v>
      </c>
      <c r="B1526" t="str">
        <f>+'[2]por cuent'!B1526</f>
        <v>534001310</v>
      </c>
      <c r="C1526" t="str">
        <f>+'[2]por cuent'!C1526</f>
        <v>Guasp, Pablo Miguel</v>
      </c>
      <c r="D1526" s="35">
        <f>+'[2]por cuent'!G1526</f>
        <v>55890</v>
      </c>
      <c r="E1526" s="35">
        <f>+'[2]por cuent'!H1526</f>
        <v>55890</v>
      </c>
      <c r="F1526" t="str">
        <f>+'[2]por cuent'!I1526</f>
        <v>534</v>
      </c>
    </row>
    <row r="1527" spans="1:6" x14ac:dyDescent="0.35">
      <c r="A1527" t="str">
        <f>+'[2]por cuent'!A1527</f>
        <v>ARS</v>
      </c>
      <c r="B1527" t="str">
        <f>+'[2]por cuent'!B1527</f>
        <v>534001350</v>
      </c>
      <c r="C1527" t="str">
        <f>+'[2]por cuent'!C1527</f>
        <v>ALTA BIO S.A.</v>
      </c>
      <c r="D1527" s="35">
        <f>+'[2]por cuent'!G1527</f>
        <v>984866</v>
      </c>
      <c r="E1527" s="35">
        <f>+'[2]por cuent'!H1527</f>
        <v>984866</v>
      </c>
      <c r="F1527" t="str">
        <f>+'[2]por cuent'!I1527</f>
        <v>534</v>
      </c>
    </row>
    <row r="1528" spans="1:6" x14ac:dyDescent="0.35">
      <c r="A1528" t="str">
        <f>+'[2]por cuent'!A1528</f>
        <v>ARS</v>
      </c>
      <c r="B1528" t="str">
        <f>+'[2]por cuent'!B1528</f>
        <v>534001353</v>
      </c>
      <c r="C1528" t="str">
        <f>+'[2]por cuent'!C1528</f>
        <v>Senillosa Vidal, Eduardo</v>
      </c>
      <c r="D1528" s="35">
        <f>+'[2]por cuent'!G1528</f>
        <v>1277861</v>
      </c>
      <c r="E1528" s="35">
        <f>+'[2]por cuent'!H1528</f>
        <v>1277861</v>
      </c>
      <c r="F1528" t="str">
        <f>+'[2]por cuent'!I1528</f>
        <v>534</v>
      </c>
    </row>
    <row r="1529" spans="1:6" x14ac:dyDescent="0.35">
      <c r="A1529" t="str">
        <f>+'[2]por cuent'!A1529</f>
        <v>ARS</v>
      </c>
      <c r="B1529" t="str">
        <f>+'[2]por cuent'!B1529</f>
        <v>534001358</v>
      </c>
      <c r="C1529" t="str">
        <f>+'[2]por cuent'!C1529</f>
        <v>Gomez Pola, Matias</v>
      </c>
      <c r="D1529" s="35">
        <f>+'[2]por cuent'!G1529</f>
        <v>7605.9</v>
      </c>
      <c r="E1529" s="35">
        <f>+'[2]por cuent'!H1529</f>
        <v>7605.9</v>
      </c>
      <c r="F1529" t="str">
        <f>+'[2]por cuent'!I1529</f>
        <v>534</v>
      </c>
    </row>
    <row r="1530" spans="1:6" x14ac:dyDescent="0.35">
      <c r="A1530" t="str">
        <f>+'[2]por cuent'!A1530</f>
        <v>ARS</v>
      </c>
      <c r="B1530" t="str">
        <f>+'[2]por cuent'!B1530</f>
        <v>534002001</v>
      </c>
      <c r="C1530" t="str">
        <f>+'[2]por cuent'!C1530</f>
        <v>[C.E.R.A.]  Busquet, Miguel Angel</v>
      </c>
      <c r="D1530" s="35">
        <f>+'[2]por cuent'!G1530</f>
        <v>28525440</v>
      </c>
      <c r="E1530" s="35">
        <f>+'[2]por cuent'!H1530</f>
        <v>28525440</v>
      </c>
      <c r="F1530" t="str">
        <f>+'[2]por cuent'!I1530</f>
        <v>534</v>
      </c>
    </row>
    <row r="1531" spans="1:6" x14ac:dyDescent="0.35">
      <c r="A1531" t="str">
        <f>+'[2]por cuent'!A1531</f>
        <v>ARS</v>
      </c>
      <c r="B1531" t="str">
        <f>+'[2]por cuent'!B1531</f>
        <v>534002002</v>
      </c>
      <c r="C1531" t="str">
        <f>+'[2]por cuent'!C1531</f>
        <v>[C.E.R.A.] Lopez, Adriana Maria</v>
      </c>
      <c r="D1531" s="35">
        <f>+'[2]por cuent'!G1531</f>
        <v>156414820</v>
      </c>
      <c r="E1531" s="35">
        <f>+'[2]por cuent'!H1531</f>
        <v>156414820</v>
      </c>
      <c r="F1531" t="str">
        <f>+'[2]por cuent'!I1531</f>
        <v>534</v>
      </c>
    </row>
    <row r="1532" spans="1:6" x14ac:dyDescent="0.35">
      <c r="A1532" t="str">
        <f>+'[2]por cuent'!A1532</f>
        <v>ARS</v>
      </c>
      <c r="B1532" t="str">
        <f>+'[2]por cuent'!B1532</f>
        <v>534002003</v>
      </c>
      <c r="C1532" t="str">
        <f>+'[2]por cuent'!C1532</f>
        <v>[C.E.R.A.] Lopez, Mauricio Marcelo</v>
      </c>
      <c r="D1532" s="35">
        <f>+'[2]por cuent'!G1532</f>
        <v>225262739.38</v>
      </c>
      <c r="E1532" s="35">
        <f>+'[2]por cuent'!H1532</f>
        <v>225262739.38</v>
      </c>
      <c r="F1532" t="str">
        <f>+'[2]por cuent'!I1532</f>
        <v>534</v>
      </c>
    </row>
    <row r="1533" spans="1:6" x14ac:dyDescent="0.35">
      <c r="A1533" t="str">
        <f>+'[2]por cuent'!A1533</f>
        <v>ARS</v>
      </c>
      <c r="B1533" t="str">
        <f>+'[2]por cuent'!B1533</f>
        <v>534002004</v>
      </c>
      <c r="C1533" t="str">
        <f>+'[2]por cuent'!C1533</f>
        <v>[C.E.R.A.] Buciol, Ariel</v>
      </c>
      <c r="D1533" s="35">
        <f>+'[2]por cuent'!G1533</f>
        <v>42927756.030000001</v>
      </c>
      <c r="E1533" s="35">
        <f>+'[2]por cuent'!H1533</f>
        <v>42927756.030000001</v>
      </c>
      <c r="F1533" t="str">
        <f>+'[2]por cuent'!I1533</f>
        <v>534</v>
      </c>
    </row>
    <row r="1534" spans="1:6" x14ac:dyDescent="0.35">
      <c r="A1534" t="str">
        <f>+'[2]por cuent'!A1534</f>
        <v>ARS</v>
      </c>
      <c r="B1534" t="str">
        <f>+'[2]por cuent'!B1534</f>
        <v>534002007</v>
      </c>
      <c r="C1534" t="str">
        <f>+'[2]por cuent'!C1534</f>
        <v>[C.E.R.A.] Micheltorena, Ariel Norberto</v>
      </c>
      <c r="D1534" s="35">
        <f>+'[2]por cuent'!G1534</f>
        <v>29355429.5</v>
      </c>
      <c r="E1534" s="35">
        <f>+'[2]por cuent'!H1534</f>
        <v>29355429.5</v>
      </c>
      <c r="F1534" t="str">
        <f>+'[2]por cuent'!I1534</f>
        <v>534</v>
      </c>
    </row>
    <row r="1535" spans="1:6" x14ac:dyDescent="0.35">
      <c r="A1535" t="str">
        <f>+'[2]por cuent'!A1535</f>
        <v>ARS</v>
      </c>
      <c r="B1535" t="str">
        <f>+'[2]por cuent'!B1535</f>
        <v>534005015</v>
      </c>
      <c r="C1535" t="str">
        <f>+'[2]por cuent'!C1535</f>
        <v xml:space="preserve">Gusmerini, Fernando Javier </v>
      </c>
      <c r="D1535" s="35">
        <f>+'[2]por cuent'!G1535</f>
        <v>294194495</v>
      </c>
      <c r="E1535" s="35">
        <f>+'[2]por cuent'!H1535</f>
        <v>294194495</v>
      </c>
      <c r="F1535" t="str">
        <f>+'[2]por cuent'!I1535</f>
        <v>534</v>
      </c>
    </row>
    <row r="1536" spans="1:6" x14ac:dyDescent="0.35">
      <c r="A1536" t="str">
        <f>+'[2]por cuent'!A1536</f>
        <v>ARS</v>
      </c>
      <c r="B1536" t="str">
        <f>+'[2]por cuent'!B1536</f>
        <v>534005016</v>
      </c>
      <c r="C1536" t="str">
        <f>+'[2]por cuent'!C1536</f>
        <v>Varrenti, Monica Fiorella &amp; Varrenti, Debora Jimena</v>
      </c>
      <c r="D1536" s="35">
        <f>+'[2]por cuent'!G1536</f>
        <v>3644910</v>
      </c>
      <c r="E1536" s="35">
        <f>+'[2]por cuent'!H1536</f>
        <v>3644910</v>
      </c>
      <c r="F1536" t="str">
        <f>+'[2]por cuent'!I1536</f>
        <v>534</v>
      </c>
    </row>
    <row r="1537" spans="1:6" x14ac:dyDescent="0.35">
      <c r="A1537" t="str">
        <f>+'[2]por cuent'!A1537</f>
        <v>ARS</v>
      </c>
      <c r="B1537" t="str">
        <f>+'[2]por cuent'!B1537</f>
        <v>534005021</v>
      </c>
      <c r="C1537" t="str">
        <f>+'[2]por cuent'!C1537</f>
        <v>Lince, Sandra Griselda</v>
      </c>
      <c r="D1537" s="35">
        <f>+'[2]por cuent'!G1537</f>
        <v>1883273</v>
      </c>
      <c r="E1537" s="35">
        <f>+'[2]por cuent'!H1537</f>
        <v>1883273</v>
      </c>
      <c r="F1537" t="str">
        <f>+'[2]por cuent'!I1537</f>
        <v>534</v>
      </c>
    </row>
    <row r="1538" spans="1:6" x14ac:dyDescent="0.35">
      <c r="A1538" t="str">
        <f>+'[2]por cuent'!A1538</f>
        <v>ARS</v>
      </c>
      <c r="B1538" t="str">
        <f>+'[2]por cuent'!B1538</f>
        <v>534005022</v>
      </c>
      <c r="C1538" t="str">
        <f>+'[2]por cuent'!C1538</f>
        <v xml:space="preserve">Figliolo, Carolina </v>
      </c>
      <c r="D1538" s="35">
        <f>+'[2]por cuent'!G1538</f>
        <v>578921</v>
      </c>
      <c r="E1538" s="35">
        <f>+'[2]por cuent'!H1538</f>
        <v>578921</v>
      </c>
      <c r="F1538" t="str">
        <f>+'[2]por cuent'!I1538</f>
        <v>534</v>
      </c>
    </row>
    <row r="1539" spans="1:6" x14ac:dyDescent="0.35">
      <c r="A1539" t="str">
        <f>+'[2]por cuent'!A1539</f>
        <v>ARS</v>
      </c>
      <c r="B1539" t="str">
        <f>+'[2]por cuent'!B1539</f>
        <v>534005023</v>
      </c>
      <c r="C1539" t="str">
        <f>+'[2]por cuent'!C1539</f>
        <v xml:space="preserve">Cuervo, Roberto Saverio  &amp; Renus, Maria Alejandra </v>
      </c>
      <c r="D1539" s="35">
        <f>+'[2]por cuent'!G1539</f>
        <v>57595766.850000001</v>
      </c>
      <c r="E1539" s="35">
        <f>+'[2]por cuent'!H1539</f>
        <v>57595766.850000001</v>
      </c>
      <c r="F1539" t="str">
        <f>+'[2]por cuent'!I1539</f>
        <v>534</v>
      </c>
    </row>
    <row r="1540" spans="1:6" x14ac:dyDescent="0.35">
      <c r="A1540" t="str">
        <f>+'[2]por cuent'!A1540</f>
        <v>ARS</v>
      </c>
      <c r="B1540" t="str">
        <f>+'[2]por cuent'!B1540</f>
        <v>534005031</v>
      </c>
      <c r="C1540" t="str">
        <f>+'[2]por cuent'!C1540</f>
        <v>Perez Zanabria, Marianela &amp; Quispe Romero, Rolando</v>
      </c>
      <c r="D1540" s="35">
        <f>+'[2]por cuent'!G1540</f>
        <v>1821910</v>
      </c>
      <c r="E1540" s="35">
        <f>+'[2]por cuent'!H1540</f>
        <v>1821910</v>
      </c>
      <c r="F1540" t="str">
        <f>+'[2]por cuent'!I1540</f>
        <v>534</v>
      </c>
    </row>
    <row r="1541" spans="1:6" x14ac:dyDescent="0.35">
      <c r="A1541" t="str">
        <f>+'[2]por cuent'!A1541</f>
        <v>ARS</v>
      </c>
      <c r="B1541" t="str">
        <f>+'[2]por cuent'!B1541</f>
        <v>534005038</v>
      </c>
      <c r="C1541" t="str">
        <f>+'[2]por cuent'!C1541</f>
        <v xml:space="preserve">Mazzoni, María Claudia &amp; Varrenti, Armando </v>
      </c>
      <c r="D1541" s="35">
        <f>+'[2]por cuent'!G1541</f>
        <v>18682525</v>
      </c>
      <c r="E1541" s="35">
        <f>+'[2]por cuent'!H1541</f>
        <v>18682525</v>
      </c>
      <c r="F1541" t="str">
        <f>+'[2]por cuent'!I1541</f>
        <v>534</v>
      </c>
    </row>
    <row r="1542" spans="1:6" x14ac:dyDescent="0.35">
      <c r="A1542" t="str">
        <f>+'[2]por cuent'!A1542</f>
        <v>ARS</v>
      </c>
      <c r="B1542" t="str">
        <f>+'[2]por cuent'!B1542</f>
        <v>534005044</v>
      </c>
      <c r="C1542" t="str">
        <f>+'[2]por cuent'!C1542</f>
        <v>Torres Parra, Javier Fernando</v>
      </c>
      <c r="D1542" s="35">
        <f>+'[2]por cuent'!G1542</f>
        <v>513154</v>
      </c>
      <c r="E1542" s="35">
        <f>+'[2]por cuent'!H1542</f>
        <v>513154</v>
      </c>
      <c r="F1542" t="str">
        <f>+'[2]por cuent'!I1542</f>
        <v>534</v>
      </c>
    </row>
    <row r="1543" spans="1:6" x14ac:dyDescent="0.35">
      <c r="A1543" t="str">
        <f>+'[2]por cuent'!A1543</f>
        <v>ARS</v>
      </c>
      <c r="B1543" t="str">
        <f>+'[2]por cuent'!B1543</f>
        <v>534005046</v>
      </c>
      <c r="C1543" t="str">
        <f>+'[2]por cuent'!C1543</f>
        <v>Obarrio, Marina Agustina &amp; Escalante, Ezequiel</v>
      </c>
      <c r="D1543" s="35">
        <f>+'[2]por cuent'!G1543</f>
        <v>1459319</v>
      </c>
      <c r="E1543" s="35">
        <f>+'[2]por cuent'!H1543</f>
        <v>1459319</v>
      </c>
      <c r="F1543" t="str">
        <f>+'[2]por cuent'!I1543</f>
        <v>534</v>
      </c>
    </row>
    <row r="1544" spans="1:6" x14ac:dyDescent="0.35">
      <c r="A1544" t="str">
        <f>+'[2]por cuent'!A1544</f>
        <v>ARS</v>
      </c>
      <c r="B1544" t="str">
        <f>+'[2]por cuent'!B1544</f>
        <v>534005049</v>
      </c>
      <c r="C1544" t="str">
        <f>+'[2]por cuent'!C1544</f>
        <v>Lopez, Adriana María</v>
      </c>
      <c r="D1544" s="35">
        <f>+'[2]por cuent'!G1544</f>
        <v>13071009</v>
      </c>
      <c r="E1544" s="35">
        <f>+'[2]por cuent'!H1544</f>
        <v>13071009</v>
      </c>
      <c r="F1544" t="str">
        <f>+'[2]por cuent'!I1544</f>
        <v>534</v>
      </c>
    </row>
    <row r="1545" spans="1:6" x14ac:dyDescent="0.35">
      <c r="A1545" t="str">
        <f>+'[2]por cuent'!A1545</f>
        <v>ARS</v>
      </c>
      <c r="B1545" t="str">
        <f>+'[2]por cuent'!B1545</f>
        <v>534005050</v>
      </c>
      <c r="C1545" t="str">
        <f>+'[2]por cuent'!C1545</f>
        <v>Lopez, Mauricio Marcelo</v>
      </c>
      <c r="D1545" s="35">
        <f>+'[2]por cuent'!G1545</f>
        <v>335767505</v>
      </c>
      <c r="E1545" s="35">
        <f>+'[2]por cuent'!H1545</f>
        <v>335767505</v>
      </c>
      <c r="F1545" t="str">
        <f>+'[2]por cuent'!I1545</f>
        <v>534</v>
      </c>
    </row>
    <row r="1546" spans="1:6" x14ac:dyDescent="0.35">
      <c r="A1546" t="str">
        <f>+'[2]por cuent'!A1546</f>
        <v>ARS</v>
      </c>
      <c r="B1546" t="str">
        <f>+'[2]por cuent'!B1546</f>
        <v>534005056</v>
      </c>
      <c r="C1546" t="str">
        <f>+'[2]por cuent'!C1546</f>
        <v>Darlan, Alberto Gabriel</v>
      </c>
      <c r="D1546" s="35">
        <f>+'[2]por cuent'!G1546</f>
        <v>1797203</v>
      </c>
      <c r="E1546" s="35">
        <f>+'[2]por cuent'!H1546</f>
        <v>1797203</v>
      </c>
      <c r="F1546" t="str">
        <f>+'[2]por cuent'!I1546</f>
        <v>534</v>
      </c>
    </row>
    <row r="1547" spans="1:6" x14ac:dyDescent="0.35">
      <c r="A1547" t="str">
        <f>+'[2]por cuent'!A1547</f>
        <v>ARS</v>
      </c>
      <c r="B1547" t="str">
        <f>+'[2]por cuent'!B1547</f>
        <v>534005066</v>
      </c>
      <c r="C1547" t="str">
        <f>+'[2]por cuent'!C1547</f>
        <v>Pelizzari, Patricio Nelson</v>
      </c>
      <c r="D1547" s="35">
        <f>+'[2]por cuent'!G1547</f>
        <v>2356355</v>
      </c>
      <c r="E1547" s="35">
        <f>+'[2]por cuent'!H1547</f>
        <v>2356355</v>
      </c>
      <c r="F1547" t="str">
        <f>+'[2]por cuent'!I1547</f>
        <v>534</v>
      </c>
    </row>
    <row r="1548" spans="1:6" x14ac:dyDescent="0.35">
      <c r="A1548" t="str">
        <f>+'[2]por cuent'!A1548</f>
        <v>ARS</v>
      </c>
      <c r="B1548" t="str">
        <f>+'[2]por cuent'!B1548</f>
        <v>534005072</v>
      </c>
      <c r="C1548" t="str">
        <f>+'[2]por cuent'!C1548</f>
        <v>Morala, Gonzalo</v>
      </c>
      <c r="D1548" s="35">
        <f>+'[2]por cuent'!G1548</f>
        <v>547597</v>
      </c>
      <c r="E1548" s="35">
        <f>+'[2]por cuent'!H1548</f>
        <v>547597</v>
      </c>
      <c r="F1548" t="str">
        <f>+'[2]por cuent'!I1548</f>
        <v>534</v>
      </c>
    </row>
    <row r="1549" spans="1:6" x14ac:dyDescent="0.35">
      <c r="A1549" t="str">
        <f>+'[2]por cuent'!A1549</f>
        <v>ARS</v>
      </c>
      <c r="B1549" t="str">
        <f>+'[2]por cuent'!B1549</f>
        <v>534005074</v>
      </c>
      <c r="C1549" t="str">
        <f>+'[2]por cuent'!C1549</f>
        <v>Romero, Miguel Santiago</v>
      </c>
      <c r="D1549" s="35">
        <f>+'[2]por cuent'!G1549</f>
        <v>743313</v>
      </c>
      <c r="E1549" s="35">
        <f>+'[2]por cuent'!H1549</f>
        <v>743313</v>
      </c>
      <c r="F1549" t="str">
        <f>+'[2]por cuent'!I1549</f>
        <v>534</v>
      </c>
    </row>
    <row r="1550" spans="1:6" x14ac:dyDescent="0.35">
      <c r="A1550" t="str">
        <f>+'[2]por cuent'!A1550</f>
        <v>ARS</v>
      </c>
      <c r="B1550" t="str">
        <f>+'[2]por cuent'!B1550</f>
        <v>534005076</v>
      </c>
      <c r="C1550" t="str">
        <f>+'[2]por cuent'!C1550</f>
        <v>Gusmerini, Juan Agustín</v>
      </c>
      <c r="D1550" s="35">
        <f>+'[2]por cuent'!G1550</f>
        <v>1244510</v>
      </c>
      <c r="E1550" s="35">
        <f>+'[2]por cuent'!H1550</f>
        <v>1244510</v>
      </c>
      <c r="F1550" t="str">
        <f>+'[2]por cuent'!I1550</f>
        <v>534</v>
      </c>
    </row>
    <row r="1551" spans="1:6" x14ac:dyDescent="0.35">
      <c r="A1551" t="str">
        <f>+'[2]por cuent'!A1551</f>
        <v>ARS</v>
      </c>
      <c r="B1551" t="str">
        <f>+'[2]por cuent'!B1551</f>
        <v>534005077</v>
      </c>
      <c r="C1551" t="str">
        <f>+'[2]por cuent'!C1551</f>
        <v>Salvo, Cecilia Irma</v>
      </c>
      <c r="D1551" s="35">
        <f>+'[2]por cuent'!G1551</f>
        <v>137354750</v>
      </c>
      <c r="E1551" s="35">
        <f>+'[2]por cuent'!H1551</f>
        <v>137354750</v>
      </c>
      <c r="F1551" t="str">
        <f>+'[2]por cuent'!I1551</f>
        <v>534</v>
      </c>
    </row>
    <row r="1552" spans="1:6" x14ac:dyDescent="0.35">
      <c r="A1552" t="str">
        <f>+'[2]por cuent'!A1552</f>
        <v>ARS</v>
      </c>
      <c r="B1552" t="str">
        <f>+'[2]por cuent'!B1552</f>
        <v>534005080</v>
      </c>
      <c r="C1552" t="str">
        <f>+'[2]por cuent'!C1552</f>
        <v>Guerrero, Gonzalo Luis</v>
      </c>
      <c r="D1552" s="35">
        <f>+'[2]por cuent'!G1552</f>
        <v>77858897</v>
      </c>
      <c r="E1552" s="35">
        <f>+'[2]por cuent'!H1552</f>
        <v>77858897</v>
      </c>
      <c r="F1552" t="str">
        <f>+'[2]por cuent'!I1552</f>
        <v>534</v>
      </c>
    </row>
    <row r="1553" spans="1:6" x14ac:dyDescent="0.35">
      <c r="A1553" t="str">
        <f>+'[2]por cuent'!A1553</f>
        <v>ARS</v>
      </c>
      <c r="B1553" t="str">
        <f>+'[2]por cuent'!B1553</f>
        <v>534005083</v>
      </c>
      <c r="C1553" t="str">
        <f>+'[2]por cuent'!C1553</f>
        <v>Vallerino, Cecilia &amp; Fernández, Diego Martín</v>
      </c>
      <c r="D1553" s="35">
        <f>+'[2]por cuent'!G1553</f>
        <v>1006394</v>
      </c>
      <c r="E1553" s="35">
        <f>+'[2]por cuent'!H1553</f>
        <v>1006394</v>
      </c>
      <c r="F1553" t="str">
        <f>+'[2]por cuent'!I1553</f>
        <v>534</v>
      </c>
    </row>
    <row r="1554" spans="1:6" x14ac:dyDescent="0.35">
      <c r="A1554" t="str">
        <f>+'[2]por cuent'!A1554</f>
        <v>ARS</v>
      </c>
      <c r="B1554" t="str">
        <f>+'[2]por cuent'!B1554</f>
        <v>534005086</v>
      </c>
      <c r="C1554" t="str">
        <f>+'[2]por cuent'!C1554</f>
        <v>Rindone, Sabrina</v>
      </c>
      <c r="D1554" s="35">
        <f>+'[2]por cuent'!G1554</f>
        <v>36178716</v>
      </c>
      <c r="E1554" s="35">
        <f>+'[2]por cuent'!H1554</f>
        <v>36178716</v>
      </c>
      <c r="F1554" t="str">
        <f>+'[2]por cuent'!I1554</f>
        <v>534</v>
      </c>
    </row>
    <row r="1555" spans="1:6" x14ac:dyDescent="0.35">
      <c r="A1555" t="str">
        <f>+'[2]por cuent'!A1555</f>
        <v>ARS</v>
      </c>
      <c r="B1555" t="str">
        <f>+'[2]por cuent'!B1555</f>
        <v>534005088</v>
      </c>
      <c r="C1555" t="str">
        <f>+'[2]por cuent'!C1555</f>
        <v xml:space="preserve">Arias, Jorge Alberto &amp; Arias, María Josefina </v>
      </c>
      <c r="D1555" s="35">
        <f>+'[2]por cuent'!G1555</f>
        <v>3054980</v>
      </c>
      <c r="E1555" s="35">
        <f>+'[2]por cuent'!H1555</f>
        <v>3054980</v>
      </c>
      <c r="F1555" t="str">
        <f>+'[2]por cuent'!I1555</f>
        <v>534</v>
      </c>
    </row>
    <row r="1556" spans="1:6" x14ac:dyDescent="0.35">
      <c r="A1556" t="str">
        <f>+'[2]por cuent'!A1556</f>
        <v>ARS</v>
      </c>
      <c r="B1556" t="str">
        <f>+'[2]por cuent'!B1556</f>
        <v>534005100</v>
      </c>
      <c r="C1556" t="str">
        <f>+'[2]por cuent'!C1556</f>
        <v>Puzer, Valeria &amp; Martínez, Hernán</v>
      </c>
      <c r="D1556" s="35">
        <f>+'[2]por cuent'!G1556</f>
        <v>3049550</v>
      </c>
      <c r="E1556" s="35">
        <f>+'[2]por cuent'!H1556</f>
        <v>3049550</v>
      </c>
      <c r="F1556" t="str">
        <f>+'[2]por cuent'!I1556</f>
        <v>534</v>
      </c>
    </row>
    <row r="1557" spans="1:6" x14ac:dyDescent="0.35">
      <c r="A1557" t="str">
        <f>+'[2]por cuent'!A1557</f>
        <v>ARS</v>
      </c>
      <c r="B1557" t="str">
        <f>+'[2]por cuent'!B1557</f>
        <v>534005103</v>
      </c>
      <c r="C1557" t="str">
        <f>+'[2]por cuent'!C1557</f>
        <v>Martino, Marcelo Osvaldo</v>
      </c>
      <c r="D1557" s="35">
        <f>+'[2]por cuent'!G1557</f>
        <v>13541510</v>
      </c>
      <c r="E1557" s="35">
        <f>+'[2]por cuent'!H1557</f>
        <v>13541510</v>
      </c>
      <c r="F1557" t="str">
        <f>+'[2]por cuent'!I1557</f>
        <v>534</v>
      </c>
    </row>
    <row r="1558" spans="1:6" x14ac:dyDescent="0.35">
      <c r="A1558" t="str">
        <f>+'[2]por cuent'!A1558</f>
        <v>ARS</v>
      </c>
      <c r="B1558" t="str">
        <f>+'[2]por cuent'!B1558</f>
        <v>534005105</v>
      </c>
      <c r="C1558" t="str">
        <f>+'[2]por cuent'!C1558</f>
        <v>Maneiro, Sergio Ariel</v>
      </c>
      <c r="D1558" s="35">
        <f>+'[2]por cuent'!G1558</f>
        <v>116637066</v>
      </c>
      <c r="E1558" s="35">
        <f>+'[2]por cuent'!H1558</f>
        <v>116637066</v>
      </c>
      <c r="F1558" t="str">
        <f>+'[2]por cuent'!I1558</f>
        <v>534</v>
      </c>
    </row>
    <row r="1559" spans="1:6" x14ac:dyDescent="0.35">
      <c r="A1559" t="str">
        <f>+'[2]por cuent'!A1559</f>
        <v>ARS</v>
      </c>
      <c r="B1559" t="str">
        <f>+'[2]por cuent'!B1559</f>
        <v>534005110</v>
      </c>
      <c r="C1559" t="str">
        <f>+'[2]por cuent'!C1559</f>
        <v>D´angelo, Ariel Gustavo</v>
      </c>
      <c r="D1559" s="35">
        <f>+'[2]por cuent'!G1559</f>
        <v>17273699.199999999</v>
      </c>
      <c r="E1559" s="35">
        <f>+'[2]por cuent'!H1559</f>
        <v>17273699.199999999</v>
      </c>
      <c r="F1559" t="str">
        <f>+'[2]por cuent'!I1559</f>
        <v>534</v>
      </c>
    </row>
    <row r="1560" spans="1:6" x14ac:dyDescent="0.35">
      <c r="A1560" t="str">
        <f>+'[2]por cuent'!A1560</f>
        <v>ARS</v>
      </c>
      <c r="B1560" t="str">
        <f>+'[2]por cuent'!B1560</f>
        <v>534005113</v>
      </c>
      <c r="C1560" t="str">
        <f>+'[2]por cuent'!C1560</f>
        <v>Martínez, Leandro German</v>
      </c>
      <c r="D1560" s="35">
        <f>+'[2]por cuent'!G1560</f>
        <v>2422576</v>
      </c>
      <c r="E1560" s="35">
        <f>+'[2]por cuent'!H1560</f>
        <v>2422576</v>
      </c>
      <c r="F1560" t="str">
        <f>+'[2]por cuent'!I1560</f>
        <v>534</v>
      </c>
    </row>
    <row r="1561" spans="1:6" x14ac:dyDescent="0.35">
      <c r="A1561" t="str">
        <f>+'[2]por cuent'!A1561</f>
        <v>ARS</v>
      </c>
      <c r="B1561" t="str">
        <f>+'[2]por cuent'!B1561</f>
        <v>534005117</v>
      </c>
      <c r="C1561" t="str">
        <f>+'[2]por cuent'!C1561</f>
        <v>María Laura Yahdjian</v>
      </c>
      <c r="D1561" s="35">
        <f>+'[2]por cuent'!G1561</f>
        <v>788731</v>
      </c>
      <c r="E1561" s="35">
        <f>+'[2]por cuent'!H1561</f>
        <v>788731</v>
      </c>
      <c r="F1561" t="str">
        <f>+'[2]por cuent'!I1561</f>
        <v>534</v>
      </c>
    </row>
    <row r="1562" spans="1:6" x14ac:dyDescent="0.35">
      <c r="A1562" t="str">
        <f>+'[2]por cuent'!A1562</f>
        <v>ARS</v>
      </c>
      <c r="B1562" t="str">
        <f>+'[2]por cuent'!B1562</f>
        <v>534005119</v>
      </c>
      <c r="C1562" t="str">
        <f>+'[2]por cuent'!C1562</f>
        <v>Llorens Jorge Alberto &amp; Rozados Alejandra</v>
      </c>
      <c r="D1562" s="35">
        <f>+'[2]por cuent'!G1562</f>
        <v>22289871</v>
      </c>
      <c r="E1562" s="35">
        <f>+'[2]por cuent'!H1562</f>
        <v>22289871</v>
      </c>
      <c r="F1562" t="str">
        <f>+'[2]por cuent'!I1562</f>
        <v>534</v>
      </c>
    </row>
    <row r="1563" spans="1:6" x14ac:dyDescent="0.35">
      <c r="A1563" t="str">
        <f>+'[2]por cuent'!A1563</f>
        <v>ARS</v>
      </c>
      <c r="B1563" t="str">
        <f>+'[2]por cuent'!B1563</f>
        <v>534005122</v>
      </c>
      <c r="C1563" t="str">
        <f>+'[2]por cuent'!C1563</f>
        <v>Galindo, Mabel Iris &amp; Aguiló, Hugo Osvaldo</v>
      </c>
      <c r="D1563" s="35">
        <f>+'[2]por cuent'!G1563</f>
        <v>3076491</v>
      </c>
      <c r="E1563" s="35">
        <f>+'[2]por cuent'!H1563</f>
        <v>3076491</v>
      </c>
      <c r="F1563" t="str">
        <f>+'[2]por cuent'!I1563</f>
        <v>534</v>
      </c>
    </row>
    <row r="1564" spans="1:6" x14ac:dyDescent="0.35">
      <c r="A1564" t="str">
        <f>+'[2]por cuent'!A1564</f>
        <v>ARS</v>
      </c>
      <c r="B1564" t="str">
        <f>+'[2]por cuent'!B1564</f>
        <v>534005127</v>
      </c>
      <c r="C1564" t="str">
        <f>+'[2]por cuent'!C1564</f>
        <v xml:space="preserve">Vega Riera, Santiago </v>
      </c>
      <c r="D1564" s="35">
        <f>+'[2]por cuent'!G1564</f>
        <v>5136518.95</v>
      </c>
      <c r="E1564" s="35">
        <f>+'[2]por cuent'!H1564</f>
        <v>5136518.95</v>
      </c>
      <c r="F1564" t="str">
        <f>+'[2]por cuent'!I1564</f>
        <v>534</v>
      </c>
    </row>
    <row r="1565" spans="1:6" x14ac:dyDescent="0.35">
      <c r="A1565" t="str">
        <f>+'[2]por cuent'!A1565</f>
        <v>ARS</v>
      </c>
      <c r="B1565" t="str">
        <f>+'[2]por cuent'!B1565</f>
        <v>534005129</v>
      </c>
      <c r="C1565" t="str">
        <f>+'[2]por cuent'!C1565</f>
        <v>Ortiz, Isabel Gladys &amp; Barrientos, Nelson Gabriel</v>
      </c>
      <c r="D1565" s="35">
        <f>+'[2]por cuent'!G1565</f>
        <v>6403171</v>
      </c>
      <c r="E1565" s="35">
        <f>+'[2]por cuent'!H1565</f>
        <v>6403171</v>
      </c>
      <c r="F1565" t="str">
        <f>+'[2]por cuent'!I1565</f>
        <v>534</v>
      </c>
    </row>
    <row r="1566" spans="1:6" x14ac:dyDescent="0.35">
      <c r="A1566" t="str">
        <f>+'[2]por cuent'!A1566</f>
        <v>ARS</v>
      </c>
      <c r="B1566" t="str">
        <f>+'[2]por cuent'!B1566</f>
        <v>534005133</v>
      </c>
      <c r="C1566" t="str">
        <f>+'[2]por cuent'!C1566</f>
        <v>Barreiro, Amilcar Oscar</v>
      </c>
      <c r="D1566" s="35">
        <f>+'[2]por cuent'!G1566</f>
        <v>561323</v>
      </c>
      <c r="E1566" s="35">
        <f>+'[2]por cuent'!H1566</f>
        <v>561323</v>
      </c>
      <c r="F1566" t="str">
        <f>+'[2]por cuent'!I1566</f>
        <v>534</v>
      </c>
    </row>
    <row r="1567" spans="1:6" x14ac:dyDescent="0.35">
      <c r="A1567" t="str">
        <f>+'[2]por cuent'!A1567</f>
        <v>ARS</v>
      </c>
      <c r="B1567" t="str">
        <f>+'[2]por cuent'!B1567</f>
        <v>534005139</v>
      </c>
      <c r="C1567" t="str">
        <f>+'[2]por cuent'!C1567</f>
        <v>Santiago, Pablo Javier</v>
      </c>
      <c r="D1567" s="35">
        <f>+'[2]por cuent'!G1567</f>
        <v>221280097</v>
      </c>
      <c r="E1567" s="35">
        <f>+'[2]por cuent'!H1567</f>
        <v>221280097</v>
      </c>
      <c r="F1567" t="str">
        <f>+'[2]por cuent'!I1567</f>
        <v>534</v>
      </c>
    </row>
    <row r="1568" spans="1:6" x14ac:dyDescent="0.35">
      <c r="A1568" t="str">
        <f>+'[2]por cuent'!A1568</f>
        <v>ARS</v>
      </c>
      <c r="B1568" t="str">
        <f>+'[2]por cuent'!B1568</f>
        <v>534005140</v>
      </c>
      <c r="C1568" t="str">
        <f>+'[2]por cuent'!C1568</f>
        <v xml:space="preserve">Etcheverry, Jorge </v>
      </c>
      <c r="D1568" s="35">
        <f>+'[2]por cuent'!G1568</f>
        <v>517803</v>
      </c>
      <c r="E1568" s="35">
        <f>+'[2]por cuent'!H1568</f>
        <v>517803</v>
      </c>
      <c r="F1568" t="str">
        <f>+'[2]por cuent'!I1568</f>
        <v>534</v>
      </c>
    </row>
    <row r="1569" spans="1:6" x14ac:dyDescent="0.35">
      <c r="A1569" t="str">
        <f>+'[2]por cuent'!A1569</f>
        <v>ARS</v>
      </c>
      <c r="B1569" t="str">
        <f>+'[2]por cuent'!B1569</f>
        <v>534005141</v>
      </c>
      <c r="C1569" t="str">
        <f>+'[2]por cuent'!C1569</f>
        <v>Waddle, Alejandro Osvaldo</v>
      </c>
      <c r="D1569" s="35">
        <f>+'[2]por cuent'!G1569</f>
        <v>17159235</v>
      </c>
      <c r="E1569" s="35">
        <f>+'[2]por cuent'!H1569</f>
        <v>17159235</v>
      </c>
      <c r="F1569" t="str">
        <f>+'[2]por cuent'!I1569</f>
        <v>534</v>
      </c>
    </row>
    <row r="1570" spans="1:6" x14ac:dyDescent="0.35">
      <c r="A1570" t="str">
        <f>+'[2]por cuent'!A1570</f>
        <v>ARS</v>
      </c>
      <c r="B1570" t="str">
        <f>+'[2]por cuent'!B1570</f>
        <v>534005144</v>
      </c>
      <c r="C1570" t="str">
        <f>+'[2]por cuent'!C1570</f>
        <v>Verniz, Cecilia Mercedes</v>
      </c>
      <c r="D1570" s="35">
        <f>+'[2]por cuent'!G1570</f>
        <v>24002478.199999999</v>
      </c>
      <c r="E1570" s="35">
        <f>+'[2]por cuent'!H1570</f>
        <v>24002478.199999999</v>
      </c>
      <c r="F1570" t="str">
        <f>+'[2]por cuent'!I1570</f>
        <v>534</v>
      </c>
    </row>
    <row r="1571" spans="1:6" x14ac:dyDescent="0.35">
      <c r="A1571" t="str">
        <f>+'[2]por cuent'!A1571</f>
        <v>ARS</v>
      </c>
      <c r="B1571" t="str">
        <f>+'[2]por cuent'!B1571</f>
        <v>534005145</v>
      </c>
      <c r="C1571" t="str">
        <f>+'[2]por cuent'!C1571</f>
        <v>Bertolotti, Esteban Mauricio</v>
      </c>
      <c r="D1571" s="35">
        <f>+'[2]por cuent'!G1571</f>
        <v>332149903.19999999</v>
      </c>
      <c r="E1571" s="35">
        <f>+'[2]por cuent'!H1571</f>
        <v>332149903.19999999</v>
      </c>
      <c r="F1571" t="str">
        <f>+'[2]por cuent'!I1571</f>
        <v>534</v>
      </c>
    </row>
    <row r="1572" spans="1:6" x14ac:dyDescent="0.35">
      <c r="A1572" t="str">
        <f>+'[2]por cuent'!A1572</f>
        <v>ARS</v>
      </c>
      <c r="B1572" t="str">
        <f>+'[2]por cuent'!B1572</f>
        <v>534005147</v>
      </c>
      <c r="C1572" t="str">
        <f>+'[2]por cuent'!C1572</f>
        <v>Urbano, Raul Omar &amp; Borgogna, Adriana Mercedes Luisa</v>
      </c>
      <c r="D1572" s="35">
        <f>+'[2]por cuent'!G1572</f>
        <v>28044797</v>
      </c>
      <c r="E1572" s="35">
        <f>+'[2]por cuent'!H1572</f>
        <v>28044797</v>
      </c>
      <c r="F1572" t="str">
        <f>+'[2]por cuent'!I1572</f>
        <v>534</v>
      </c>
    </row>
    <row r="1573" spans="1:6" x14ac:dyDescent="0.35">
      <c r="A1573" t="str">
        <f>+'[2]por cuent'!A1573</f>
        <v>ARS</v>
      </c>
      <c r="B1573" t="str">
        <f>+'[2]por cuent'!B1573</f>
        <v>534005157</v>
      </c>
      <c r="C1573" t="str">
        <f>+'[2]por cuent'!C1573</f>
        <v>Arias, Juan Pablo</v>
      </c>
      <c r="D1573" s="35">
        <f>+'[2]por cuent'!G1573</f>
        <v>1750611</v>
      </c>
      <c r="E1573" s="35">
        <f>+'[2]por cuent'!H1573</f>
        <v>1750611</v>
      </c>
      <c r="F1573" t="str">
        <f>+'[2]por cuent'!I1573</f>
        <v>534</v>
      </c>
    </row>
    <row r="1574" spans="1:6" x14ac:dyDescent="0.35">
      <c r="A1574" t="str">
        <f>+'[2]por cuent'!A1574</f>
        <v>ARS</v>
      </c>
      <c r="B1574" t="str">
        <f>+'[2]por cuent'!B1574</f>
        <v>534005165</v>
      </c>
      <c r="C1574" t="str">
        <f>+'[2]por cuent'!C1574</f>
        <v xml:space="preserve">Bastanchuri, Maria Mercedes &amp; Draghi, Ignacio Gabriel </v>
      </c>
      <c r="D1574" s="35">
        <f>+'[2]por cuent'!G1574</f>
        <v>727223</v>
      </c>
      <c r="E1574" s="35">
        <f>+'[2]por cuent'!H1574</f>
        <v>727223</v>
      </c>
      <c r="F1574" t="str">
        <f>+'[2]por cuent'!I1574</f>
        <v>534</v>
      </c>
    </row>
    <row r="1575" spans="1:6" x14ac:dyDescent="0.35">
      <c r="A1575" t="str">
        <f>+'[2]por cuent'!A1575</f>
        <v>ARS</v>
      </c>
      <c r="B1575" t="str">
        <f>+'[2]por cuent'!B1575</f>
        <v>534005169</v>
      </c>
      <c r="C1575" t="str">
        <f>+'[2]por cuent'!C1575</f>
        <v>LLorens, Valentín &amp; Llorens, Juan Manuel</v>
      </c>
      <c r="D1575" s="35">
        <f>+'[2]por cuent'!G1575</f>
        <v>1006464</v>
      </c>
      <c r="E1575" s="35">
        <f>+'[2]por cuent'!H1575</f>
        <v>1006464</v>
      </c>
      <c r="F1575" t="str">
        <f>+'[2]por cuent'!I1575</f>
        <v>534</v>
      </c>
    </row>
    <row r="1576" spans="1:6" x14ac:dyDescent="0.35">
      <c r="A1576" t="str">
        <f>+'[2]por cuent'!A1576</f>
        <v>ARS</v>
      </c>
      <c r="B1576" t="str">
        <f>+'[2]por cuent'!B1576</f>
        <v>534005170</v>
      </c>
      <c r="C1576" t="str">
        <f>+'[2]por cuent'!C1576</f>
        <v>Barreiro, Amilcar Oscar (II)</v>
      </c>
      <c r="D1576" s="35">
        <f>+'[2]por cuent'!G1576</f>
        <v>464366</v>
      </c>
      <c r="E1576" s="35">
        <f>+'[2]por cuent'!H1576</f>
        <v>464366</v>
      </c>
      <c r="F1576" t="str">
        <f>+'[2]por cuent'!I1576</f>
        <v>534</v>
      </c>
    </row>
    <row r="1577" spans="1:6" x14ac:dyDescent="0.35">
      <c r="A1577" t="str">
        <f>+'[2]por cuent'!A1577</f>
        <v>ARS</v>
      </c>
      <c r="B1577" t="str">
        <f>+'[2]por cuent'!B1577</f>
        <v>534005172</v>
      </c>
      <c r="C1577" t="str">
        <f>+'[2]por cuent'!C1577</f>
        <v xml:space="preserve">Lavalle, Virginia </v>
      </c>
      <c r="D1577" s="35">
        <f>+'[2]por cuent'!G1577</f>
        <v>2382370</v>
      </c>
      <c r="E1577" s="35">
        <f>+'[2]por cuent'!H1577</f>
        <v>2382370</v>
      </c>
      <c r="F1577" t="str">
        <f>+'[2]por cuent'!I1577</f>
        <v>534</v>
      </c>
    </row>
    <row r="1578" spans="1:6" x14ac:dyDescent="0.35">
      <c r="A1578" t="str">
        <f>+'[2]por cuent'!A1578</f>
        <v>ARS</v>
      </c>
      <c r="B1578" t="str">
        <f>+'[2]por cuent'!B1578</f>
        <v>534005177</v>
      </c>
      <c r="C1578" t="str">
        <f>+'[2]por cuent'!C1578</f>
        <v>Passarelli, Carla</v>
      </c>
      <c r="D1578" s="35">
        <f>+'[2]por cuent'!G1578</f>
        <v>846060</v>
      </c>
      <c r="E1578" s="35">
        <f>+'[2]por cuent'!H1578</f>
        <v>846060</v>
      </c>
      <c r="F1578" t="str">
        <f>+'[2]por cuent'!I1578</f>
        <v>534</v>
      </c>
    </row>
    <row r="1579" spans="1:6" x14ac:dyDescent="0.35">
      <c r="A1579" t="str">
        <f>+'[2]por cuent'!A1579</f>
        <v>ARS</v>
      </c>
      <c r="B1579" t="str">
        <f>+'[2]por cuent'!B1579</f>
        <v>534005178</v>
      </c>
      <c r="C1579" t="str">
        <f>+'[2]por cuent'!C1579</f>
        <v>Bermudez, Natalia Veronica</v>
      </c>
      <c r="D1579" s="35">
        <f>+'[2]por cuent'!G1579</f>
        <v>1915133</v>
      </c>
      <c r="E1579" s="35">
        <f>+'[2]por cuent'!H1579</f>
        <v>1915133</v>
      </c>
      <c r="F1579" t="str">
        <f>+'[2]por cuent'!I1579</f>
        <v>534</v>
      </c>
    </row>
    <row r="1580" spans="1:6" x14ac:dyDescent="0.35">
      <c r="A1580" t="str">
        <f>+'[2]por cuent'!A1580</f>
        <v>ARS</v>
      </c>
      <c r="B1580" t="str">
        <f>+'[2]por cuent'!B1580</f>
        <v>534005179</v>
      </c>
      <c r="C1580" t="str">
        <f>+'[2]por cuent'!C1580</f>
        <v>Diaz, Juan Ignacio</v>
      </c>
      <c r="D1580" s="35">
        <f>+'[2]por cuent'!G1580</f>
        <v>34625936.659999996</v>
      </c>
      <c r="E1580" s="35">
        <f>+'[2]por cuent'!H1580</f>
        <v>34625936.659999996</v>
      </c>
      <c r="F1580" t="str">
        <f>+'[2]por cuent'!I1580</f>
        <v>534</v>
      </c>
    </row>
    <row r="1581" spans="1:6" x14ac:dyDescent="0.35">
      <c r="A1581" t="str">
        <f>+'[2]por cuent'!A1581</f>
        <v>ARS</v>
      </c>
      <c r="B1581" t="str">
        <f>+'[2]por cuent'!B1581</f>
        <v>534005188</v>
      </c>
      <c r="C1581" t="str">
        <f>+'[2]por cuent'!C1581</f>
        <v>Villalba Diaz, Santiago Adolfo</v>
      </c>
      <c r="D1581" s="35">
        <f>+'[2]por cuent'!G1581</f>
        <v>1396197</v>
      </c>
      <c r="E1581" s="35">
        <f>+'[2]por cuent'!H1581</f>
        <v>1396197</v>
      </c>
      <c r="F1581" t="str">
        <f>+'[2]por cuent'!I1581</f>
        <v>534</v>
      </c>
    </row>
    <row r="1582" spans="1:6" x14ac:dyDescent="0.35">
      <c r="A1582" t="str">
        <f>+'[2]por cuent'!A1582</f>
        <v>ARS</v>
      </c>
      <c r="B1582" t="str">
        <f>+'[2]por cuent'!B1582</f>
        <v>534005189</v>
      </c>
      <c r="C1582" t="str">
        <f>+'[2]por cuent'!C1582</f>
        <v>Vega Riera, Julieta</v>
      </c>
      <c r="D1582" s="35">
        <f>+'[2]por cuent'!G1582</f>
        <v>4017753.5</v>
      </c>
      <c r="E1582" s="35">
        <f>+'[2]por cuent'!H1582</f>
        <v>4017753.5</v>
      </c>
      <c r="F1582" t="str">
        <f>+'[2]por cuent'!I1582</f>
        <v>534</v>
      </c>
    </row>
    <row r="1583" spans="1:6" x14ac:dyDescent="0.35">
      <c r="A1583" t="str">
        <f>+'[2]por cuent'!A1583</f>
        <v>ARS</v>
      </c>
      <c r="B1583" t="str">
        <f>+'[2]por cuent'!B1583</f>
        <v>534005190</v>
      </c>
      <c r="C1583" t="str">
        <f>+'[2]por cuent'!C1583</f>
        <v>Miñana, Santiago</v>
      </c>
      <c r="D1583" s="35">
        <f>+'[2]por cuent'!G1583</f>
        <v>666178</v>
      </c>
      <c r="E1583" s="35">
        <f>+'[2]por cuent'!H1583</f>
        <v>666178</v>
      </c>
      <c r="F1583" t="str">
        <f>+'[2]por cuent'!I1583</f>
        <v>534</v>
      </c>
    </row>
    <row r="1584" spans="1:6" x14ac:dyDescent="0.35">
      <c r="A1584" t="str">
        <f>+'[2]por cuent'!A1584</f>
        <v>ARS</v>
      </c>
      <c r="B1584" t="str">
        <f>+'[2]por cuent'!B1584</f>
        <v>534005193</v>
      </c>
      <c r="C1584" t="str">
        <f>+'[2]por cuent'!C1584</f>
        <v>Civarolo, Maria Mercedes</v>
      </c>
      <c r="D1584" s="35">
        <f>+'[2]por cuent'!G1584</f>
        <v>658648</v>
      </c>
      <c r="E1584" s="35">
        <f>+'[2]por cuent'!H1584</f>
        <v>658648</v>
      </c>
      <c r="F1584" t="str">
        <f>+'[2]por cuent'!I1584</f>
        <v>534</v>
      </c>
    </row>
    <row r="1585" spans="1:6" x14ac:dyDescent="0.35">
      <c r="A1585" t="str">
        <f>+'[2]por cuent'!A1585</f>
        <v>ARS</v>
      </c>
      <c r="B1585" t="str">
        <f>+'[2]por cuent'!B1585</f>
        <v>534005196</v>
      </c>
      <c r="C1585" t="str">
        <f>+'[2]por cuent'!C1585</f>
        <v>Invernizzi, Martin Alberto &amp; Invernizzi Anselmi, Fabrizio Marco</v>
      </c>
      <c r="D1585" s="35">
        <f>+'[2]por cuent'!G1585</f>
        <v>117156837</v>
      </c>
      <c r="E1585" s="35">
        <f>+'[2]por cuent'!H1585</f>
        <v>117156837</v>
      </c>
      <c r="F1585" t="str">
        <f>+'[2]por cuent'!I1585</f>
        <v>534</v>
      </c>
    </row>
    <row r="1586" spans="1:6" x14ac:dyDescent="0.35">
      <c r="A1586" t="str">
        <f>+'[2]por cuent'!A1586</f>
        <v>ARS</v>
      </c>
      <c r="B1586" t="str">
        <f>+'[2]por cuent'!B1586</f>
        <v>534005198</v>
      </c>
      <c r="C1586" t="str">
        <f>+'[2]por cuent'!C1586</f>
        <v>Alonso, Pablo Christian &amp; Cinat, Constanza Pia</v>
      </c>
      <c r="D1586" s="35">
        <f>+'[2]por cuent'!G1586</f>
        <v>705572426</v>
      </c>
      <c r="E1586" s="35">
        <f>+'[2]por cuent'!H1586</f>
        <v>705572426</v>
      </c>
      <c r="F1586" t="str">
        <f>+'[2]por cuent'!I1586</f>
        <v>534</v>
      </c>
    </row>
    <row r="1587" spans="1:6" x14ac:dyDescent="0.35">
      <c r="A1587" t="str">
        <f>+'[2]por cuent'!A1587</f>
        <v>ARS</v>
      </c>
      <c r="B1587" t="str">
        <f>+'[2]por cuent'!B1587</f>
        <v>534005200</v>
      </c>
      <c r="C1587" t="str">
        <f>+'[2]por cuent'!C1587</f>
        <v>Guerrero, Luis Balbino</v>
      </c>
      <c r="D1587" s="35">
        <f>+'[2]por cuent'!G1587</f>
        <v>4640292</v>
      </c>
      <c r="E1587" s="35">
        <f>+'[2]por cuent'!H1587</f>
        <v>4640292</v>
      </c>
      <c r="F1587" t="str">
        <f>+'[2]por cuent'!I1587</f>
        <v>534</v>
      </c>
    </row>
    <row r="1588" spans="1:6" x14ac:dyDescent="0.35">
      <c r="A1588" t="str">
        <f>+'[2]por cuent'!A1588</f>
        <v>ARS</v>
      </c>
      <c r="B1588" t="str">
        <f>+'[2]por cuent'!B1588</f>
        <v>534005201</v>
      </c>
      <c r="C1588" t="str">
        <f>+'[2]por cuent'!C1588</f>
        <v>Magri, Jose</v>
      </c>
      <c r="D1588" s="35">
        <f>+'[2]por cuent'!G1588</f>
        <v>6408958.2999999998</v>
      </c>
      <c r="E1588" s="35">
        <f>+'[2]por cuent'!H1588</f>
        <v>6408958.2999999998</v>
      </c>
      <c r="F1588" t="str">
        <f>+'[2]por cuent'!I1588</f>
        <v>534</v>
      </c>
    </row>
    <row r="1589" spans="1:6" x14ac:dyDescent="0.35">
      <c r="A1589" t="str">
        <f>+'[2]por cuent'!A1589</f>
        <v>ARS</v>
      </c>
      <c r="B1589" t="str">
        <f>+'[2]por cuent'!B1589</f>
        <v>534005241</v>
      </c>
      <c r="C1589" t="str">
        <f>+'[2]por cuent'!C1589</f>
        <v>Espiasse, Augusto</v>
      </c>
      <c r="D1589" s="35">
        <f>+'[2]por cuent'!G1589</f>
        <v>1024486</v>
      </c>
      <c r="E1589" s="35">
        <f>+'[2]por cuent'!H1589</f>
        <v>1024486</v>
      </c>
      <c r="F1589" t="str">
        <f>+'[2]por cuent'!I1589</f>
        <v>534</v>
      </c>
    </row>
    <row r="1590" spans="1:6" x14ac:dyDescent="0.35">
      <c r="A1590" t="str">
        <f>+'[2]por cuent'!A1590</f>
        <v>ARS</v>
      </c>
      <c r="B1590" t="str">
        <f>+'[2]por cuent'!B1590</f>
        <v>534005248</v>
      </c>
      <c r="C1590" t="str">
        <f>+'[2]por cuent'!C1590</f>
        <v>Llorens, Valentin &amp; Rozados, Alejandra</v>
      </c>
      <c r="D1590" s="35">
        <f>+'[2]por cuent'!G1590</f>
        <v>13317893</v>
      </c>
      <c r="E1590" s="35">
        <f>+'[2]por cuent'!H1590</f>
        <v>13317893</v>
      </c>
      <c r="F1590" t="str">
        <f>+'[2]por cuent'!I1590</f>
        <v>534</v>
      </c>
    </row>
    <row r="1591" spans="1:6" x14ac:dyDescent="0.35">
      <c r="A1591" t="str">
        <f>+'[2]por cuent'!A1591</f>
        <v>ARS</v>
      </c>
      <c r="B1591" t="str">
        <f>+'[2]por cuent'!B1591</f>
        <v>534005252</v>
      </c>
      <c r="C1591" t="str">
        <f>+'[2]por cuent'!C1591</f>
        <v>Garate, Cristina Claudia &amp; Garate, Luis Antonio &amp; Garate, Pedro</v>
      </c>
      <c r="D1591" s="35">
        <f>+'[2]por cuent'!G1591</f>
        <v>168421800</v>
      </c>
      <c r="E1591" s="35">
        <f>+'[2]por cuent'!H1591</f>
        <v>168421800</v>
      </c>
      <c r="F1591" t="str">
        <f>+'[2]por cuent'!I1591</f>
        <v>534</v>
      </c>
    </row>
    <row r="1592" spans="1:6" x14ac:dyDescent="0.35">
      <c r="A1592" t="str">
        <f>+'[2]por cuent'!A1592</f>
        <v>ARS</v>
      </c>
      <c r="B1592" t="str">
        <f>+'[2]por cuent'!B1592</f>
        <v>534005253</v>
      </c>
      <c r="C1592" t="str">
        <f>+'[2]por cuent'!C1592</f>
        <v>Rios Echaniz, Carmela</v>
      </c>
      <c r="D1592" s="35">
        <f>+'[2]por cuent'!G1592</f>
        <v>15893292</v>
      </c>
      <c r="E1592" s="35">
        <f>+'[2]por cuent'!H1592</f>
        <v>15893292</v>
      </c>
      <c r="F1592" t="str">
        <f>+'[2]por cuent'!I1592</f>
        <v>534</v>
      </c>
    </row>
    <row r="1593" spans="1:6" x14ac:dyDescent="0.35">
      <c r="A1593" t="str">
        <f>+'[2]por cuent'!A1593</f>
        <v>ARS</v>
      </c>
      <c r="B1593" t="str">
        <f>+'[2]por cuent'!B1593</f>
        <v>534005254</v>
      </c>
      <c r="C1593" t="str">
        <f>+'[2]por cuent'!C1593</f>
        <v>Massaro Romero, Gonzalo</v>
      </c>
      <c r="D1593" s="35">
        <f>+'[2]por cuent'!G1593</f>
        <v>2030726</v>
      </c>
      <c r="E1593" s="35">
        <f>+'[2]por cuent'!H1593</f>
        <v>2030726</v>
      </c>
      <c r="F1593" t="str">
        <f>+'[2]por cuent'!I1593</f>
        <v>534</v>
      </c>
    </row>
    <row r="1594" spans="1:6" x14ac:dyDescent="0.35">
      <c r="A1594" t="str">
        <f>+'[2]por cuent'!A1594</f>
        <v>ARS</v>
      </c>
      <c r="B1594" t="str">
        <f>+'[2]por cuent'!B1594</f>
        <v>534005255</v>
      </c>
      <c r="C1594" t="str">
        <f>+'[2]por cuent'!C1594</f>
        <v>Khemani, Rajesh &amp; Sachdev, Jyoti</v>
      </c>
      <c r="D1594" s="35">
        <f>+'[2]por cuent'!G1594</f>
        <v>3393428</v>
      </c>
      <c r="E1594" s="35">
        <f>+'[2]por cuent'!H1594</f>
        <v>3393428</v>
      </c>
      <c r="F1594" t="str">
        <f>+'[2]por cuent'!I1594</f>
        <v>534</v>
      </c>
    </row>
    <row r="1595" spans="1:6" x14ac:dyDescent="0.35">
      <c r="A1595" t="str">
        <f>+'[2]por cuent'!A1595</f>
        <v>ARS</v>
      </c>
      <c r="B1595" t="str">
        <f>+'[2]por cuent'!B1595</f>
        <v>534005258</v>
      </c>
      <c r="C1595" t="str">
        <f>+'[2]por cuent'!C1595</f>
        <v>Mendez, Maria Fernanda</v>
      </c>
      <c r="D1595" s="35">
        <f>+'[2]por cuent'!G1595</f>
        <v>217915431.38</v>
      </c>
      <c r="E1595" s="35">
        <f>+'[2]por cuent'!H1595</f>
        <v>217915431.38</v>
      </c>
      <c r="F1595" t="str">
        <f>+'[2]por cuent'!I1595</f>
        <v>534</v>
      </c>
    </row>
    <row r="1596" spans="1:6" x14ac:dyDescent="0.35">
      <c r="A1596" t="str">
        <f>+'[2]por cuent'!A1596</f>
        <v>ARS</v>
      </c>
      <c r="B1596" t="str">
        <f>+'[2]por cuent'!B1596</f>
        <v>534005262</v>
      </c>
      <c r="C1596" t="str">
        <f>+'[2]por cuent'!C1596</f>
        <v>De Rose Bermudez, Mariano Adrian</v>
      </c>
      <c r="D1596" s="35">
        <f>+'[2]por cuent'!G1596</f>
        <v>2890003</v>
      </c>
      <c r="E1596" s="35">
        <f>+'[2]por cuent'!H1596</f>
        <v>2890003</v>
      </c>
      <c r="F1596" t="str">
        <f>+'[2]por cuent'!I1596</f>
        <v>534</v>
      </c>
    </row>
    <row r="1597" spans="1:6" x14ac:dyDescent="0.35">
      <c r="A1597" t="str">
        <f>+'[2]por cuent'!A1597</f>
        <v>ARS</v>
      </c>
      <c r="B1597" t="str">
        <f>+'[2]por cuent'!B1597</f>
        <v>534005263</v>
      </c>
      <c r="C1597" t="str">
        <f>+'[2]por cuent'!C1597</f>
        <v>Allamano Costa, Nicolas</v>
      </c>
      <c r="D1597" s="35">
        <f>+'[2]por cuent'!G1597</f>
        <v>27023704.5</v>
      </c>
      <c r="E1597" s="35">
        <f>+'[2]por cuent'!H1597</f>
        <v>27023704.5</v>
      </c>
      <c r="F1597" t="str">
        <f>+'[2]por cuent'!I1597</f>
        <v>534</v>
      </c>
    </row>
    <row r="1598" spans="1:6" x14ac:dyDescent="0.35">
      <c r="A1598" t="str">
        <f>+'[2]por cuent'!A1598</f>
        <v>ARS</v>
      </c>
      <c r="B1598" t="str">
        <f>+'[2]por cuent'!B1598</f>
        <v>534005264</v>
      </c>
      <c r="C1598" t="str">
        <f>+'[2]por cuent'!C1598</f>
        <v>Permayu, Maira Azul</v>
      </c>
      <c r="D1598" s="35">
        <f>+'[2]por cuent'!G1598</f>
        <v>1704249</v>
      </c>
      <c r="E1598" s="35">
        <f>+'[2]por cuent'!H1598</f>
        <v>1704249</v>
      </c>
      <c r="F1598" t="str">
        <f>+'[2]por cuent'!I1598</f>
        <v>534</v>
      </c>
    </row>
    <row r="1599" spans="1:6" x14ac:dyDescent="0.35">
      <c r="A1599" t="str">
        <f>+'[2]por cuent'!A1599</f>
        <v>ARS</v>
      </c>
      <c r="B1599" t="str">
        <f>+'[2]por cuent'!B1599</f>
        <v>534005266</v>
      </c>
      <c r="C1599" t="str">
        <f>+'[2]por cuent'!C1599</f>
        <v>Santos, Juan Carlos o Giscafre, Nelly</v>
      </c>
      <c r="D1599" s="35">
        <f>+'[2]por cuent'!G1599</f>
        <v>72012</v>
      </c>
      <c r="E1599" s="35">
        <f>+'[2]por cuent'!H1599</f>
        <v>72012</v>
      </c>
      <c r="F1599" t="str">
        <f>+'[2]por cuent'!I1599</f>
        <v>534</v>
      </c>
    </row>
    <row r="1600" spans="1:6" x14ac:dyDescent="0.35">
      <c r="A1600" t="str">
        <f>+'[2]por cuent'!A1600</f>
        <v>ARS</v>
      </c>
      <c r="B1600" t="str">
        <f>+'[2]por cuent'!B1600</f>
        <v>534005269</v>
      </c>
      <c r="C1600" t="str">
        <f>+'[2]por cuent'!C1600</f>
        <v>Romero Barenghi, Juan Pablo</v>
      </c>
      <c r="D1600" s="35">
        <f>+'[2]por cuent'!G1600</f>
        <v>15590825</v>
      </c>
      <c r="E1600" s="35">
        <f>+'[2]por cuent'!H1600</f>
        <v>15590825</v>
      </c>
      <c r="F1600" t="str">
        <f>+'[2]por cuent'!I1600</f>
        <v>534</v>
      </c>
    </row>
    <row r="1601" spans="1:6" x14ac:dyDescent="0.35">
      <c r="A1601" t="str">
        <f>+'[2]por cuent'!A1601</f>
        <v>ARS</v>
      </c>
      <c r="B1601" t="str">
        <f>+'[2]por cuent'!B1601</f>
        <v>534005270</v>
      </c>
      <c r="C1601" t="str">
        <f>+'[2]por cuent'!C1601</f>
        <v>Clarke, Fernando Alfredo</v>
      </c>
      <c r="D1601" s="35">
        <f>+'[2]por cuent'!G1601</f>
        <v>41754970</v>
      </c>
      <c r="E1601" s="35">
        <f>+'[2]por cuent'!H1601</f>
        <v>41754970</v>
      </c>
      <c r="F1601" t="str">
        <f>+'[2]por cuent'!I1601</f>
        <v>534</v>
      </c>
    </row>
    <row r="1602" spans="1:6" x14ac:dyDescent="0.35">
      <c r="A1602" t="str">
        <f>+'[2]por cuent'!A1602</f>
        <v>ARS</v>
      </c>
      <c r="B1602" t="str">
        <f>+'[2]por cuent'!B1602</f>
        <v>534005271</v>
      </c>
      <c r="C1602" t="str">
        <f>+'[2]por cuent'!C1602</f>
        <v>Carlos Oliva, Diana Carolina</v>
      </c>
      <c r="D1602" s="35">
        <f>+'[2]por cuent'!G1602</f>
        <v>7250086</v>
      </c>
      <c r="E1602" s="35">
        <f>+'[2]por cuent'!H1602</f>
        <v>7250086</v>
      </c>
      <c r="F1602" t="str">
        <f>+'[2]por cuent'!I1602</f>
        <v>534</v>
      </c>
    </row>
    <row r="1603" spans="1:6" x14ac:dyDescent="0.35">
      <c r="A1603" t="str">
        <f>+'[2]por cuent'!A1603</f>
        <v>ARS</v>
      </c>
      <c r="B1603" t="str">
        <f>+'[2]por cuent'!B1603</f>
        <v>534005275</v>
      </c>
      <c r="C1603" t="str">
        <f>+'[2]por cuent'!C1603</f>
        <v>TROPEL CERVECERIA DAD LIMITADA SRL</v>
      </c>
      <c r="D1603" s="35">
        <f>+'[2]por cuent'!G1603</f>
        <v>18219849.109999999</v>
      </c>
      <c r="E1603" s="35">
        <f>+'[2]por cuent'!H1603</f>
        <v>18219849.109999999</v>
      </c>
      <c r="F1603" t="str">
        <f>+'[2]por cuent'!I1603</f>
        <v>534</v>
      </c>
    </row>
    <row r="1604" spans="1:6" x14ac:dyDescent="0.35">
      <c r="A1604" t="str">
        <f>+'[2]por cuent'!A1604</f>
        <v>ARS</v>
      </c>
      <c r="B1604" t="str">
        <f>+'[2]por cuent'!B1604</f>
        <v>534005276</v>
      </c>
      <c r="C1604" t="str">
        <f>+'[2]por cuent'!C1604</f>
        <v>Mealla Encina, Ana Carolina</v>
      </c>
      <c r="D1604" s="35">
        <f>+'[2]por cuent'!G1604</f>
        <v>34363401</v>
      </c>
      <c r="E1604" s="35">
        <f>+'[2]por cuent'!H1604</f>
        <v>34363401</v>
      </c>
      <c r="F1604" t="str">
        <f>+'[2]por cuent'!I1604</f>
        <v>534</v>
      </c>
    </row>
    <row r="1605" spans="1:6" x14ac:dyDescent="0.35">
      <c r="A1605" t="str">
        <f>+'[2]por cuent'!A1605</f>
        <v>ARS</v>
      </c>
      <c r="B1605" t="str">
        <f>+'[2]por cuent'!B1605</f>
        <v>534005281</v>
      </c>
      <c r="C1605" t="str">
        <f>+'[2]por cuent'!C1605</f>
        <v>Ramirez, Facundo Alberto Daniel</v>
      </c>
      <c r="D1605" s="35">
        <f>+'[2]por cuent'!G1605</f>
        <v>4581467.9000000004</v>
      </c>
      <c r="E1605" s="35">
        <f>+'[2]por cuent'!H1605</f>
        <v>4581467.9000000004</v>
      </c>
      <c r="F1605" t="str">
        <f>+'[2]por cuent'!I1605</f>
        <v>534</v>
      </c>
    </row>
    <row r="1606" spans="1:6" x14ac:dyDescent="0.35">
      <c r="A1606" t="str">
        <f>+'[2]por cuent'!A1606</f>
        <v>ARS</v>
      </c>
      <c r="B1606" t="str">
        <f>+'[2]por cuent'!B1606</f>
        <v>534005282</v>
      </c>
      <c r="C1606" t="str">
        <f>+'[2]por cuent'!C1606</f>
        <v>DISTRIBUIDORA CAMPOMAR SA</v>
      </c>
      <c r="D1606" s="35">
        <f>+'[2]por cuent'!G1606</f>
        <v>746332842.21000004</v>
      </c>
      <c r="E1606" s="35">
        <f>+'[2]por cuent'!H1606</f>
        <v>746332842.21000004</v>
      </c>
      <c r="F1606" t="str">
        <f>+'[2]por cuent'!I1606</f>
        <v>534</v>
      </c>
    </row>
    <row r="1607" spans="1:6" x14ac:dyDescent="0.35">
      <c r="A1607" t="str">
        <f>+'[2]por cuent'!A1607</f>
        <v>ARS</v>
      </c>
      <c r="B1607" t="str">
        <f>+'[2]por cuent'!B1607</f>
        <v>534005285</v>
      </c>
      <c r="C1607" t="str">
        <f>+'[2]por cuent'!C1607</f>
        <v>Martinez Lipzer, Ivan Guido</v>
      </c>
      <c r="D1607" s="35">
        <f>+'[2]por cuent'!G1607</f>
        <v>3522680</v>
      </c>
      <c r="E1607" s="35">
        <f>+'[2]por cuent'!H1607</f>
        <v>3522680</v>
      </c>
      <c r="F1607" t="str">
        <f>+'[2]por cuent'!I1607</f>
        <v>534</v>
      </c>
    </row>
    <row r="1608" spans="1:6" x14ac:dyDescent="0.35">
      <c r="A1608" t="str">
        <f>+'[2]por cuent'!A1608</f>
        <v>ARS</v>
      </c>
      <c r="B1608" t="str">
        <f>+'[2]por cuent'!B1608</f>
        <v>534005286</v>
      </c>
      <c r="C1608" t="str">
        <f>+'[2]por cuent'!C1608</f>
        <v>Lopez, Ramiro</v>
      </c>
      <c r="D1608" s="35">
        <f>+'[2]por cuent'!G1608</f>
        <v>7310863.5999999996</v>
      </c>
      <c r="E1608" s="35">
        <f>+'[2]por cuent'!H1608</f>
        <v>7310863.5999999996</v>
      </c>
      <c r="F1608" t="str">
        <f>+'[2]por cuent'!I1608</f>
        <v>534</v>
      </c>
    </row>
    <row r="1609" spans="1:6" x14ac:dyDescent="0.35">
      <c r="A1609" t="str">
        <f>+'[2]por cuent'!A1609</f>
        <v>ARS</v>
      </c>
      <c r="B1609" t="str">
        <f>+'[2]por cuent'!B1609</f>
        <v>534005287</v>
      </c>
      <c r="C1609" t="str">
        <f>+'[2]por cuent'!C1609</f>
        <v>Martinez Monroy, Agustina Abigail</v>
      </c>
      <c r="D1609" s="35">
        <f>+'[2]por cuent'!G1609</f>
        <v>837458</v>
      </c>
      <c r="E1609" s="35">
        <f>+'[2]por cuent'!H1609</f>
        <v>837458</v>
      </c>
      <c r="F1609" t="str">
        <f>+'[2]por cuent'!I1609</f>
        <v>534</v>
      </c>
    </row>
    <row r="1610" spans="1:6" x14ac:dyDescent="0.35">
      <c r="A1610" t="str">
        <f>+'[2]por cuent'!A1610</f>
        <v>ARS</v>
      </c>
      <c r="B1610" t="str">
        <f>+'[2]por cuent'!B1610</f>
        <v>534005288</v>
      </c>
      <c r="C1610" t="str">
        <f>+'[2]por cuent'!C1610</f>
        <v>Alonso, Elizabeth</v>
      </c>
      <c r="D1610" s="35">
        <f>+'[2]por cuent'!G1610</f>
        <v>75955592.5</v>
      </c>
      <c r="E1610" s="35">
        <f>+'[2]por cuent'!H1610</f>
        <v>75955592.5</v>
      </c>
      <c r="F1610" t="str">
        <f>+'[2]por cuent'!I1610</f>
        <v>534</v>
      </c>
    </row>
    <row r="1611" spans="1:6" x14ac:dyDescent="0.35">
      <c r="A1611" t="str">
        <f>+'[2]por cuent'!A1611</f>
        <v>ARS</v>
      </c>
      <c r="B1611" t="str">
        <f>+'[2]por cuent'!B1611</f>
        <v>534005289</v>
      </c>
      <c r="C1611" t="str">
        <f>+'[2]por cuent'!C1611</f>
        <v>IBS CORDOBA SA</v>
      </c>
      <c r="D1611" s="35">
        <f>+'[2]por cuent'!G1611</f>
        <v>2436075827</v>
      </c>
      <c r="E1611" s="35">
        <f>+'[2]por cuent'!H1611</f>
        <v>2436075827</v>
      </c>
      <c r="F1611" t="str">
        <f>+'[2]por cuent'!I1611</f>
        <v>534</v>
      </c>
    </row>
    <row r="1612" spans="1:6" x14ac:dyDescent="0.35">
      <c r="A1612" t="str">
        <f>+'[2]por cuent'!A1612</f>
        <v>ARS</v>
      </c>
      <c r="B1612" t="str">
        <f>+'[2]por cuent'!B1612</f>
        <v>534005291</v>
      </c>
      <c r="C1612" t="str">
        <f>+'[2]por cuent'!C1612</f>
        <v>Vargas Rojas, Yhamil Santiago</v>
      </c>
      <c r="D1612" s="35">
        <f>+'[2]por cuent'!G1612</f>
        <v>8869294</v>
      </c>
      <c r="E1612" s="35">
        <f>+'[2]por cuent'!H1612</f>
        <v>8869294</v>
      </c>
      <c r="F1612" t="str">
        <f>+'[2]por cuent'!I1612</f>
        <v>534</v>
      </c>
    </row>
    <row r="1613" spans="1:6" x14ac:dyDescent="0.35">
      <c r="A1613" t="str">
        <f>+'[2]por cuent'!A1613</f>
        <v>ARS</v>
      </c>
      <c r="B1613" t="str">
        <f>+'[2]por cuent'!B1613</f>
        <v>534005292</v>
      </c>
      <c r="C1613" t="str">
        <f>+'[2]por cuent'!C1613</f>
        <v>Allamano Costa, Agustin &amp; Allamano Costa, Nicolas</v>
      </c>
      <c r="D1613" s="35">
        <f>+'[2]por cuent'!G1613</f>
        <v>16184293.199999999</v>
      </c>
      <c r="E1613" s="35">
        <f>+'[2]por cuent'!H1613</f>
        <v>16184293.199999999</v>
      </c>
      <c r="F1613" t="str">
        <f>+'[2]por cuent'!I1613</f>
        <v>534</v>
      </c>
    </row>
    <row r="1614" spans="1:6" x14ac:dyDescent="0.35">
      <c r="A1614" t="str">
        <f>+'[2]por cuent'!A1614</f>
        <v>ARS</v>
      </c>
      <c r="B1614" t="str">
        <f>+'[2]por cuent'!B1614</f>
        <v>534005293</v>
      </c>
      <c r="C1614" t="str">
        <f>+'[2]por cuent'!C1614</f>
        <v>Bonafe, Pedro Nicolas</v>
      </c>
      <c r="D1614" s="35">
        <f>+'[2]por cuent'!G1614</f>
        <v>31199650</v>
      </c>
      <c r="E1614" s="35">
        <f>+'[2]por cuent'!H1614</f>
        <v>31199650</v>
      </c>
      <c r="F1614" t="str">
        <f>+'[2]por cuent'!I1614</f>
        <v>534</v>
      </c>
    </row>
    <row r="1615" spans="1:6" x14ac:dyDescent="0.35">
      <c r="A1615" t="str">
        <f>+'[2]por cuent'!A1615</f>
        <v>ARS</v>
      </c>
      <c r="B1615" t="str">
        <f>+'[2]por cuent'!B1615</f>
        <v>534005294</v>
      </c>
      <c r="C1615" t="str">
        <f>+'[2]por cuent'!C1615</f>
        <v>Oteiza, Eduardo David &amp; Fasciolo, Laura Leandra</v>
      </c>
      <c r="D1615" s="35">
        <f>+'[2]por cuent'!G1615</f>
        <v>21388202</v>
      </c>
      <c r="E1615" s="35">
        <f>+'[2]por cuent'!H1615</f>
        <v>21388202</v>
      </c>
      <c r="F1615" t="str">
        <f>+'[2]por cuent'!I1615</f>
        <v>534</v>
      </c>
    </row>
    <row r="1616" spans="1:6" x14ac:dyDescent="0.35">
      <c r="A1616" t="str">
        <f>+'[2]por cuent'!A1616</f>
        <v>ARS</v>
      </c>
      <c r="B1616" t="str">
        <f>+'[2]por cuent'!B1616</f>
        <v>534005296</v>
      </c>
      <c r="C1616" t="str">
        <f>+'[2]por cuent'!C1616</f>
        <v>SACEIP SA</v>
      </c>
      <c r="D1616" s="35">
        <f>+'[2]por cuent'!G1616</f>
        <v>14341403</v>
      </c>
      <c r="E1616" s="35">
        <f>+'[2]por cuent'!H1616</f>
        <v>14341403</v>
      </c>
      <c r="F1616" t="str">
        <f>+'[2]por cuent'!I1616</f>
        <v>534</v>
      </c>
    </row>
    <row r="1617" spans="1:6" x14ac:dyDescent="0.35">
      <c r="A1617" t="str">
        <f>+'[2]por cuent'!A1617</f>
        <v>ARS</v>
      </c>
      <c r="B1617" t="str">
        <f>+'[2]por cuent'!B1617</f>
        <v>534005297</v>
      </c>
      <c r="C1617" t="str">
        <f>+'[2]por cuent'!C1617</f>
        <v>PFM NUEVA FARMACIA BARRIAL SCS</v>
      </c>
      <c r="D1617" s="35">
        <f>+'[2]por cuent'!G1617</f>
        <v>16509431</v>
      </c>
      <c r="E1617" s="35">
        <f>+'[2]por cuent'!H1617</f>
        <v>16509431</v>
      </c>
      <c r="F1617" t="str">
        <f>+'[2]por cuent'!I1617</f>
        <v>534</v>
      </c>
    </row>
    <row r="1618" spans="1:6" x14ac:dyDescent="0.35">
      <c r="A1618" t="str">
        <f>+'[2]por cuent'!A1618</f>
        <v>ARS</v>
      </c>
      <c r="B1618" t="str">
        <f>+'[2]por cuent'!B1618</f>
        <v>534005299</v>
      </c>
      <c r="C1618" t="str">
        <f>+'[2]por cuent'!C1618</f>
        <v>Baldassarre, Josefina</v>
      </c>
      <c r="D1618" s="35">
        <f>+'[2]por cuent'!G1618</f>
        <v>6747201</v>
      </c>
      <c r="E1618" s="35">
        <f>+'[2]por cuent'!H1618</f>
        <v>6747201</v>
      </c>
      <c r="F1618" t="str">
        <f>+'[2]por cuent'!I1618</f>
        <v>534</v>
      </c>
    </row>
    <row r="1619" spans="1:6" x14ac:dyDescent="0.35">
      <c r="A1619" t="str">
        <f>+'[2]por cuent'!A1619</f>
        <v>ARS</v>
      </c>
      <c r="B1619" t="str">
        <f>+'[2]por cuent'!B1619</f>
        <v>554000007</v>
      </c>
      <c r="C1619" t="str">
        <f>+'[2]por cuent'!C1619</f>
        <v>GUIDO HERNAN SCALABRELLI</v>
      </c>
      <c r="D1619" s="35">
        <f>+'[2]por cuent'!G1619</f>
        <v>116169691.13</v>
      </c>
      <c r="E1619" s="35">
        <f>+'[2]por cuent'!H1619</f>
        <v>116169691.13</v>
      </c>
      <c r="F1619" t="str">
        <f>+'[2]por cuent'!I1619</f>
        <v>554</v>
      </c>
    </row>
    <row r="1620" spans="1:6" x14ac:dyDescent="0.35">
      <c r="A1620" t="str">
        <f>+'[2]por cuent'!A1620</f>
        <v>ARS</v>
      </c>
      <c r="B1620" t="str">
        <f>+'[2]por cuent'!B1620</f>
        <v>554000011</v>
      </c>
      <c r="C1620" t="str">
        <f>+'[2]por cuent'!C1620</f>
        <v>ZONA BURSATIL S.A. (CPL)</v>
      </c>
      <c r="D1620" s="35">
        <f>+'[2]por cuent'!G1620</f>
        <v>54392787.579999998</v>
      </c>
      <c r="E1620" s="35">
        <f>+'[2]por cuent'!H1620</f>
        <v>54392787.579999998</v>
      </c>
      <c r="F1620" t="str">
        <f>+'[2]por cuent'!I1620</f>
        <v>554</v>
      </c>
    </row>
    <row r="1621" spans="1:6" x14ac:dyDescent="0.35">
      <c r="A1621" t="str">
        <f>+'[2]por cuent'!A1621</f>
        <v>ARS</v>
      </c>
      <c r="B1621" t="str">
        <f>+'[2]por cuent'!B1621</f>
        <v>554000012</v>
      </c>
      <c r="C1621" t="str">
        <f>+'[2]por cuent'!C1621</f>
        <v>MARIO GABRIEL SCALABRELLI Y/O OTROS</v>
      </c>
      <c r="D1621" s="35">
        <f>+'[2]por cuent'!G1621</f>
        <v>23768670.620000001</v>
      </c>
      <c r="E1621" s="35">
        <f>+'[2]por cuent'!H1621</f>
        <v>23768670.620000001</v>
      </c>
      <c r="F1621" t="str">
        <f>+'[2]por cuent'!I1621</f>
        <v>554</v>
      </c>
    </row>
    <row r="1622" spans="1:6" x14ac:dyDescent="0.35">
      <c r="A1622" t="str">
        <f>+'[2]por cuent'!A1622</f>
        <v>ARS</v>
      </c>
      <c r="B1622" t="str">
        <f>+'[2]por cuent'!B1622</f>
        <v>554000017</v>
      </c>
      <c r="C1622" t="str">
        <f>+'[2]por cuent'!C1622</f>
        <v>Di Bari, Teresa Catalina</v>
      </c>
      <c r="D1622" s="35">
        <f>+'[2]por cuent'!G1622</f>
        <v>1601273</v>
      </c>
      <c r="E1622" s="35">
        <f>+'[2]por cuent'!H1622</f>
        <v>1601273</v>
      </c>
      <c r="F1622" t="str">
        <f>+'[2]por cuent'!I1622</f>
        <v>554</v>
      </c>
    </row>
    <row r="1623" spans="1:6" x14ac:dyDescent="0.35">
      <c r="A1623" t="str">
        <f>+'[2]por cuent'!A1623</f>
        <v>ARS</v>
      </c>
      <c r="B1623" t="str">
        <f>+'[2]por cuent'!B1623</f>
        <v>554000018</v>
      </c>
      <c r="C1623" t="str">
        <f>+'[2]por cuent'!C1623</f>
        <v>Nazar, Manuel</v>
      </c>
      <c r="D1623" s="35">
        <f>+'[2]por cuent'!G1623</f>
        <v>22851775.77</v>
      </c>
      <c r="E1623" s="35">
        <f>+'[2]por cuent'!H1623</f>
        <v>22851775.77</v>
      </c>
      <c r="F1623" t="str">
        <f>+'[2]por cuent'!I1623</f>
        <v>554</v>
      </c>
    </row>
    <row r="1624" spans="1:6" x14ac:dyDescent="0.35">
      <c r="A1624" t="str">
        <f>+'[2]por cuent'!A1624</f>
        <v>ARS</v>
      </c>
      <c r="B1624" t="str">
        <f>+'[2]por cuent'!B1624</f>
        <v>554000161</v>
      </c>
      <c r="C1624" t="str">
        <f>+'[2]por cuent'!C1624</f>
        <v>GMAK SA</v>
      </c>
      <c r="D1624" s="35">
        <f>+'[2]por cuent'!G1624</f>
        <v>3559525606</v>
      </c>
      <c r="E1624" s="35">
        <f>+'[2]por cuent'!H1624</f>
        <v>3559525606</v>
      </c>
      <c r="F1624" t="str">
        <f>+'[2]por cuent'!I1624</f>
        <v>554</v>
      </c>
    </row>
    <row r="1625" spans="1:6" x14ac:dyDescent="0.35">
      <c r="A1625" t="str">
        <f>+'[2]por cuent'!A1625</f>
        <v>ARS</v>
      </c>
      <c r="B1625" t="str">
        <f>+'[2]por cuent'!B1625</f>
        <v>554000195</v>
      </c>
      <c r="C1625" t="str">
        <f>+'[2]por cuent'!C1625</f>
        <v>TRES GROUP SOCIEDAD ANONIMA</v>
      </c>
      <c r="D1625" s="35">
        <f>+'[2]por cuent'!G1625</f>
        <v>2226971</v>
      </c>
      <c r="E1625" s="35">
        <f>+'[2]por cuent'!H1625</f>
        <v>2226971</v>
      </c>
      <c r="F1625" t="str">
        <f>+'[2]por cuent'!I1625</f>
        <v>554</v>
      </c>
    </row>
    <row r="1626" spans="1:6" x14ac:dyDescent="0.35">
      <c r="A1626" t="str">
        <f>+'[2]por cuent'!A1626</f>
        <v>ARS</v>
      </c>
      <c r="B1626" t="str">
        <f>+'[2]por cuent'!B1626</f>
        <v>554000209</v>
      </c>
      <c r="C1626" t="str">
        <f>+'[2]por cuent'!C1626</f>
        <v>ELIZONDO APARICI, PABLO EXEQUIEL</v>
      </c>
      <c r="D1626" s="35">
        <f>+'[2]por cuent'!G1626</f>
        <v>74543707.409999996</v>
      </c>
      <c r="E1626" s="35">
        <f>+'[2]por cuent'!H1626</f>
        <v>74543707.409999996</v>
      </c>
      <c r="F1626" t="str">
        <f>+'[2]por cuent'!I1626</f>
        <v>554</v>
      </c>
    </row>
    <row r="1627" spans="1:6" x14ac:dyDescent="0.35">
      <c r="A1627" t="str">
        <f>+'[2]por cuent'!A1627</f>
        <v>ARS</v>
      </c>
      <c r="B1627" t="str">
        <f>+'[2]por cuent'!B1627</f>
        <v>554000279</v>
      </c>
      <c r="C1627" t="str">
        <f>+'[2]por cuent'!C1627</f>
        <v>Vinificadora Aconcagua S.A.</v>
      </c>
      <c r="D1627" s="35">
        <f>+'[2]por cuent'!G1627</f>
        <v>638273387.49000001</v>
      </c>
      <c r="E1627" s="35">
        <f>+'[2]por cuent'!H1627</f>
        <v>638273387.49000001</v>
      </c>
      <c r="F1627" t="str">
        <f>+'[2]por cuent'!I1627</f>
        <v>554</v>
      </c>
    </row>
    <row r="1628" spans="1:6" x14ac:dyDescent="0.35">
      <c r="A1628" t="str">
        <f>+'[2]por cuent'!A1628</f>
        <v>ARS</v>
      </c>
      <c r="B1628" t="str">
        <f>+'[2]por cuent'!B1628</f>
        <v>554000282</v>
      </c>
      <c r="C1628" t="str">
        <f>+'[2]por cuent'!C1628</f>
        <v>Lambertucci S.A.</v>
      </c>
      <c r="D1628" s="35">
        <f>+'[2]por cuent'!G1628</f>
        <v>307913824</v>
      </c>
      <c r="E1628" s="35">
        <f>+'[2]por cuent'!H1628</f>
        <v>307913824</v>
      </c>
      <c r="F1628" t="str">
        <f>+'[2]por cuent'!I1628</f>
        <v>554</v>
      </c>
    </row>
    <row r="1629" spans="1:6" x14ac:dyDescent="0.35">
      <c r="A1629" t="str">
        <f>+'[2]por cuent'!A1629</f>
        <v>ARS</v>
      </c>
      <c r="B1629" t="str">
        <f>+'[2]por cuent'!B1629</f>
        <v>554000296</v>
      </c>
      <c r="C1629" t="str">
        <f>+'[2]por cuent'!C1629</f>
        <v>Exporservice S.A.</v>
      </c>
      <c r="D1629" s="35">
        <f>+'[2]por cuent'!G1629</f>
        <v>4913649</v>
      </c>
      <c r="E1629" s="35">
        <f>+'[2]por cuent'!H1629</f>
        <v>4913649</v>
      </c>
      <c r="F1629" t="str">
        <f>+'[2]por cuent'!I1629</f>
        <v>554</v>
      </c>
    </row>
    <row r="1630" spans="1:6" x14ac:dyDescent="0.35">
      <c r="A1630" t="str">
        <f>+'[2]por cuent'!A1630</f>
        <v>ARS</v>
      </c>
      <c r="B1630" t="str">
        <f>+'[2]por cuent'!B1630</f>
        <v>554000299</v>
      </c>
      <c r="C1630" t="str">
        <f>+'[2]por cuent'!C1630</f>
        <v>Cuchietti, Hug Francisco y/o Garcia, Maria Belen</v>
      </c>
      <c r="D1630" s="35">
        <f>+'[2]por cuent'!G1630</f>
        <v>2685126.87</v>
      </c>
      <c r="E1630" s="35">
        <f>+'[2]por cuent'!H1630</f>
        <v>2685126.87</v>
      </c>
      <c r="F1630" t="str">
        <f>+'[2]por cuent'!I1630</f>
        <v>554</v>
      </c>
    </row>
    <row r="1631" spans="1:6" x14ac:dyDescent="0.35">
      <c r="A1631" t="str">
        <f>+'[2]por cuent'!A1631</f>
        <v>ARS</v>
      </c>
      <c r="B1631" t="str">
        <f>+'[2]por cuent'!B1631</f>
        <v>554000307</v>
      </c>
      <c r="C1631" t="str">
        <f>+'[2]por cuent'!C1631</f>
        <v>Los Coirones S.A.</v>
      </c>
      <c r="D1631" s="35">
        <f>+'[2]por cuent'!G1631</f>
        <v>64341098.950000003</v>
      </c>
      <c r="E1631" s="35">
        <f>+'[2]por cuent'!H1631</f>
        <v>64341098.950000003</v>
      </c>
      <c r="F1631" t="str">
        <f>+'[2]por cuent'!I1631</f>
        <v>554</v>
      </c>
    </row>
    <row r="1632" spans="1:6" x14ac:dyDescent="0.35">
      <c r="A1632" t="str">
        <f>+'[2]por cuent'!A1632</f>
        <v>ARS</v>
      </c>
      <c r="B1632" t="str">
        <f>+'[2]por cuent'!B1632</f>
        <v>554000311</v>
      </c>
      <c r="C1632" t="str">
        <f>+'[2]por cuent'!C1632</f>
        <v>Cuvelier los Andes S.A.</v>
      </c>
      <c r="D1632" s="35">
        <f>+'[2]por cuent'!G1632</f>
        <v>342596113.11000001</v>
      </c>
      <c r="E1632" s="35">
        <f>+'[2]por cuent'!H1632</f>
        <v>342596113.11000001</v>
      </c>
      <c r="F1632" t="str">
        <f>+'[2]por cuent'!I1632</f>
        <v>554</v>
      </c>
    </row>
    <row r="1633" spans="1:6" x14ac:dyDescent="0.35">
      <c r="A1633" t="str">
        <f>+'[2]por cuent'!A1633</f>
        <v>ARS</v>
      </c>
      <c r="B1633" t="str">
        <f>+'[2]por cuent'!B1633</f>
        <v>554000314</v>
      </c>
      <c r="C1633" t="str">
        <f>+'[2]por cuent'!C1633</f>
        <v>Comercial y Agro MR S.A.</v>
      </c>
      <c r="D1633" s="35">
        <f>+'[2]por cuent'!G1633</f>
        <v>459839</v>
      </c>
      <c r="E1633" s="35">
        <f>+'[2]por cuent'!H1633</f>
        <v>459839</v>
      </c>
      <c r="F1633" t="str">
        <f>+'[2]por cuent'!I1633</f>
        <v>554</v>
      </c>
    </row>
    <row r="1634" spans="1:6" x14ac:dyDescent="0.35">
      <c r="A1634" t="str">
        <f>+'[2]por cuent'!A1634</f>
        <v>ARS</v>
      </c>
      <c r="B1634" t="str">
        <f>+'[2]por cuent'!B1634</f>
        <v>554000315</v>
      </c>
      <c r="C1634" t="str">
        <f>+'[2]por cuent'!C1634</f>
        <v>Italiano Moreno, Pablo Abel</v>
      </c>
      <c r="D1634" s="35">
        <f>+'[2]por cuent'!G1634</f>
        <v>5371273.4000000004</v>
      </c>
      <c r="E1634" s="35">
        <f>+'[2]por cuent'!H1634</f>
        <v>5371273.4000000004</v>
      </c>
      <c r="F1634" t="str">
        <f>+'[2]por cuent'!I1634</f>
        <v>554</v>
      </c>
    </row>
    <row r="1635" spans="1:6" x14ac:dyDescent="0.35">
      <c r="A1635" t="str">
        <f>+'[2]por cuent'!A1635</f>
        <v>ARS</v>
      </c>
      <c r="B1635" t="str">
        <f>+'[2]por cuent'!B1635</f>
        <v>554000320</v>
      </c>
      <c r="C1635" t="str">
        <f>+'[2]por cuent'!C1635</f>
        <v>Loes S.A.</v>
      </c>
      <c r="D1635" s="35">
        <f>+'[2]por cuent'!G1635</f>
        <v>29503803.120000001</v>
      </c>
      <c r="E1635" s="35">
        <f>+'[2]por cuent'!H1635</f>
        <v>29503803.120000001</v>
      </c>
      <c r="F1635" t="str">
        <f>+'[2]por cuent'!I1635</f>
        <v>554</v>
      </c>
    </row>
    <row r="1636" spans="1:6" x14ac:dyDescent="0.35">
      <c r="A1636" t="str">
        <f>+'[2]por cuent'!A1636</f>
        <v>ARS</v>
      </c>
      <c r="B1636" t="str">
        <f>+'[2]por cuent'!B1636</f>
        <v>554000323</v>
      </c>
      <c r="C1636" t="str">
        <f>+'[2]por cuent'!C1636</f>
        <v>Servir S.A.</v>
      </c>
      <c r="D1636" s="35">
        <f>+'[2]por cuent'!G1636</f>
        <v>2488870</v>
      </c>
      <c r="E1636" s="35">
        <f>+'[2]por cuent'!H1636</f>
        <v>2488870</v>
      </c>
      <c r="F1636" t="str">
        <f>+'[2]por cuent'!I1636</f>
        <v>554</v>
      </c>
    </row>
    <row r="1637" spans="1:6" x14ac:dyDescent="0.35">
      <c r="A1637" t="str">
        <f>+'[2]por cuent'!A1637</f>
        <v>ARS</v>
      </c>
      <c r="B1637" t="str">
        <f>+'[2]por cuent'!B1637</f>
        <v>554000369</v>
      </c>
      <c r="C1637" t="str">
        <f>+'[2]por cuent'!C1637</f>
        <v>QUANTEC GEOSCIENCE ARGENTINA S.A.,</v>
      </c>
      <c r="D1637" s="35">
        <f>+'[2]por cuent'!G1637</f>
        <v>817089663.11000001</v>
      </c>
      <c r="E1637" s="35">
        <f>+'[2]por cuent'!H1637</f>
        <v>817089663.11000001</v>
      </c>
      <c r="F1637" t="str">
        <f>+'[2]por cuent'!I1637</f>
        <v>554</v>
      </c>
    </row>
    <row r="1638" spans="1:6" x14ac:dyDescent="0.35">
      <c r="A1638" t="str">
        <f>+'[2]por cuent'!A1638</f>
        <v>ARS</v>
      </c>
      <c r="B1638" t="str">
        <f>+'[2]por cuent'!B1638</f>
        <v>554000372</v>
      </c>
      <c r="C1638" t="str">
        <f>+'[2]por cuent'!C1638</f>
        <v>Quale SA</v>
      </c>
      <c r="D1638" s="35">
        <f>+'[2]por cuent'!G1638</f>
        <v>70228191.560000002</v>
      </c>
      <c r="E1638" s="35">
        <f>+'[2]por cuent'!H1638</f>
        <v>70228191.560000002</v>
      </c>
      <c r="F1638" t="str">
        <f>+'[2]por cuent'!I1638</f>
        <v>554</v>
      </c>
    </row>
    <row r="1639" spans="1:6" x14ac:dyDescent="0.35">
      <c r="A1639" t="str">
        <f>+'[2]por cuent'!A1639</f>
        <v>ARS</v>
      </c>
      <c r="B1639" t="str">
        <f>+'[2]por cuent'!B1639</f>
        <v>554000374</v>
      </c>
      <c r="C1639" t="str">
        <f>+'[2]por cuent'!C1639</f>
        <v>Paez Norberto Gerardo</v>
      </c>
      <c r="D1639" s="35">
        <f>+'[2]por cuent'!G1639</f>
        <v>14027474.98</v>
      </c>
      <c r="E1639" s="35">
        <f>+'[2]por cuent'!H1639</f>
        <v>14027474.98</v>
      </c>
      <c r="F1639" t="str">
        <f>+'[2]por cuent'!I1639</f>
        <v>554</v>
      </c>
    </row>
    <row r="1640" spans="1:6" x14ac:dyDescent="0.35">
      <c r="A1640" t="str">
        <f>+'[2]por cuent'!A1640</f>
        <v>ARS</v>
      </c>
      <c r="B1640" t="str">
        <f>+'[2]por cuent'!B1640</f>
        <v>554000376</v>
      </c>
      <c r="C1640" t="str">
        <f>+'[2]por cuent'!C1640</f>
        <v>Emprendimiento Andino SA</v>
      </c>
      <c r="D1640" s="35">
        <f>+'[2]por cuent'!G1640</f>
        <v>751502026.84000003</v>
      </c>
      <c r="E1640" s="35">
        <f>+'[2]por cuent'!H1640</f>
        <v>751502026.84000003</v>
      </c>
      <c r="F1640" t="str">
        <f>+'[2]por cuent'!I1640</f>
        <v>554</v>
      </c>
    </row>
    <row r="1641" spans="1:6" x14ac:dyDescent="0.35">
      <c r="A1641" t="str">
        <f>+'[2]por cuent'!A1641</f>
        <v>ARS</v>
      </c>
      <c r="B1641" t="str">
        <f>+'[2]por cuent'!B1641</f>
        <v>554000380</v>
      </c>
      <c r="C1641" t="str">
        <f>+'[2]por cuent'!C1641</f>
        <v>Bisole, Félix Sebastián</v>
      </c>
      <c r="D1641" s="35">
        <f>+'[2]por cuent'!G1641</f>
        <v>27062999.809999999</v>
      </c>
      <c r="E1641" s="35">
        <f>+'[2]por cuent'!H1641</f>
        <v>27062999.809999999</v>
      </c>
      <c r="F1641" t="str">
        <f>+'[2]por cuent'!I1641</f>
        <v>554</v>
      </c>
    </row>
    <row r="1642" spans="1:6" x14ac:dyDescent="0.35">
      <c r="A1642" t="str">
        <f>+'[2]por cuent'!A1642</f>
        <v>ARS</v>
      </c>
      <c r="B1642" t="str">
        <f>+'[2]por cuent'!B1642</f>
        <v>554000382</v>
      </c>
      <c r="C1642" t="str">
        <f>+'[2]por cuent'!C1642</f>
        <v>ABALORIOS ACCESORIOS S.A.S.</v>
      </c>
      <c r="D1642" s="35">
        <f>+'[2]por cuent'!G1642</f>
        <v>10506381.91</v>
      </c>
      <c r="E1642" s="35">
        <f>+'[2]por cuent'!H1642</f>
        <v>10506381.91</v>
      </c>
      <c r="F1642" t="str">
        <f>+'[2]por cuent'!I1642</f>
        <v>554</v>
      </c>
    </row>
    <row r="1643" spans="1:6" x14ac:dyDescent="0.35">
      <c r="A1643" t="str">
        <f>+'[2]por cuent'!A1643</f>
        <v>ARS</v>
      </c>
      <c r="B1643" t="str">
        <f>+'[2]por cuent'!B1643</f>
        <v>554000384</v>
      </c>
      <c r="C1643" t="str">
        <f>+'[2]por cuent'!C1643</f>
        <v>Paez Norberto Domingo</v>
      </c>
      <c r="D1643" s="35">
        <f>+'[2]por cuent'!G1643</f>
        <v>2486367.9</v>
      </c>
      <c r="E1643" s="35">
        <f>+'[2]por cuent'!H1643</f>
        <v>2486367.9</v>
      </c>
      <c r="F1643" t="str">
        <f>+'[2]por cuent'!I1643</f>
        <v>554</v>
      </c>
    </row>
    <row r="1644" spans="1:6" x14ac:dyDescent="0.35">
      <c r="A1644" t="str">
        <f>+'[2]por cuent'!A1644</f>
        <v>ARS</v>
      </c>
      <c r="B1644" t="str">
        <f>+'[2]por cuent'!B1644</f>
        <v>554000385</v>
      </c>
      <c r="C1644" t="str">
        <f>+'[2]por cuent'!C1644</f>
        <v>Gole SA</v>
      </c>
      <c r="D1644" s="35">
        <f>+'[2]por cuent'!G1644</f>
        <v>101683162.38</v>
      </c>
      <c r="E1644" s="35">
        <f>+'[2]por cuent'!H1644</f>
        <v>101683162.38</v>
      </c>
      <c r="F1644" t="str">
        <f>+'[2]por cuent'!I1644</f>
        <v>554</v>
      </c>
    </row>
    <row r="1645" spans="1:6" x14ac:dyDescent="0.35">
      <c r="A1645" t="str">
        <f>+'[2]por cuent'!A1645</f>
        <v>ARS</v>
      </c>
      <c r="B1645" t="str">
        <f>+'[2]por cuent'!B1645</f>
        <v>554000393</v>
      </c>
      <c r="C1645" t="str">
        <f>+'[2]por cuent'!C1645</f>
        <v xml:space="preserve">Unger &amp; Asociados </v>
      </c>
      <c r="D1645" s="35">
        <f>+'[2]por cuent'!G1645</f>
        <v>50805570.060000002</v>
      </c>
      <c r="E1645" s="35">
        <f>+'[2]por cuent'!H1645</f>
        <v>50805570.060000002</v>
      </c>
      <c r="F1645" t="str">
        <f>+'[2]por cuent'!I1645</f>
        <v>554</v>
      </c>
    </row>
    <row r="1646" spans="1:6" x14ac:dyDescent="0.35">
      <c r="A1646" t="str">
        <f>+'[2]por cuent'!A1646</f>
        <v>ARS</v>
      </c>
      <c r="B1646" t="str">
        <f>+'[2]por cuent'!B1646</f>
        <v>554000397</v>
      </c>
      <c r="C1646" t="str">
        <f>+'[2]por cuent'!C1646</f>
        <v>Di Bari, Tomas Francisco</v>
      </c>
      <c r="D1646" s="35">
        <f>+'[2]por cuent'!G1646</f>
        <v>12049749.98</v>
      </c>
      <c r="E1646" s="35">
        <f>+'[2]por cuent'!H1646</f>
        <v>12049749.98</v>
      </c>
      <c r="F1646" t="str">
        <f>+'[2]por cuent'!I1646</f>
        <v>554</v>
      </c>
    </row>
    <row r="1647" spans="1:6" x14ac:dyDescent="0.35">
      <c r="A1647" t="str">
        <f>+'[2]por cuent'!A1647</f>
        <v>ARS</v>
      </c>
      <c r="B1647" t="str">
        <f>+'[2]por cuent'!B1647</f>
        <v>554000407</v>
      </c>
      <c r="C1647" t="str">
        <f>+'[2]por cuent'!C1647</f>
        <v>Amoretti, Diego</v>
      </c>
      <c r="D1647" s="35">
        <f>+'[2]por cuent'!G1647</f>
        <v>8567</v>
      </c>
      <c r="E1647" s="35">
        <f>+'[2]por cuent'!H1647</f>
        <v>8567</v>
      </c>
      <c r="F1647" t="str">
        <f>+'[2]por cuent'!I1647</f>
        <v>554</v>
      </c>
    </row>
    <row r="1648" spans="1:6" x14ac:dyDescent="0.35">
      <c r="A1648" t="str">
        <f>+'[2]por cuent'!A1648</f>
        <v>ARS</v>
      </c>
      <c r="B1648" t="str">
        <f>+'[2]por cuent'!B1648</f>
        <v>554000409</v>
      </c>
      <c r="C1648" t="str">
        <f>+'[2]por cuent'!C1648</f>
        <v>Benz Parts S.A.S</v>
      </c>
      <c r="D1648" s="35">
        <f>+'[2]por cuent'!G1648</f>
        <v>430488038.69999999</v>
      </c>
      <c r="E1648" s="35">
        <f>+'[2]por cuent'!H1648</f>
        <v>430488038.69999999</v>
      </c>
      <c r="F1648" t="str">
        <f>+'[2]por cuent'!I1648</f>
        <v>554</v>
      </c>
    </row>
    <row r="1649" spans="1:6" x14ac:dyDescent="0.35">
      <c r="A1649" t="str">
        <f>+'[2]por cuent'!A1649</f>
        <v>ARS</v>
      </c>
      <c r="B1649" t="str">
        <f>+'[2]por cuent'!B1649</f>
        <v>554000410</v>
      </c>
      <c r="C1649" t="str">
        <f>+'[2]por cuent'!C1649</f>
        <v>Cad, Angelica Liliana</v>
      </c>
      <c r="D1649" s="35">
        <f>+'[2]por cuent'!G1649</f>
        <v>292497</v>
      </c>
      <c r="E1649" s="35">
        <f>+'[2]por cuent'!H1649</f>
        <v>292497</v>
      </c>
      <c r="F1649" t="str">
        <f>+'[2]por cuent'!I1649</f>
        <v>554</v>
      </c>
    </row>
    <row r="1650" spans="1:6" x14ac:dyDescent="0.35">
      <c r="A1650" t="str">
        <f>+'[2]por cuent'!A1650</f>
        <v>ARS</v>
      </c>
      <c r="B1650" t="str">
        <f>+'[2]por cuent'!B1650</f>
        <v>554000411</v>
      </c>
      <c r="C1650" t="str">
        <f>+'[2]por cuent'!C1650</f>
        <v>Meregalli, Fabio</v>
      </c>
      <c r="D1650" s="35">
        <f>+'[2]por cuent'!G1650</f>
        <v>239706.4</v>
      </c>
      <c r="E1650" s="35">
        <f>+'[2]por cuent'!H1650</f>
        <v>239706.4</v>
      </c>
      <c r="F1650" t="str">
        <f>+'[2]por cuent'!I1650</f>
        <v>554</v>
      </c>
    </row>
    <row r="1651" spans="1:6" x14ac:dyDescent="0.35">
      <c r="A1651" t="str">
        <f>+'[2]por cuent'!A1651</f>
        <v>ARS</v>
      </c>
      <c r="B1651" t="str">
        <f>+'[2]por cuent'!B1651</f>
        <v>554000414</v>
      </c>
      <c r="C1651" t="str">
        <f>+'[2]por cuent'!C1651</f>
        <v>Campeche S.A.S</v>
      </c>
      <c r="D1651" s="35">
        <f>+'[2]por cuent'!G1651</f>
        <v>16777374.800000001</v>
      </c>
      <c r="E1651" s="35">
        <f>+'[2]por cuent'!H1651</f>
        <v>16777374.800000001</v>
      </c>
      <c r="F1651" t="str">
        <f>+'[2]por cuent'!I1651</f>
        <v>554</v>
      </c>
    </row>
    <row r="1652" spans="1:6" x14ac:dyDescent="0.35">
      <c r="A1652" t="str">
        <f>+'[2]por cuent'!A1652</f>
        <v>ARS</v>
      </c>
      <c r="B1652" t="str">
        <f>+'[2]por cuent'!B1652</f>
        <v>554000415</v>
      </c>
      <c r="C1652" t="str">
        <f>+'[2]por cuent'!C1652</f>
        <v>Lopresti, Silvina Cora</v>
      </c>
      <c r="D1652" s="35">
        <f>+'[2]por cuent'!G1652</f>
        <v>136345168.69</v>
      </c>
      <c r="E1652" s="35">
        <f>+'[2]por cuent'!H1652</f>
        <v>136345168.69</v>
      </c>
      <c r="F1652" t="str">
        <f>+'[2]por cuent'!I1652</f>
        <v>554</v>
      </c>
    </row>
    <row r="1653" spans="1:6" x14ac:dyDescent="0.35">
      <c r="A1653" t="str">
        <f>+'[2]por cuent'!A1653</f>
        <v>ARS</v>
      </c>
      <c r="B1653" t="str">
        <f>+'[2]por cuent'!B1653</f>
        <v>554000418</v>
      </c>
      <c r="C1653" t="str">
        <f>+'[2]por cuent'!C1653</f>
        <v>Camelback S.A.S.</v>
      </c>
      <c r="D1653" s="35">
        <f>+'[2]por cuent'!G1653</f>
        <v>2071039.5</v>
      </c>
      <c r="E1653" s="35">
        <f>+'[2]por cuent'!H1653</f>
        <v>2071039.5</v>
      </c>
      <c r="F1653" t="str">
        <f>+'[2]por cuent'!I1653</f>
        <v>554</v>
      </c>
    </row>
    <row r="1654" spans="1:6" x14ac:dyDescent="0.35">
      <c r="A1654" t="str">
        <f>+'[2]por cuent'!A1654</f>
        <v>ARS</v>
      </c>
      <c r="B1654" t="str">
        <f>+'[2]por cuent'!B1654</f>
        <v>554000423</v>
      </c>
      <c r="C1654" t="str">
        <f>+'[2]por cuent'!C1654</f>
        <v>Estrella, Sergio Eugenio</v>
      </c>
      <c r="D1654" s="35">
        <f>+'[2]por cuent'!G1654</f>
        <v>6381502.9000000004</v>
      </c>
      <c r="E1654" s="35">
        <f>+'[2]por cuent'!H1654</f>
        <v>6381502.9000000004</v>
      </c>
      <c r="F1654" t="str">
        <f>+'[2]por cuent'!I1654</f>
        <v>554</v>
      </c>
    </row>
    <row r="1655" spans="1:6" x14ac:dyDescent="0.35">
      <c r="A1655" t="str">
        <f>+'[2]por cuent'!A1655</f>
        <v>ARS</v>
      </c>
      <c r="B1655" t="str">
        <f>+'[2]por cuent'!B1655</f>
        <v>554000424</v>
      </c>
      <c r="C1655" t="str">
        <f>+'[2]por cuent'!C1655</f>
        <v>Nebot, Mariana Lourdes</v>
      </c>
      <c r="D1655" s="35">
        <f>+'[2]por cuent'!G1655</f>
        <v>11911486.1</v>
      </c>
      <c r="E1655" s="35">
        <f>+'[2]por cuent'!H1655</f>
        <v>11911486.1</v>
      </c>
      <c r="F1655" t="str">
        <f>+'[2]por cuent'!I1655</f>
        <v>554</v>
      </c>
    </row>
    <row r="1656" spans="1:6" x14ac:dyDescent="0.35">
      <c r="A1656" t="str">
        <f>+'[2]por cuent'!A1656</f>
        <v>ARS</v>
      </c>
      <c r="B1656" t="str">
        <f>+'[2]por cuent'!B1656</f>
        <v>554000428</v>
      </c>
      <c r="C1656" t="str">
        <f>+'[2]por cuent'!C1656</f>
        <v>Foresi, Carlos Agustin</v>
      </c>
      <c r="D1656" s="35">
        <f>+'[2]por cuent'!G1656</f>
        <v>16011045</v>
      </c>
      <c r="E1656" s="35">
        <f>+'[2]por cuent'!H1656</f>
        <v>16011045</v>
      </c>
      <c r="F1656" t="str">
        <f>+'[2]por cuent'!I1656</f>
        <v>554</v>
      </c>
    </row>
    <row r="1657" spans="1:6" x14ac:dyDescent="0.35">
      <c r="A1657" t="str">
        <f>+'[2]por cuent'!A1657</f>
        <v>ARS</v>
      </c>
      <c r="B1657" t="str">
        <f>+'[2]por cuent'!B1657</f>
        <v>554000429</v>
      </c>
      <c r="C1657" t="str">
        <f>+'[2]por cuent'!C1657</f>
        <v>Devincenzi, Marisa Graciela</v>
      </c>
      <c r="D1657" s="35">
        <f>+'[2]por cuent'!G1657</f>
        <v>32215123.91</v>
      </c>
      <c r="E1657" s="35">
        <f>+'[2]por cuent'!H1657</f>
        <v>32215123.91</v>
      </c>
      <c r="F1657" t="str">
        <f>+'[2]por cuent'!I1657</f>
        <v>554</v>
      </c>
    </row>
    <row r="1658" spans="1:6" x14ac:dyDescent="0.35">
      <c r="A1658" t="str">
        <f>+'[2]por cuent'!A1658</f>
        <v>ARS</v>
      </c>
      <c r="B1658" t="str">
        <f>+'[2]por cuent'!B1658</f>
        <v>554000430</v>
      </c>
      <c r="C1658" t="str">
        <f>+'[2]por cuent'!C1658</f>
        <v>Hernandez, Soledad</v>
      </c>
      <c r="D1658" s="35">
        <f>+'[2]por cuent'!G1658</f>
        <v>8357303.54</v>
      </c>
      <c r="E1658" s="35">
        <f>+'[2]por cuent'!H1658</f>
        <v>8357303.54</v>
      </c>
      <c r="F1658" t="str">
        <f>+'[2]por cuent'!I1658</f>
        <v>554</v>
      </c>
    </row>
    <row r="1659" spans="1:6" x14ac:dyDescent="0.35">
      <c r="A1659" t="str">
        <f>+'[2]por cuent'!A1659</f>
        <v>ARS</v>
      </c>
      <c r="B1659" t="str">
        <f>+'[2]por cuent'!B1659</f>
        <v>554000432</v>
      </c>
      <c r="C1659" t="str">
        <f>+'[2]por cuent'!C1659</f>
        <v>Chiarpotti, Luciano</v>
      </c>
      <c r="D1659" s="35">
        <f>+'[2]por cuent'!G1659</f>
        <v>2327112.2200000002</v>
      </c>
      <c r="E1659" s="35">
        <f>+'[2]por cuent'!H1659</f>
        <v>2327112.2200000002</v>
      </c>
      <c r="F1659" t="str">
        <f>+'[2]por cuent'!I1659</f>
        <v>554</v>
      </c>
    </row>
    <row r="1660" spans="1:6" x14ac:dyDescent="0.35">
      <c r="A1660" t="str">
        <f>+'[2]por cuent'!A1660</f>
        <v>ARS</v>
      </c>
      <c r="B1660" t="str">
        <f>+'[2]por cuent'!B1660</f>
        <v>554000433</v>
      </c>
      <c r="C1660" t="str">
        <f>+'[2]por cuent'!C1660</f>
        <v>Di Bari, Mariana Y/O Di Bari Rego, Santiago</v>
      </c>
      <c r="D1660" s="35">
        <f>+'[2]por cuent'!G1660</f>
        <v>90411632.409999996</v>
      </c>
      <c r="E1660" s="35">
        <f>+'[2]por cuent'!H1660</f>
        <v>90411632.409999996</v>
      </c>
      <c r="F1660" t="str">
        <f>+'[2]por cuent'!I1660</f>
        <v>554</v>
      </c>
    </row>
    <row r="1661" spans="1:6" x14ac:dyDescent="0.35">
      <c r="A1661" t="str">
        <f>+'[2]por cuent'!A1661</f>
        <v>ARS</v>
      </c>
      <c r="B1661" t="str">
        <f>+'[2]por cuent'!B1661</f>
        <v>554000435</v>
      </c>
      <c r="C1661" t="str">
        <f>+'[2]por cuent'!C1661</f>
        <v>Piscopo, Enrique Nicolas</v>
      </c>
      <c r="D1661" s="35">
        <f>+'[2]por cuent'!G1661</f>
        <v>217376</v>
      </c>
      <c r="E1661" s="35">
        <f>+'[2]por cuent'!H1661</f>
        <v>217376</v>
      </c>
      <c r="F1661" t="str">
        <f>+'[2]por cuent'!I1661</f>
        <v>554</v>
      </c>
    </row>
    <row r="1662" spans="1:6" x14ac:dyDescent="0.35">
      <c r="A1662" t="str">
        <f>+'[2]por cuent'!A1662</f>
        <v>ARS</v>
      </c>
      <c r="B1662" t="str">
        <f>+'[2]por cuent'!B1662</f>
        <v>554000437</v>
      </c>
      <c r="C1662" t="str">
        <f>+'[2]por cuent'!C1662</f>
        <v>YUHAN S.A.</v>
      </c>
      <c r="D1662" s="35">
        <f>+'[2]por cuent'!G1662</f>
        <v>2139507.62</v>
      </c>
      <c r="E1662" s="35">
        <f>+'[2]por cuent'!H1662</f>
        <v>2139507.62</v>
      </c>
      <c r="F1662" t="str">
        <f>+'[2]por cuent'!I1662</f>
        <v>554</v>
      </c>
    </row>
    <row r="1663" spans="1:6" x14ac:dyDescent="0.35">
      <c r="A1663" t="str">
        <f>+'[2]por cuent'!A1663</f>
        <v>ARS</v>
      </c>
      <c r="B1663" t="str">
        <f>+'[2]por cuent'!B1663</f>
        <v>554000440</v>
      </c>
      <c r="C1663" t="str">
        <f>+'[2]por cuent'!C1663</f>
        <v>Brú Juan Francisco y/o Brú Stocco Juan Ignacio</v>
      </c>
      <c r="D1663" s="35">
        <f>+'[2]por cuent'!G1663</f>
        <v>27867946.280000001</v>
      </c>
      <c r="E1663" s="35">
        <f>+'[2]por cuent'!H1663</f>
        <v>27867946.280000001</v>
      </c>
      <c r="F1663" t="str">
        <f>+'[2]por cuent'!I1663</f>
        <v>554</v>
      </c>
    </row>
    <row r="1664" spans="1:6" x14ac:dyDescent="0.35">
      <c r="A1664" t="str">
        <f>+'[2]por cuent'!A1664</f>
        <v>ARS</v>
      </c>
      <c r="B1664" t="str">
        <f>+'[2]por cuent'!B1664</f>
        <v>554000451</v>
      </c>
      <c r="C1664" t="str">
        <f>+'[2]por cuent'!C1664</f>
        <v>Don Juan S.A.S.</v>
      </c>
      <c r="D1664" s="35">
        <f>+'[2]por cuent'!G1664</f>
        <v>6478194.7199999997</v>
      </c>
      <c r="E1664" s="35">
        <f>+'[2]por cuent'!H1664</f>
        <v>6478194.7199999997</v>
      </c>
      <c r="F1664" t="str">
        <f>+'[2]por cuent'!I1664</f>
        <v>554</v>
      </c>
    </row>
    <row r="1665" spans="1:6" x14ac:dyDescent="0.35">
      <c r="A1665" t="str">
        <f>+'[2]por cuent'!A1665</f>
        <v>ARS</v>
      </c>
      <c r="B1665" t="str">
        <f>+'[2]por cuent'!B1665</f>
        <v>554000453</v>
      </c>
      <c r="C1665" t="str">
        <f>+'[2]por cuent'!C1665</f>
        <v>Limpower Servicios S.A.S.</v>
      </c>
      <c r="D1665" s="35">
        <f>+'[2]por cuent'!G1665</f>
        <v>22890034.300000001</v>
      </c>
      <c r="E1665" s="35">
        <f>+'[2]por cuent'!H1665</f>
        <v>22890034.300000001</v>
      </c>
      <c r="F1665" t="str">
        <f>+'[2]por cuent'!I1665</f>
        <v>554</v>
      </c>
    </row>
    <row r="1666" spans="1:6" x14ac:dyDescent="0.35">
      <c r="A1666" t="str">
        <f>+'[2]por cuent'!A1666</f>
        <v>ARS</v>
      </c>
      <c r="B1666" t="str">
        <f>+'[2]por cuent'!B1666</f>
        <v>554000454</v>
      </c>
      <c r="C1666" t="str">
        <f>+'[2]por cuent'!C1666</f>
        <v>Tecmetal S.R.L.</v>
      </c>
      <c r="D1666" s="35">
        <f>+'[2]por cuent'!G1666</f>
        <v>8317359.0300000003</v>
      </c>
      <c r="E1666" s="35">
        <f>+'[2]por cuent'!H1666</f>
        <v>8317359.0300000003</v>
      </c>
      <c r="F1666" t="str">
        <f>+'[2]por cuent'!I1666</f>
        <v>554</v>
      </c>
    </row>
    <row r="1667" spans="1:6" x14ac:dyDescent="0.35">
      <c r="A1667" t="str">
        <f>+'[2]por cuent'!A1667</f>
        <v>ARS</v>
      </c>
      <c r="B1667" t="str">
        <f>+'[2]por cuent'!B1667</f>
        <v>554000466</v>
      </c>
      <c r="C1667" t="str">
        <f>+'[2]por cuent'!C1667</f>
        <v>Gutierrez, Cristian Javier</v>
      </c>
      <c r="D1667" s="35">
        <f>+'[2]por cuent'!G1667</f>
        <v>145757027.13</v>
      </c>
      <c r="E1667" s="35">
        <f>+'[2]por cuent'!H1667</f>
        <v>145757027.13</v>
      </c>
      <c r="F1667" t="str">
        <f>+'[2]por cuent'!I1667</f>
        <v>554</v>
      </c>
    </row>
    <row r="1668" spans="1:6" x14ac:dyDescent="0.35">
      <c r="A1668" t="str">
        <f>+'[2]por cuent'!A1668</f>
        <v>ARS</v>
      </c>
      <c r="B1668" t="str">
        <f>+'[2]por cuent'!B1668</f>
        <v>554001010</v>
      </c>
      <c r="C1668" t="str">
        <f>+'[2]por cuent'!C1668</f>
        <v>Di Bari, Ignacio</v>
      </c>
      <c r="D1668" s="35">
        <f>+'[2]por cuent'!G1668</f>
        <v>41145609.259999998</v>
      </c>
      <c r="E1668" s="35">
        <f>+'[2]por cuent'!H1668</f>
        <v>41145609.259999998</v>
      </c>
      <c r="F1668" t="str">
        <f>+'[2]por cuent'!I1668</f>
        <v>554</v>
      </c>
    </row>
    <row r="1669" spans="1:6" x14ac:dyDescent="0.35">
      <c r="A1669" t="str">
        <f>+'[2]por cuent'!A1669</f>
        <v>ARS</v>
      </c>
      <c r="B1669" t="str">
        <f>+'[2]por cuent'!B1669</f>
        <v>554001212</v>
      </c>
      <c r="C1669" t="str">
        <f>+'[2]por cuent'!C1669</f>
        <v>Di Bari, José Ignacio Tomás</v>
      </c>
      <c r="D1669" s="35">
        <f>+'[2]por cuent'!G1669</f>
        <v>134349045.30000001</v>
      </c>
      <c r="E1669" s="35">
        <f>+'[2]por cuent'!H1669</f>
        <v>134349045.30000001</v>
      </c>
      <c r="F1669" t="str">
        <f>+'[2]por cuent'!I1669</f>
        <v>554</v>
      </c>
    </row>
    <row r="1670" spans="1:6" x14ac:dyDescent="0.35">
      <c r="A1670" t="str">
        <f>+'[2]por cuent'!A1670</f>
        <v>ARS</v>
      </c>
      <c r="B1670" t="str">
        <f>+'[2]por cuent'!B1670</f>
        <v>560636006</v>
      </c>
      <c r="C1670" t="str">
        <f>+'[2]por cuent'!C1670</f>
        <v>Gabriel Matias Indihar</v>
      </c>
      <c r="D1670" s="35">
        <f>+'[2]por cuent'!G1670</f>
        <v>1396159822.05</v>
      </c>
      <c r="E1670" s="35">
        <f>+'[2]por cuent'!H1670</f>
        <v>1396159822.05</v>
      </c>
      <c r="F1670" t="str">
        <f>+'[2]por cuent'!I1670</f>
        <v>560</v>
      </c>
    </row>
    <row r="1671" spans="1:6" x14ac:dyDescent="0.35">
      <c r="A1671" t="str">
        <f>+'[2]por cuent'!A1671</f>
        <v>ARS</v>
      </c>
      <c r="B1671" t="str">
        <f>+'[2]por cuent'!B1671</f>
        <v>560636007</v>
      </c>
      <c r="C1671" t="str">
        <f>+'[2]por cuent'!C1671</f>
        <v>Omega Bursátil S.A.</v>
      </c>
      <c r="D1671" s="35">
        <f>+'[2]por cuent'!G1671</f>
        <v>5111853021.0900002</v>
      </c>
      <c r="E1671" s="35">
        <f>+'[2]por cuent'!H1671</f>
        <v>5111853021.0900002</v>
      </c>
      <c r="F1671" t="str">
        <f>+'[2]por cuent'!I1671</f>
        <v>560</v>
      </c>
    </row>
    <row r="1672" spans="1:6" x14ac:dyDescent="0.35">
      <c r="A1672" t="str">
        <f>+'[2]por cuent'!A1672</f>
        <v>ARS</v>
      </c>
      <c r="B1672" t="str">
        <f>+'[2]por cuent'!B1672</f>
        <v>560636009</v>
      </c>
      <c r="C1672" t="str">
        <f>+'[2]por cuent'!C1672</f>
        <v>Rovan, Antonio Miguel</v>
      </c>
      <c r="D1672" s="35">
        <f>+'[2]por cuent'!G1672</f>
        <v>72931317.319999993</v>
      </c>
      <c r="E1672" s="35">
        <f>+'[2]por cuent'!H1672</f>
        <v>72931317.319999993</v>
      </c>
      <c r="F1672" t="str">
        <f>+'[2]por cuent'!I1672</f>
        <v>560</v>
      </c>
    </row>
    <row r="1673" spans="1:6" x14ac:dyDescent="0.35">
      <c r="A1673" t="str">
        <f>+'[2]por cuent'!A1673</f>
        <v>ARS</v>
      </c>
      <c r="B1673" t="str">
        <f>+'[2]por cuent'!B1673</f>
        <v>560636011</v>
      </c>
      <c r="C1673" t="str">
        <f>+'[2]por cuent'!C1673</f>
        <v>Indihar, Monica Silvia</v>
      </c>
      <c r="D1673" s="35">
        <f>+'[2]por cuent'!G1673</f>
        <v>34263679.299999997</v>
      </c>
      <c r="E1673" s="35">
        <f>+'[2]por cuent'!H1673</f>
        <v>34263679.299999997</v>
      </c>
      <c r="F1673" t="str">
        <f>+'[2]por cuent'!I1673</f>
        <v>560</v>
      </c>
    </row>
    <row r="1674" spans="1:6" x14ac:dyDescent="0.35">
      <c r="A1674" t="str">
        <f>+'[2]por cuent'!A1674</f>
        <v>ARS</v>
      </c>
      <c r="B1674" t="str">
        <f>+'[2]por cuent'!B1674</f>
        <v>560636029</v>
      </c>
      <c r="C1674" t="str">
        <f>+'[2]por cuent'!C1674</f>
        <v>Margarita Potocnik &amp; Michelle Sterzovsky</v>
      </c>
      <c r="D1674" s="35">
        <f>+'[2]por cuent'!G1674</f>
        <v>51126045.530000001</v>
      </c>
      <c r="E1674" s="35">
        <f>+'[2]por cuent'!H1674</f>
        <v>51126045.530000001</v>
      </c>
      <c r="F1674" t="str">
        <f>+'[2]por cuent'!I1674</f>
        <v>560</v>
      </c>
    </row>
    <row r="1675" spans="1:6" x14ac:dyDescent="0.35">
      <c r="A1675" t="str">
        <f>+'[2]por cuent'!A1675</f>
        <v>ARS</v>
      </c>
      <c r="B1675" t="str">
        <f>+'[2]por cuent'!B1675</f>
        <v>560636030</v>
      </c>
      <c r="C1675" t="str">
        <f>+'[2]por cuent'!C1675</f>
        <v>Potocnik, Giselle</v>
      </c>
      <c r="D1675" s="35">
        <f>+'[2]por cuent'!G1675</f>
        <v>52624953.399999999</v>
      </c>
      <c r="E1675" s="35">
        <f>+'[2]por cuent'!H1675</f>
        <v>52624953.399999999</v>
      </c>
      <c r="F1675" t="str">
        <f>+'[2]por cuent'!I1675</f>
        <v>560</v>
      </c>
    </row>
    <row r="1676" spans="1:6" x14ac:dyDescent="0.35">
      <c r="A1676" t="str">
        <f>+'[2]por cuent'!A1676</f>
        <v>ARS</v>
      </c>
      <c r="B1676" t="str">
        <f>+'[2]por cuent'!B1676</f>
        <v>560636031</v>
      </c>
      <c r="C1676" t="str">
        <f>+'[2]por cuent'!C1676</f>
        <v xml:space="preserve">Matias Indihar and Bernarda Burgar </v>
      </c>
      <c r="D1676" s="35">
        <f>+'[2]por cuent'!G1676</f>
        <v>17777705.199999999</v>
      </c>
      <c r="E1676" s="35">
        <f>+'[2]por cuent'!H1676</f>
        <v>17777705.199999999</v>
      </c>
      <c r="F1676" t="str">
        <f>+'[2]por cuent'!I1676</f>
        <v>560</v>
      </c>
    </row>
    <row r="1677" spans="1:6" x14ac:dyDescent="0.35">
      <c r="A1677" t="str">
        <f>+'[2]por cuent'!A1677</f>
        <v>ARS</v>
      </c>
      <c r="B1677" t="str">
        <f>+'[2]por cuent'!B1677</f>
        <v>560636032</v>
      </c>
      <c r="C1677" t="str">
        <f>+'[2]por cuent'!C1677</f>
        <v>Stella Maris Menghi</v>
      </c>
      <c r="D1677" s="35">
        <f>+'[2]por cuent'!G1677</f>
        <v>31435965.050000001</v>
      </c>
      <c r="E1677" s="35">
        <f>+'[2]por cuent'!H1677</f>
        <v>31435965.050000001</v>
      </c>
      <c r="F1677" t="str">
        <f>+'[2]por cuent'!I1677</f>
        <v>560</v>
      </c>
    </row>
    <row r="1678" spans="1:6" x14ac:dyDescent="0.35">
      <c r="A1678" t="str">
        <f>+'[2]por cuent'!A1678</f>
        <v>ARS</v>
      </c>
      <c r="B1678" t="str">
        <f>+'[2]por cuent'!B1678</f>
        <v>560636035</v>
      </c>
      <c r="C1678" t="str">
        <f>+'[2]por cuent'!C1678</f>
        <v>Andrizzi, Roberto</v>
      </c>
      <c r="D1678" s="35">
        <f>+'[2]por cuent'!G1678</f>
        <v>205500</v>
      </c>
      <c r="E1678" s="35">
        <f>+'[2]por cuent'!H1678</f>
        <v>205500</v>
      </c>
      <c r="F1678" t="str">
        <f>+'[2]por cuent'!I1678</f>
        <v>560</v>
      </c>
    </row>
    <row r="1679" spans="1:6" x14ac:dyDescent="0.35">
      <c r="A1679" t="str">
        <f>+'[2]por cuent'!A1679</f>
        <v>ARS</v>
      </c>
      <c r="B1679" t="str">
        <f>+'[2]por cuent'!B1679</f>
        <v>560636057</v>
      </c>
      <c r="C1679" t="str">
        <f>+'[2]por cuent'!C1679</f>
        <v>Lopez, Fernando</v>
      </c>
      <c r="D1679" s="35">
        <f>+'[2]por cuent'!G1679</f>
        <v>161725033.59999999</v>
      </c>
      <c r="E1679" s="35">
        <f>+'[2]por cuent'!H1679</f>
        <v>161725033.59999999</v>
      </c>
      <c r="F1679" t="str">
        <f>+'[2]por cuent'!I1679</f>
        <v>560</v>
      </c>
    </row>
    <row r="1680" spans="1:6" x14ac:dyDescent="0.35">
      <c r="A1680" t="str">
        <f>+'[2]por cuent'!A1680</f>
        <v>ARS</v>
      </c>
      <c r="B1680" t="str">
        <f>+'[2]por cuent'!B1680</f>
        <v>560636061</v>
      </c>
      <c r="C1680" t="str">
        <f>+'[2]por cuent'!C1680</f>
        <v>M. Mirta Rant &amp; Guillermo Ayerbe</v>
      </c>
      <c r="D1680" s="35">
        <f>+'[2]por cuent'!G1680</f>
        <v>32476753.66</v>
      </c>
      <c r="E1680" s="35">
        <f>+'[2]por cuent'!H1680</f>
        <v>32476753.66</v>
      </c>
      <c r="F1680" t="str">
        <f>+'[2]por cuent'!I1680</f>
        <v>560</v>
      </c>
    </row>
    <row r="1681" spans="1:6" x14ac:dyDescent="0.35">
      <c r="A1681" t="str">
        <f>+'[2]por cuent'!A1681</f>
        <v>ARS</v>
      </c>
      <c r="B1681" t="str">
        <f>+'[2]por cuent'!B1681</f>
        <v>560636089</v>
      </c>
      <c r="C1681" t="str">
        <f>+'[2]por cuent'!C1681</f>
        <v>Triulzi H y Triulzi G SH</v>
      </c>
      <c r="D1681" s="35">
        <f>+'[2]por cuent'!G1681</f>
        <v>2861486.21</v>
      </c>
      <c r="E1681" s="35">
        <f>+'[2]por cuent'!H1681</f>
        <v>2861486.21</v>
      </c>
      <c r="F1681" t="str">
        <f>+'[2]por cuent'!I1681</f>
        <v>560</v>
      </c>
    </row>
    <row r="1682" spans="1:6" x14ac:dyDescent="0.35">
      <c r="A1682" t="str">
        <f>+'[2]por cuent'!A1682</f>
        <v>ARS</v>
      </c>
      <c r="B1682" t="str">
        <f>+'[2]por cuent'!B1682</f>
        <v>560636105</v>
      </c>
      <c r="C1682" t="str">
        <f>+'[2]por cuent'!C1682</f>
        <v>ARGENCRED S.A</v>
      </c>
      <c r="D1682" s="35">
        <f>+'[2]por cuent'!G1682</f>
        <v>6347685405</v>
      </c>
      <c r="E1682" s="35">
        <f>+'[2]por cuent'!H1682</f>
        <v>6347685405</v>
      </c>
      <c r="F1682" t="str">
        <f>+'[2]por cuent'!I1682</f>
        <v>560</v>
      </c>
    </row>
    <row r="1683" spans="1:6" x14ac:dyDescent="0.35">
      <c r="A1683" t="str">
        <f>+'[2]por cuent'!A1683</f>
        <v>ARS</v>
      </c>
      <c r="B1683" t="str">
        <f>+'[2]por cuent'!B1683</f>
        <v>560636115</v>
      </c>
      <c r="C1683" t="str">
        <f>+'[2]por cuent'!C1683</f>
        <v>Spinaci, Ramiro</v>
      </c>
      <c r="D1683" s="35">
        <f>+'[2]por cuent'!G1683</f>
        <v>413236807.68000001</v>
      </c>
      <c r="E1683" s="35">
        <f>+'[2]por cuent'!H1683</f>
        <v>413236807.68000001</v>
      </c>
      <c r="F1683" t="str">
        <f>+'[2]por cuent'!I1683</f>
        <v>560</v>
      </c>
    </row>
    <row r="1684" spans="1:6" x14ac:dyDescent="0.35">
      <c r="A1684" t="str">
        <f>+'[2]por cuent'!A1684</f>
        <v>ARS</v>
      </c>
      <c r="B1684" t="str">
        <f>+'[2]por cuent'!B1684</f>
        <v>560636127</v>
      </c>
      <c r="C1684" t="str">
        <f>+'[2]por cuent'!C1684</f>
        <v>Antezana, Alejandro</v>
      </c>
      <c r="D1684" s="35">
        <f>+'[2]por cuent'!G1684</f>
        <v>4613039.47</v>
      </c>
      <c r="E1684" s="35">
        <f>+'[2]por cuent'!H1684</f>
        <v>4613039.47</v>
      </c>
      <c r="F1684" t="str">
        <f>+'[2]por cuent'!I1684</f>
        <v>560</v>
      </c>
    </row>
    <row r="1685" spans="1:6" x14ac:dyDescent="0.35">
      <c r="A1685" t="str">
        <f>+'[2]por cuent'!A1685</f>
        <v>ARS</v>
      </c>
      <c r="B1685" t="str">
        <f>+'[2]por cuent'!B1685</f>
        <v>560636147</v>
      </c>
      <c r="C1685" t="str">
        <f>+'[2]por cuent'!C1685</f>
        <v>Spinaci, Pedro José</v>
      </c>
      <c r="D1685" s="35">
        <f>+'[2]por cuent'!G1685</f>
        <v>98749893.099999994</v>
      </c>
      <c r="E1685" s="35">
        <f>+'[2]por cuent'!H1685</f>
        <v>98749893.099999994</v>
      </c>
      <c r="F1685" t="str">
        <f>+'[2]por cuent'!I1685</f>
        <v>560</v>
      </c>
    </row>
    <row r="1686" spans="1:6" x14ac:dyDescent="0.35">
      <c r="A1686" t="str">
        <f>+'[2]por cuent'!A1686</f>
        <v>ARS</v>
      </c>
      <c r="B1686" t="str">
        <f>+'[2]por cuent'!B1686</f>
        <v>560636167</v>
      </c>
      <c r="C1686" t="str">
        <f>+'[2]por cuent'!C1686</f>
        <v>Sassani, Roberto Emiliano</v>
      </c>
      <c r="D1686" s="35">
        <f>+'[2]por cuent'!G1686</f>
        <v>644988.9</v>
      </c>
      <c r="E1686" s="35">
        <f>+'[2]por cuent'!H1686</f>
        <v>644988.9</v>
      </c>
      <c r="F1686" t="str">
        <f>+'[2]por cuent'!I1686</f>
        <v>560</v>
      </c>
    </row>
    <row r="1687" spans="1:6" x14ac:dyDescent="0.35">
      <c r="A1687" t="str">
        <f>+'[2]por cuent'!A1687</f>
        <v>ARS</v>
      </c>
      <c r="B1687" t="str">
        <f>+'[2]por cuent'!B1687</f>
        <v>560636217</v>
      </c>
      <c r="C1687" t="str">
        <f>+'[2]por cuent'!C1687</f>
        <v>Montero, Mariano</v>
      </c>
      <c r="D1687" s="35">
        <f>+'[2]por cuent'!G1687</f>
        <v>63151976</v>
      </c>
      <c r="E1687" s="35">
        <f>+'[2]por cuent'!H1687</f>
        <v>63151976</v>
      </c>
      <c r="F1687" t="str">
        <f>+'[2]por cuent'!I1687</f>
        <v>560</v>
      </c>
    </row>
    <row r="1688" spans="1:6" x14ac:dyDescent="0.35">
      <c r="A1688" t="str">
        <f>+'[2]por cuent'!A1688</f>
        <v>ARS</v>
      </c>
      <c r="B1688" t="str">
        <f>+'[2]por cuent'!B1688</f>
        <v>560636238</v>
      </c>
      <c r="C1688" t="str">
        <f>+'[2]por cuent'!C1688</f>
        <v xml:space="preserve">Spiandorello, Claudio </v>
      </c>
      <c r="D1688" s="35">
        <f>+'[2]por cuent'!G1688</f>
        <v>932316567.44000006</v>
      </c>
      <c r="E1688" s="35">
        <f>+'[2]por cuent'!H1688</f>
        <v>932316567.44000006</v>
      </c>
      <c r="F1688" t="str">
        <f>+'[2]por cuent'!I1688</f>
        <v>560</v>
      </c>
    </row>
    <row r="1689" spans="1:6" x14ac:dyDescent="0.35">
      <c r="A1689" t="str">
        <f>+'[2]por cuent'!A1689</f>
        <v>ARS</v>
      </c>
      <c r="B1689" t="str">
        <f>+'[2]por cuent'!B1689</f>
        <v>560636261</v>
      </c>
      <c r="C1689" t="str">
        <f>+'[2]por cuent'!C1689</f>
        <v>Morel, Ana Maria Andrea</v>
      </c>
      <c r="D1689" s="35">
        <f>+'[2]por cuent'!G1689</f>
        <v>12639203.289999999</v>
      </c>
      <c r="E1689" s="35">
        <f>+'[2]por cuent'!H1689</f>
        <v>12639203.289999999</v>
      </c>
      <c r="F1689" t="str">
        <f>+'[2]por cuent'!I1689</f>
        <v>560</v>
      </c>
    </row>
    <row r="1690" spans="1:6" x14ac:dyDescent="0.35">
      <c r="A1690" t="str">
        <f>+'[2]por cuent'!A1690</f>
        <v>ARS</v>
      </c>
      <c r="B1690" t="str">
        <f>+'[2]por cuent'!B1690</f>
        <v>560636333</v>
      </c>
      <c r="C1690" t="str">
        <f>+'[2]por cuent'!C1690</f>
        <v xml:space="preserve">Haag, Maria Julia y Menghi, Stella Maris </v>
      </c>
      <c r="D1690" s="35">
        <f>+'[2]por cuent'!G1690</f>
        <v>3419.9</v>
      </c>
      <c r="E1690" s="35">
        <f>+'[2]por cuent'!H1690</f>
        <v>3419.9</v>
      </c>
      <c r="F1690" t="str">
        <f>+'[2]por cuent'!I1690</f>
        <v>560</v>
      </c>
    </row>
    <row r="1691" spans="1:6" x14ac:dyDescent="0.35">
      <c r="A1691" t="str">
        <f>+'[2]por cuent'!A1691</f>
        <v>ARS</v>
      </c>
      <c r="B1691" t="str">
        <f>+'[2]por cuent'!B1691</f>
        <v>560636344</v>
      </c>
      <c r="C1691" t="str">
        <f>+'[2]por cuent'!C1691</f>
        <v xml:space="preserve">Bravo, Gabriela Roxana </v>
      </c>
      <c r="D1691" s="35">
        <f>+'[2]por cuent'!G1691</f>
        <v>133994068.58</v>
      </c>
      <c r="E1691" s="35">
        <f>+'[2]por cuent'!H1691</f>
        <v>133994068.58</v>
      </c>
      <c r="F1691" t="str">
        <f>+'[2]por cuent'!I1691</f>
        <v>560</v>
      </c>
    </row>
    <row r="1692" spans="1:6" x14ac:dyDescent="0.35">
      <c r="A1692" t="str">
        <f>+'[2]por cuent'!A1692</f>
        <v>ARS</v>
      </c>
      <c r="B1692" t="str">
        <f>+'[2]por cuent'!B1692</f>
        <v>560636372</v>
      </c>
      <c r="C1692" t="str">
        <f>+'[2]por cuent'!C1692</f>
        <v>Vaquero, Miguel Angel</v>
      </c>
      <c r="D1692" s="35">
        <f>+'[2]por cuent'!G1692</f>
        <v>2970000</v>
      </c>
      <c r="E1692" s="35">
        <f>+'[2]por cuent'!H1692</f>
        <v>2970000</v>
      </c>
      <c r="F1692" t="str">
        <f>+'[2]por cuent'!I1692</f>
        <v>560</v>
      </c>
    </row>
    <row r="1693" spans="1:6" x14ac:dyDescent="0.35">
      <c r="A1693" t="str">
        <f>+'[2]por cuent'!A1693</f>
        <v>ARS</v>
      </c>
      <c r="B1693" t="str">
        <f>+'[2]por cuent'!B1693</f>
        <v>560636379</v>
      </c>
      <c r="C1693" t="str">
        <f>+'[2]por cuent'!C1693</f>
        <v>HERRERA , NESTOR ANTONIO</v>
      </c>
      <c r="D1693" s="35">
        <f>+'[2]por cuent'!G1693</f>
        <v>5733127.0999999996</v>
      </c>
      <c r="E1693" s="35">
        <f>+'[2]por cuent'!H1693</f>
        <v>5733127.0999999996</v>
      </c>
      <c r="F1693" t="str">
        <f>+'[2]por cuent'!I1693</f>
        <v>560</v>
      </c>
    </row>
    <row r="1694" spans="1:6" x14ac:dyDescent="0.35">
      <c r="A1694" t="str">
        <f>+'[2]por cuent'!A1694</f>
        <v>ARS</v>
      </c>
      <c r="B1694" t="str">
        <f>+'[2]por cuent'!B1694</f>
        <v>560636382</v>
      </c>
      <c r="C1694" t="str">
        <f>+'[2]por cuent'!C1694</f>
        <v xml:space="preserve">Hernán Alberto Llousas y Ferreyra, Sandra Adriana </v>
      </c>
      <c r="D1694" s="35">
        <f>+'[2]por cuent'!G1694</f>
        <v>3165.4</v>
      </c>
      <c r="E1694" s="35">
        <f>+'[2]por cuent'!H1694</f>
        <v>3165.4</v>
      </c>
      <c r="F1694" t="str">
        <f>+'[2]por cuent'!I1694</f>
        <v>560</v>
      </c>
    </row>
    <row r="1695" spans="1:6" x14ac:dyDescent="0.35">
      <c r="A1695" t="str">
        <f>+'[2]por cuent'!A1695</f>
        <v>ARS</v>
      </c>
      <c r="B1695" t="str">
        <f>+'[2]por cuent'!B1695</f>
        <v>560636428</v>
      </c>
      <c r="C1695" t="str">
        <f>+'[2]por cuent'!C1695</f>
        <v>Marincic, María Verónica</v>
      </c>
      <c r="D1695" s="35">
        <f>+'[2]por cuent'!G1695</f>
        <v>78054941</v>
      </c>
      <c r="E1695" s="35">
        <f>+'[2]por cuent'!H1695</f>
        <v>78054941</v>
      </c>
      <c r="F1695" t="str">
        <f>+'[2]por cuent'!I1695</f>
        <v>560</v>
      </c>
    </row>
    <row r="1696" spans="1:6" x14ac:dyDescent="0.35">
      <c r="A1696" t="str">
        <f>+'[2]por cuent'!A1696</f>
        <v>ARS</v>
      </c>
      <c r="B1696" t="str">
        <f>+'[2]por cuent'!B1696</f>
        <v>560636443</v>
      </c>
      <c r="C1696" t="str">
        <f>+'[2]por cuent'!C1696</f>
        <v>Gomez, Eustaquio Anastasio</v>
      </c>
      <c r="D1696" s="35">
        <f>+'[2]por cuent'!G1696</f>
        <v>149477611.37</v>
      </c>
      <c r="E1696" s="35">
        <f>+'[2]por cuent'!H1696</f>
        <v>149477611.37</v>
      </c>
      <c r="F1696" t="str">
        <f>+'[2]por cuent'!I1696</f>
        <v>560</v>
      </c>
    </row>
    <row r="1697" spans="1:6" x14ac:dyDescent="0.35">
      <c r="A1697" t="str">
        <f>+'[2]por cuent'!A1697</f>
        <v>ARS</v>
      </c>
      <c r="B1697" t="str">
        <f>+'[2]por cuent'!B1697</f>
        <v>560636480</v>
      </c>
      <c r="C1697" t="str">
        <f>+'[2]por cuent'!C1697</f>
        <v>Gomez Lamarque, Juan Pablo</v>
      </c>
      <c r="D1697" s="35">
        <f>+'[2]por cuent'!G1697</f>
        <v>69431.820000000007</v>
      </c>
      <c r="E1697" s="35">
        <f>+'[2]por cuent'!H1697</f>
        <v>69431.820000000007</v>
      </c>
      <c r="F1697" t="str">
        <f>+'[2]por cuent'!I1697</f>
        <v>560</v>
      </c>
    </row>
    <row r="1698" spans="1:6" x14ac:dyDescent="0.35">
      <c r="A1698" t="str">
        <f>+'[2]por cuent'!A1698</f>
        <v>ARS</v>
      </c>
      <c r="B1698" t="str">
        <f>+'[2]por cuent'!B1698</f>
        <v>560636493</v>
      </c>
      <c r="C1698" t="str">
        <f>+'[2]por cuent'!C1698</f>
        <v>Levy, Luciano Nisim</v>
      </c>
      <c r="D1698" s="35">
        <f>+'[2]por cuent'!G1698</f>
        <v>1473514.5</v>
      </c>
      <c r="E1698" s="35">
        <f>+'[2]por cuent'!H1698</f>
        <v>1473514.5</v>
      </c>
      <c r="F1698" t="str">
        <f>+'[2]por cuent'!I1698</f>
        <v>560</v>
      </c>
    </row>
    <row r="1699" spans="1:6" x14ac:dyDescent="0.35">
      <c r="A1699" t="str">
        <f>+'[2]por cuent'!A1699</f>
        <v>ARS</v>
      </c>
      <c r="B1699" t="str">
        <f>+'[2]por cuent'!B1699</f>
        <v>560636549</v>
      </c>
      <c r="C1699" t="str">
        <f>+'[2]por cuent'!C1699</f>
        <v xml:space="preserve">INES YAEL, SALEM </v>
      </c>
      <c r="D1699" s="35">
        <f>+'[2]por cuent'!G1699</f>
        <v>1012471.1</v>
      </c>
      <c r="E1699" s="35">
        <f>+'[2]por cuent'!H1699</f>
        <v>1012471.1</v>
      </c>
      <c r="F1699" t="str">
        <f>+'[2]por cuent'!I1699</f>
        <v>560</v>
      </c>
    </row>
    <row r="1700" spans="1:6" x14ac:dyDescent="0.35">
      <c r="A1700" t="str">
        <f>+'[2]por cuent'!A1700</f>
        <v>ARS</v>
      </c>
      <c r="B1700" t="str">
        <f>+'[2]por cuent'!B1700</f>
        <v>560636570</v>
      </c>
      <c r="C1700" t="str">
        <f>+'[2]por cuent'!C1700</f>
        <v xml:space="preserve">ALFONSO, ALVARO ANTONIO </v>
      </c>
      <c r="D1700" s="35">
        <f>+'[2]por cuent'!G1700</f>
        <v>169732422.53999999</v>
      </c>
      <c r="E1700" s="35">
        <f>+'[2]por cuent'!H1700</f>
        <v>169732422.53999999</v>
      </c>
      <c r="F1700" t="str">
        <f>+'[2]por cuent'!I1700</f>
        <v>560</v>
      </c>
    </row>
    <row r="1701" spans="1:6" x14ac:dyDescent="0.35">
      <c r="A1701" t="str">
        <f>+'[2]por cuent'!A1701</f>
        <v>ARS</v>
      </c>
      <c r="B1701" t="str">
        <f>+'[2]por cuent'!B1701</f>
        <v>560636573</v>
      </c>
      <c r="C1701" t="str">
        <f>+'[2]por cuent'!C1701</f>
        <v>Gomez, Lucas Miguel</v>
      </c>
      <c r="D1701" s="35">
        <f>+'[2]por cuent'!G1701</f>
        <v>84755272.769999996</v>
      </c>
      <c r="E1701" s="35">
        <f>+'[2]por cuent'!H1701</f>
        <v>84755272.769999996</v>
      </c>
      <c r="F1701" t="str">
        <f>+'[2]por cuent'!I1701</f>
        <v>560</v>
      </c>
    </row>
    <row r="1702" spans="1:6" x14ac:dyDescent="0.35">
      <c r="A1702" t="str">
        <f>+'[2]por cuent'!A1702</f>
        <v>ARS</v>
      </c>
      <c r="B1702" t="str">
        <f>+'[2]por cuent'!B1702</f>
        <v>560636579</v>
      </c>
      <c r="C1702" t="str">
        <f>+'[2]por cuent'!C1702</f>
        <v>MONTERO , FRANCISCO JOSE</v>
      </c>
      <c r="D1702" s="35">
        <f>+'[2]por cuent'!G1702</f>
        <v>32457095</v>
      </c>
      <c r="E1702" s="35">
        <f>+'[2]por cuent'!H1702</f>
        <v>32457095</v>
      </c>
      <c r="F1702" t="str">
        <f>+'[2]por cuent'!I1702</f>
        <v>560</v>
      </c>
    </row>
    <row r="1703" spans="1:6" x14ac:dyDescent="0.35">
      <c r="A1703" t="str">
        <f>+'[2]por cuent'!A1703</f>
        <v>ARS</v>
      </c>
      <c r="B1703" t="str">
        <f>+'[2]por cuent'!B1703</f>
        <v>560636610</v>
      </c>
      <c r="C1703" t="str">
        <f>+'[2]por cuent'!C1703</f>
        <v>Montero, Diego</v>
      </c>
      <c r="D1703" s="35">
        <f>+'[2]por cuent'!G1703</f>
        <v>7555810</v>
      </c>
      <c r="E1703" s="35">
        <f>+'[2]por cuent'!H1703</f>
        <v>7555810</v>
      </c>
      <c r="F1703" t="str">
        <f>+'[2]por cuent'!I1703</f>
        <v>560</v>
      </c>
    </row>
    <row r="1704" spans="1:6" x14ac:dyDescent="0.35">
      <c r="A1704" t="str">
        <f>+'[2]por cuent'!A1704</f>
        <v>ARS</v>
      </c>
      <c r="B1704" t="str">
        <f>+'[2]por cuent'!B1704</f>
        <v>560636615</v>
      </c>
      <c r="C1704" t="str">
        <f>+'[2]por cuent'!C1704</f>
        <v>Montero, Damian</v>
      </c>
      <c r="D1704" s="35">
        <f>+'[2]por cuent'!G1704</f>
        <v>28646027.550000001</v>
      </c>
      <c r="E1704" s="35">
        <f>+'[2]por cuent'!H1704</f>
        <v>28646027.550000001</v>
      </c>
      <c r="F1704" t="str">
        <f>+'[2]por cuent'!I1704</f>
        <v>560</v>
      </c>
    </row>
    <row r="1705" spans="1:6" x14ac:dyDescent="0.35">
      <c r="A1705" t="str">
        <f>+'[2]por cuent'!A1705</f>
        <v>ARS</v>
      </c>
      <c r="B1705" t="str">
        <f>+'[2]por cuent'!B1705</f>
        <v>560636630</v>
      </c>
      <c r="C1705" t="str">
        <f>+'[2]por cuent'!C1705</f>
        <v>Hofferle, Eric</v>
      </c>
      <c r="D1705" s="35">
        <f>+'[2]por cuent'!G1705</f>
        <v>14691780.34</v>
      </c>
      <c r="E1705" s="35">
        <f>+'[2]por cuent'!H1705</f>
        <v>14691780.34</v>
      </c>
      <c r="F1705" t="str">
        <f>+'[2]por cuent'!I1705</f>
        <v>560</v>
      </c>
    </row>
    <row r="1706" spans="1:6" x14ac:dyDescent="0.35">
      <c r="A1706" t="str">
        <f>+'[2]por cuent'!A1706</f>
        <v>ARS</v>
      </c>
      <c r="B1706" t="str">
        <f>+'[2]por cuent'!B1706</f>
        <v>560636647</v>
      </c>
      <c r="C1706" t="str">
        <f>+'[2]por cuent'!C1706</f>
        <v xml:space="preserve">Gomez, Eustaquio Ezequiel </v>
      </c>
      <c r="D1706" s="35">
        <f>+'[2]por cuent'!G1706</f>
        <v>74348952.409999996</v>
      </c>
      <c r="E1706" s="35">
        <f>+'[2]por cuent'!H1706</f>
        <v>74348952.409999996</v>
      </c>
      <c r="F1706" t="str">
        <f>+'[2]por cuent'!I1706</f>
        <v>560</v>
      </c>
    </row>
    <row r="1707" spans="1:6" x14ac:dyDescent="0.35">
      <c r="A1707" t="str">
        <f>+'[2]por cuent'!A1707</f>
        <v>ARS</v>
      </c>
      <c r="B1707" t="str">
        <f>+'[2]por cuent'!B1707</f>
        <v>560636658</v>
      </c>
      <c r="C1707" t="str">
        <f>+'[2]por cuent'!C1707</f>
        <v xml:space="preserve">Kohan, Gabriel Felix </v>
      </c>
      <c r="D1707" s="35">
        <f>+'[2]por cuent'!G1707</f>
        <v>21486826</v>
      </c>
      <c r="E1707" s="35">
        <f>+'[2]por cuent'!H1707</f>
        <v>21486826</v>
      </c>
      <c r="F1707" t="str">
        <f>+'[2]por cuent'!I1707</f>
        <v>560</v>
      </c>
    </row>
    <row r="1708" spans="1:6" x14ac:dyDescent="0.35">
      <c r="A1708" t="str">
        <f>+'[2]por cuent'!A1708</f>
        <v>ARS</v>
      </c>
      <c r="B1708" t="str">
        <f>+'[2]por cuent'!B1708</f>
        <v>560636736</v>
      </c>
      <c r="C1708" t="str">
        <f>+'[2]por cuent'!C1708</f>
        <v>Alfonso, Jose Emilio</v>
      </c>
      <c r="D1708" s="35">
        <f>+'[2]por cuent'!G1708</f>
        <v>2240022</v>
      </c>
      <c r="E1708" s="35">
        <f>+'[2]por cuent'!H1708</f>
        <v>2240022</v>
      </c>
      <c r="F1708" t="str">
        <f>+'[2]por cuent'!I1708</f>
        <v>560</v>
      </c>
    </row>
    <row r="1709" spans="1:6" x14ac:dyDescent="0.35">
      <c r="A1709" t="str">
        <f>+'[2]por cuent'!A1709</f>
        <v>ARS</v>
      </c>
      <c r="B1709" t="str">
        <f>+'[2]por cuent'!B1709</f>
        <v>560636790</v>
      </c>
      <c r="C1709" t="str">
        <f>+'[2]por cuent'!C1709</f>
        <v>HERNANDEZ, DIEGO MANUEL</v>
      </c>
      <c r="D1709" s="35">
        <f>+'[2]por cuent'!G1709</f>
        <v>1173000</v>
      </c>
      <c r="E1709" s="35">
        <f>+'[2]por cuent'!H1709</f>
        <v>1173000</v>
      </c>
      <c r="F1709" t="str">
        <f>+'[2]por cuent'!I1709</f>
        <v>560</v>
      </c>
    </row>
    <row r="1710" spans="1:6" x14ac:dyDescent="0.35">
      <c r="A1710" t="str">
        <f>+'[2]por cuent'!A1710</f>
        <v>ARS</v>
      </c>
      <c r="B1710" t="str">
        <f>+'[2]por cuent'!B1710</f>
        <v>560636923</v>
      </c>
      <c r="C1710" t="str">
        <f>+'[2]por cuent'!C1710</f>
        <v>Carugati, Sebastian</v>
      </c>
      <c r="D1710" s="35">
        <f>+'[2]por cuent'!G1710</f>
        <v>100006.5</v>
      </c>
      <c r="E1710" s="35">
        <f>+'[2]por cuent'!H1710</f>
        <v>100006.5</v>
      </c>
      <c r="F1710" t="str">
        <f>+'[2]por cuent'!I1710</f>
        <v>560</v>
      </c>
    </row>
    <row r="1711" spans="1:6" x14ac:dyDescent="0.35">
      <c r="A1711" t="str">
        <f>+'[2]por cuent'!A1711</f>
        <v>ARS</v>
      </c>
      <c r="B1711" t="str">
        <f>+'[2]por cuent'!B1711</f>
        <v>560637024</v>
      </c>
      <c r="C1711" t="str">
        <f>+'[2]por cuent'!C1711</f>
        <v>Bianchi, Carolina y Thielemann, Martin Alfredo</v>
      </c>
      <c r="D1711" s="35">
        <f>+'[2]por cuent'!G1711</f>
        <v>13384.71</v>
      </c>
      <c r="E1711" s="35">
        <f>+'[2]por cuent'!H1711</f>
        <v>13384.71</v>
      </c>
      <c r="F1711" t="str">
        <f>+'[2]por cuent'!I1711</f>
        <v>560</v>
      </c>
    </row>
    <row r="1712" spans="1:6" x14ac:dyDescent="0.35">
      <c r="A1712" t="str">
        <f>+'[2]por cuent'!A1712</f>
        <v>ARS</v>
      </c>
      <c r="B1712" t="str">
        <f>+'[2]por cuent'!B1712</f>
        <v>560637040</v>
      </c>
      <c r="C1712" t="str">
        <f>+'[2]por cuent'!C1712</f>
        <v>Andres Amado Amaya</v>
      </c>
      <c r="D1712" s="35">
        <f>+'[2]por cuent'!G1712</f>
        <v>119673606.65000001</v>
      </c>
      <c r="E1712" s="35">
        <f>+'[2]por cuent'!H1712</f>
        <v>119673606.65000001</v>
      </c>
      <c r="F1712" t="str">
        <f>+'[2]por cuent'!I1712</f>
        <v>560</v>
      </c>
    </row>
    <row r="1713" spans="1:6" x14ac:dyDescent="0.35">
      <c r="A1713" t="str">
        <f>+'[2]por cuent'!A1713</f>
        <v>ARS</v>
      </c>
      <c r="B1713" t="str">
        <f>+'[2]por cuent'!B1713</f>
        <v>560637051</v>
      </c>
      <c r="C1713" t="str">
        <f>+'[2]por cuent'!C1713</f>
        <v>Indihar, Gabriel Matias</v>
      </c>
      <c r="D1713" s="35">
        <f>+'[2]por cuent'!G1713</f>
        <v>8741535.0500000007</v>
      </c>
      <c r="E1713" s="35">
        <f>+'[2]por cuent'!H1713</f>
        <v>8741535.0500000007</v>
      </c>
      <c r="F1713" t="str">
        <f>+'[2]por cuent'!I1713</f>
        <v>560</v>
      </c>
    </row>
    <row r="1714" spans="1:6" x14ac:dyDescent="0.35">
      <c r="A1714" t="str">
        <f>+'[2]por cuent'!A1714</f>
        <v>ARS</v>
      </c>
      <c r="B1714" t="str">
        <f>+'[2]por cuent'!B1714</f>
        <v>560637052</v>
      </c>
      <c r="C1714" t="str">
        <f>+'[2]por cuent'!C1714</f>
        <v>Indihar, Gabriel Matias</v>
      </c>
      <c r="D1714" s="35">
        <f>+'[2]por cuent'!G1714</f>
        <v>9372785.7799999993</v>
      </c>
      <c r="E1714" s="35">
        <f>+'[2]por cuent'!H1714</f>
        <v>9372785.7799999993</v>
      </c>
      <c r="F1714" t="str">
        <f>+'[2]por cuent'!I1714</f>
        <v>560</v>
      </c>
    </row>
    <row r="1715" spans="1:6" x14ac:dyDescent="0.35">
      <c r="A1715" t="str">
        <f>+'[2]por cuent'!A1715</f>
        <v>ARS</v>
      </c>
      <c r="B1715" t="str">
        <f>+'[2]por cuent'!B1715</f>
        <v>560637053</v>
      </c>
      <c r="C1715" t="str">
        <f>+'[2]por cuent'!C1715</f>
        <v>Indihar, Gabriel Matias</v>
      </c>
      <c r="D1715" s="35">
        <f>+'[2]por cuent'!G1715</f>
        <v>9370891.0299999993</v>
      </c>
      <c r="E1715" s="35">
        <f>+'[2]por cuent'!H1715</f>
        <v>9370891.0299999993</v>
      </c>
      <c r="F1715" t="str">
        <f>+'[2]por cuent'!I1715</f>
        <v>560</v>
      </c>
    </row>
    <row r="1716" spans="1:6" x14ac:dyDescent="0.35">
      <c r="A1716" t="str">
        <f>+'[2]por cuent'!A1716</f>
        <v>ARS</v>
      </c>
      <c r="B1716" t="str">
        <f>+'[2]por cuent'!B1716</f>
        <v>560637069</v>
      </c>
      <c r="C1716" t="str">
        <f>+'[2]por cuent'!C1716</f>
        <v>Lidia Esther Pillarou &amp; Sebastian Carugati</v>
      </c>
      <c r="D1716" s="35">
        <f>+'[2]por cuent'!G1716</f>
        <v>51441.4</v>
      </c>
      <c r="E1716" s="35">
        <f>+'[2]por cuent'!H1716</f>
        <v>51441.4</v>
      </c>
      <c r="F1716" t="str">
        <f>+'[2]por cuent'!I1716</f>
        <v>560</v>
      </c>
    </row>
    <row r="1717" spans="1:6" x14ac:dyDescent="0.35">
      <c r="A1717" t="str">
        <f>+'[2]por cuent'!A1717</f>
        <v>ARS</v>
      </c>
      <c r="B1717" t="str">
        <f>+'[2]por cuent'!B1717</f>
        <v>560637073</v>
      </c>
      <c r="C1717" t="str">
        <f>+'[2]por cuent'!C1717</f>
        <v>Corica Claudia Patricia &amp; Sebastian Carugati</v>
      </c>
      <c r="D1717" s="35">
        <f>+'[2]por cuent'!G1717</f>
        <v>325134919.47000003</v>
      </c>
      <c r="E1717" s="35">
        <f>+'[2]por cuent'!H1717</f>
        <v>325134919.47000003</v>
      </c>
      <c r="F1717" t="str">
        <f>+'[2]por cuent'!I1717</f>
        <v>560</v>
      </c>
    </row>
    <row r="1718" spans="1:6" x14ac:dyDescent="0.35">
      <c r="A1718" t="str">
        <f>+'[2]por cuent'!A1718</f>
        <v>ARS</v>
      </c>
      <c r="B1718" t="str">
        <f>+'[2]por cuent'!B1718</f>
        <v>560637081</v>
      </c>
      <c r="C1718" t="str">
        <f>+'[2]por cuent'!C1718</f>
        <v>Perez, Tomas Ignacio</v>
      </c>
      <c r="D1718" s="35">
        <f>+'[2]por cuent'!G1718</f>
        <v>94796600</v>
      </c>
      <c r="E1718" s="35">
        <f>+'[2]por cuent'!H1718</f>
        <v>94796600</v>
      </c>
      <c r="F1718" t="str">
        <f>+'[2]por cuent'!I1718</f>
        <v>560</v>
      </c>
    </row>
    <row r="1719" spans="1:6" x14ac:dyDescent="0.35">
      <c r="A1719" t="str">
        <f>+'[2]por cuent'!A1719</f>
        <v>ARS</v>
      </c>
      <c r="B1719" t="str">
        <f>+'[2]por cuent'!B1719</f>
        <v>560637086</v>
      </c>
      <c r="C1719" t="str">
        <f>+'[2]por cuent'!C1719</f>
        <v>Cecilia Coletto &amp; Fabian Ferreyra</v>
      </c>
      <c r="D1719" s="35">
        <f>+'[2]por cuent'!G1719</f>
        <v>67256893.150000006</v>
      </c>
      <c r="E1719" s="35">
        <f>+'[2]por cuent'!H1719</f>
        <v>67256893.150000006</v>
      </c>
      <c r="F1719" t="str">
        <f>+'[2]por cuent'!I1719</f>
        <v>560</v>
      </c>
    </row>
    <row r="1720" spans="1:6" x14ac:dyDescent="0.35">
      <c r="A1720" t="str">
        <f>+'[2]por cuent'!A1720</f>
        <v>ARS</v>
      </c>
      <c r="B1720" t="str">
        <f>+'[2]por cuent'!B1720</f>
        <v>560637101</v>
      </c>
      <c r="C1720" t="str">
        <f>+'[2]por cuent'!C1720</f>
        <v>LUMUMBA Y MANYA SA</v>
      </c>
      <c r="D1720" s="35">
        <f>+'[2]por cuent'!G1720</f>
        <v>7492764.2999999998</v>
      </c>
      <c r="E1720" s="35">
        <f>+'[2]por cuent'!H1720</f>
        <v>7492764.2999999998</v>
      </c>
      <c r="F1720" t="str">
        <f>+'[2]por cuent'!I1720</f>
        <v>560</v>
      </c>
    </row>
    <row r="1721" spans="1:6" x14ac:dyDescent="0.35">
      <c r="A1721" t="str">
        <f>+'[2]por cuent'!A1721</f>
        <v>ARS</v>
      </c>
      <c r="B1721" t="str">
        <f>+'[2]por cuent'!B1721</f>
        <v>560637146</v>
      </c>
      <c r="C1721" t="str">
        <f>+'[2]por cuent'!C1721</f>
        <v>Basavilbaso, Pablo</v>
      </c>
      <c r="D1721" s="35">
        <f>+'[2]por cuent'!G1721</f>
        <v>155921051</v>
      </c>
      <c r="E1721" s="35">
        <f>+'[2]por cuent'!H1721</f>
        <v>155921051</v>
      </c>
      <c r="F1721" t="str">
        <f>+'[2]por cuent'!I1721</f>
        <v>560</v>
      </c>
    </row>
    <row r="1722" spans="1:6" x14ac:dyDescent="0.35">
      <c r="A1722" t="str">
        <f>+'[2]por cuent'!A1722</f>
        <v>ARS</v>
      </c>
      <c r="B1722" t="str">
        <f>+'[2]por cuent'!B1722</f>
        <v>560637167</v>
      </c>
      <c r="C1722" t="str">
        <f>+'[2]por cuent'!C1722</f>
        <v>Astarita, Diego Maximiliano</v>
      </c>
      <c r="D1722" s="35">
        <f>+'[2]por cuent'!G1722</f>
        <v>4418975.5599999996</v>
      </c>
      <c r="E1722" s="35">
        <f>+'[2]por cuent'!H1722</f>
        <v>4418975.5599999996</v>
      </c>
      <c r="F1722" t="str">
        <f>+'[2]por cuent'!I1722</f>
        <v>560</v>
      </c>
    </row>
    <row r="1723" spans="1:6" x14ac:dyDescent="0.35">
      <c r="A1723" t="str">
        <f>+'[2]por cuent'!A1723</f>
        <v>ARS</v>
      </c>
      <c r="B1723" t="str">
        <f>+'[2]por cuent'!B1723</f>
        <v>560637178</v>
      </c>
      <c r="C1723" t="str">
        <f>+'[2]por cuent'!C1723</f>
        <v>Zuberbuhler, Ana Maria</v>
      </c>
      <c r="D1723" s="35">
        <f>+'[2]por cuent'!G1723</f>
        <v>467039000.19</v>
      </c>
      <c r="E1723" s="35">
        <f>+'[2]por cuent'!H1723</f>
        <v>467039000.19</v>
      </c>
      <c r="F1723" t="str">
        <f>+'[2]por cuent'!I1723</f>
        <v>560</v>
      </c>
    </row>
    <row r="1724" spans="1:6" x14ac:dyDescent="0.35">
      <c r="A1724" t="str">
        <f>+'[2]por cuent'!A1724</f>
        <v>ARS</v>
      </c>
      <c r="B1724" t="str">
        <f>+'[2]por cuent'!B1724</f>
        <v>560637179</v>
      </c>
      <c r="C1724" t="str">
        <f>+'[2]por cuent'!C1724</f>
        <v>SAN TEOBALDO SA</v>
      </c>
      <c r="D1724" s="35">
        <f>+'[2]por cuent'!G1724</f>
        <v>2701879035.27</v>
      </c>
      <c r="E1724" s="35">
        <f>+'[2]por cuent'!H1724</f>
        <v>2701879035.27</v>
      </c>
      <c r="F1724" t="str">
        <f>+'[2]por cuent'!I1724</f>
        <v>560</v>
      </c>
    </row>
    <row r="1725" spans="1:6" x14ac:dyDescent="0.35">
      <c r="A1725" t="str">
        <f>+'[2]por cuent'!A1725</f>
        <v>ARS</v>
      </c>
      <c r="B1725" t="str">
        <f>+'[2]por cuent'!B1725</f>
        <v>560637211</v>
      </c>
      <c r="C1725" t="str">
        <f>+'[2]por cuent'!C1725</f>
        <v>INSTITUTO ROSENBUSCH SA DE BIOLOGIA E Y A</v>
      </c>
      <c r="D1725" s="35">
        <f>+'[2]por cuent'!G1725</f>
        <v>534805413.23000002</v>
      </c>
      <c r="E1725" s="35">
        <f>+'[2]por cuent'!H1725</f>
        <v>534805413.23000002</v>
      </c>
      <c r="F1725" t="str">
        <f>+'[2]por cuent'!I1725</f>
        <v>560</v>
      </c>
    </row>
    <row r="1726" spans="1:6" x14ac:dyDescent="0.35">
      <c r="A1726" t="str">
        <f>+'[2]por cuent'!A1726</f>
        <v>ARS</v>
      </c>
      <c r="B1726" t="str">
        <f>+'[2]por cuent'!B1726</f>
        <v>560637247</v>
      </c>
      <c r="C1726" t="str">
        <f>+'[2]por cuent'!C1726</f>
        <v>MULTICONTROL SOCIEDAD ANONIMA</v>
      </c>
      <c r="D1726" s="35">
        <f>+'[2]por cuent'!G1726</f>
        <v>95461543.920000002</v>
      </c>
      <c r="E1726" s="35">
        <f>+'[2]por cuent'!H1726</f>
        <v>95461543.920000002</v>
      </c>
      <c r="F1726" t="str">
        <f>+'[2]por cuent'!I1726</f>
        <v>560</v>
      </c>
    </row>
    <row r="1727" spans="1:6" x14ac:dyDescent="0.35">
      <c r="A1727" t="str">
        <f>+'[2]por cuent'!A1727</f>
        <v>ARS</v>
      </c>
      <c r="B1727" t="str">
        <f>+'[2]por cuent'!B1727</f>
        <v>560637253</v>
      </c>
      <c r="C1727" t="str">
        <f>+'[2]por cuent'!C1727</f>
        <v>Saad, Mariana, Hector, Marcos &amp; Elvira Montermini</v>
      </c>
      <c r="D1727" s="35">
        <f>+'[2]por cuent'!G1727</f>
        <v>17965685.699999999</v>
      </c>
      <c r="E1727" s="35">
        <f>+'[2]por cuent'!H1727</f>
        <v>17965685.699999999</v>
      </c>
      <c r="F1727" t="str">
        <f>+'[2]por cuent'!I1727</f>
        <v>560</v>
      </c>
    </row>
    <row r="1728" spans="1:6" x14ac:dyDescent="0.35">
      <c r="A1728" t="str">
        <f>+'[2]por cuent'!A1728</f>
        <v>ARS</v>
      </c>
      <c r="B1728" t="str">
        <f>+'[2]por cuent'!B1728</f>
        <v>560637259</v>
      </c>
      <c r="C1728" t="str">
        <f>+'[2]por cuent'!C1728</f>
        <v>Asociacion mutual vida salud</v>
      </c>
      <c r="D1728" s="35">
        <f>+'[2]por cuent'!G1728</f>
        <v>34545.1</v>
      </c>
      <c r="E1728" s="35">
        <f>+'[2]por cuent'!H1728</f>
        <v>34545.1</v>
      </c>
      <c r="F1728" t="str">
        <f>+'[2]por cuent'!I1728</f>
        <v>560</v>
      </c>
    </row>
    <row r="1729" spans="1:6" x14ac:dyDescent="0.35">
      <c r="A1729" t="str">
        <f>+'[2]por cuent'!A1729</f>
        <v>ARS</v>
      </c>
      <c r="B1729" t="str">
        <f>+'[2]por cuent'!B1729</f>
        <v>560637375</v>
      </c>
      <c r="C1729" t="str">
        <f>+'[2]por cuent'!C1729</f>
        <v>ACCELL ARGENTINA S. A.</v>
      </c>
      <c r="D1729" s="35">
        <f>+'[2]por cuent'!G1729</f>
        <v>30594439.219999999</v>
      </c>
      <c r="E1729" s="35">
        <f>+'[2]por cuent'!H1729</f>
        <v>30594439.219999999</v>
      </c>
      <c r="F1729" t="str">
        <f>+'[2]por cuent'!I1729</f>
        <v>560</v>
      </c>
    </row>
    <row r="1730" spans="1:6" x14ac:dyDescent="0.35">
      <c r="A1730" t="str">
        <f>+'[2]por cuent'!A1730</f>
        <v>ARS</v>
      </c>
      <c r="B1730" t="str">
        <f>+'[2]por cuent'!B1730</f>
        <v>560637378</v>
      </c>
      <c r="C1730" t="str">
        <f>+'[2]por cuent'!C1730</f>
        <v xml:space="preserve">DOTHS ENGINEERING SA </v>
      </c>
      <c r="D1730" s="35">
        <f>+'[2]por cuent'!G1730</f>
        <v>888711771.49000001</v>
      </c>
      <c r="E1730" s="35">
        <f>+'[2]por cuent'!H1730</f>
        <v>888711771.49000001</v>
      </c>
      <c r="F1730" t="str">
        <f>+'[2]por cuent'!I1730</f>
        <v>560</v>
      </c>
    </row>
    <row r="1731" spans="1:6" x14ac:dyDescent="0.35">
      <c r="A1731" t="str">
        <f>+'[2]por cuent'!A1731</f>
        <v>ARS</v>
      </c>
      <c r="B1731" t="str">
        <f>+'[2]por cuent'!B1731</f>
        <v>560637386</v>
      </c>
      <c r="C1731" t="str">
        <f>+'[2]por cuent'!C1731</f>
        <v>Martin Bazterrica &amp; Maria Dedola</v>
      </c>
      <c r="D1731" s="35">
        <f>+'[2]por cuent'!G1731</f>
        <v>3948124.19</v>
      </c>
      <c r="E1731" s="35">
        <f>+'[2]por cuent'!H1731</f>
        <v>3948124.19</v>
      </c>
      <c r="F1731" t="str">
        <f>+'[2]por cuent'!I1731</f>
        <v>560</v>
      </c>
    </row>
    <row r="1732" spans="1:6" x14ac:dyDescent="0.35">
      <c r="A1732" t="str">
        <f>+'[2]por cuent'!A1732</f>
        <v>ARS</v>
      </c>
      <c r="B1732" t="str">
        <f>+'[2]por cuent'!B1732</f>
        <v>560637453</v>
      </c>
      <c r="C1732" t="str">
        <f>+'[2]por cuent'!C1732</f>
        <v>Oblak, Gabriel y Klemencic, Lorena</v>
      </c>
      <c r="D1732" s="35">
        <f>+'[2]por cuent'!G1732</f>
        <v>410406753.25</v>
      </c>
      <c r="E1732" s="35">
        <f>+'[2]por cuent'!H1732</f>
        <v>410406753.25</v>
      </c>
      <c r="F1732" t="str">
        <f>+'[2]por cuent'!I1732</f>
        <v>560</v>
      </c>
    </row>
    <row r="1733" spans="1:6" x14ac:dyDescent="0.35">
      <c r="A1733" t="str">
        <f>+'[2]por cuent'!A1733</f>
        <v>ARS</v>
      </c>
      <c r="B1733" t="str">
        <f>+'[2]por cuent'!B1733</f>
        <v>560637470</v>
      </c>
      <c r="C1733" t="str">
        <f>+'[2]por cuent'!C1733</f>
        <v>BIGEYE</v>
      </c>
      <c r="D1733" s="35">
        <f>+'[2]por cuent'!G1733</f>
        <v>16859956.530000001</v>
      </c>
      <c r="E1733" s="35">
        <f>+'[2]por cuent'!H1733</f>
        <v>16859956.530000001</v>
      </c>
      <c r="F1733" t="str">
        <f>+'[2]por cuent'!I1733</f>
        <v>560</v>
      </c>
    </row>
    <row r="1734" spans="1:6" x14ac:dyDescent="0.35">
      <c r="A1734" t="str">
        <f>+'[2]por cuent'!A1734</f>
        <v>ARS</v>
      </c>
      <c r="B1734" t="str">
        <f>+'[2]por cuent'!B1734</f>
        <v>560637491</v>
      </c>
      <c r="C1734" t="str">
        <f>+'[2]por cuent'!C1734</f>
        <v>SYSTECMETAL SRL</v>
      </c>
      <c r="D1734" s="35">
        <f>+'[2]por cuent'!G1734</f>
        <v>1009961961.13</v>
      </c>
      <c r="E1734" s="35">
        <f>+'[2]por cuent'!H1734</f>
        <v>1009961961.13</v>
      </c>
      <c r="F1734" t="str">
        <f>+'[2]por cuent'!I1734</f>
        <v>560</v>
      </c>
    </row>
    <row r="1735" spans="1:6" x14ac:dyDescent="0.35">
      <c r="A1735" t="str">
        <f>+'[2]por cuent'!A1735</f>
        <v>ARS</v>
      </c>
      <c r="B1735" t="str">
        <f>+'[2]por cuent'!B1735</f>
        <v>560637506</v>
      </c>
      <c r="C1735" t="str">
        <f>+'[2]por cuent'!C1735</f>
        <v>MAR EXCHANGE S.A.</v>
      </c>
      <c r="D1735" s="35">
        <f>+'[2]por cuent'!G1735</f>
        <v>223293.2</v>
      </c>
      <c r="E1735" s="35">
        <f>+'[2]por cuent'!H1735</f>
        <v>223293.2</v>
      </c>
      <c r="F1735" t="str">
        <f>+'[2]por cuent'!I1735</f>
        <v>560</v>
      </c>
    </row>
    <row r="1736" spans="1:6" x14ac:dyDescent="0.35">
      <c r="A1736" t="str">
        <f>+'[2]por cuent'!A1736</f>
        <v>ARS</v>
      </c>
      <c r="B1736" t="str">
        <f>+'[2]por cuent'!B1736</f>
        <v>560637533</v>
      </c>
      <c r="C1736" t="str">
        <f>+'[2]por cuent'!C1736</f>
        <v>KOCMUR, ANDRES</v>
      </c>
      <c r="D1736" s="35">
        <f>+'[2]por cuent'!G1736</f>
        <v>203537078.72999999</v>
      </c>
      <c r="E1736" s="35">
        <f>+'[2]por cuent'!H1736</f>
        <v>203537078.72999999</v>
      </c>
      <c r="F1736" t="str">
        <f>+'[2]por cuent'!I1736</f>
        <v>560</v>
      </c>
    </row>
    <row r="1737" spans="1:6" x14ac:dyDescent="0.35">
      <c r="A1737" t="str">
        <f>+'[2]por cuent'!A1737</f>
        <v>ARS</v>
      </c>
      <c r="B1737" t="str">
        <f>+'[2]por cuent'!B1737</f>
        <v>560637577</v>
      </c>
      <c r="C1737" t="str">
        <f>+'[2]por cuent'!C1737</f>
        <v>Scherman, Ivan Hernando</v>
      </c>
      <c r="D1737" s="35">
        <f>+'[2]por cuent'!G1737</f>
        <v>31032000.199999999</v>
      </c>
      <c r="E1737" s="35">
        <f>+'[2]por cuent'!H1737</f>
        <v>31032000.199999999</v>
      </c>
      <c r="F1737" t="str">
        <f>+'[2]por cuent'!I1737</f>
        <v>560</v>
      </c>
    </row>
    <row r="1738" spans="1:6" x14ac:dyDescent="0.35">
      <c r="A1738" t="str">
        <f>+'[2]por cuent'!A1738</f>
        <v>ARS</v>
      </c>
      <c r="B1738" t="str">
        <f>+'[2]por cuent'!B1738</f>
        <v>560637580</v>
      </c>
      <c r="C1738" t="str">
        <f>+'[2]por cuent'!C1738</f>
        <v>Bermejo, Vanina Andrea</v>
      </c>
      <c r="D1738" s="35">
        <f>+'[2]por cuent'!G1738</f>
        <v>144584586.81999999</v>
      </c>
      <c r="E1738" s="35">
        <f>+'[2]por cuent'!H1738</f>
        <v>144584586.81999999</v>
      </c>
      <c r="F1738" t="str">
        <f>+'[2]por cuent'!I1738</f>
        <v>560</v>
      </c>
    </row>
    <row r="1739" spans="1:6" x14ac:dyDescent="0.35">
      <c r="A1739" t="str">
        <f>+'[2]por cuent'!A1739</f>
        <v>ARS</v>
      </c>
      <c r="B1739" t="str">
        <f>+'[2]por cuent'!B1739</f>
        <v>560637582</v>
      </c>
      <c r="C1739" t="str">
        <f>+'[2]por cuent'!C1739</f>
        <v>GOMEZ, Maria Teresa</v>
      </c>
      <c r="D1739" s="35">
        <f>+'[2]por cuent'!G1739</f>
        <v>16045065.59</v>
      </c>
      <c r="E1739" s="35">
        <f>+'[2]por cuent'!H1739</f>
        <v>16045065.59</v>
      </c>
      <c r="F1739" t="str">
        <f>+'[2]por cuent'!I1739</f>
        <v>560</v>
      </c>
    </row>
    <row r="1740" spans="1:6" x14ac:dyDescent="0.35">
      <c r="A1740" t="str">
        <f>+'[2]por cuent'!A1740</f>
        <v>ARS</v>
      </c>
      <c r="B1740" t="str">
        <f>+'[2]por cuent'!B1740</f>
        <v>560637599</v>
      </c>
      <c r="C1740" t="str">
        <f>+'[2]por cuent'!C1740</f>
        <v>Kastelic, Jana</v>
      </c>
      <c r="D1740" s="35">
        <f>+'[2]por cuent'!G1740</f>
        <v>22509984.379999999</v>
      </c>
      <c r="E1740" s="35">
        <f>+'[2]por cuent'!H1740</f>
        <v>22509984.379999999</v>
      </c>
      <c r="F1740" t="str">
        <f>+'[2]por cuent'!I1740</f>
        <v>560</v>
      </c>
    </row>
    <row r="1741" spans="1:6" x14ac:dyDescent="0.35">
      <c r="A1741" t="str">
        <f>+'[2]por cuent'!A1741</f>
        <v>ARS</v>
      </c>
      <c r="B1741" t="str">
        <f>+'[2]por cuent'!B1741</f>
        <v>560637602</v>
      </c>
      <c r="C1741" t="str">
        <f>+'[2]por cuent'!C1741</f>
        <v>Laboratorios Frasca SRL</v>
      </c>
      <c r="D1741" s="35">
        <f>+'[2]por cuent'!G1741</f>
        <v>622859164.63</v>
      </c>
      <c r="E1741" s="35">
        <f>+'[2]por cuent'!H1741</f>
        <v>622859164.63</v>
      </c>
      <c r="F1741" t="str">
        <f>+'[2]por cuent'!I1741</f>
        <v>560</v>
      </c>
    </row>
    <row r="1742" spans="1:6" x14ac:dyDescent="0.35">
      <c r="A1742" t="str">
        <f>+'[2]por cuent'!A1742</f>
        <v>ARS</v>
      </c>
      <c r="B1742" t="str">
        <f>+'[2]por cuent'!B1742</f>
        <v>560637653</v>
      </c>
      <c r="C1742" t="str">
        <f>+'[2]por cuent'!C1742</f>
        <v>Macia, Bono</v>
      </c>
      <c r="D1742" s="35">
        <f>+'[2]por cuent'!G1742</f>
        <v>95953581.25</v>
      </c>
      <c r="E1742" s="35">
        <f>+'[2]por cuent'!H1742</f>
        <v>95953581.25</v>
      </c>
      <c r="F1742" t="str">
        <f>+'[2]por cuent'!I1742</f>
        <v>560</v>
      </c>
    </row>
    <row r="1743" spans="1:6" x14ac:dyDescent="0.35">
      <c r="A1743" t="str">
        <f>+'[2]por cuent'!A1743</f>
        <v>ARS</v>
      </c>
      <c r="B1743" t="str">
        <f>+'[2]por cuent'!B1743</f>
        <v>560637658</v>
      </c>
      <c r="C1743" t="str">
        <f>+'[2]por cuent'!C1743</f>
        <v>Venditti Import S.A.</v>
      </c>
      <c r="D1743" s="35">
        <f>+'[2]por cuent'!G1743</f>
        <v>360076638.30000001</v>
      </c>
      <c r="E1743" s="35">
        <f>+'[2]por cuent'!H1743</f>
        <v>360076638.30000001</v>
      </c>
      <c r="F1743" t="str">
        <f>+'[2]por cuent'!I1743</f>
        <v>560</v>
      </c>
    </row>
    <row r="1744" spans="1:6" x14ac:dyDescent="0.35">
      <c r="A1744" t="str">
        <f>+'[2]por cuent'!A1744</f>
        <v>ARS</v>
      </c>
      <c r="B1744" t="str">
        <f>+'[2]por cuent'!B1744</f>
        <v>560637660</v>
      </c>
      <c r="C1744" t="str">
        <f>+'[2]por cuent'!C1744</f>
        <v>[C.E.R.A.] Venditti Import S.A.</v>
      </c>
      <c r="D1744" s="35">
        <f>+'[2]por cuent'!G1744</f>
        <v>127685.7</v>
      </c>
      <c r="E1744" s="35">
        <f>+'[2]por cuent'!H1744</f>
        <v>127685.7</v>
      </c>
      <c r="F1744" t="str">
        <f>+'[2]por cuent'!I1744</f>
        <v>560</v>
      </c>
    </row>
    <row r="1745" spans="1:6" x14ac:dyDescent="0.35">
      <c r="A1745" t="str">
        <f>+'[2]por cuent'!A1745</f>
        <v>ARS</v>
      </c>
      <c r="B1745" t="str">
        <f>+'[2]por cuent'!B1745</f>
        <v>560637665</v>
      </c>
      <c r="C1745" t="str">
        <f>+'[2]por cuent'!C1745</f>
        <v>Klemencic, Matias Sebastian</v>
      </c>
      <c r="D1745" s="35">
        <f>+'[2]por cuent'!G1745</f>
        <v>291010524.93000001</v>
      </c>
      <c r="E1745" s="35">
        <f>+'[2]por cuent'!H1745</f>
        <v>291010524.93000001</v>
      </c>
      <c r="F1745" t="str">
        <f>+'[2]por cuent'!I1745</f>
        <v>560</v>
      </c>
    </row>
    <row r="1746" spans="1:6" x14ac:dyDescent="0.35">
      <c r="A1746" t="str">
        <f>+'[2]por cuent'!A1746</f>
        <v>ARS</v>
      </c>
      <c r="B1746" t="str">
        <f>+'[2]por cuent'!B1746</f>
        <v>560637671</v>
      </c>
      <c r="C1746" t="str">
        <f>+'[2]por cuent'!C1746</f>
        <v>Merlo, Natalia Veronica</v>
      </c>
      <c r="D1746" s="35">
        <f>+'[2]por cuent'!G1746</f>
        <v>69746706.569999993</v>
      </c>
      <c r="E1746" s="35">
        <f>+'[2]por cuent'!H1746</f>
        <v>69746706.569999993</v>
      </c>
      <c r="F1746" t="str">
        <f>+'[2]por cuent'!I1746</f>
        <v>560</v>
      </c>
    </row>
    <row r="1747" spans="1:6" x14ac:dyDescent="0.35">
      <c r="A1747" t="str">
        <f>+'[2]por cuent'!A1747</f>
        <v>ARS</v>
      </c>
      <c r="B1747" t="str">
        <f>+'[2]por cuent'!B1747</f>
        <v>560637679</v>
      </c>
      <c r="C1747" t="str">
        <f>+'[2]por cuent'!C1747</f>
        <v>Juan Carlos Lorenzini y Viviana Noemi Criolani</v>
      </c>
      <c r="D1747" s="35">
        <f>+'[2]por cuent'!G1747</f>
        <v>92154587.879999995</v>
      </c>
      <c r="E1747" s="35">
        <f>+'[2]por cuent'!H1747</f>
        <v>92154587.879999995</v>
      </c>
      <c r="F1747" t="str">
        <f>+'[2]por cuent'!I1747</f>
        <v>560</v>
      </c>
    </row>
    <row r="1748" spans="1:6" x14ac:dyDescent="0.35">
      <c r="A1748" t="str">
        <f>+'[2]por cuent'!A1748</f>
        <v>ARS</v>
      </c>
      <c r="B1748" t="str">
        <f>+'[2]por cuent'!B1748</f>
        <v>560637681</v>
      </c>
      <c r="C1748" t="str">
        <f>+'[2]por cuent'!C1748</f>
        <v>AKER INGENIERIA S.R.L</v>
      </c>
      <c r="D1748" s="35">
        <f>+'[2]por cuent'!G1748</f>
        <v>1075615403.5599999</v>
      </c>
      <c r="E1748" s="35">
        <f>+'[2]por cuent'!H1748</f>
        <v>1075615403.5599999</v>
      </c>
      <c r="F1748" t="str">
        <f>+'[2]por cuent'!I1748</f>
        <v>560</v>
      </c>
    </row>
    <row r="1749" spans="1:6" x14ac:dyDescent="0.35">
      <c r="A1749" t="str">
        <f>+'[2]por cuent'!A1749</f>
        <v>ARS</v>
      </c>
      <c r="B1749" t="str">
        <f>+'[2]por cuent'!B1749</f>
        <v>560637692</v>
      </c>
      <c r="C1749" t="str">
        <f>+'[2]por cuent'!C1749</f>
        <v>Selan, Juan Cristian</v>
      </c>
      <c r="D1749" s="35">
        <f>+'[2]por cuent'!G1749</f>
        <v>2105872.7999999998</v>
      </c>
      <c r="E1749" s="35">
        <f>+'[2]por cuent'!H1749</f>
        <v>2105872.7999999998</v>
      </c>
      <c r="F1749" t="str">
        <f>+'[2]por cuent'!I1749</f>
        <v>560</v>
      </c>
    </row>
    <row r="1750" spans="1:6" x14ac:dyDescent="0.35">
      <c r="A1750" t="str">
        <f>+'[2]por cuent'!A1750</f>
        <v>ARS</v>
      </c>
      <c r="B1750" t="str">
        <f>+'[2]por cuent'!B1750</f>
        <v>560637738</v>
      </c>
      <c r="C1750" t="str">
        <f>+'[2]por cuent'!C1750</f>
        <v xml:space="preserve">Candioti, Agustin Nicolas </v>
      </c>
      <c r="D1750" s="35">
        <f>+'[2]por cuent'!G1750</f>
        <v>236730.54</v>
      </c>
      <c r="E1750" s="35">
        <f>+'[2]por cuent'!H1750</f>
        <v>236730.54</v>
      </c>
      <c r="F1750" t="str">
        <f>+'[2]por cuent'!I1750</f>
        <v>560</v>
      </c>
    </row>
    <row r="1751" spans="1:6" x14ac:dyDescent="0.35">
      <c r="A1751" t="str">
        <f>+'[2]por cuent'!A1751</f>
        <v>ARS</v>
      </c>
      <c r="B1751" t="str">
        <f>+'[2]por cuent'!B1751</f>
        <v>560637760</v>
      </c>
      <c r="C1751" t="str">
        <f>+'[2]por cuent'!C1751</f>
        <v>Belitsky, Natalia Giselda</v>
      </c>
      <c r="D1751" s="35">
        <f>+'[2]por cuent'!G1751</f>
        <v>114739352.5</v>
      </c>
      <c r="E1751" s="35">
        <f>+'[2]por cuent'!H1751</f>
        <v>114739352.5</v>
      </c>
      <c r="F1751" t="str">
        <f>+'[2]por cuent'!I1751</f>
        <v>560</v>
      </c>
    </row>
    <row r="1752" spans="1:6" x14ac:dyDescent="0.35">
      <c r="A1752" t="str">
        <f>+'[2]por cuent'!A1752</f>
        <v>ARS</v>
      </c>
      <c r="B1752" t="str">
        <f>+'[2]por cuent'!B1752</f>
        <v>560637772</v>
      </c>
      <c r="C1752" t="str">
        <f>+'[2]por cuent'!C1752</f>
        <v>TABOADA , CANDIDA MARIA</v>
      </c>
      <c r="D1752" s="35">
        <f>+'[2]por cuent'!G1752</f>
        <v>3022517.2</v>
      </c>
      <c r="E1752" s="35">
        <f>+'[2]por cuent'!H1752</f>
        <v>3022517.2</v>
      </c>
      <c r="F1752" t="str">
        <f>+'[2]por cuent'!I1752</f>
        <v>560</v>
      </c>
    </row>
    <row r="1753" spans="1:6" x14ac:dyDescent="0.35">
      <c r="A1753" t="str">
        <f>+'[2]por cuent'!A1753</f>
        <v>ARS</v>
      </c>
      <c r="B1753" t="str">
        <f>+'[2]por cuent'!B1753</f>
        <v>560637780</v>
      </c>
      <c r="C1753" t="str">
        <f>+'[2]por cuent'!C1753</f>
        <v>Metalúrgica J.M.D. S.A.</v>
      </c>
      <c r="D1753" s="35">
        <f>+'[2]por cuent'!G1753</f>
        <v>74090401.519999996</v>
      </c>
      <c r="E1753" s="35">
        <f>+'[2]por cuent'!H1753</f>
        <v>74090401.519999996</v>
      </c>
      <c r="F1753" t="str">
        <f>+'[2]por cuent'!I1753</f>
        <v>560</v>
      </c>
    </row>
    <row r="1754" spans="1:6" x14ac:dyDescent="0.35">
      <c r="A1754" t="str">
        <f>+'[2]por cuent'!A1754</f>
        <v>ARS</v>
      </c>
      <c r="B1754" t="str">
        <f>+'[2]por cuent'!B1754</f>
        <v>560637792</v>
      </c>
      <c r="C1754" t="str">
        <f>+'[2]por cuent'!C1754</f>
        <v>Fernandez, Pablo Cesar &amp; Duro de Oliveira, Carina Alejandra</v>
      </c>
      <c r="D1754" s="35">
        <f>+'[2]por cuent'!G1754</f>
        <v>18658814.100000001</v>
      </c>
      <c r="E1754" s="35">
        <f>+'[2]por cuent'!H1754</f>
        <v>18658814.100000001</v>
      </c>
      <c r="F1754" t="str">
        <f>+'[2]por cuent'!I1754</f>
        <v>560</v>
      </c>
    </row>
    <row r="1755" spans="1:6" x14ac:dyDescent="0.35">
      <c r="A1755" t="str">
        <f>+'[2]por cuent'!A1755</f>
        <v>ARS</v>
      </c>
      <c r="B1755" t="str">
        <f>+'[2]por cuent'!B1755</f>
        <v>560637807</v>
      </c>
      <c r="C1755" t="str">
        <f>+'[2]por cuent'!C1755</f>
        <v>Spinaci, Ramiro</v>
      </c>
      <c r="D1755" s="35">
        <f>+'[2]por cuent'!G1755</f>
        <v>1004823657.88</v>
      </c>
      <c r="E1755" s="35">
        <f>+'[2]por cuent'!H1755</f>
        <v>1004823657.88</v>
      </c>
      <c r="F1755" t="str">
        <f>+'[2]por cuent'!I1755</f>
        <v>560</v>
      </c>
    </row>
    <row r="1756" spans="1:6" x14ac:dyDescent="0.35">
      <c r="A1756" t="str">
        <f>+'[2]por cuent'!A1756</f>
        <v>ARS</v>
      </c>
      <c r="B1756" t="str">
        <f>+'[2]por cuent'!B1756</f>
        <v>560637821</v>
      </c>
      <c r="C1756" t="str">
        <f>+'[2]por cuent'!C1756</f>
        <v>Garcia, Ramon Arturo</v>
      </c>
      <c r="D1756" s="35">
        <f>+'[2]por cuent'!G1756</f>
        <v>124437.9</v>
      </c>
      <c r="E1756" s="35">
        <f>+'[2]por cuent'!H1756</f>
        <v>124437.9</v>
      </c>
      <c r="F1756" t="str">
        <f>+'[2]por cuent'!I1756</f>
        <v>560</v>
      </c>
    </row>
    <row r="1757" spans="1:6" x14ac:dyDescent="0.35">
      <c r="A1757" t="str">
        <f>+'[2]por cuent'!A1757</f>
        <v>ARS</v>
      </c>
      <c r="B1757" t="str">
        <f>+'[2]por cuent'!B1757</f>
        <v>560637829</v>
      </c>
      <c r="C1757" t="str">
        <f>+'[2]por cuent'!C1757</f>
        <v>Levy, Luciano Nisim &amp; Falak, Olinda Noemi</v>
      </c>
      <c r="D1757" s="35">
        <f>+'[2]por cuent'!G1757</f>
        <v>90283760</v>
      </c>
      <c r="E1757" s="35">
        <f>+'[2]por cuent'!H1757</f>
        <v>90283760</v>
      </c>
      <c r="F1757" t="str">
        <f>+'[2]por cuent'!I1757</f>
        <v>560</v>
      </c>
    </row>
    <row r="1758" spans="1:6" x14ac:dyDescent="0.35">
      <c r="A1758" t="str">
        <f>+'[2]por cuent'!A1758</f>
        <v>ARS</v>
      </c>
      <c r="B1758" t="str">
        <f>+'[2]por cuent'!B1758</f>
        <v>560639013</v>
      </c>
      <c r="C1758" t="str">
        <f>+'[2]por cuent'!C1758</f>
        <v>[C.E.R.A] Kocmur, Andres</v>
      </c>
      <c r="D1758" s="35">
        <f>+'[2]por cuent'!G1758</f>
        <v>55053.8</v>
      </c>
      <c r="E1758" s="35">
        <f>+'[2]por cuent'!H1758</f>
        <v>55053.8</v>
      </c>
      <c r="F1758" t="str">
        <f>+'[2]por cuent'!I1758</f>
        <v>560</v>
      </c>
    </row>
    <row r="1759" spans="1:6" x14ac:dyDescent="0.35">
      <c r="A1759" t="str">
        <f>+'[2]por cuent'!A1759</f>
        <v>ARS</v>
      </c>
      <c r="B1759" t="str">
        <f>+'[2]por cuent'!B1759</f>
        <v>560639018</v>
      </c>
      <c r="C1759" t="str">
        <f>+'[2]por cuent'!C1759</f>
        <v>[C.E.R.A] Bravo, Gabriela Roxana</v>
      </c>
      <c r="D1759" s="35">
        <f>+'[2]por cuent'!G1759</f>
        <v>9723869.5999999996</v>
      </c>
      <c r="E1759" s="35">
        <f>+'[2]por cuent'!H1759</f>
        <v>9723869.5999999996</v>
      </c>
      <c r="F1759" t="str">
        <f>+'[2]por cuent'!I1759</f>
        <v>560</v>
      </c>
    </row>
    <row r="1760" spans="1:6" x14ac:dyDescent="0.35">
      <c r="A1760" t="str">
        <f>+'[2]por cuent'!A1760</f>
        <v>ARS</v>
      </c>
      <c r="B1760" t="str">
        <f>+'[2]por cuent'!B1760</f>
        <v>565000101</v>
      </c>
      <c r="C1760" t="str">
        <f>+'[2]por cuent'!C1760</f>
        <v>Buenos Aires Crédito S.A.</v>
      </c>
      <c r="D1760" s="35">
        <f>+'[2]por cuent'!G1760</f>
        <v>23387861821.09</v>
      </c>
      <c r="E1760" s="35">
        <f>+'[2]por cuent'!H1760</f>
        <v>23387861821.09</v>
      </c>
      <c r="F1760" t="str">
        <f>+'[2]por cuent'!I1760</f>
        <v>565</v>
      </c>
    </row>
    <row r="1761" spans="1:6" x14ac:dyDescent="0.35">
      <c r="A1761" t="str">
        <f>+'[2]por cuent'!A1761</f>
        <v>ARS</v>
      </c>
      <c r="B1761" t="str">
        <f>+'[2]por cuent'!B1761</f>
        <v>565000102</v>
      </c>
      <c r="C1761" t="str">
        <f>+'[2]por cuent'!C1761</f>
        <v>Guillermo Hector Ferrero</v>
      </c>
      <c r="D1761" s="35">
        <f>+'[2]por cuent'!G1761</f>
        <v>7852814.6600000001</v>
      </c>
      <c r="E1761" s="35">
        <f>+'[2]por cuent'!H1761</f>
        <v>7852814.6600000001</v>
      </c>
      <c r="F1761" t="str">
        <f>+'[2]por cuent'!I1761</f>
        <v>565</v>
      </c>
    </row>
    <row r="1762" spans="1:6" x14ac:dyDescent="0.35">
      <c r="A1762" t="str">
        <f>+'[2]por cuent'!A1762</f>
        <v>ARS</v>
      </c>
      <c r="B1762" t="str">
        <f>+'[2]por cuent'!B1762</f>
        <v>565000103</v>
      </c>
      <c r="C1762" t="str">
        <f>+'[2]por cuent'!C1762</f>
        <v>Enio Bendinelli</v>
      </c>
      <c r="D1762" s="35">
        <f>+'[2]por cuent'!G1762</f>
        <v>8124049.9500000002</v>
      </c>
      <c r="E1762" s="35">
        <f>+'[2]por cuent'!H1762</f>
        <v>8124049.9500000002</v>
      </c>
      <c r="F1762" t="str">
        <f>+'[2]por cuent'!I1762</f>
        <v>565</v>
      </c>
    </row>
    <row r="1763" spans="1:6" x14ac:dyDescent="0.35">
      <c r="A1763" t="str">
        <f>+'[2]por cuent'!A1763</f>
        <v>ARS</v>
      </c>
      <c r="B1763" t="str">
        <f>+'[2]por cuent'!B1763</f>
        <v>565000104</v>
      </c>
      <c r="C1763" t="str">
        <f>+'[2]por cuent'!C1763</f>
        <v>Edgardo Luis Sala</v>
      </c>
      <c r="D1763" s="35">
        <f>+'[2]por cuent'!G1763</f>
        <v>7158716.4699999997</v>
      </c>
      <c r="E1763" s="35">
        <f>+'[2]por cuent'!H1763</f>
        <v>7158716.4699999997</v>
      </c>
      <c r="F1763" t="str">
        <f>+'[2]por cuent'!I1763</f>
        <v>565</v>
      </c>
    </row>
    <row r="1764" spans="1:6" x14ac:dyDescent="0.35">
      <c r="A1764" t="str">
        <f>+'[2]por cuent'!A1764</f>
        <v>ARS</v>
      </c>
      <c r="B1764" t="str">
        <f>+'[2]por cuent'!B1764</f>
        <v>565000105</v>
      </c>
      <c r="C1764" t="str">
        <f>+'[2]por cuent'!C1764</f>
        <v>Nelida Rut Gonzalez</v>
      </c>
      <c r="D1764" s="35">
        <f>+'[2]por cuent'!G1764</f>
        <v>16589075.48</v>
      </c>
      <c r="E1764" s="35">
        <f>+'[2]por cuent'!H1764</f>
        <v>16589075.48</v>
      </c>
      <c r="F1764" t="str">
        <f>+'[2]por cuent'!I1764</f>
        <v>565</v>
      </c>
    </row>
    <row r="1765" spans="1:6" x14ac:dyDescent="0.35">
      <c r="A1765" t="str">
        <f>+'[2]por cuent'!A1765</f>
        <v>ARS</v>
      </c>
      <c r="B1765" t="str">
        <f>+'[2]por cuent'!B1765</f>
        <v>565000107</v>
      </c>
      <c r="C1765" t="str">
        <f>+'[2]por cuent'!C1765</f>
        <v>Mateo Sala</v>
      </c>
      <c r="D1765" s="35">
        <f>+'[2]por cuent'!G1765</f>
        <v>1133375.72</v>
      </c>
      <c r="E1765" s="35">
        <f>+'[2]por cuent'!H1765</f>
        <v>1133375.72</v>
      </c>
      <c r="F1765" t="str">
        <f>+'[2]por cuent'!I1765</f>
        <v>565</v>
      </c>
    </row>
    <row r="1766" spans="1:6" x14ac:dyDescent="0.35">
      <c r="A1766" t="str">
        <f>+'[2]por cuent'!A1766</f>
        <v>ARS</v>
      </c>
      <c r="B1766" t="str">
        <f>+'[2]por cuent'!B1766</f>
        <v>565000113</v>
      </c>
      <c r="C1766" t="str">
        <f>+'[2]por cuent'!C1766</f>
        <v>OFMARTS S.A.</v>
      </c>
      <c r="D1766" s="35">
        <f>+'[2]por cuent'!G1766</f>
        <v>20575.080000000002</v>
      </c>
      <c r="E1766" s="35">
        <f>+'[2]por cuent'!H1766</f>
        <v>20575.080000000002</v>
      </c>
      <c r="F1766" t="str">
        <f>+'[2]por cuent'!I1766</f>
        <v>565</v>
      </c>
    </row>
    <row r="1767" spans="1:6" x14ac:dyDescent="0.35">
      <c r="A1767" t="str">
        <f>+'[2]por cuent'!A1767</f>
        <v>ARS</v>
      </c>
      <c r="B1767" t="str">
        <f>+'[2]por cuent'!B1767</f>
        <v>565000125</v>
      </c>
      <c r="C1767" t="str">
        <f>+'[2]por cuent'!C1767</f>
        <v>Coop. de Cred., Cons. y Viv., Desarrollo y Participacion Ltda.</v>
      </c>
      <c r="D1767" s="35">
        <f>+'[2]por cuent'!G1767</f>
        <v>10045547.01</v>
      </c>
      <c r="E1767" s="35">
        <f>+'[2]por cuent'!H1767</f>
        <v>10045547.01</v>
      </c>
      <c r="F1767" t="str">
        <f>+'[2]por cuent'!I1767</f>
        <v>565</v>
      </c>
    </row>
    <row r="1768" spans="1:6" x14ac:dyDescent="0.35">
      <c r="A1768" t="str">
        <f>+'[2]por cuent'!A1768</f>
        <v>ARS</v>
      </c>
      <c r="B1768" t="str">
        <f>+'[2]por cuent'!B1768</f>
        <v>565000126</v>
      </c>
      <c r="C1768" t="str">
        <f>+'[2]por cuent'!C1768</f>
        <v>Susi Ben S. A.</v>
      </c>
      <c r="D1768" s="35">
        <f>+'[2]por cuent'!G1768</f>
        <v>63397036.799999997</v>
      </c>
      <c r="E1768" s="35">
        <f>+'[2]por cuent'!H1768</f>
        <v>63397036.799999997</v>
      </c>
      <c r="F1768" t="str">
        <f>+'[2]por cuent'!I1768</f>
        <v>565</v>
      </c>
    </row>
    <row r="1769" spans="1:6" x14ac:dyDescent="0.35">
      <c r="A1769" t="str">
        <f>+'[2]por cuent'!A1769</f>
        <v>ARS</v>
      </c>
      <c r="B1769" t="str">
        <f>+'[2]por cuent'!B1769</f>
        <v>565000129</v>
      </c>
      <c r="C1769" t="str">
        <f>+'[2]por cuent'!C1769</f>
        <v>Ruben Gerardo Monreal</v>
      </c>
      <c r="D1769" s="35">
        <f>+'[2]por cuent'!G1769</f>
        <v>77937251.969999999</v>
      </c>
      <c r="E1769" s="35">
        <f>+'[2]por cuent'!H1769</f>
        <v>77937251.969999999</v>
      </c>
      <c r="F1769" t="str">
        <f>+'[2]por cuent'!I1769</f>
        <v>565</v>
      </c>
    </row>
    <row r="1770" spans="1:6" x14ac:dyDescent="0.35">
      <c r="A1770" t="str">
        <f>+'[2]por cuent'!A1770</f>
        <v>ARS</v>
      </c>
      <c r="B1770" t="str">
        <f>+'[2]por cuent'!B1770</f>
        <v>565000138</v>
      </c>
      <c r="C1770" t="str">
        <f>+'[2]por cuent'!C1770</f>
        <v>Carlos Mario Boccio</v>
      </c>
      <c r="D1770" s="35">
        <f>+'[2]por cuent'!G1770</f>
        <v>278936.64</v>
      </c>
      <c r="E1770" s="35">
        <f>+'[2]por cuent'!H1770</f>
        <v>278936.64</v>
      </c>
      <c r="F1770" t="str">
        <f>+'[2]por cuent'!I1770</f>
        <v>565</v>
      </c>
    </row>
    <row r="1771" spans="1:6" x14ac:dyDescent="0.35">
      <c r="A1771" t="str">
        <f>+'[2]por cuent'!A1771</f>
        <v>ARS</v>
      </c>
      <c r="B1771" t="str">
        <f>+'[2]por cuent'!B1771</f>
        <v>565000140</v>
      </c>
      <c r="C1771" t="str">
        <f>+'[2]por cuent'!C1771</f>
        <v>Maria Dolores Insua Darros</v>
      </c>
      <c r="D1771" s="35">
        <f>+'[2]por cuent'!G1771</f>
        <v>105069920.06999999</v>
      </c>
      <c r="E1771" s="35">
        <f>+'[2]por cuent'!H1771</f>
        <v>105069920.06999999</v>
      </c>
      <c r="F1771" t="str">
        <f>+'[2]por cuent'!I1771</f>
        <v>565</v>
      </c>
    </row>
    <row r="1772" spans="1:6" x14ac:dyDescent="0.35">
      <c r="A1772" t="str">
        <f>+'[2]por cuent'!A1772</f>
        <v>ARS</v>
      </c>
      <c r="B1772" t="str">
        <f>+'[2]por cuent'!B1772</f>
        <v>565000149</v>
      </c>
      <c r="C1772" t="str">
        <f>+'[2]por cuent'!C1772</f>
        <v>Pedro Sala</v>
      </c>
      <c r="D1772" s="35">
        <f>+'[2]por cuent'!G1772</f>
        <v>9915778.2799999993</v>
      </c>
      <c r="E1772" s="35">
        <f>+'[2]por cuent'!H1772</f>
        <v>9915778.2799999993</v>
      </c>
      <c r="F1772" t="str">
        <f>+'[2]por cuent'!I1772</f>
        <v>565</v>
      </c>
    </row>
    <row r="1773" spans="1:6" x14ac:dyDescent="0.35">
      <c r="A1773" t="str">
        <f>+'[2]por cuent'!A1773</f>
        <v>ARS</v>
      </c>
      <c r="B1773" t="str">
        <f>+'[2]por cuent'!B1773</f>
        <v>565000153</v>
      </c>
      <c r="C1773" t="str">
        <f>+'[2]por cuent'!C1773</f>
        <v>Matilde Rosa Ibarguren</v>
      </c>
      <c r="D1773" s="35">
        <f>+'[2]por cuent'!G1773</f>
        <v>192754002.47</v>
      </c>
      <c r="E1773" s="35">
        <f>+'[2]por cuent'!H1773</f>
        <v>192754002.47</v>
      </c>
      <c r="F1773" t="str">
        <f>+'[2]por cuent'!I1773</f>
        <v>565</v>
      </c>
    </row>
    <row r="1774" spans="1:6" x14ac:dyDescent="0.35">
      <c r="A1774" t="str">
        <f>+'[2]por cuent'!A1774</f>
        <v>ARS</v>
      </c>
      <c r="B1774" t="str">
        <f>+'[2]por cuent'!B1774</f>
        <v>565000159</v>
      </c>
      <c r="C1774" t="str">
        <f>+'[2]por cuent'!C1774</f>
        <v>AB INITIO S.A.</v>
      </c>
      <c r="D1774" s="35">
        <f>+'[2]por cuent'!G1774</f>
        <v>49681684</v>
      </c>
      <c r="E1774" s="35">
        <f>+'[2]por cuent'!H1774</f>
        <v>49681684</v>
      </c>
      <c r="F1774" t="str">
        <f>+'[2]por cuent'!I1774</f>
        <v>565</v>
      </c>
    </row>
    <row r="1775" spans="1:6" x14ac:dyDescent="0.35">
      <c r="A1775" t="str">
        <f>+'[2]por cuent'!A1775</f>
        <v>ARS</v>
      </c>
      <c r="B1775" t="str">
        <f>+'[2]por cuent'!B1775</f>
        <v>565000162</v>
      </c>
      <c r="C1775" t="str">
        <f>+'[2]por cuent'!C1775</f>
        <v>Mora Jaichenco</v>
      </c>
      <c r="D1775" s="35">
        <f>+'[2]por cuent'!G1775</f>
        <v>21375.32</v>
      </c>
      <c r="E1775" s="35">
        <f>+'[2]por cuent'!H1775</f>
        <v>21375.32</v>
      </c>
      <c r="F1775" t="str">
        <f>+'[2]por cuent'!I1775</f>
        <v>565</v>
      </c>
    </row>
    <row r="1776" spans="1:6" x14ac:dyDescent="0.35">
      <c r="A1776" t="str">
        <f>+'[2]por cuent'!A1776</f>
        <v>ARS</v>
      </c>
      <c r="B1776" t="str">
        <f>+'[2]por cuent'!B1776</f>
        <v>565000163</v>
      </c>
      <c r="C1776" t="str">
        <f>+'[2]por cuent'!C1776</f>
        <v>Alejandro Martin Mastino</v>
      </c>
      <c r="D1776" s="35">
        <f>+'[2]por cuent'!G1776</f>
        <v>63278.62</v>
      </c>
      <c r="E1776" s="35">
        <f>+'[2]por cuent'!H1776</f>
        <v>63278.62</v>
      </c>
      <c r="F1776" t="str">
        <f>+'[2]por cuent'!I1776</f>
        <v>565</v>
      </c>
    </row>
    <row r="1777" spans="1:6" x14ac:dyDescent="0.35">
      <c r="A1777" t="str">
        <f>+'[2]por cuent'!A1777</f>
        <v>ARS</v>
      </c>
      <c r="B1777" t="str">
        <f>+'[2]por cuent'!B1777</f>
        <v>565000167</v>
      </c>
      <c r="C1777" t="str">
        <f>+'[2]por cuent'!C1777</f>
        <v>Leopoldo Mario Borini</v>
      </c>
      <c r="D1777" s="35">
        <f>+'[2]por cuent'!G1777</f>
        <v>8368665</v>
      </c>
      <c r="E1777" s="35">
        <f>+'[2]por cuent'!H1777</f>
        <v>8368665</v>
      </c>
      <c r="F1777" t="str">
        <f>+'[2]por cuent'!I1777</f>
        <v>565</v>
      </c>
    </row>
    <row r="1778" spans="1:6" x14ac:dyDescent="0.35">
      <c r="A1778" t="str">
        <f>+'[2]por cuent'!A1778</f>
        <v>ARS</v>
      </c>
      <c r="B1778" t="str">
        <f>+'[2]por cuent'!B1778</f>
        <v>565000169</v>
      </c>
      <c r="C1778" t="str">
        <f>+'[2]por cuent'!C1778</f>
        <v>Susana Ursula Bencich</v>
      </c>
      <c r="D1778" s="35">
        <f>+'[2]por cuent'!G1778</f>
        <v>85427765.5</v>
      </c>
      <c r="E1778" s="35">
        <f>+'[2]por cuent'!H1778</f>
        <v>85427765.5</v>
      </c>
      <c r="F1778" t="str">
        <f>+'[2]por cuent'!I1778</f>
        <v>565</v>
      </c>
    </row>
    <row r="1779" spans="1:6" x14ac:dyDescent="0.35">
      <c r="A1779" t="str">
        <f>+'[2]por cuent'!A1779</f>
        <v>ARS</v>
      </c>
      <c r="B1779" t="str">
        <f>+'[2]por cuent'!B1779</f>
        <v>565000170</v>
      </c>
      <c r="C1779" t="str">
        <f>+'[2]por cuent'!C1779</f>
        <v>Alejandro Javier Sayans</v>
      </c>
      <c r="D1779" s="35">
        <f>+'[2]por cuent'!G1779</f>
        <v>79000234.790000007</v>
      </c>
      <c r="E1779" s="35">
        <f>+'[2]por cuent'!H1779</f>
        <v>79000234.790000007</v>
      </c>
      <c r="F1779" t="str">
        <f>+'[2]por cuent'!I1779</f>
        <v>565</v>
      </c>
    </row>
    <row r="1780" spans="1:6" x14ac:dyDescent="0.35">
      <c r="A1780" t="str">
        <f>+'[2]por cuent'!A1780</f>
        <v>ARS</v>
      </c>
      <c r="B1780" t="str">
        <f>+'[2]por cuent'!B1780</f>
        <v>565000171</v>
      </c>
      <c r="C1780" t="str">
        <f>+'[2]por cuent'!C1780</f>
        <v>Maria Crsitina Ratto</v>
      </c>
      <c r="D1780" s="35">
        <f>+'[2]por cuent'!G1780</f>
        <v>1937699.22</v>
      </c>
      <c r="E1780" s="35">
        <f>+'[2]por cuent'!H1780</f>
        <v>1937699.22</v>
      </c>
      <c r="F1780" t="str">
        <f>+'[2]por cuent'!I1780</f>
        <v>565</v>
      </c>
    </row>
    <row r="1781" spans="1:6" x14ac:dyDescent="0.35">
      <c r="A1781" t="str">
        <f>+'[2]por cuent'!A1781</f>
        <v>ARS</v>
      </c>
      <c r="B1781" t="str">
        <f>+'[2]por cuent'!B1781</f>
        <v>565000200</v>
      </c>
      <c r="C1781" t="str">
        <f>+'[2]por cuent'!C1781</f>
        <v>Coop. de Cred. Cons. y Viv. BAYMOR LTDA</v>
      </c>
      <c r="D1781" s="35">
        <f>+'[2]por cuent'!G1781</f>
        <v>20968101931.349998</v>
      </c>
      <c r="E1781" s="35">
        <f>+'[2]por cuent'!H1781</f>
        <v>20968101931.349998</v>
      </c>
      <c r="F1781" t="str">
        <f>+'[2]por cuent'!I1781</f>
        <v>565</v>
      </c>
    </row>
    <row r="1782" spans="1:6" x14ac:dyDescent="0.35">
      <c r="A1782" t="str">
        <f>+'[2]por cuent'!A1782</f>
        <v>ARS</v>
      </c>
      <c r="B1782" t="str">
        <f>+'[2]por cuent'!B1782</f>
        <v>565000565</v>
      </c>
      <c r="C1782" t="str">
        <f>+'[2]por cuent'!C1782</f>
        <v>BUENOS AIRES CREDITOS Y VALORES SOCIEDAD ANONIMA</v>
      </c>
      <c r="D1782" s="35">
        <f>+'[2]por cuent'!G1782</f>
        <v>1968546.08</v>
      </c>
      <c r="E1782" s="35">
        <f>+'[2]por cuent'!H1782</f>
        <v>1968546.08</v>
      </c>
      <c r="F1782" t="str">
        <f>+'[2]por cuent'!I1782</f>
        <v>565</v>
      </c>
    </row>
    <row r="1783" spans="1:6" x14ac:dyDescent="0.35">
      <c r="A1783" t="str">
        <f>+'[2]por cuent'!A1783</f>
        <v>ARS</v>
      </c>
      <c r="B1783" t="str">
        <f>+'[2]por cuent'!B1783</f>
        <v>565001933</v>
      </c>
      <c r="C1783" t="str">
        <f>+'[2]por cuent'!C1783</f>
        <v>Ennio Bendinelli</v>
      </c>
      <c r="D1783" s="35">
        <f>+'[2]por cuent'!G1783</f>
        <v>41985846.689999998</v>
      </c>
      <c r="E1783" s="35">
        <f>+'[2]por cuent'!H1783</f>
        <v>41985846.689999998</v>
      </c>
      <c r="F1783" t="str">
        <f>+'[2]por cuent'!I1783</f>
        <v>565</v>
      </c>
    </row>
    <row r="1784" spans="1:6" x14ac:dyDescent="0.35">
      <c r="A1784" t="str">
        <f>+'[2]por cuent'!A1784</f>
        <v>ARS</v>
      </c>
      <c r="B1784" t="str">
        <f>+'[2]por cuent'!B1784</f>
        <v>568000004</v>
      </c>
      <c r="C1784" t="str">
        <f>+'[2]por cuent'!C1784</f>
        <v>AXON CAPITAL S.A</v>
      </c>
      <c r="D1784" s="35">
        <f>+'[2]por cuent'!G1784</f>
        <v>96474566537.520004</v>
      </c>
      <c r="E1784" s="35">
        <f>+'[2]por cuent'!H1784</f>
        <v>96474566537.520004</v>
      </c>
      <c r="F1784" t="str">
        <f>+'[2]por cuent'!I1784</f>
        <v>568</v>
      </c>
    </row>
    <row r="1785" spans="1:6" x14ac:dyDescent="0.35">
      <c r="A1785" t="str">
        <f>+'[2]por cuent'!A1785</f>
        <v>ARS</v>
      </c>
      <c r="B1785" t="str">
        <f>+'[2]por cuent'!B1785</f>
        <v>568000005</v>
      </c>
      <c r="C1785" t="str">
        <f>+'[2]por cuent'!C1785</f>
        <v>Valentin Viotti</v>
      </c>
      <c r="D1785" s="35">
        <f>+'[2]por cuent'!G1785</f>
        <v>8544027973.0900002</v>
      </c>
      <c r="E1785" s="35">
        <f>+'[2]por cuent'!H1785</f>
        <v>8544027973.0900002</v>
      </c>
      <c r="F1785" t="str">
        <f>+'[2]por cuent'!I1785</f>
        <v>568</v>
      </c>
    </row>
    <row r="1786" spans="1:6" x14ac:dyDescent="0.35">
      <c r="A1786" t="str">
        <f>+'[2]por cuent'!A1786</f>
        <v>ARS</v>
      </c>
      <c r="B1786" t="str">
        <f>+'[2]por cuent'!B1786</f>
        <v>568000006</v>
      </c>
      <c r="C1786" t="str">
        <f>+'[2]por cuent'!C1786</f>
        <v>Tomas Dalurzo</v>
      </c>
      <c r="D1786" s="35">
        <f>+'[2]por cuent'!G1786</f>
        <v>487935715.10000002</v>
      </c>
      <c r="E1786" s="35">
        <f>+'[2]por cuent'!H1786</f>
        <v>487935715.10000002</v>
      </c>
      <c r="F1786" t="str">
        <f>+'[2]por cuent'!I1786</f>
        <v>568</v>
      </c>
    </row>
    <row r="1787" spans="1:6" x14ac:dyDescent="0.35">
      <c r="A1787" t="str">
        <f>+'[2]por cuent'!A1787</f>
        <v>ARS</v>
      </c>
      <c r="B1787" t="str">
        <f>+'[2]por cuent'!B1787</f>
        <v>568000007</v>
      </c>
      <c r="C1787" t="str">
        <f>+'[2]por cuent'!C1787</f>
        <v>Manzo, Matias Jose Argentino</v>
      </c>
      <c r="D1787" s="35">
        <f>+'[2]por cuent'!G1787</f>
        <v>1436186188.6900001</v>
      </c>
      <c r="E1787" s="35">
        <f>+'[2]por cuent'!H1787</f>
        <v>1436186188.6900001</v>
      </c>
      <c r="F1787" t="str">
        <f>+'[2]por cuent'!I1787</f>
        <v>568</v>
      </c>
    </row>
    <row r="1788" spans="1:6" x14ac:dyDescent="0.35">
      <c r="A1788" t="str">
        <f>+'[2]por cuent'!A1788</f>
        <v>ARS</v>
      </c>
      <c r="B1788" t="str">
        <f>+'[2]por cuent'!B1788</f>
        <v>568000008</v>
      </c>
      <c r="C1788" t="str">
        <f>+'[2]por cuent'!C1788</f>
        <v>Leonardo Damian Piaggio Olivera</v>
      </c>
      <c r="D1788" s="35">
        <f>+'[2]por cuent'!G1788</f>
        <v>17174557.100000001</v>
      </c>
      <c r="E1788" s="35">
        <f>+'[2]por cuent'!H1788</f>
        <v>17174557.100000001</v>
      </c>
      <c r="F1788" t="str">
        <f>+'[2]por cuent'!I1788</f>
        <v>568</v>
      </c>
    </row>
    <row r="1789" spans="1:6" x14ac:dyDescent="0.35">
      <c r="A1789" t="str">
        <f>+'[2]por cuent'!A1789</f>
        <v>ARS</v>
      </c>
      <c r="B1789" t="str">
        <f>+'[2]por cuent'!B1789</f>
        <v>568000010</v>
      </c>
      <c r="C1789" t="str">
        <f>+'[2]por cuent'!C1789</f>
        <v>Costantini, Gonzalo</v>
      </c>
      <c r="D1789" s="35">
        <f>+'[2]por cuent'!G1789</f>
        <v>14546088277.73</v>
      </c>
      <c r="E1789" s="35">
        <f>+'[2]por cuent'!H1789</f>
        <v>14546088277.73</v>
      </c>
      <c r="F1789" t="str">
        <f>+'[2]por cuent'!I1789</f>
        <v>568</v>
      </c>
    </row>
    <row r="1790" spans="1:6" x14ac:dyDescent="0.35">
      <c r="A1790" t="str">
        <f>+'[2]por cuent'!A1790</f>
        <v>ARS</v>
      </c>
      <c r="B1790" t="str">
        <f>+'[2]por cuent'!B1790</f>
        <v>568000013</v>
      </c>
      <c r="C1790" t="str">
        <f>+'[2]por cuent'!C1790</f>
        <v xml:space="preserve"> Marcoff, Tomas Pablo </v>
      </c>
      <c r="D1790" s="35">
        <f>+'[2]por cuent'!G1790</f>
        <v>599737</v>
      </c>
      <c r="E1790" s="35">
        <f>+'[2]por cuent'!H1790</f>
        <v>599737</v>
      </c>
      <c r="F1790" t="str">
        <f>+'[2]por cuent'!I1790</f>
        <v>568</v>
      </c>
    </row>
    <row r="1791" spans="1:6" x14ac:dyDescent="0.35">
      <c r="A1791" t="str">
        <f>+'[2]por cuent'!A1791</f>
        <v>ARS</v>
      </c>
      <c r="B1791" t="str">
        <f>+'[2]por cuent'!B1791</f>
        <v>568000015</v>
      </c>
      <c r="C1791" t="str">
        <f>+'[2]por cuent'!C1791</f>
        <v>Schrench Von Notzing, Silvia Elizabeth</v>
      </c>
      <c r="D1791" s="35">
        <f>+'[2]por cuent'!G1791</f>
        <v>2062394119.78</v>
      </c>
      <c r="E1791" s="35">
        <f>+'[2]por cuent'!H1791</f>
        <v>2062394119.78</v>
      </c>
      <c r="F1791" t="str">
        <f>+'[2]por cuent'!I1791</f>
        <v>568</v>
      </c>
    </row>
    <row r="1792" spans="1:6" x14ac:dyDescent="0.35">
      <c r="A1792" t="str">
        <f>+'[2]por cuent'!A1792</f>
        <v>ARS</v>
      </c>
      <c r="B1792" t="str">
        <f>+'[2]por cuent'!B1792</f>
        <v>568000017</v>
      </c>
      <c r="C1792" t="str">
        <f>+'[2]por cuent'!C1792</f>
        <v>Manzo, Marcelo Juan</v>
      </c>
      <c r="D1792" s="35">
        <f>+'[2]por cuent'!G1792</f>
        <v>1836210466.6900001</v>
      </c>
      <c r="E1792" s="35">
        <f>+'[2]por cuent'!H1792</f>
        <v>1836210466.6900001</v>
      </c>
      <c r="F1792" t="str">
        <f>+'[2]por cuent'!I1792</f>
        <v>568</v>
      </c>
    </row>
    <row r="1793" spans="1:6" x14ac:dyDescent="0.35">
      <c r="A1793" t="str">
        <f>+'[2]por cuent'!A1793</f>
        <v>ARS</v>
      </c>
      <c r="B1793" t="str">
        <f>+'[2]por cuent'!B1793</f>
        <v>568000018</v>
      </c>
      <c r="C1793" t="str">
        <f>+'[2]por cuent'!C1793</f>
        <v>Maria Angelica Fernandez y/o Tomas Dalurzo</v>
      </c>
      <c r="D1793" s="35">
        <f>+'[2]por cuent'!G1793</f>
        <v>177842965</v>
      </c>
      <c r="E1793" s="35">
        <f>+'[2]por cuent'!H1793</f>
        <v>177842965</v>
      </c>
      <c r="F1793" t="str">
        <f>+'[2]por cuent'!I1793</f>
        <v>568</v>
      </c>
    </row>
    <row r="1794" spans="1:6" x14ac:dyDescent="0.35">
      <c r="A1794" t="str">
        <f>+'[2]por cuent'!A1794</f>
        <v>ARS</v>
      </c>
      <c r="B1794" t="str">
        <f>+'[2]por cuent'!B1794</f>
        <v>568000019</v>
      </c>
      <c r="C1794" t="str">
        <f>+'[2]por cuent'!C1794</f>
        <v>Julian Cesar Dalurzo y/o Tomas Dalurzo</v>
      </c>
      <c r="D1794" s="35">
        <f>+'[2]por cuent'!G1794</f>
        <v>178242983</v>
      </c>
      <c r="E1794" s="35">
        <f>+'[2]por cuent'!H1794</f>
        <v>178242983</v>
      </c>
      <c r="F1794" t="str">
        <f>+'[2]por cuent'!I1794</f>
        <v>568</v>
      </c>
    </row>
    <row r="1795" spans="1:6" x14ac:dyDescent="0.35">
      <c r="A1795" t="str">
        <f>+'[2]por cuent'!A1795</f>
        <v>ARS</v>
      </c>
      <c r="B1795" t="str">
        <f>+'[2]por cuent'!B1795</f>
        <v>568000023</v>
      </c>
      <c r="C1795" t="str">
        <f>+'[2]por cuent'!C1795</f>
        <v xml:space="preserve">Bressani , Adrian Alejandro </v>
      </c>
      <c r="D1795" s="35">
        <f>+'[2]por cuent'!G1795</f>
        <v>2652600000</v>
      </c>
      <c r="E1795" s="35">
        <f>+'[2]por cuent'!H1795</f>
        <v>2652600000</v>
      </c>
      <c r="F1795" t="str">
        <f>+'[2]por cuent'!I1795</f>
        <v>568</v>
      </c>
    </row>
    <row r="1796" spans="1:6" x14ac:dyDescent="0.35">
      <c r="A1796" t="str">
        <f>+'[2]por cuent'!A1796</f>
        <v>ARS</v>
      </c>
      <c r="B1796" t="str">
        <f>+'[2]por cuent'!B1796</f>
        <v>568000100</v>
      </c>
      <c r="C1796" t="str">
        <f>+'[2]por cuent'!C1796</f>
        <v>EXPOGRANOS SA</v>
      </c>
      <c r="D1796" s="35">
        <f>+'[2]por cuent'!G1796</f>
        <v>27980058718.290001</v>
      </c>
      <c r="E1796" s="35">
        <f>+'[2]por cuent'!H1796</f>
        <v>27980058718.290001</v>
      </c>
      <c r="F1796" t="str">
        <f>+'[2]por cuent'!I1796</f>
        <v>568</v>
      </c>
    </row>
    <row r="1797" spans="1:6" x14ac:dyDescent="0.35">
      <c r="A1797" t="str">
        <f>+'[2]por cuent'!A1797</f>
        <v>ARS</v>
      </c>
      <c r="B1797" t="str">
        <f>+'[2]por cuent'!B1797</f>
        <v>568000103</v>
      </c>
      <c r="C1797" t="str">
        <f>+'[2]por cuent'!C1797</f>
        <v>GRUPO VICNET S.R.L.</v>
      </c>
      <c r="D1797" s="35">
        <f>+'[2]por cuent'!G1797</f>
        <v>106708331.97</v>
      </c>
      <c r="E1797" s="35">
        <f>+'[2]por cuent'!H1797</f>
        <v>106708331.97</v>
      </c>
      <c r="F1797" t="str">
        <f>+'[2]por cuent'!I1797</f>
        <v>568</v>
      </c>
    </row>
    <row r="1798" spans="1:6" x14ac:dyDescent="0.35">
      <c r="A1798" t="str">
        <f>+'[2]por cuent'!A1798</f>
        <v>ARS</v>
      </c>
      <c r="B1798" t="str">
        <f>+'[2]por cuent'!B1798</f>
        <v>568000104</v>
      </c>
      <c r="C1798" t="str">
        <f>+'[2]por cuent'!C1798</f>
        <v>S+L INMOBILIARIA S.A.</v>
      </c>
      <c r="D1798" s="35">
        <f>+'[2]por cuent'!G1798</f>
        <v>903746673.45000005</v>
      </c>
      <c r="E1798" s="35">
        <f>+'[2]por cuent'!H1798</f>
        <v>903746673.45000005</v>
      </c>
      <c r="F1798" t="str">
        <f>+'[2]por cuent'!I1798</f>
        <v>568</v>
      </c>
    </row>
    <row r="1799" spans="1:6" x14ac:dyDescent="0.35">
      <c r="A1799" t="str">
        <f>+'[2]por cuent'!A1799</f>
        <v>ARS</v>
      </c>
      <c r="B1799" t="str">
        <f>+'[2]por cuent'!B1799</f>
        <v>568000108</v>
      </c>
      <c r="C1799" t="str">
        <f>+'[2]por cuent'!C1799</f>
        <v>NORDATA TECHNOLOGIES SAS</v>
      </c>
      <c r="D1799" s="35">
        <f>+'[2]por cuent'!G1799</f>
        <v>758273874.96000004</v>
      </c>
      <c r="E1799" s="35">
        <f>+'[2]por cuent'!H1799</f>
        <v>758273874.96000004</v>
      </c>
      <c r="F1799" t="str">
        <f>+'[2]por cuent'!I1799</f>
        <v>568</v>
      </c>
    </row>
    <row r="1800" spans="1:6" x14ac:dyDescent="0.35">
      <c r="A1800" t="str">
        <f>+'[2]por cuent'!A1800</f>
        <v>ARS</v>
      </c>
      <c r="B1800" t="str">
        <f>+'[2]por cuent'!B1800</f>
        <v>568000112</v>
      </c>
      <c r="C1800" t="str">
        <f>+'[2]por cuent'!C1800</f>
        <v xml:space="preserve">Potenciar S.G.R (FDR) 1 </v>
      </c>
      <c r="D1800" s="35">
        <f>+'[2]por cuent'!G1800</f>
        <v>5059832003.0699997</v>
      </c>
      <c r="E1800" s="35">
        <f>+'[2]por cuent'!H1800</f>
        <v>5059832003.0699997</v>
      </c>
      <c r="F1800" t="str">
        <f>+'[2]por cuent'!I1800</f>
        <v>568</v>
      </c>
    </row>
    <row r="1801" spans="1:6" x14ac:dyDescent="0.35">
      <c r="A1801" t="str">
        <f>+'[2]por cuent'!A1801</f>
        <v>ARS</v>
      </c>
      <c r="B1801" t="str">
        <f>+'[2]por cuent'!B1801</f>
        <v>568000114</v>
      </c>
      <c r="C1801" t="str">
        <f>+'[2]por cuent'!C1801</f>
        <v>AREX ACTIVOS DIGITALES SA</v>
      </c>
      <c r="D1801" s="35">
        <f>+'[2]por cuent'!G1801</f>
        <v>4464687389.6499996</v>
      </c>
      <c r="E1801" s="35">
        <f>+'[2]por cuent'!H1801</f>
        <v>4464687389.6499996</v>
      </c>
      <c r="F1801" t="str">
        <f>+'[2]por cuent'!I1801</f>
        <v>568</v>
      </c>
    </row>
    <row r="1802" spans="1:6" x14ac:dyDescent="0.35">
      <c r="A1802" t="str">
        <f>+'[2]por cuent'!A1802</f>
        <v>ARS</v>
      </c>
      <c r="B1802" t="str">
        <f>+'[2]por cuent'!B1802</f>
        <v>568000115</v>
      </c>
      <c r="C1802" t="str">
        <f>+'[2]por cuent'!C1802</f>
        <v>LUCOMEX SA</v>
      </c>
      <c r="D1802" s="35">
        <f>+'[2]por cuent'!G1802</f>
        <v>30506734.300000001</v>
      </c>
      <c r="E1802" s="35">
        <f>+'[2]por cuent'!H1802</f>
        <v>30506734.300000001</v>
      </c>
      <c r="F1802" t="str">
        <f>+'[2]por cuent'!I1802</f>
        <v>568</v>
      </c>
    </row>
    <row r="1803" spans="1:6" x14ac:dyDescent="0.35">
      <c r="A1803" t="str">
        <f>+'[2]por cuent'!A1803</f>
        <v>ARS</v>
      </c>
      <c r="B1803" t="str">
        <f>+'[2]por cuent'!B1803</f>
        <v>568000116</v>
      </c>
      <c r="C1803" t="str">
        <f>+'[2]por cuent'!C1803</f>
        <v>THE FARAWAY S.A.</v>
      </c>
      <c r="D1803" s="35">
        <f>+'[2]por cuent'!G1803</f>
        <v>22754102.600000001</v>
      </c>
      <c r="E1803" s="35">
        <f>+'[2]por cuent'!H1803</f>
        <v>22754102.600000001</v>
      </c>
      <c r="F1803" t="str">
        <f>+'[2]por cuent'!I1803</f>
        <v>568</v>
      </c>
    </row>
    <row r="1804" spans="1:6" x14ac:dyDescent="0.35">
      <c r="A1804" t="str">
        <f>+'[2]por cuent'!A1804</f>
        <v>ARS</v>
      </c>
      <c r="B1804" t="str">
        <f>+'[2]por cuent'!B1804</f>
        <v>568010001</v>
      </c>
      <c r="C1804" t="str">
        <f>+'[2]por cuent'!C1804</f>
        <v>Videla Glave, Barbara Jacqueline</v>
      </c>
      <c r="D1804" s="35">
        <f>+'[2]por cuent'!G1804</f>
        <v>2216963922</v>
      </c>
      <c r="E1804" s="35">
        <f>+'[2]por cuent'!H1804</f>
        <v>2216963922</v>
      </c>
      <c r="F1804" t="str">
        <f>+'[2]por cuent'!I1804</f>
        <v>568</v>
      </c>
    </row>
    <row r="1805" spans="1:6" x14ac:dyDescent="0.35">
      <c r="A1805" t="str">
        <f>+'[2]por cuent'!A1805</f>
        <v>ARS</v>
      </c>
      <c r="B1805" t="str">
        <f>+'[2]por cuent'!B1805</f>
        <v>568010002</v>
      </c>
      <c r="C1805" t="str">
        <f>+'[2]por cuent'!C1805</f>
        <v>Labajos, Marcelo Anibal</v>
      </c>
      <c r="D1805" s="35">
        <f>+'[2]por cuent'!G1805</f>
        <v>41693037768.980003</v>
      </c>
      <c r="E1805" s="35">
        <f>+'[2]por cuent'!H1805</f>
        <v>41693037768.980003</v>
      </c>
      <c r="F1805" t="str">
        <f>+'[2]por cuent'!I1805</f>
        <v>568</v>
      </c>
    </row>
    <row r="1806" spans="1:6" x14ac:dyDescent="0.35">
      <c r="A1806" t="str">
        <f>+'[2]por cuent'!A1806</f>
        <v>ARS</v>
      </c>
      <c r="B1806" t="str">
        <f>+'[2]por cuent'!B1806</f>
        <v>568010003</v>
      </c>
      <c r="C1806" t="str">
        <f>+'[2]por cuent'!C1806</f>
        <v>Canullo, Marta Noemi</v>
      </c>
      <c r="D1806" s="35">
        <f>+'[2]por cuent'!G1806</f>
        <v>5833152044</v>
      </c>
      <c r="E1806" s="35">
        <f>+'[2]por cuent'!H1806</f>
        <v>5833152044</v>
      </c>
      <c r="F1806" t="str">
        <f>+'[2]por cuent'!I1806</f>
        <v>568</v>
      </c>
    </row>
    <row r="1807" spans="1:6" x14ac:dyDescent="0.35">
      <c r="A1807" t="str">
        <f>+'[2]por cuent'!A1807</f>
        <v>ARS</v>
      </c>
      <c r="B1807" t="str">
        <f>+'[2]por cuent'!B1807</f>
        <v>568010004</v>
      </c>
      <c r="C1807" t="str">
        <f>+'[2]por cuent'!C1807</f>
        <v>Kalciyan, Federico Alexis</v>
      </c>
      <c r="D1807" s="35">
        <f>+'[2]por cuent'!G1807</f>
        <v>4979040</v>
      </c>
      <c r="E1807" s="35">
        <f>+'[2]por cuent'!H1807</f>
        <v>4979040</v>
      </c>
      <c r="F1807" t="str">
        <f>+'[2]por cuent'!I1807</f>
        <v>568</v>
      </c>
    </row>
    <row r="1808" spans="1:6" x14ac:dyDescent="0.35">
      <c r="A1808" t="str">
        <f>+'[2]por cuent'!A1808</f>
        <v>ARS</v>
      </c>
      <c r="B1808" t="str">
        <f>+'[2]por cuent'!B1808</f>
        <v>568010006</v>
      </c>
      <c r="C1808" t="str">
        <f>+'[2]por cuent'!C1808</f>
        <v>Ballesteros, Ricardo Julian</v>
      </c>
      <c r="D1808" s="35">
        <f>+'[2]por cuent'!G1808</f>
        <v>4410972659.4399996</v>
      </c>
      <c r="E1808" s="35">
        <f>+'[2]por cuent'!H1808</f>
        <v>4410972659.4399996</v>
      </c>
      <c r="F1808" t="str">
        <f>+'[2]por cuent'!I1808</f>
        <v>568</v>
      </c>
    </row>
    <row r="1809" spans="1:6" x14ac:dyDescent="0.35">
      <c r="A1809" t="str">
        <f>+'[2]por cuent'!A1809</f>
        <v>ARS</v>
      </c>
      <c r="B1809" t="str">
        <f>+'[2]por cuent'!B1809</f>
        <v>568010008</v>
      </c>
      <c r="C1809" t="str">
        <f>+'[2]por cuent'!C1809</f>
        <v>Etchezar, Alejo</v>
      </c>
      <c r="D1809" s="35">
        <f>+'[2]por cuent'!G1809</f>
        <v>6938533.7800000003</v>
      </c>
      <c r="E1809" s="35">
        <f>+'[2]por cuent'!H1809</f>
        <v>6938533.7800000003</v>
      </c>
      <c r="F1809" t="str">
        <f>+'[2]por cuent'!I1809</f>
        <v>568</v>
      </c>
    </row>
    <row r="1810" spans="1:6" x14ac:dyDescent="0.35">
      <c r="A1810" t="str">
        <f>+'[2]por cuent'!A1810</f>
        <v>ARS</v>
      </c>
      <c r="B1810" t="str">
        <f>+'[2]por cuent'!B1810</f>
        <v>568010010</v>
      </c>
      <c r="C1810" t="str">
        <f>+'[2]por cuent'!C1810</f>
        <v>Correa Arias Torres, Carlos Alejandro</v>
      </c>
      <c r="D1810" s="35">
        <f>+'[2]por cuent'!G1810</f>
        <v>866706360</v>
      </c>
      <c r="E1810" s="35">
        <f>+'[2]por cuent'!H1810</f>
        <v>866706360</v>
      </c>
      <c r="F1810" t="str">
        <f>+'[2]por cuent'!I1810</f>
        <v>568</v>
      </c>
    </row>
    <row r="1811" spans="1:6" x14ac:dyDescent="0.35">
      <c r="A1811" t="str">
        <f>+'[2]por cuent'!A1811</f>
        <v>ARS</v>
      </c>
      <c r="B1811" t="str">
        <f>+'[2]por cuent'!B1811</f>
        <v>568010012</v>
      </c>
      <c r="C1811" t="str">
        <f>+'[2]por cuent'!C1811</f>
        <v>Garcia, Ignacio</v>
      </c>
      <c r="D1811" s="35">
        <f>+'[2]por cuent'!G1811</f>
        <v>380380000</v>
      </c>
      <c r="E1811" s="35">
        <f>+'[2]por cuent'!H1811</f>
        <v>380380000</v>
      </c>
      <c r="F1811" t="str">
        <f>+'[2]por cuent'!I1811</f>
        <v>568</v>
      </c>
    </row>
    <row r="1812" spans="1:6" x14ac:dyDescent="0.35">
      <c r="A1812" t="str">
        <f>+'[2]por cuent'!A1812</f>
        <v>ARS</v>
      </c>
      <c r="B1812" t="str">
        <f>+'[2]por cuent'!B1812</f>
        <v>568010014</v>
      </c>
      <c r="C1812" t="str">
        <f>+'[2]por cuent'!C1812</f>
        <v>Dimo, Salvador</v>
      </c>
      <c r="D1812" s="35">
        <f>+'[2]por cuent'!G1812</f>
        <v>17119595</v>
      </c>
      <c r="E1812" s="35">
        <f>+'[2]por cuent'!H1812</f>
        <v>17119595</v>
      </c>
      <c r="F1812" t="str">
        <f>+'[2]por cuent'!I1812</f>
        <v>568</v>
      </c>
    </row>
    <row r="1813" spans="1:6" x14ac:dyDescent="0.35">
      <c r="A1813" t="str">
        <f>+'[2]por cuent'!A1813</f>
        <v>ARS</v>
      </c>
      <c r="B1813" t="str">
        <f>+'[2]por cuent'!B1813</f>
        <v>568010018</v>
      </c>
      <c r="C1813" t="str">
        <f>+'[2]por cuent'!C1813</f>
        <v>Glave, Zulma Irene o Gago, Maria Paula o Videla Glave, Barbara Jacqueline</v>
      </c>
      <c r="D1813" s="35">
        <f>+'[2]por cuent'!G1813</f>
        <v>1067053427</v>
      </c>
      <c r="E1813" s="35">
        <f>+'[2]por cuent'!H1813</f>
        <v>1067053427</v>
      </c>
      <c r="F1813" t="str">
        <f>+'[2]por cuent'!I1813</f>
        <v>568</v>
      </c>
    </row>
    <row r="1814" spans="1:6" x14ac:dyDescent="0.35">
      <c r="A1814" t="str">
        <f>+'[2]por cuent'!A1814</f>
        <v>ARS</v>
      </c>
      <c r="B1814" t="str">
        <f>+'[2]por cuent'!B1814</f>
        <v>568010019</v>
      </c>
      <c r="C1814" t="str">
        <f>+'[2]por cuent'!C1814</f>
        <v>Urba, Dalmiro</v>
      </c>
      <c r="D1814" s="35">
        <f>+'[2]por cuent'!G1814</f>
        <v>20925724.350000001</v>
      </c>
      <c r="E1814" s="35">
        <f>+'[2]por cuent'!H1814</f>
        <v>20925724.350000001</v>
      </c>
      <c r="F1814" t="str">
        <f>+'[2]por cuent'!I1814</f>
        <v>568</v>
      </c>
    </row>
    <row r="1815" spans="1:6" x14ac:dyDescent="0.35">
      <c r="A1815" t="str">
        <f>+'[2]por cuent'!A1815</f>
        <v>ARS</v>
      </c>
      <c r="B1815" t="str">
        <f>+'[2]por cuent'!B1815</f>
        <v>568010025</v>
      </c>
      <c r="C1815" t="str">
        <f>+'[2]por cuent'!C1815</f>
        <v xml:space="preserve">Casorla Yalet, Roberto </v>
      </c>
      <c r="D1815" s="35">
        <f>+'[2]por cuent'!G1815</f>
        <v>5881161.25</v>
      </c>
      <c r="E1815" s="35">
        <f>+'[2]por cuent'!H1815</f>
        <v>5881161.25</v>
      </c>
      <c r="F1815" t="str">
        <f>+'[2]por cuent'!I1815</f>
        <v>568</v>
      </c>
    </row>
    <row r="1816" spans="1:6" x14ac:dyDescent="0.35">
      <c r="A1816" t="str">
        <f>+'[2]por cuent'!A1816</f>
        <v>ARS</v>
      </c>
      <c r="B1816" t="str">
        <f>+'[2]por cuent'!B1816</f>
        <v>568010027</v>
      </c>
      <c r="C1816" t="str">
        <f>+'[2]por cuent'!C1816</f>
        <v>Canullo, Maria Victoria</v>
      </c>
      <c r="D1816" s="35">
        <f>+'[2]por cuent'!G1816</f>
        <v>6408779802</v>
      </c>
      <c r="E1816" s="35">
        <f>+'[2]por cuent'!H1816</f>
        <v>6408779802</v>
      </c>
      <c r="F1816" t="str">
        <f>+'[2]por cuent'!I1816</f>
        <v>568</v>
      </c>
    </row>
    <row r="1817" spans="1:6" x14ac:dyDescent="0.35">
      <c r="A1817" t="str">
        <f>+'[2]por cuent'!A1817</f>
        <v>ARS</v>
      </c>
      <c r="B1817" t="str">
        <f>+'[2]por cuent'!B1817</f>
        <v>568010028</v>
      </c>
      <c r="C1817" t="str">
        <f>+'[2]por cuent'!C1817</f>
        <v>Kalciyan, Marcelo Alexis</v>
      </c>
      <c r="D1817" s="35">
        <f>+'[2]por cuent'!G1817</f>
        <v>1474005040</v>
      </c>
      <c r="E1817" s="35">
        <f>+'[2]por cuent'!H1817</f>
        <v>1474005040</v>
      </c>
      <c r="F1817" t="str">
        <f>+'[2]por cuent'!I1817</f>
        <v>568</v>
      </c>
    </row>
    <row r="1818" spans="1:6" x14ac:dyDescent="0.35">
      <c r="A1818" t="str">
        <f>+'[2]por cuent'!A1818</f>
        <v>ARS</v>
      </c>
      <c r="B1818" t="str">
        <f>+'[2]por cuent'!B1818</f>
        <v>568010032</v>
      </c>
      <c r="C1818" t="str">
        <f>+'[2]por cuent'!C1818</f>
        <v>Fogola, Juan Cruz Agustin</v>
      </c>
      <c r="D1818" s="35">
        <f>+'[2]por cuent'!G1818</f>
        <v>4338711</v>
      </c>
      <c r="E1818" s="35">
        <f>+'[2]por cuent'!H1818</f>
        <v>4338711</v>
      </c>
      <c r="F1818" t="str">
        <f>+'[2]por cuent'!I1818</f>
        <v>568</v>
      </c>
    </row>
    <row r="1819" spans="1:6" x14ac:dyDescent="0.35">
      <c r="A1819" t="str">
        <f>+'[2]por cuent'!A1819</f>
        <v>ARS</v>
      </c>
      <c r="B1819" t="str">
        <f>+'[2]por cuent'!B1819</f>
        <v>568010033</v>
      </c>
      <c r="C1819" t="str">
        <f>+'[2]por cuent'!C1819</f>
        <v>Montagna, Jorge Marcelo o Sobrero, Silvia Veronica</v>
      </c>
      <c r="D1819" s="35">
        <f>+'[2]por cuent'!G1819</f>
        <v>856021204.45000005</v>
      </c>
      <c r="E1819" s="35">
        <f>+'[2]por cuent'!H1819</f>
        <v>856021204.45000005</v>
      </c>
      <c r="F1819" t="str">
        <f>+'[2]por cuent'!I1819</f>
        <v>568</v>
      </c>
    </row>
    <row r="1820" spans="1:6" x14ac:dyDescent="0.35">
      <c r="A1820" t="str">
        <f>+'[2]por cuent'!A1820</f>
        <v>ARS</v>
      </c>
      <c r="B1820" t="str">
        <f>+'[2]por cuent'!B1820</f>
        <v>568010036</v>
      </c>
      <c r="C1820" t="str">
        <f>+'[2]por cuent'!C1820</f>
        <v>Albrizio, Daniel Eduardo</v>
      </c>
      <c r="D1820" s="35">
        <f>+'[2]por cuent'!G1820</f>
        <v>94169499.5</v>
      </c>
      <c r="E1820" s="35">
        <f>+'[2]por cuent'!H1820</f>
        <v>94169499.5</v>
      </c>
      <c r="F1820" t="str">
        <f>+'[2]por cuent'!I1820</f>
        <v>568</v>
      </c>
    </row>
    <row r="1821" spans="1:6" x14ac:dyDescent="0.35">
      <c r="A1821" t="str">
        <f>+'[2]por cuent'!A1821</f>
        <v>ARS</v>
      </c>
      <c r="B1821" t="str">
        <f>+'[2]por cuent'!B1821</f>
        <v>568010037</v>
      </c>
      <c r="C1821" t="str">
        <f>+'[2]por cuent'!C1821</f>
        <v>Garcia, Emmanuel</v>
      </c>
      <c r="D1821" s="35">
        <f>+'[2]por cuent'!G1821</f>
        <v>2543448604</v>
      </c>
      <c r="E1821" s="35">
        <f>+'[2]por cuent'!H1821</f>
        <v>2543448604</v>
      </c>
      <c r="F1821" t="str">
        <f>+'[2]por cuent'!I1821</f>
        <v>568</v>
      </c>
    </row>
    <row r="1822" spans="1:6" x14ac:dyDescent="0.35">
      <c r="A1822" t="str">
        <f>+'[2]por cuent'!A1822</f>
        <v>ARS</v>
      </c>
      <c r="B1822" t="str">
        <f>+'[2]por cuent'!B1822</f>
        <v>568010042</v>
      </c>
      <c r="C1822" t="str">
        <f>+'[2]por cuent'!C1822</f>
        <v>Blaquier, Rufino</v>
      </c>
      <c r="D1822" s="35">
        <f>+'[2]por cuent'!G1822</f>
        <v>1098063000</v>
      </c>
      <c r="E1822" s="35">
        <f>+'[2]por cuent'!H1822</f>
        <v>1098063000</v>
      </c>
      <c r="F1822" t="str">
        <f>+'[2]por cuent'!I1822</f>
        <v>568</v>
      </c>
    </row>
    <row r="1823" spans="1:6" x14ac:dyDescent="0.35">
      <c r="A1823" t="str">
        <f>+'[2]por cuent'!A1823</f>
        <v>ARS</v>
      </c>
      <c r="B1823" t="str">
        <f>+'[2]por cuent'!B1823</f>
        <v>568010046</v>
      </c>
      <c r="C1823" t="str">
        <f>+'[2]por cuent'!C1823</f>
        <v>Elberg, Jeremias Joaquin</v>
      </c>
      <c r="D1823" s="35">
        <f>+'[2]por cuent'!G1823</f>
        <v>3981136.6</v>
      </c>
      <c r="E1823" s="35">
        <f>+'[2]por cuent'!H1823</f>
        <v>3981136.6</v>
      </c>
      <c r="F1823" t="str">
        <f>+'[2]por cuent'!I1823</f>
        <v>568</v>
      </c>
    </row>
    <row r="1824" spans="1:6" x14ac:dyDescent="0.35">
      <c r="A1824" t="str">
        <f>+'[2]por cuent'!A1824</f>
        <v>ARS</v>
      </c>
      <c r="B1824" t="str">
        <f>+'[2]por cuent'!B1824</f>
        <v>568010049</v>
      </c>
      <c r="C1824" t="str">
        <f>+'[2]por cuent'!C1824</f>
        <v>Labajos, Marcelo Anibal y/o Salerno, Olga Norma y/o Labajos, Flavio Miguel y/o Labajos, Camilo y/o Labajos, Mateo Angel</v>
      </c>
      <c r="D1824" s="35">
        <f>+'[2]por cuent'!G1824</f>
        <v>3550707043.4899998</v>
      </c>
      <c r="E1824" s="35">
        <f>+'[2]por cuent'!H1824</f>
        <v>3550707043.4899998</v>
      </c>
      <c r="F1824" t="str">
        <f>+'[2]por cuent'!I1824</f>
        <v>568</v>
      </c>
    </row>
    <row r="1825" spans="1:6" x14ac:dyDescent="0.35">
      <c r="A1825" t="str">
        <f>+'[2]por cuent'!A1825</f>
        <v>ARS</v>
      </c>
      <c r="B1825" t="str">
        <f>+'[2]por cuent'!B1825</f>
        <v>568010051</v>
      </c>
      <c r="C1825" t="str">
        <f>+'[2]por cuent'!C1825</f>
        <v>Furer, Olga Felisa</v>
      </c>
      <c r="D1825" s="35">
        <f>+'[2]por cuent'!G1825</f>
        <v>438304884.38</v>
      </c>
      <c r="E1825" s="35">
        <f>+'[2]por cuent'!H1825</f>
        <v>438304884.38</v>
      </c>
      <c r="F1825" t="str">
        <f>+'[2]por cuent'!I1825</f>
        <v>568</v>
      </c>
    </row>
    <row r="1826" spans="1:6" x14ac:dyDescent="0.35">
      <c r="A1826" t="str">
        <f>+'[2]por cuent'!A1826</f>
        <v>ARS</v>
      </c>
      <c r="B1826" t="str">
        <f>+'[2]por cuent'!B1826</f>
        <v>599000005</v>
      </c>
      <c r="C1826" t="str">
        <f>+'[2]por cuent'!C1826</f>
        <v>MARIO CALANDRI E HIJOS S.A.</v>
      </c>
      <c r="D1826" s="35">
        <f>+'[2]por cuent'!G1826</f>
        <v>222304000</v>
      </c>
      <c r="E1826" s="35">
        <f>+'[2]por cuent'!H1826</f>
        <v>222304000</v>
      </c>
      <c r="F1826" t="str">
        <f>+'[2]por cuent'!I1826</f>
        <v>599</v>
      </c>
    </row>
    <row r="1827" spans="1:6" x14ac:dyDescent="0.35">
      <c r="A1827" t="str">
        <f>+'[2]por cuent'!A1827</f>
        <v>ARS</v>
      </c>
      <c r="B1827" t="str">
        <f>+'[2]por cuent'!B1827</f>
        <v>599000008</v>
      </c>
      <c r="C1827" t="str">
        <f>+'[2]por cuent'!C1827</f>
        <v xml:space="preserve">SAUTHIER MARCELO ABEL </v>
      </c>
      <c r="D1827" s="35">
        <f>+'[2]por cuent'!G1827</f>
        <v>165768378.69999999</v>
      </c>
      <c r="E1827" s="35">
        <f>+'[2]por cuent'!H1827</f>
        <v>165768378.69999999</v>
      </c>
      <c r="F1827" t="str">
        <f>+'[2]por cuent'!I1827</f>
        <v>599</v>
      </c>
    </row>
    <row r="1828" spans="1:6" x14ac:dyDescent="0.35">
      <c r="A1828" t="str">
        <f>+'[2]por cuent'!A1828</f>
        <v>ARS</v>
      </c>
      <c r="B1828" t="str">
        <f>+'[2]por cuent'!B1828</f>
        <v>599000018</v>
      </c>
      <c r="C1828" t="str">
        <f>+'[2]por cuent'!C1828</f>
        <v>Berardo Ruben Alberto</v>
      </c>
      <c r="D1828" s="35">
        <f>+'[2]por cuent'!G1828</f>
        <v>29631600</v>
      </c>
      <c r="E1828" s="35">
        <f>+'[2]por cuent'!H1828</f>
        <v>29631600</v>
      </c>
      <c r="F1828" t="str">
        <f>+'[2]por cuent'!I1828</f>
        <v>599</v>
      </c>
    </row>
    <row r="1829" spans="1:6" x14ac:dyDescent="0.35">
      <c r="A1829" t="str">
        <f>+'[2]por cuent'!A1829</f>
        <v>ARS</v>
      </c>
      <c r="B1829" t="str">
        <f>+'[2]por cuent'!B1829</f>
        <v>599000024</v>
      </c>
      <c r="C1829" t="str">
        <f>+'[2]por cuent'!C1829</f>
        <v>Clerc Maria Alicia</v>
      </c>
      <c r="D1829" s="35">
        <f>+'[2]por cuent'!G1829</f>
        <v>695595</v>
      </c>
      <c r="E1829" s="35">
        <f>+'[2]por cuent'!H1829</f>
        <v>695595</v>
      </c>
      <c r="F1829" t="str">
        <f>+'[2]por cuent'!I1829</f>
        <v>599</v>
      </c>
    </row>
    <row r="1830" spans="1:6" x14ac:dyDescent="0.35">
      <c r="A1830" t="str">
        <f>+'[2]por cuent'!A1830</f>
        <v>ARS</v>
      </c>
      <c r="B1830" t="str">
        <f>+'[2]por cuent'!B1830</f>
        <v>599000031</v>
      </c>
      <c r="C1830" t="str">
        <f>+'[2]por cuent'!C1830</f>
        <v>PRETINI ARACELI RAQUEL</v>
      </c>
      <c r="D1830" s="35">
        <f>+'[2]por cuent'!G1830</f>
        <v>49810000</v>
      </c>
      <c r="E1830" s="35">
        <f>+'[2]por cuent'!H1830</f>
        <v>49810000</v>
      </c>
      <c r="F1830" t="str">
        <f>+'[2]por cuent'!I1830</f>
        <v>599</v>
      </c>
    </row>
    <row r="1831" spans="1:6" x14ac:dyDescent="0.35">
      <c r="A1831" t="str">
        <f>+'[2]por cuent'!A1831</f>
        <v>ARS</v>
      </c>
      <c r="B1831" t="str">
        <f>+'[2]por cuent'!B1831</f>
        <v>599001000</v>
      </c>
      <c r="C1831" t="str">
        <f>+'[2]por cuent'!C1831</f>
        <v>PSA LA CALIFORNIA S.A.</v>
      </c>
      <c r="D1831" s="35">
        <f>+'[2]por cuent'!G1831</f>
        <v>4000000</v>
      </c>
      <c r="E1831" s="35">
        <f>+'[2]por cuent'!H1831</f>
        <v>4000000</v>
      </c>
      <c r="F1831" t="str">
        <f>+'[2]por cuent'!I1831</f>
        <v>599</v>
      </c>
    </row>
    <row r="1832" spans="1:6" x14ac:dyDescent="0.35">
      <c r="A1832" t="str">
        <f>+'[2]por cuent'!A1832</f>
        <v>ARS</v>
      </c>
      <c r="B1832" t="str">
        <f>+'[2]por cuent'!B1832</f>
        <v>602113349</v>
      </c>
      <c r="C1832" t="str">
        <f>+'[2]por cuent'!C1832</f>
        <v>Albajari, Miguel Eduardo</v>
      </c>
      <c r="D1832" s="35">
        <f>+'[2]por cuent'!G1832</f>
        <v>1231065</v>
      </c>
      <c r="E1832" s="35">
        <f>+'[2]por cuent'!H1832</f>
        <v>1231065</v>
      </c>
      <c r="F1832" t="str">
        <f>+'[2]por cuent'!I1832</f>
        <v>602</v>
      </c>
    </row>
    <row r="1833" spans="1:6" x14ac:dyDescent="0.35">
      <c r="A1833" t="str">
        <f>+'[2]por cuent'!A1833</f>
        <v>ARS</v>
      </c>
      <c r="B1833" t="str">
        <f>+'[2]por cuent'!B1833</f>
        <v>602113506</v>
      </c>
      <c r="C1833" t="str">
        <f>+'[2]por cuent'!C1833</f>
        <v>Aguirre, Fernando Francisco o Aguirre, Guadalupe Ines</v>
      </c>
      <c r="D1833" s="35">
        <f>+'[2]por cuent'!G1833</f>
        <v>3225623</v>
      </c>
      <c r="E1833" s="35">
        <f>+'[2]por cuent'!H1833</f>
        <v>3225623</v>
      </c>
      <c r="F1833" t="str">
        <f>+'[2]por cuent'!I1833</f>
        <v>602</v>
      </c>
    </row>
    <row r="1834" spans="1:6" x14ac:dyDescent="0.35">
      <c r="A1834" t="str">
        <f>+'[2]por cuent'!A1834</f>
        <v>ARS</v>
      </c>
      <c r="B1834" t="str">
        <f>+'[2]por cuent'!B1834</f>
        <v>602113563</v>
      </c>
      <c r="C1834" t="str">
        <f>+'[2]por cuent'!C1834</f>
        <v>Alessandri, Marcelo Gustavo</v>
      </c>
      <c r="D1834" s="35">
        <f>+'[2]por cuent'!G1834</f>
        <v>1306536</v>
      </c>
      <c r="E1834" s="35">
        <f>+'[2]por cuent'!H1834</f>
        <v>1306536</v>
      </c>
      <c r="F1834" t="str">
        <f>+'[2]por cuent'!I1834</f>
        <v>602</v>
      </c>
    </row>
    <row r="1835" spans="1:6" x14ac:dyDescent="0.35">
      <c r="A1835" t="str">
        <f>+'[2]por cuent'!A1835</f>
        <v>ARS</v>
      </c>
      <c r="B1835" t="str">
        <f>+'[2]por cuent'!B1835</f>
        <v>602121053</v>
      </c>
      <c r="C1835" t="str">
        <f>+'[2]por cuent'!C1835</f>
        <v>Bibe, Dina Matilde</v>
      </c>
      <c r="D1835" s="35">
        <f>+'[2]por cuent'!G1835</f>
        <v>6561756</v>
      </c>
      <c r="E1835" s="35">
        <f>+'[2]por cuent'!H1835</f>
        <v>6561756</v>
      </c>
      <c r="F1835" t="str">
        <f>+'[2]por cuent'!I1835</f>
        <v>602</v>
      </c>
    </row>
    <row r="1836" spans="1:6" x14ac:dyDescent="0.35">
      <c r="A1836" t="str">
        <f>+'[2]por cuent'!A1836</f>
        <v>ARS</v>
      </c>
      <c r="B1836" t="str">
        <f>+'[2]por cuent'!B1836</f>
        <v>602123748</v>
      </c>
      <c r="C1836" t="str">
        <f>+'[2]por cuent'!C1836</f>
        <v>Bustos, Marta Luisa Ramirez de o Bustos, Ariel Omar o Bustos, Alejandra Adriana</v>
      </c>
      <c r="D1836" s="35">
        <f>+'[2]por cuent'!G1836</f>
        <v>12900468</v>
      </c>
      <c r="E1836" s="35">
        <f>+'[2]por cuent'!H1836</f>
        <v>12900468</v>
      </c>
      <c r="F1836" t="str">
        <f>+'[2]por cuent'!I1836</f>
        <v>602</v>
      </c>
    </row>
    <row r="1837" spans="1:6" x14ac:dyDescent="0.35">
      <c r="A1837" t="str">
        <f>+'[2]por cuent'!A1837</f>
        <v>ARS</v>
      </c>
      <c r="B1837" t="str">
        <f>+'[2]por cuent'!B1837</f>
        <v>602124135</v>
      </c>
      <c r="C1837" t="str">
        <f>+'[2]por cuent'!C1837</f>
        <v>Bustos, Ariel Omar o Maldonado, Julieta Lorena</v>
      </c>
      <c r="D1837" s="35">
        <f>+'[2]por cuent'!G1837</f>
        <v>837481857.29999995</v>
      </c>
      <c r="E1837" s="35">
        <f>+'[2]por cuent'!H1837</f>
        <v>837481857.29999995</v>
      </c>
      <c r="F1837" t="str">
        <f>+'[2]por cuent'!I1837</f>
        <v>602</v>
      </c>
    </row>
    <row r="1838" spans="1:6" x14ac:dyDescent="0.35">
      <c r="A1838" t="str">
        <f>+'[2]por cuent'!A1838</f>
        <v>ARS</v>
      </c>
      <c r="B1838" t="str">
        <f>+'[2]por cuent'!B1838</f>
        <v>602124211</v>
      </c>
      <c r="C1838" t="str">
        <f>+'[2]por cuent'!C1838</f>
        <v>Bancora Eduardo Alberto</v>
      </c>
      <c r="D1838" s="35">
        <f>+'[2]por cuent'!G1838</f>
        <v>1758131213.3</v>
      </c>
      <c r="E1838" s="35">
        <f>+'[2]por cuent'!H1838</f>
        <v>1758131213.3</v>
      </c>
      <c r="F1838" t="str">
        <f>+'[2]por cuent'!I1838</f>
        <v>602</v>
      </c>
    </row>
    <row r="1839" spans="1:6" x14ac:dyDescent="0.35">
      <c r="A1839" t="str">
        <f>+'[2]por cuent'!A1839</f>
        <v>ARS</v>
      </c>
      <c r="B1839" t="str">
        <f>+'[2]por cuent'!B1839</f>
        <v>602124295</v>
      </c>
      <c r="C1839" t="str">
        <f>+'[2]por cuent'!C1839</f>
        <v>Benavidez, Maria Cristina</v>
      </c>
      <c r="D1839" s="35">
        <f>+'[2]por cuent'!G1839</f>
        <v>267643</v>
      </c>
      <c r="E1839" s="35">
        <f>+'[2]por cuent'!H1839</f>
        <v>267643</v>
      </c>
      <c r="F1839" t="str">
        <f>+'[2]por cuent'!I1839</f>
        <v>602</v>
      </c>
    </row>
    <row r="1840" spans="1:6" x14ac:dyDescent="0.35">
      <c r="A1840" t="str">
        <f>+'[2]por cuent'!A1840</f>
        <v>ARS</v>
      </c>
      <c r="B1840" t="str">
        <f>+'[2]por cuent'!B1840</f>
        <v>602133519</v>
      </c>
      <c r="C1840" t="str">
        <f>+'[2]por cuent'!C1840</f>
        <v>Cingolani, Sergio Daniel o Cingolani, Marisa Cecilia Davoli de</v>
      </c>
      <c r="D1840" s="35">
        <f>+'[2]por cuent'!G1840</f>
        <v>51492542</v>
      </c>
      <c r="E1840" s="35">
        <f>+'[2]por cuent'!H1840</f>
        <v>51492542</v>
      </c>
      <c r="F1840" t="str">
        <f>+'[2]por cuent'!I1840</f>
        <v>602</v>
      </c>
    </row>
    <row r="1841" spans="1:6" x14ac:dyDescent="0.35">
      <c r="A1841" t="str">
        <f>+'[2]por cuent'!A1841</f>
        <v>ARS</v>
      </c>
      <c r="B1841" t="str">
        <f>+'[2]por cuent'!B1841</f>
        <v>602134101</v>
      </c>
      <c r="C1841" t="str">
        <f>+'[2]por cuent'!C1841</f>
        <v>Cortes, Alberto Juan o Cortes, Damian o Cortes, Tamara</v>
      </c>
      <c r="D1841" s="35">
        <f>+'[2]por cuent'!G1841</f>
        <v>187066</v>
      </c>
      <c r="E1841" s="35">
        <f>+'[2]por cuent'!H1841</f>
        <v>187066</v>
      </c>
      <c r="F1841" t="str">
        <f>+'[2]por cuent'!I1841</f>
        <v>602</v>
      </c>
    </row>
    <row r="1842" spans="1:6" x14ac:dyDescent="0.35">
      <c r="A1842" t="str">
        <f>+'[2]por cuent'!A1842</f>
        <v>ARS</v>
      </c>
      <c r="B1842" t="str">
        <f>+'[2]por cuent'!B1842</f>
        <v>602134171</v>
      </c>
      <c r="C1842" t="str">
        <f>+'[2]por cuent'!C1842</f>
        <v>Cardonnet,Maria Del Rosario</v>
      </c>
      <c r="D1842" s="35">
        <f>+'[2]por cuent'!G1842</f>
        <v>7780350</v>
      </c>
      <c r="E1842" s="35">
        <f>+'[2]por cuent'!H1842</f>
        <v>7780350</v>
      </c>
      <c r="F1842" t="str">
        <f>+'[2]por cuent'!I1842</f>
        <v>602</v>
      </c>
    </row>
    <row r="1843" spans="1:6" x14ac:dyDescent="0.35">
      <c r="A1843" t="str">
        <f>+'[2]por cuent'!A1843</f>
        <v>ARS</v>
      </c>
      <c r="B1843" t="str">
        <f>+'[2]por cuent'!B1843</f>
        <v>602134203</v>
      </c>
      <c r="C1843" t="str">
        <f>+'[2]por cuent'!C1843</f>
        <v>Ciocca, Alicia Beatriz o Felsen, Analia Beatriz o Felsen, Alejandro Raul u otros</v>
      </c>
      <c r="D1843" s="35">
        <f>+'[2]por cuent'!G1843</f>
        <v>2269140</v>
      </c>
      <c r="E1843" s="35">
        <f>+'[2]por cuent'!H1843</f>
        <v>2269140</v>
      </c>
      <c r="F1843" t="str">
        <f>+'[2]por cuent'!I1843</f>
        <v>602</v>
      </c>
    </row>
    <row r="1844" spans="1:6" x14ac:dyDescent="0.35">
      <c r="A1844" t="str">
        <f>+'[2]por cuent'!A1844</f>
        <v>ARS</v>
      </c>
      <c r="B1844" t="str">
        <f>+'[2]por cuent'!B1844</f>
        <v>602134246</v>
      </c>
      <c r="C1844" t="str">
        <f>+'[2]por cuent'!C1844</f>
        <v>Combaz, Luciana</v>
      </c>
      <c r="D1844" s="35">
        <f>+'[2]por cuent'!G1844</f>
        <v>14164676</v>
      </c>
      <c r="E1844" s="35">
        <f>+'[2]por cuent'!H1844</f>
        <v>14164676</v>
      </c>
      <c r="F1844" t="str">
        <f>+'[2]por cuent'!I1844</f>
        <v>602</v>
      </c>
    </row>
    <row r="1845" spans="1:6" x14ac:dyDescent="0.35">
      <c r="A1845" t="str">
        <f>+'[2]por cuent'!A1845</f>
        <v>ARS</v>
      </c>
      <c r="B1845" t="str">
        <f>+'[2]por cuent'!B1845</f>
        <v>602154153</v>
      </c>
      <c r="C1845" t="str">
        <f>+'[2]por cuent'!C1845</f>
        <v>Decunto, Diego Hernan o Squiro, Eliana Silvina</v>
      </c>
      <c r="D1845" s="35">
        <f>+'[2]por cuent'!G1845</f>
        <v>113091</v>
      </c>
      <c r="E1845" s="35">
        <f>+'[2]por cuent'!H1845</f>
        <v>113091</v>
      </c>
      <c r="F1845" t="str">
        <f>+'[2]por cuent'!I1845</f>
        <v>602</v>
      </c>
    </row>
    <row r="1846" spans="1:6" x14ac:dyDescent="0.35">
      <c r="A1846" t="str">
        <f>+'[2]por cuent'!A1846</f>
        <v>ARS</v>
      </c>
      <c r="B1846" t="str">
        <f>+'[2]por cuent'!B1846</f>
        <v>602164145</v>
      </c>
      <c r="C1846" t="str">
        <f>+'[2]por cuent'!C1846</f>
        <v>Erausquin, Sebastian Pablo o Lagreca, Susana Beatriz</v>
      </c>
      <c r="D1846" s="35">
        <f>+'[2]por cuent'!G1846</f>
        <v>51090795</v>
      </c>
      <c r="E1846" s="35">
        <f>+'[2]por cuent'!H1846</f>
        <v>51090795</v>
      </c>
      <c r="F1846" t="str">
        <f>+'[2]por cuent'!I1846</f>
        <v>602</v>
      </c>
    </row>
    <row r="1847" spans="1:6" x14ac:dyDescent="0.35">
      <c r="A1847" t="str">
        <f>+'[2]por cuent'!A1847</f>
        <v>ARS</v>
      </c>
      <c r="B1847" t="str">
        <f>+'[2]por cuent'!B1847</f>
        <v>602164175</v>
      </c>
      <c r="C1847" t="str">
        <f>+'[2]por cuent'!C1847</f>
        <v>Espinosa, Nilda Esther o Espinosa, Emiliano Jose</v>
      </c>
      <c r="D1847" s="35">
        <f>+'[2]por cuent'!G1847</f>
        <v>34125</v>
      </c>
      <c r="E1847" s="35">
        <f>+'[2]por cuent'!H1847</f>
        <v>34125</v>
      </c>
      <c r="F1847" t="str">
        <f>+'[2]por cuent'!I1847</f>
        <v>602</v>
      </c>
    </row>
    <row r="1848" spans="1:6" x14ac:dyDescent="0.35">
      <c r="A1848" t="str">
        <f>+'[2]por cuent'!A1848</f>
        <v>ARS</v>
      </c>
      <c r="B1848" t="str">
        <f>+'[2]por cuent'!B1848</f>
        <v>602171151</v>
      </c>
      <c r="C1848" t="str">
        <f>+'[2]por cuent'!C1848</f>
        <v xml:space="preserve">Fernando Bibe  e hijos SA </v>
      </c>
      <c r="D1848" s="35">
        <f>+'[2]por cuent'!G1848</f>
        <v>1945560</v>
      </c>
      <c r="E1848" s="35">
        <f>+'[2]por cuent'!H1848</f>
        <v>1945560</v>
      </c>
      <c r="F1848" t="str">
        <f>+'[2]por cuent'!I1848</f>
        <v>602</v>
      </c>
    </row>
    <row r="1849" spans="1:6" x14ac:dyDescent="0.35">
      <c r="A1849" t="str">
        <f>+'[2]por cuent'!A1849</f>
        <v>ARS</v>
      </c>
      <c r="B1849" t="str">
        <f>+'[2]por cuent'!B1849</f>
        <v>602174182</v>
      </c>
      <c r="C1849" t="str">
        <f>+'[2]por cuent'!C1849</f>
        <v>Ferrari, Silvia Maria o Ferrari, Gabriela Susana</v>
      </c>
      <c r="D1849" s="35">
        <f>+'[2]por cuent'!G1849</f>
        <v>4702387</v>
      </c>
      <c r="E1849" s="35">
        <f>+'[2]por cuent'!H1849</f>
        <v>4702387</v>
      </c>
      <c r="F1849" t="str">
        <f>+'[2]por cuent'!I1849</f>
        <v>602</v>
      </c>
    </row>
    <row r="1850" spans="1:6" x14ac:dyDescent="0.35">
      <c r="A1850" t="str">
        <f>+'[2]por cuent'!A1850</f>
        <v>ARS</v>
      </c>
      <c r="B1850" t="str">
        <f>+'[2]por cuent'!B1850</f>
        <v>602174189</v>
      </c>
      <c r="C1850" t="str">
        <f>+'[2]por cuent'!C1850</f>
        <v>Fernandez Alvarez, Augusto Jose o Riera, Analia Norma</v>
      </c>
      <c r="D1850" s="35">
        <f>+'[2]por cuent'!G1850</f>
        <v>46351724</v>
      </c>
      <c r="E1850" s="35">
        <f>+'[2]por cuent'!H1850</f>
        <v>46351724</v>
      </c>
      <c r="F1850" t="str">
        <f>+'[2]por cuent'!I1850</f>
        <v>602</v>
      </c>
    </row>
    <row r="1851" spans="1:6" x14ac:dyDescent="0.35">
      <c r="A1851" t="str">
        <f>+'[2]por cuent'!A1851</f>
        <v>ARS</v>
      </c>
      <c r="B1851" t="str">
        <f>+'[2]por cuent'!B1851</f>
        <v>602174191</v>
      </c>
      <c r="C1851" t="str">
        <f>+'[2]por cuent'!C1851</f>
        <v>Fernandez Alvarez,Guillermo Victor</v>
      </c>
      <c r="D1851" s="35">
        <f>+'[2]por cuent'!G1851</f>
        <v>86385636</v>
      </c>
      <c r="E1851" s="35">
        <f>+'[2]por cuent'!H1851</f>
        <v>86385636</v>
      </c>
      <c r="F1851" t="str">
        <f>+'[2]por cuent'!I1851</f>
        <v>602</v>
      </c>
    </row>
    <row r="1852" spans="1:6" x14ac:dyDescent="0.35">
      <c r="A1852" t="str">
        <f>+'[2]por cuent'!A1852</f>
        <v>ARS</v>
      </c>
      <c r="B1852" t="str">
        <f>+'[2]por cuent'!B1852</f>
        <v>602174262</v>
      </c>
      <c r="C1852" t="str">
        <f>+'[2]por cuent'!C1852</f>
        <v>Ficarrotta, Damian Eduardo</v>
      </c>
      <c r="D1852" s="35">
        <f>+'[2]por cuent'!G1852</f>
        <v>15077052</v>
      </c>
      <c r="E1852" s="35">
        <f>+'[2]por cuent'!H1852</f>
        <v>15077052</v>
      </c>
      <c r="F1852" t="str">
        <f>+'[2]por cuent'!I1852</f>
        <v>602</v>
      </c>
    </row>
    <row r="1853" spans="1:6" x14ac:dyDescent="0.35">
      <c r="A1853" t="str">
        <f>+'[2]por cuent'!A1853</f>
        <v>ARS</v>
      </c>
      <c r="B1853" t="str">
        <f>+'[2]por cuent'!B1853</f>
        <v>602183529</v>
      </c>
      <c r="C1853" t="str">
        <f>+'[2]por cuent'!C1853</f>
        <v>Genaccio, Hector Raul</v>
      </c>
      <c r="D1853" s="35">
        <f>+'[2]por cuent'!G1853</f>
        <v>207558</v>
      </c>
      <c r="E1853" s="35">
        <f>+'[2]por cuent'!H1853</f>
        <v>207558</v>
      </c>
      <c r="F1853" t="str">
        <f>+'[2]por cuent'!I1853</f>
        <v>602</v>
      </c>
    </row>
    <row r="1854" spans="1:6" x14ac:dyDescent="0.35">
      <c r="A1854" t="str">
        <f>+'[2]por cuent'!A1854</f>
        <v>ARS</v>
      </c>
      <c r="B1854" t="str">
        <f>+'[2]por cuent'!B1854</f>
        <v>602184157</v>
      </c>
      <c r="C1854" t="str">
        <f>+'[2]por cuent'!C1854</f>
        <v>Giral, Rosana Cecilia</v>
      </c>
      <c r="D1854" s="35">
        <f>+'[2]por cuent'!G1854</f>
        <v>680080</v>
      </c>
      <c r="E1854" s="35">
        <f>+'[2]por cuent'!H1854</f>
        <v>680080</v>
      </c>
      <c r="F1854" t="str">
        <f>+'[2]por cuent'!I1854</f>
        <v>602</v>
      </c>
    </row>
    <row r="1855" spans="1:6" x14ac:dyDescent="0.35">
      <c r="A1855" t="str">
        <f>+'[2]por cuent'!A1855</f>
        <v>ARS</v>
      </c>
      <c r="B1855" t="str">
        <f>+'[2]por cuent'!B1855</f>
        <v>602184318</v>
      </c>
      <c r="C1855" t="str">
        <f>+'[2]por cuent'!C1855</f>
        <v>Galeano, Hilda Ynes o Galeano, Franco Nicolas</v>
      </c>
      <c r="D1855" s="35">
        <f>+'[2]por cuent'!G1855</f>
        <v>176404</v>
      </c>
      <c r="E1855" s="35">
        <f>+'[2]por cuent'!H1855</f>
        <v>176404</v>
      </c>
      <c r="F1855" t="str">
        <f>+'[2]por cuent'!I1855</f>
        <v>602</v>
      </c>
    </row>
    <row r="1856" spans="1:6" x14ac:dyDescent="0.35">
      <c r="A1856" t="str">
        <f>+'[2]por cuent'!A1856</f>
        <v>ARS</v>
      </c>
      <c r="B1856" t="str">
        <f>+'[2]por cuent'!B1856</f>
        <v>602214274</v>
      </c>
      <c r="C1856" t="str">
        <f>+'[2]por cuent'!C1856</f>
        <v>Gimenez, Maria Mercedes</v>
      </c>
      <c r="D1856" s="35">
        <f>+'[2]por cuent'!G1856</f>
        <v>21087129.100000001</v>
      </c>
      <c r="E1856" s="35">
        <f>+'[2]por cuent'!H1856</f>
        <v>21087129.100000001</v>
      </c>
      <c r="F1856" t="str">
        <f>+'[2]por cuent'!I1856</f>
        <v>602</v>
      </c>
    </row>
    <row r="1857" spans="1:6" x14ac:dyDescent="0.35">
      <c r="A1857" t="str">
        <f>+'[2]por cuent'!A1857</f>
        <v>ARS</v>
      </c>
      <c r="B1857" t="str">
        <f>+'[2]por cuent'!B1857</f>
        <v>602234060</v>
      </c>
      <c r="C1857" t="str">
        <f>+'[2]por cuent'!C1857</f>
        <v>Lera, Silvia Liliana o Gazzaniga, Amadeo Ivo</v>
      </c>
      <c r="D1857" s="35">
        <f>+'[2]por cuent'!G1857</f>
        <v>5614901</v>
      </c>
      <c r="E1857" s="35">
        <f>+'[2]por cuent'!H1857</f>
        <v>5614901</v>
      </c>
      <c r="F1857" t="str">
        <f>+'[2]por cuent'!I1857</f>
        <v>602</v>
      </c>
    </row>
    <row r="1858" spans="1:6" x14ac:dyDescent="0.35">
      <c r="A1858" t="str">
        <f>+'[2]por cuent'!A1858</f>
        <v>ARS</v>
      </c>
      <c r="B1858" t="str">
        <f>+'[2]por cuent'!B1858</f>
        <v>602234217</v>
      </c>
      <c r="C1858" t="str">
        <f>+'[2]por cuent'!C1858</f>
        <v>Labriola, Pascual o Piante, Aristea o Labriola,  Elio Ezequiel</v>
      </c>
      <c r="D1858" s="35">
        <f>+'[2]por cuent'!G1858</f>
        <v>8297125</v>
      </c>
      <c r="E1858" s="35">
        <f>+'[2]por cuent'!H1858</f>
        <v>8297125</v>
      </c>
      <c r="F1858" t="str">
        <f>+'[2]por cuent'!I1858</f>
        <v>602</v>
      </c>
    </row>
    <row r="1859" spans="1:6" x14ac:dyDescent="0.35">
      <c r="A1859" t="str">
        <f>+'[2]por cuent'!A1859</f>
        <v>ARS</v>
      </c>
      <c r="B1859" t="str">
        <f>+'[2]por cuent'!B1859</f>
        <v>602234272</v>
      </c>
      <c r="C1859" t="str">
        <f>+'[2]por cuent'!C1859</f>
        <v>Lenti, Gaston Claudio o Rodriguez, Veronica Analia</v>
      </c>
      <c r="D1859" s="35">
        <f>+'[2]por cuent'!G1859</f>
        <v>1532350</v>
      </c>
      <c r="E1859" s="35">
        <f>+'[2]por cuent'!H1859</f>
        <v>1532350</v>
      </c>
      <c r="F1859" t="str">
        <f>+'[2]por cuent'!I1859</f>
        <v>602</v>
      </c>
    </row>
    <row r="1860" spans="1:6" x14ac:dyDescent="0.35">
      <c r="A1860" t="str">
        <f>+'[2]por cuent'!A1860</f>
        <v>ARS</v>
      </c>
      <c r="B1860" t="str">
        <f>+'[2]por cuent'!B1860</f>
        <v>602234342</v>
      </c>
      <c r="C1860" t="str">
        <f>+'[2]por cuent'!C1860</f>
        <v>Leo, Noelia Lucila o Leo, Eduardo Luis o Balbuena, Cristina Clelia</v>
      </c>
      <c r="D1860" s="35">
        <f>+'[2]por cuent'!G1860</f>
        <v>205615</v>
      </c>
      <c r="E1860" s="35">
        <f>+'[2]por cuent'!H1860</f>
        <v>205615</v>
      </c>
      <c r="F1860" t="str">
        <f>+'[2]por cuent'!I1860</f>
        <v>602</v>
      </c>
    </row>
    <row r="1861" spans="1:6" x14ac:dyDescent="0.35">
      <c r="A1861" t="str">
        <f>+'[2]por cuent'!A1861</f>
        <v>ARS</v>
      </c>
      <c r="B1861" t="str">
        <f>+'[2]por cuent'!B1861</f>
        <v>602251595</v>
      </c>
      <c r="C1861" t="str">
        <f>+'[2]por cuent'!C1861</f>
        <v>Mierez, Miguel Angel o Tonella, Maria Teresa</v>
      </c>
      <c r="D1861" s="35">
        <f>+'[2]por cuent'!G1861</f>
        <v>3063249</v>
      </c>
      <c r="E1861" s="35">
        <f>+'[2]por cuent'!H1861</f>
        <v>3063249</v>
      </c>
      <c r="F1861" t="str">
        <f>+'[2]por cuent'!I1861</f>
        <v>602</v>
      </c>
    </row>
    <row r="1862" spans="1:6" x14ac:dyDescent="0.35">
      <c r="A1862" t="str">
        <f>+'[2]por cuent'!A1862</f>
        <v>ARS</v>
      </c>
      <c r="B1862" t="str">
        <f>+'[2]por cuent'!B1862</f>
        <v>602253089</v>
      </c>
      <c r="C1862" t="str">
        <f>+'[2]por cuent'!C1862</f>
        <v>Maiorana, Sergio Daniel o Cue, Ana María Vivian o Maiorana, Ruth</v>
      </c>
      <c r="D1862" s="35">
        <f>+'[2]por cuent'!G1862</f>
        <v>40393622</v>
      </c>
      <c r="E1862" s="35">
        <f>+'[2]por cuent'!H1862</f>
        <v>40393622</v>
      </c>
      <c r="F1862" t="str">
        <f>+'[2]por cuent'!I1862</f>
        <v>602</v>
      </c>
    </row>
    <row r="1863" spans="1:6" x14ac:dyDescent="0.35">
      <c r="A1863" t="str">
        <f>+'[2]por cuent'!A1863</f>
        <v>ARS</v>
      </c>
      <c r="B1863" t="str">
        <f>+'[2]por cuent'!B1863</f>
        <v>602253181</v>
      </c>
      <c r="C1863" t="str">
        <f>+'[2]por cuent'!C1863</f>
        <v>Morasso, Salvador Carlos</v>
      </c>
      <c r="D1863" s="35">
        <f>+'[2]por cuent'!G1863</f>
        <v>317091791</v>
      </c>
      <c r="E1863" s="35">
        <f>+'[2]por cuent'!H1863</f>
        <v>317091791</v>
      </c>
      <c r="F1863" t="str">
        <f>+'[2]por cuent'!I1863</f>
        <v>602</v>
      </c>
    </row>
    <row r="1864" spans="1:6" x14ac:dyDescent="0.35">
      <c r="A1864" t="str">
        <f>+'[2]por cuent'!A1864</f>
        <v>ARS</v>
      </c>
      <c r="B1864" t="str">
        <f>+'[2]por cuent'!B1864</f>
        <v>602254133</v>
      </c>
      <c r="C1864" t="str">
        <f>+'[2]por cuent'!C1864</f>
        <v>Mariani, Juan Pablo</v>
      </c>
      <c r="D1864" s="35">
        <f>+'[2]por cuent'!G1864</f>
        <v>21946801</v>
      </c>
      <c r="E1864" s="35">
        <f>+'[2]por cuent'!H1864</f>
        <v>21946801</v>
      </c>
      <c r="F1864" t="str">
        <f>+'[2]por cuent'!I1864</f>
        <v>602</v>
      </c>
    </row>
    <row r="1865" spans="1:6" x14ac:dyDescent="0.35">
      <c r="A1865" t="str">
        <f>+'[2]por cuent'!A1865</f>
        <v>ARS</v>
      </c>
      <c r="B1865" t="str">
        <f>+'[2]por cuent'!B1865</f>
        <v>602254207</v>
      </c>
      <c r="C1865" t="str">
        <f>+'[2]por cuent'!C1865</f>
        <v>Mierez, Matias Miguel</v>
      </c>
      <c r="D1865" s="35">
        <f>+'[2]por cuent'!G1865</f>
        <v>167037</v>
      </c>
      <c r="E1865" s="35">
        <f>+'[2]por cuent'!H1865</f>
        <v>167037</v>
      </c>
      <c r="F1865" t="str">
        <f>+'[2]por cuent'!I1865</f>
        <v>602</v>
      </c>
    </row>
    <row r="1866" spans="1:6" x14ac:dyDescent="0.35">
      <c r="A1866" t="str">
        <f>+'[2]por cuent'!A1866</f>
        <v>ARS</v>
      </c>
      <c r="B1866" t="str">
        <f>+'[2]por cuent'!B1866</f>
        <v>602254244</v>
      </c>
      <c r="C1866" t="str">
        <f>+'[2]por cuent'!C1866</f>
        <v>Montot, Nestor Hugo</v>
      </c>
      <c r="D1866" s="35">
        <f>+'[2]por cuent'!G1866</f>
        <v>335120</v>
      </c>
      <c r="E1866" s="35">
        <f>+'[2]por cuent'!H1866</f>
        <v>335120</v>
      </c>
      <c r="F1866" t="str">
        <f>+'[2]por cuent'!I1866</f>
        <v>602</v>
      </c>
    </row>
    <row r="1867" spans="1:6" x14ac:dyDescent="0.35">
      <c r="A1867" t="str">
        <f>+'[2]por cuent'!A1867</f>
        <v>ARS</v>
      </c>
      <c r="B1867" t="str">
        <f>+'[2]por cuent'!B1867</f>
        <v>602254273</v>
      </c>
      <c r="C1867" t="str">
        <f>+'[2]por cuent'!C1867</f>
        <v>Martellotto, Corina Soledad o Martellotto, Julieta Maria de Lujan</v>
      </c>
      <c r="D1867" s="35">
        <f>+'[2]por cuent'!G1867</f>
        <v>3154297</v>
      </c>
      <c r="E1867" s="35">
        <f>+'[2]por cuent'!H1867</f>
        <v>3154297</v>
      </c>
      <c r="F1867" t="str">
        <f>+'[2]por cuent'!I1867</f>
        <v>602</v>
      </c>
    </row>
    <row r="1868" spans="1:6" x14ac:dyDescent="0.35">
      <c r="A1868" t="str">
        <f>+'[2]por cuent'!A1868</f>
        <v>ARS</v>
      </c>
      <c r="B1868" t="str">
        <f>+'[2]por cuent'!B1868</f>
        <v>602254275</v>
      </c>
      <c r="C1868" t="str">
        <f>+'[2]por cuent'!C1868</f>
        <v>Maldonado, Claudia Fabiana</v>
      </c>
      <c r="D1868" s="35">
        <f>+'[2]por cuent'!G1868</f>
        <v>16996635</v>
      </c>
      <c r="E1868" s="35">
        <f>+'[2]por cuent'!H1868</f>
        <v>16996635</v>
      </c>
      <c r="F1868" t="str">
        <f>+'[2]por cuent'!I1868</f>
        <v>602</v>
      </c>
    </row>
    <row r="1869" spans="1:6" x14ac:dyDescent="0.35">
      <c r="A1869" t="str">
        <f>+'[2]por cuent'!A1869</f>
        <v>ARS</v>
      </c>
      <c r="B1869" t="str">
        <f>+'[2]por cuent'!B1869</f>
        <v>602254311</v>
      </c>
      <c r="C1869" t="str">
        <f>+'[2]por cuent'!C1869</f>
        <v>Martellotto, Juan Pablo</v>
      </c>
      <c r="D1869" s="35">
        <f>+'[2]por cuent'!G1869</f>
        <v>17512005</v>
      </c>
      <c r="E1869" s="35">
        <f>+'[2]por cuent'!H1869</f>
        <v>17512005</v>
      </c>
      <c r="F1869" t="str">
        <f>+'[2]por cuent'!I1869</f>
        <v>602</v>
      </c>
    </row>
    <row r="1870" spans="1:6" x14ac:dyDescent="0.35">
      <c r="A1870" t="str">
        <f>+'[2]por cuent'!A1870</f>
        <v>ARS</v>
      </c>
      <c r="B1870" t="str">
        <f>+'[2]por cuent'!B1870</f>
        <v>602254315</v>
      </c>
      <c r="C1870" t="str">
        <f>+'[2]por cuent'!C1870</f>
        <v>Mikas, Maria Alejandra</v>
      </c>
      <c r="D1870" s="35">
        <f>+'[2]por cuent'!G1870</f>
        <v>142778</v>
      </c>
      <c r="E1870" s="35">
        <f>+'[2]por cuent'!H1870</f>
        <v>142778</v>
      </c>
      <c r="F1870" t="str">
        <f>+'[2]por cuent'!I1870</f>
        <v>602</v>
      </c>
    </row>
    <row r="1871" spans="1:6" x14ac:dyDescent="0.35">
      <c r="A1871" t="str">
        <f>+'[2]por cuent'!A1871</f>
        <v>ARS</v>
      </c>
      <c r="B1871" t="str">
        <f>+'[2]por cuent'!B1871</f>
        <v>602254334</v>
      </c>
      <c r="C1871" t="str">
        <f>+'[2]por cuent'!C1871</f>
        <v>Morales, Luciano Ariel o Weiner, Mariela Laura</v>
      </c>
      <c r="D1871" s="35">
        <f>+'[2]por cuent'!G1871</f>
        <v>3575883</v>
      </c>
      <c r="E1871" s="35">
        <f>+'[2]por cuent'!H1871</f>
        <v>3575883</v>
      </c>
      <c r="F1871" t="str">
        <f>+'[2]por cuent'!I1871</f>
        <v>602</v>
      </c>
    </row>
    <row r="1872" spans="1:6" x14ac:dyDescent="0.35">
      <c r="A1872" t="str">
        <f>+'[2]por cuent'!A1872</f>
        <v>ARS</v>
      </c>
      <c r="B1872" t="str">
        <f>+'[2]por cuent'!B1872</f>
        <v>602254335</v>
      </c>
      <c r="C1872" t="str">
        <f>+'[2]por cuent'!C1872</f>
        <v>Multari, Alejandra o Lenti, Andres Esteban</v>
      </c>
      <c r="D1872" s="35">
        <f>+'[2]por cuent'!G1872</f>
        <v>2000315</v>
      </c>
      <c r="E1872" s="35">
        <f>+'[2]por cuent'!H1872</f>
        <v>2000315</v>
      </c>
      <c r="F1872" t="str">
        <f>+'[2]por cuent'!I1872</f>
        <v>602</v>
      </c>
    </row>
    <row r="1873" spans="1:6" x14ac:dyDescent="0.35">
      <c r="A1873" t="str">
        <f>+'[2]por cuent'!A1873</f>
        <v>ARS</v>
      </c>
      <c r="B1873" t="str">
        <f>+'[2]por cuent'!B1873</f>
        <v>602293277</v>
      </c>
      <c r="C1873" t="str">
        <f>+'[2]por cuent'!C1873</f>
        <v>Paz, Jorge Adalberto o Paz, Victoria Eugenia o Paz, Mercedes</v>
      </c>
      <c r="D1873" s="35">
        <f>+'[2]por cuent'!G1873</f>
        <v>9956564</v>
      </c>
      <c r="E1873" s="35">
        <f>+'[2]por cuent'!H1873</f>
        <v>9956564</v>
      </c>
      <c r="F1873" t="str">
        <f>+'[2]por cuent'!I1873</f>
        <v>602</v>
      </c>
    </row>
    <row r="1874" spans="1:6" x14ac:dyDescent="0.35">
      <c r="A1874" t="str">
        <f>+'[2]por cuent'!A1874</f>
        <v>ARS</v>
      </c>
      <c r="B1874" t="str">
        <f>+'[2]por cuent'!B1874</f>
        <v>602294074</v>
      </c>
      <c r="C1874" t="str">
        <f>+'[2]por cuent'!C1874</f>
        <v>Pizarro, Pablo Sebastian</v>
      </c>
      <c r="D1874" s="35">
        <f>+'[2]por cuent'!G1874</f>
        <v>1278224</v>
      </c>
      <c r="E1874" s="35">
        <f>+'[2]por cuent'!H1874</f>
        <v>1278224</v>
      </c>
      <c r="F1874" t="str">
        <f>+'[2]por cuent'!I1874</f>
        <v>602</v>
      </c>
    </row>
    <row r="1875" spans="1:6" x14ac:dyDescent="0.35">
      <c r="A1875" t="str">
        <f>+'[2]por cuent'!A1875</f>
        <v>ARS</v>
      </c>
      <c r="B1875" t="str">
        <f>+'[2]por cuent'!B1875</f>
        <v>602294118</v>
      </c>
      <c r="C1875" t="str">
        <f>+'[2]por cuent'!C1875</f>
        <v>Perez, Graciela Marta o Morasso, Salvador Carlos</v>
      </c>
      <c r="D1875" s="35">
        <f>+'[2]por cuent'!G1875</f>
        <v>10632100</v>
      </c>
      <c r="E1875" s="35">
        <f>+'[2]por cuent'!H1875</f>
        <v>10632100</v>
      </c>
      <c r="F1875" t="str">
        <f>+'[2]por cuent'!I1875</f>
        <v>602</v>
      </c>
    </row>
    <row r="1876" spans="1:6" x14ac:dyDescent="0.35">
      <c r="A1876" t="str">
        <f>+'[2]por cuent'!A1876</f>
        <v>ARS</v>
      </c>
      <c r="B1876" t="str">
        <f>+'[2]por cuent'!B1876</f>
        <v>602294164</v>
      </c>
      <c r="C1876" t="str">
        <f>+'[2]por cuent'!C1876</f>
        <v>Parlapiano, Cristina Beatriz Vicenta o Quilhot, Federico Afredo o Quilhot, Maria Florencia</v>
      </c>
      <c r="D1876" s="35">
        <f>+'[2]por cuent'!G1876</f>
        <v>503460</v>
      </c>
      <c r="E1876" s="35">
        <f>+'[2]por cuent'!H1876</f>
        <v>503460</v>
      </c>
      <c r="F1876" t="str">
        <f>+'[2]por cuent'!I1876</f>
        <v>602</v>
      </c>
    </row>
    <row r="1877" spans="1:6" x14ac:dyDescent="0.35">
      <c r="A1877" t="str">
        <f>+'[2]por cuent'!A1877</f>
        <v>ARS</v>
      </c>
      <c r="B1877" t="str">
        <f>+'[2]por cuent'!B1877</f>
        <v>602294235</v>
      </c>
      <c r="C1877" t="str">
        <f>+'[2]por cuent'!C1877</f>
        <v>Poplawski, Martina Carla</v>
      </c>
      <c r="D1877" s="35">
        <f>+'[2]por cuent'!G1877</f>
        <v>596719</v>
      </c>
      <c r="E1877" s="35">
        <f>+'[2]por cuent'!H1877</f>
        <v>596719</v>
      </c>
      <c r="F1877" t="str">
        <f>+'[2]por cuent'!I1877</f>
        <v>602</v>
      </c>
    </row>
    <row r="1878" spans="1:6" x14ac:dyDescent="0.35">
      <c r="A1878" t="str">
        <f>+'[2]por cuent'!A1878</f>
        <v>ARS</v>
      </c>
      <c r="B1878" t="str">
        <f>+'[2]por cuent'!B1878</f>
        <v>602294285</v>
      </c>
      <c r="C1878" t="str">
        <f>+'[2]por cuent'!C1878</f>
        <v>Pizarro, Bernardo Roberto</v>
      </c>
      <c r="D1878" s="35">
        <f>+'[2]por cuent'!G1878</f>
        <v>198204</v>
      </c>
      <c r="E1878" s="35">
        <f>+'[2]por cuent'!H1878</f>
        <v>198204</v>
      </c>
      <c r="F1878" t="str">
        <f>+'[2]por cuent'!I1878</f>
        <v>602</v>
      </c>
    </row>
    <row r="1879" spans="1:6" x14ac:dyDescent="0.35">
      <c r="A1879" t="str">
        <f>+'[2]por cuent'!A1879</f>
        <v>ARS</v>
      </c>
      <c r="B1879" t="str">
        <f>+'[2]por cuent'!B1879</f>
        <v>602294288</v>
      </c>
      <c r="C1879" t="str">
        <f>+'[2]por cuent'!C1879</f>
        <v>Prato, Maria Victoria</v>
      </c>
      <c r="D1879" s="35">
        <f>+'[2]por cuent'!G1879</f>
        <v>5181326</v>
      </c>
      <c r="E1879" s="35">
        <f>+'[2]por cuent'!H1879</f>
        <v>5181326</v>
      </c>
      <c r="F1879" t="str">
        <f>+'[2]por cuent'!I1879</f>
        <v>602</v>
      </c>
    </row>
    <row r="1880" spans="1:6" x14ac:dyDescent="0.35">
      <c r="A1880" t="str">
        <f>+'[2]por cuent'!A1880</f>
        <v>ARS</v>
      </c>
      <c r="B1880" t="str">
        <f>+'[2]por cuent'!B1880</f>
        <v>602294301</v>
      </c>
      <c r="C1880" t="str">
        <f>+'[2]por cuent'!C1880</f>
        <v>Paludetto, Clide Teresa</v>
      </c>
      <c r="D1880" s="35">
        <f>+'[2]por cuent'!G1880</f>
        <v>22647247</v>
      </c>
      <c r="E1880" s="35">
        <f>+'[2]por cuent'!H1880</f>
        <v>22647247</v>
      </c>
      <c r="F1880" t="str">
        <f>+'[2]por cuent'!I1880</f>
        <v>602</v>
      </c>
    </row>
    <row r="1881" spans="1:6" x14ac:dyDescent="0.35">
      <c r="A1881" t="str">
        <f>+'[2]por cuent'!A1881</f>
        <v>ARS</v>
      </c>
      <c r="B1881" t="str">
        <f>+'[2]por cuent'!B1881</f>
        <v>602294347</v>
      </c>
      <c r="C1881" t="str">
        <f>+'[2]por cuent'!C1881</f>
        <v>Parlapiano, Gabriela Leonor o Banquer, Bárbara o Banquer, Eric</v>
      </c>
      <c r="D1881" s="35">
        <f>+'[2]por cuent'!G1881</f>
        <v>11566488</v>
      </c>
      <c r="E1881" s="35">
        <f>+'[2]por cuent'!H1881</f>
        <v>11566488</v>
      </c>
      <c r="F1881" t="str">
        <f>+'[2]por cuent'!I1881</f>
        <v>602</v>
      </c>
    </row>
    <row r="1882" spans="1:6" x14ac:dyDescent="0.35">
      <c r="A1882" t="str">
        <f>+'[2]por cuent'!A1882</f>
        <v>ARS</v>
      </c>
      <c r="B1882" t="str">
        <f>+'[2]por cuent'!B1882</f>
        <v>602294349</v>
      </c>
      <c r="C1882" t="str">
        <f>+'[2]por cuent'!C1882</f>
        <v>Prince, Lorenzo Martin</v>
      </c>
      <c r="D1882" s="35">
        <f>+'[2]por cuent'!G1882</f>
        <v>36896.400000000001</v>
      </c>
      <c r="E1882" s="35">
        <f>+'[2]por cuent'!H1882</f>
        <v>36896.400000000001</v>
      </c>
      <c r="F1882" t="str">
        <f>+'[2]por cuent'!I1882</f>
        <v>602</v>
      </c>
    </row>
    <row r="1883" spans="1:6" x14ac:dyDescent="0.35">
      <c r="A1883" t="str">
        <f>+'[2]por cuent'!A1883</f>
        <v>ARS</v>
      </c>
      <c r="B1883" t="str">
        <f>+'[2]por cuent'!B1883</f>
        <v>602294351</v>
      </c>
      <c r="C1883" t="str">
        <f>+'[2]por cuent'!C1883</f>
        <v>Pinto, Maria Andrea o Barzetti, Mauricio</v>
      </c>
      <c r="D1883" s="35">
        <f>+'[2]por cuent'!G1883</f>
        <v>109616</v>
      </c>
      <c r="E1883" s="35">
        <f>+'[2]por cuent'!H1883</f>
        <v>109616</v>
      </c>
      <c r="F1883" t="str">
        <f>+'[2]por cuent'!I1883</f>
        <v>602</v>
      </c>
    </row>
    <row r="1884" spans="1:6" x14ac:dyDescent="0.35">
      <c r="A1884" t="str">
        <f>+'[2]por cuent'!A1884</f>
        <v>ARS</v>
      </c>
      <c r="B1884" t="str">
        <f>+'[2]por cuent'!B1884</f>
        <v>602304337</v>
      </c>
      <c r="C1884" t="str">
        <f>+'[2]por cuent'!C1884</f>
        <v>Quilhot, Maria Florencia o Sosa, Federico  Ariel</v>
      </c>
      <c r="D1884" s="35">
        <f>+'[2]por cuent'!G1884</f>
        <v>305805</v>
      </c>
      <c r="E1884" s="35">
        <f>+'[2]por cuent'!H1884</f>
        <v>305805</v>
      </c>
      <c r="F1884" t="str">
        <f>+'[2]por cuent'!I1884</f>
        <v>602</v>
      </c>
    </row>
    <row r="1885" spans="1:6" x14ac:dyDescent="0.35">
      <c r="A1885" t="str">
        <f>+'[2]por cuent'!A1885</f>
        <v>ARS</v>
      </c>
      <c r="B1885" t="str">
        <f>+'[2]por cuent'!B1885</f>
        <v>602313575</v>
      </c>
      <c r="C1885" t="str">
        <f>+'[2]por cuent'!C1885</f>
        <v>Reche, Mirta Claudia Ildefonsa o Montero, Jose Roberto</v>
      </c>
      <c r="D1885" s="35">
        <f>+'[2]por cuent'!G1885</f>
        <v>251756</v>
      </c>
      <c r="E1885" s="35">
        <f>+'[2]por cuent'!H1885</f>
        <v>251756</v>
      </c>
      <c r="F1885" t="str">
        <f>+'[2]por cuent'!I1885</f>
        <v>602</v>
      </c>
    </row>
    <row r="1886" spans="1:6" x14ac:dyDescent="0.35">
      <c r="A1886" t="str">
        <f>+'[2]por cuent'!A1886</f>
        <v>ARS</v>
      </c>
      <c r="B1886" t="str">
        <f>+'[2]por cuent'!B1886</f>
        <v>602313994</v>
      </c>
      <c r="C1886" t="str">
        <f>+'[2]por cuent'!C1886</f>
        <v xml:space="preserve">Reche, Daniel Angel </v>
      </c>
      <c r="D1886" s="35">
        <f>+'[2]por cuent'!G1886</f>
        <v>3645604.7</v>
      </c>
      <c r="E1886" s="35">
        <f>+'[2]por cuent'!H1886</f>
        <v>3645604.7</v>
      </c>
      <c r="F1886" t="str">
        <f>+'[2]por cuent'!I1886</f>
        <v>602</v>
      </c>
    </row>
    <row r="1887" spans="1:6" x14ac:dyDescent="0.35">
      <c r="A1887" t="str">
        <f>+'[2]por cuent'!A1887</f>
        <v>ARS</v>
      </c>
      <c r="B1887" t="str">
        <f>+'[2]por cuent'!B1887</f>
        <v>602314345</v>
      </c>
      <c r="C1887" t="str">
        <f>+'[2]por cuent'!C1887</f>
        <v>Raimondi, Mauro Federico o Parra, Maria Georgina</v>
      </c>
      <c r="D1887" s="35">
        <f>+'[2]por cuent'!G1887</f>
        <v>2002656</v>
      </c>
      <c r="E1887" s="35">
        <f>+'[2]por cuent'!H1887</f>
        <v>2002656</v>
      </c>
      <c r="F1887" t="str">
        <f>+'[2]por cuent'!I1887</f>
        <v>602</v>
      </c>
    </row>
    <row r="1888" spans="1:6" x14ac:dyDescent="0.35">
      <c r="A1888" t="str">
        <f>+'[2]por cuent'!A1888</f>
        <v>ARS</v>
      </c>
      <c r="B1888" t="str">
        <f>+'[2]por cuent'!B1888</f>
        <v>602331391</v>
      </c>
      <c r="C1888" t="str">
        <f>+'[2]por cuent'!C1888</f>
        <v>Tamborini, Alberto Atilio o Bonet, Aurelia Carmen o Tamborini, Alejandra Carolina u otros</v>
      </c>
      <c r="D1888" s="35">
        <f>+'[2]por cuent'!G1888</f>
        <v>5534550</v>
      </c>
      <c r="E1888" s="35">
        <f>+'[2]por cuent'!H1888</f>
        <v>5534550</v>
      </c>
      <c r="F1888" t="str">
        <f>+'[2]por cuent'!I1888</f>
        <v>602</v>
      </c>
    </row>
    <row r="1889" spans="1:6" x14ac:dyDescent="0.35">
      <c r="A1889" t="str">
        <f>+'[2]por cuent'!A1889</f>
        <v>ARS</v>
      </c>
      <c r="B1889" t="str">
        <f>+'[2]por cuent'!B1889</f>
        <v>602333725</v>
      </c>
      <c r="C1889" t="str">
        <f>+'[2]por cuent'!C1889</f>
        <v>Tamborini, Alejandra Carolina</v>
      </c>
      <c r="D1889" s="35">
        <f>+'[2]por cuent'!G1889</f>
        <v>972400</v>
      </c>
      <c r="E1889" s="35">
        <f>+'[2]por cuent'!H1889</f>
        <v>972400</v>
      </c>
      <c r="F1889" t="str">
        <f>+'[2]por cuent'!I1889</f>
        <v>602</v>
      </c>
    </row>
    <row r="1890" spans="1:6" x14ac:dyDescent="0.35">
      <c r="A1890" t="str">
        <f>+'[2]por cuent'!A1890</f>
        <v>ARS</v>
      </c>
      <c r="B1890" t="str">
        <f>+'[2]por cuent'!B1890</f>
        <v>602334037</v>
      </c>
      <c r="C1890" t="str">
        <f>+'[2]por cuent'!C1890</f>
        <v>Tamborini, Paola Valeria o Tamborini, Alejandra Carolina</v>
      </c>
      <c r="D1890" s="35">
        <f>+'[2]por cuent'!G1890</f>
        <v>1489001.6</v>
      </c>
      <c r="E1890" s="35">
        <f>+'[2]por cuent'!H1890</f>
        <v>1489001.6</v>
      </c>
      <c r="F1890" t="str">
        <f>+'[2]por cuent'!I1890</f>
        <v>602</v>
      </c>
    </row>
    <row r="1891" spans="1:6" x14ac:dyDescent="0.35">
      <c r="A1891" t="str">
        <f>+'[2]por cuent'!A1891</f>
        <v>ARS</v>
      </c>
      <c r="B1891" t="str">
        <f>+'[2]por cuent'!B1891</f>
        <v>602334086</v>
      </c>
      <c r="C1891" t="str">
        <f>+'[2]por cuent'!C1891</f>
        <v>Tamborini,Leticia Rosana</v>
      </c>
      <c r="D1891" s="35">
        <f>+'[2]por cuent'!G1891</f>
        <v>105030</v>
      </c>
      <c r="E1891" s="35">
        <f>+'[2]por cuent'!H1891</f>
        <v>105030</v>
      </c>
      <c r="F1891" t="str">
        <f>+'[2]por cuent'!I1891</f>
        <v>602</v>
      </c>
    </row>
    <row r="1892" spans="1:6" x14ac:dyDescent="0.35">
      <c r="A1892" t="str">
        <f>+'[2]por cuent'!A1892</f>
        <v>ARS</v>
      </c>
      <c r="B1892" t="str">
        <f>+'[2]por cuent'!B1892</f>
        <v>602344289</v>
      </c>
      <c r="C1892" t="str">
        <f>+'[2]por cuent'!C1892</f>
        <v>Ubino, Daniel Gerardo</v>
      </c>
      <c r="D1892" s="35">
        <f>+'[2]por cuent'!G1892</f>
        <v>2054390</v>
      </c>
      <c r="E1892" s="35">
        <f>+'[2]por cuent'!H1892</f>
        <v>2054390</v>
      </c>
      <c r="F1892" t="str">
        <f>+'[2]por cuent'!I1892</f>
        <v>602</v>
      </c>
    </row>
    <row r="1893" spans="1:6" x14ac:dyDescent="0.35">
      <c r="A1893" t="str">
        <f>+'[2]por cuent'!A1893</f>
        <v>ARS</v>
      </c>
      <c r="B1893" t="str">
        <f>+'[2]por cuent'!B1893</f>
        <v>602354159</v>
      </c>
      <c r="C1893" t="str">
        <f>+'[2]por cuent'!C1893</f>
        <v>Vives, Edit Elena</v>
      </c>
      <c r="D1893" s="35">
        <f>+'[2]por cuent'!G1893</f>
        <v>163241</v>
      </c>
      <c r="E1893" s="35">
        <f>+'[2]por cuent'!H1893</f>
        <v>163241</v>
      </c>
      <c r="F1893" t="str">
        <f>+'[2]por cuent'!I1893</f>
        <v>602</v>
      </c>
    </row>
    <row r="1894" spans="1:6" x14ac:dyDescent="0.35">
      <c r="A1894" t="str">
        <f>+'[2]por cuent'!A1894</f>
        <v>ARS</v>
      </c>
      <c r="B1894" t="str">
        <f>+'[2]por cuent'!B1894</f>
        <v>602354166</v>
      </c>
      <c r="C1894" t="str">
        <f>+'[2]por cuent'!C1894</f>
        <v>Van Der Meulen, Juan Pablo</v>
      </c>
      <c r="D1894" s="35">
        <f>+'[2]por cuent'!G1894</f>
        <v>599646.80000000005</v>
      </c>
      <c r="E1894" s="35">
        <f>+'[2]por cuent'!H1894</f>
        <v>599646.80000000005</v>
      </c>
      <c r="F1894" t="str">
        <f>+'[2]por cuent'!I1894</f>
        <v>602</v>
      </c>
    </row>
    <row r="1895" spans="1:6" x14ac:dyDescent="0.35">
      <c r="A1895" t="str">
        <f>+'[2]por cuent'!A1895</f>
        <v>ARS</v>
      </c>
      <c r="B1895" t="str">
        <f>+'[2]por cuent'!B1895</f>
        <v>602363910</v>
      </c>
      <c r="C1895" t="str">
        <f>+'[2]por cuent'!C1895</f>
        <v>Weksler, Jose Ricardo o Santori, Graciela Haydee o Weksler, Celeste</v>
      </c>
      <c r="D1895" s="35">
        <f>+'[2]por cuent'!G1895</f>
        <v>10088574</v>
      </c>
      <c r="E1895" s="35">
        <f>+'[2]por cuent'!H1895</f>
        <v>10088574</v>
      </c>
      <c r="F1895" t="str">
        <f>+'[2]por cuent'!I1895</f>
        <v>602</v>
      </c>
    </row>
    <row r="1896" spans="1:6" x14ac:dyDescent="0.35">
      <c r="A1896" t="str">
        <f>+'[2]por cuent'!A1896</f>
        <v>ARS</v>
      </c>
      <c r="B1896" t="str">
        <f>+'[2]por cuent'!B1896</f>
        <v>602384340</v>
      </c>
      <c r="C1896" t="str">
        <f>+'[2]por cuent'!C1896</f>
        <v>Yaccuzzi, Carolina Paola o Galimberti, Sabrina Cecilia o La Malfa Bualo, Diana Elizabeth</v>
      </c>
      <c r="D1896" s="35">
        <f>+'[2]por cuent'!G1896</f>
        <v>90869</v>
      </c>
      <c r="E1896" s="35">
        <f>+'[2]por cuent'!H1896</f>
        <v>90869</v>
      </c>
      <c r="F1896" t="str">
        <f>+'[2]por cuent'!I1896</f>
        <v>602</v>
      </c>
    </row>
    <row r="1897" spans="1:6" x14ac:dyDescent="0.35">
      <c r="A1897" t="str">
        <f>+'[2]por cuent'!A1897</f>
        <v>ARS</v>
      </c>
      <c r="B1897" t="str">
        <f>+'[2]por cuent'!B1897</f>
        <v>602384343</v>
      </c>
      <c r="C1897" t="str">
        <f>+'[2]por cuent'!C1897</f>
        <v>Yaccuzzi, Mauro Alexis</v>
      </c>
      <c r="D1897" s="35">
        <f>+'[2]por cuent'!G1897</f>
        <v>1997199</v>
      </c>
      <c r="E1897" s="35">
        <f>+'[2]por cuent'!H1897</f>
        <v>1997199</v>
      </c>
      <c r="F1897" t="str">
        <f>+'[2]por cuent'!I1897</f>
        <v>602</v>
      </c>
    </row>
    <row r="1898" spans="1:6" x14ac:dyDescent="0.35">
      <c r="A1898" t="str">
        <f>+'[2]por cuent'!A1898</f>
        <v>ARS</v>
      </c>
      <c r="B1898" t="str">
        <f>+'[2]por cuent'!B1898</f>
        <v>619051768</v>
      </c>
      <c r="C1898" t="str">
        <f>+'[2]por cuent'!C1898</f>
        <v>GUNEGONDI , ALBERTO FEDERICO</v>
      </c>
      <c r="D1898" s="35">
        <f>+'[2]por cuent'!G1898</f>
        <v>211453970.22999999</v>
      </c>
      <c r="E1898" s="35">
        <f>+'[2]por cuent'!H1898</f>
        <v>211453970.22999999</v>
      </c>
      <c r="F1898" t="str">
        <f>+'[2]por cuent'!I1898</f>
        <v>619</v>
      </c>
    </row>
    <row r="1899" spans="1:6" x14ac:dyDescent="0.35">
      <c r="A1899" t="str">
        <f>+'[2]por cuent'!A1899</f>
        <v>ARS</v>
      </c>
      <c r="B1899" t="str">
        <f>+'[2]por cuent'!B1899</f>
        <v>620303210</v>
      </c>
      <c r="C1899" t="str">
        <f>+'[2]por cuent'!C1899</f>
        <v>ROBERTO NANT S.R.L.</v>
      </c>
      <c r="D1899" s="35">
        <f>+'[2]por cuent'!G1899</f>
        <v>288229.8</v>
      </c>
      <c r="E1899" s="35">
        <f>+'[2]por cuent'!H1899</f>
        <v>288229.8</v>
      </c>
      <c r="F1899" t="str">
        <f>+'[2]por cuent'!I1899</f>
        <v>620</v>
      </c>
    </row>
    <row r="1900" spans="1:6" x14ac:dyDescent="0.35">
      <c r="A1900" t="str">
        <f>+'[2]por cuent'!A1900</f>
        <v>ARS</v>
      </c>
      <c r="B1900" t="str">
        <f>+'[2]por cuent'!B1900</f>
        <v>624000080</v>
      </c>
      <c r="C1900" t="str">
        <f>+'[2]por cuent'!C1900</f>
        <v>LISTRO, VICENTE (CARTERA PROPIA)</v>
      </c>
      <c r="D1900" s="35">
        <f>+'[2]por cuent'!G1900</f>
        <v>91987888.150000006</v>
      </c>
      <c r="E1900" s="35">
        <f>+'[2]por cuent'!H1900</f>
        <v>91987888.150000006</v>
      </c>
      <c r="F1900" t="str">
        <f>+'[2]por cuent'!I1900</f>
        <v>624</v>
      </c>
    </row>
    <row r="1901" spans="1:6" x14ac:dyDescent="0.35">
      <c r="A1901" t="str">
        <f>+'[2]por cuent'!A1901</f>
        <v>ARS</v>
      </c>
      <c r="B1901" t="str">
        <f>+'[2]por cuent'!B1901</f>
        <v>624000135</v>
      </c>
      <c r="C1901" t="str">
        <f>+'[2]por cuent'!C1901</f>
        <v>CAVODURO RUBEN DARIO</v>
      </c>
      <c r="D1901" s="35">
        <f>+'[2]por cuent'!G1901</f>
        <v>3668390.71</v>
      </c>
      <c r="E1901" s="35">
        <f>+'[2]por cuent'!H1901</f>
        <v>3668390.71</v>
      </c>
      <c r="F1901" t="str">
        <f>+'[2]por cuent'!I1901</f>
        <v>624</v>
      </c>
    </row>
    <row r="1902" spans="1:6" x14ac:dyDescent="0.35">
      <c r="A1902" t="str">
        <f>+'[2]por cuent'!A1902</f>
        <v>ARS</v>
      </c>
      <c r="B1902" t="str">
        <f>+'[2]por cuent'!B1902</f>
        <v>624000263</v>
      </c>
      <c r="C1902" t="str">
        <f>+'[2]por cuent'!C1902</f>
        <v>FAKIN, ALEJANDRO o GRANATTA , GRACIELA ALICIA o FAKIN, MAURO u otros</v>
      </c>
      <c r="D1902" s="35">
        <f>+'[2]por cuent'!G1902</f>
        <v>3394912.15</v>
      </c>
      <c r="E1902" s="35">
        <f>+'[2]por cuent'!H1902</f>
        <v>3394912.15</v>
      </c>
      <c r="F1902" t="str">
        <f>+'[2]por cuent'!I1902</f>
        <v>624</v>
      </c>
    </row>
    <row r="1903" spans="1:6" x14ac:dyDescent="0.35">
      <c r="A1903" t="str">
        <f>+'[2]por cuent'!A1903</f>
        <v>ARS</v>
      </c>
      <c r="B1903" t="str">
        <f>+'[2]por cuent'!B1903</f>
        <v>624000279</v>
      </c>
      <c r="C1903" t="str">
        <f>+'[2]por cuent'!C1903</f>
        <v>LANTERI, MARCELO ROBERTO</v>
      </c>
      <c r="D1903" s="35">
        <f>+'[2]por cuent'!G1903</f>
        <v>5040289.91</v>
      </c>
      <c r="E1903" s="35">
        <f>+'[2]por cuent'!H1903</f>
        <v>5040289.91</v>
      </c>
      <c r="F1903" t="str">
        <f>+'[2]por cuent'!I1903</f>
        <v>624</v>
      </c>
    </row>
    <row r="1904" spans="1:6" x14ac:dyDescent="0.35">
      <c r="A1904" t="str">
        <f>+'[2]por cuent'!A1904</f>
        <v>ARS</v>
      </c>
      <c r="B1904" t="str">
        <f>+'[2]por cuent'!B1904</f>
        <v>624000319</v>
      </c>
      <c r="C1904" t="str">
        <f>+'[2]por cuent'!C1904</f>
        <v>TEDESCO , LILIAN MARIA o MARTINEZ , DAVID PABLO o MARTINEZ , VALERIA LILIAN u otros</v>
      </c>
      <c r="D1904" s="35">
        <f>+'[2]por cuent'!G1904</f>
        <v>75846847.390000001</v>
      </c>
      <c r="E1904" s="35">
        <f>+'[2]por cuent'!H1904</f>
        <v>75846847.390000001</v>
      </c>
      <c r="F1904" t="str">
        <f>+'[2]por cuent'!I1904</f>
        <v>624</v>
      </c>
    </row>
    <row r="1905" spans="1:6" x14ac:dyDescent="0.35">
      <c r="A1905" t="str">
        <f>+'[2]por cuent'!A1905</f>
        <v>ARS</v>
      </c>
      <c r="B1905" t="str">
        <f>+'[2]por cuent'!B1905</f>
        <v>624000373</v>
      </c>
      <c r="C1905" t="str">
        <f>+'[2]por cuent'!C1905</f>
        <v>FANARA  , JUAN CARLOS o MORRONE  , MONICA ADA</v>
      </c>
      <c r="D1905" s="35">
        <f>+'[2]por cuent'!G1905</f>
        <v>8758789.6400000006</v>
      </c>
      <c r="E1905" s="35">
        <f>+'[2]por cuent'!H1905</f>
        <v>8758789.6400000006</v>
      </c>
      <c r="F1905" t="str">
        <f>+'[2]por cuent'!I1905</f>
        <v>624</v>
      </c>
    </row>
    <row r="1906" spans="1:6" x14ac:dyDescent="0.35">
      <c r="A1906" t="str">
        <f>+'[2]por cuent'!A1906</f>
        <v>ARS</v>
      </c>
      <c r="B1906" t="str">
        <f>+'[2]por cuent'!B1906</f>
        <v>624000375</v>
      </c>
      <c r="C1906" t="str">
        <f>+'[2]por cuent'!C1906</f>
        <v>JAUREGUI, PEDRO HORACIO o  JAUREGUI , MARCELINA LUCIA</v>
      </c>
      <c r="D1906" s="35">
        <f>+'[2]por cuent'!G1906</f>
        <v>11121852.859999999</v>
      </c>
      <c r="E1906" s="35">
        <f>+'[2]por cuent'!H1906</f>
        <v>11121852.859999999</v>
      </c>
      <c r="F1906" t="str">
        <f>+'[2]por cuent'!I1906</f>
        <v>624</v>
      </c>
    </row>
    <row r="1907" spans="1:6" x14ac:dyDescent="0.35">
      <c r="A1907" t="str">
        <f>+'[2]por cuent'!A1907</f>
        <v>ARS</v>
      </c>
      <c r="B1907" t="str">
        <f>+'[2]por cuent'!B1907</f>
        <v>624000384</v>
      </c>
      <c r="C1907" t="str">
        <f>+'[2]por cuent'!C1907</f>
        <v>GOBBI, CARLOS ALBERTO o MOUZET DE GOBBI, MAGDALENA TERESA o GOBBI , FABIO ANDRES u otros</v>
      </c>
      <c r="D1907" s="35">
        <f>+'[2]por cuent'!G1907</f>
        <v>5047821.55</v>
      </c>
      <c r="E1907" s="35">
        <f>+'[2]por cuent'!H1907</f>
        <v>5047821.55</v>
      </c>
      <c r="F1907" t="str">
        <f>+'[2]por cuent'!I1907</f>
        <v>624</v>
      </c>
    </row>
    <row r="1908" spans="1:6" x14ac:dyDescent="0.35">
      <c r="A1908" t="str">
        <f>+'[2]por cuent'!A1908</f>
        <v>ARS</v>
      </c>
      <c r="B1908" t="str">
        <f>+'[2]por cuent'!B1908</f>
        <v>624000394</v>
      </c>
      <c r="C1908" t="str">
        <f>+'[2]por cuent'!C1908</f>
        <v>GUTIERREZ, CECILIO ANTONIO o MORI DE GUTIERREZ , EDITH MARIA o GUTIERREZ, MARIA CECILIA</v>
      </c>
      <c r="D1908" s="35">
        <f>+'[2]por cuent'!G1908</f>
        <v>4630105.8600000003</v>
      </c>
      <c r="E1908" s="35">
        <f>+'[2]por cuent'!H1908</f>
        <v>4630105.8600000003</v>
      </c>
      <c r="F1908" t="str">
        <f>+'[2]por cuent'!I1908</f>
        <v>624</v>
      </c>
    </row>
    <row r="1909" spans="1:6" x14ac:dyDescent="0.35">
      <c r="A1909" t="str">
        <f>+'[2]por cuent'!A1909</f>
        <v>ARS</v>
      </c>
      <c r="B1909" t="str">
        <f>+'[2]por cuent'!B1909</f>
        <v>624000660</v>
      </c>
      <c r="C1909" t="str">
        <f>+'[2]por cuent'!C1909</f>
        <v>PINTOS HERIBERTO ARMANDO</v>
      </c>
      <c r="D1909" s="35">
        <f>+'[2]por cuent'!G1909</f>
        <v>62333076.82</v>
      </c>
      <c r="E1909" s="35">
        <f>+'[2]por cuent'!H1909</f>
        <v>62333076.82</v>
      </c>
      <c r="F1909" t="str">
        <f>+'[2]por cuent'!I1909</f>
        <v>624</v>
      </c>
    </row>
    <row r="1910" spans="1:6" x14ac:dyDescent="0.35">
      <c r="A1910" t="str">
        <f>+'[2]por cuent'!A1910</f>
        <v>ARS</v>
      </c>
      <c r="B1910" t="str">
        <f>+'[2]por cuent'!B1910</f>
        <v>624000718</v>
      </c>
      <c r="C1910" t="str">
        <f>+'[2]por cuent'!C1910</f>
        <v>TESSMER DANIEL ADOLFO</v>
      </c>
      <c r="D1910" s="35">
        <f>+'[2]por cuent'!G1910</f>
        <v>17885896.489999998</v>
      </c>
      <c r="E1910" s="35">
        <f>+'[2]por cuent'!H1910</f>
        <v>17885896.489999998</v>
      </c>
      <c r="F1910" t="str">
        <f>+'[2]por cuent'!I1910</f>
        <v>624</v>
      </c>
    </row>
    <row r="1911" spans="1:6" x14ac:dyDescent="0.35">
      <c r="A1911" t="str">
        <f>+'[2]por cuent'!A1911</f>
        <v>ARS</v>
      </c>
      <c r="B1911" t="str">
        <f>+'[2]por cuent'!B1911</f>
        <v>624000802</v>
      </c>
      <c r="C1911" t="str">
        <f>+'[2]por cuent'!C1911</f>
        <v>SIRI, OSCAR HORACIO o PRETINI DE SIRI, HAYDEE CLELIA</v>
      </c>
      <c r="D1911" s="35">
        <f>+'[2]por cuent'!G1911</f>
        <v>27335145.140000001</v>
      </c>
      <c r="E1911" s="35">
        <f>+'[2]por cuent'!H1911</f>
        <v>27335145.140000001</v>
      </c>
      <c r="F1911" t="str">
        <f>+'[2]por cuent'!I1911</f>
        <v>624</v>
      </c>
    </row>
    <row r="1912" spans="1:6" x14ac:dyDescent="0.35">
      <c r="A1912" t="str">
        <f>+'[2]por cuent'!A1912</f>
        <v>ARS</v>
      </c>
      <c r="B1912" t="str">
        <f>+'[2]por cuent'!B1912</f>
        <v>624000878</v>
      </c>
      <c r="C1912" t="str">
        <f>+'[2]por cuent'!C1912</f>
        <v>BIANCULLI, LUIS ANGEL o TORELLI , ALICIA LIVIA o BIANCULLI , ANDRES LEANDRO</v>
      </c>
      <c r="D1912" s="35">
        <f>+'[2]por cuent'!G1912</f>
        <v>100706225.25</v>
      </c>
      <c r="E1912" s="35">
        <f>+'[2]por cuent'!H1912</f>
        <v>100706225.25</v>
      </c>
      <c r="F1912" t="str">
        <f>+'[2]por cuent'!I1912</f>
        <v>624</v>
      </c>
    </row>
    <row r="1913" spans="1:6" x14ac:dyDescent="0.35">
      <c r="A1913" t="str">
        <f>+'[2]por cuent'!A1913</f>
        <v>ARS</v>
      </c>
      <c r="B1913" t="str">
        <f>+'[2]por cuent'!B1913</f>
        <v>624001151</v>
      </c>
      <c r="C1913" t="str">
        <f>+'[2]por cuent'!C1913</f>
        <v>PEDONE, JUAN CARLOS</v>
      </c>
      <c r="D1913" s="35">
        <f>+'[2]por cuent'!G1913</f>
        <v>123641473.98</v>
      </c>
      <c r="E1913" s="35">
        <f>+'[2]por cuent'!H1913</f>
        <v>123641473.98</v>
      </c>
      <c r="F1913" t="str">
        <f>+'[2]por cuent'!I1913</f>
        <v>624</v>
      </c>
    </row>
    <row r="1914" spans="1:6" x14ac:dyDescent="0.35">
      <c r="A1914" t="str">
        <f>+'[2]por cuent'!A1914</f>
        <v>ARS</v>
      </c>
      <c r="B1914" t="str">
        <f>+'[2]por cuent'!B1914</f>
        <v>624001277</v>
      </c>
      <c r="C1914" t="str">
        <f>+'[2]por cuent'!C1914</f>
        <v>NUCCI , NICOLAS ALFREDO o NUCCI , ZANDRA STELLA MARIS</v>
      </c>
      <c r="D1914" s="35">
        <f>+'[2]por cuent'!G1914</f>
        <v>9079446.2100000009</v>
      </c>
      <c r="E1914" s="35">
        <f>+'[2]por cuent'!H1914</f>
        <v>9079446.2100000009</v>
      </c>
      <c r="F1914" t="str">
        <f>+'[2]por cuent'!I1914</f>
        <v>624</v>
      </c>
    </row>
    <row r="1915" spans="1:6" x14ac:dyDescent="0.35">
      <c r="A1915" t="str">
        <f>+'[2]por cuent'!A1915</f>
        <v>ARS</v>
      </c>
      <c r="B1915" t="str">
        <f>+'[2]por cuent'!B1915</f>
        <v>624001311</v>
      </c>
      <c r="C1915" t="str">
        <f>+'[2]por cuent'!C1915</f>
        <v>BOGLIETTI , ADA GRACIELA o CABEZAS BOGLIETTI , TANIA GRACIELA</v>
      </c>
      <c r="D1915" s="35">
        <f>+'[2]por cuent'!G1915</f>
        <v>93884026.549999997</v>
      </c>
      <c r="E1915" s="35">
        <f>+'[2]por cuent'!H1915</f>
        <v>93884026.549999997</v>
      </c>
      <c r="F1915" t="str">
        <f>+'[2]por cuent'!I1915</f>
        <v>624</v>
      </c>
    </row>
    <row r="1916" spans="1:6" x14ac:dyDescent="0.35">
      <c r="A1916" t="str">
        <f>+'[2]por cuent'!A1916</f>
        <v>ARS</v>
      </c>
      <c r="B1916" t="str">
        <f>+'[2]por cuent'!B1916</f>
        <v>624001522</v>
      </c>
      <c r="C1916" t="str">
        <f>+'[2]por cuent'!C1916</f>
        <v>ARINO, RODOLFO CARLOS</v>
      </c>
      <c r="D1916" s="35">
        <f>+'[2]por cuent'!G1916</f>
        <v>6769830.5</v>
      </c>
      <c r="E1916" s="35">
        <f>+'[2]por cuent'!H1916</f>
        <v>6769830.5</v>
      </c>
      <c r="F1916" t="str">
        <f>+'[2]por cuent'!I1916</f>
        <v>624</v>
      </c>
    </row>
    <row r="1917" spans="1:6" x14ac:dyDescent="0.35">
      <c r="A1917" t="str">
        <f>+'[2]por cuent'!A1917</f>
        <v>ARS</v>
      </c>
      <c r="B1917" t="str">
        <f>+'[2]por cuent'!B1917</f>
        <v>624001630</v>
      </c>
      <c r="C1917" t="str">
        <f>+'[2]por cuent'!C1917</f>
        <v>COTTA, FABIANA ALEJANDRA</v>
      </c>
      <c r="D1917" s="35">
        <f>+'[2]por cuent'!G1917</f>
        <v>14982054.73</v>
      </c>
      <c r="E1917" s="35">
        <f>+'[2]por cuent'!H1917</f>
        <v>14982054.73</v>
      </c>
      <c r="F1917" t="str">
        <f>+'[2]por cuent'!I1917</f>
        <v>624</v>
      </c>
    </row>
    <row r="1918" spans="1:6" x14ac:dyDescent="0.35">
      <c r="A1918" t="str">
        <f>+'[2]por cuent'!A1918</f>
        <v>ARS</v>
      </c>
      <c r="B1918" t="str">
        <f>+'[2]por cuent'!B1918</f>
        <v>624001636</v>
      </c>
      <c r="C1918" t="str">
        <f>+'[2]por cuent'!C1918</f>
        <v>VIRGA, SALVADOR HUGO o VIRGA, ROBERTO HUGO o VIRGA, ADRIAN ESTEBAN u otros</v>
      </c>
      <c r="D1918" s="35">
        <f>+'[2]por cuent'!G1918</f>
        <v>1889545.35</v>
      </c>
      <c r="E1918" s="35">
        <f>+'[2]por cuent'!H1918</f>
        <v>1889545.35</v>
      </c>
      <c r="F1918" t="str">
        <f>+'[2]por cuent'!I1918</f>
        <v>624</v>
      </c>
    </row>
    <row r="1919" spans="1:6" x14ac:dyDescent="0.35">
      <c r="A1919" t="str">
        <f>+'[2]por cuent'!A1919</f>
        <v>ARS</v>
      </c>
      <c r="B1919" t="str">
        <f>+'[2]por cuent'!B1919</f>
        <v>624001802</v>
      </c>
      <c r="C1919" t="str">
        <f>+'[2]por cuent'!C1919</f>
        <v>BALDINO, DAVID PATRICIO o BUSTAMANTE , MARIA PATRICIA o BALDINO, LUCILA</v>
      </c>
      <c r="D1919" s="35">
        <f>+'[2]por cuent'!G1919</f>
        <v>50904740.049999997</v>
      </c>
      <c r="E1919" s="35">
        <f>+'[2]por cuent'!H1919</f>
        <v>50904740.049999997</v>
      </c>
      <c r="F1919" t="str">
        <f>+'[2]por cuent'!I1919</f>
        <v>624</v>
      </c>
    </row>
    <row r="1920" spans="1:6" x14ac:dyDescent="0.35">
      <c r="A1920" t="str">
        <f>+'[2]por cuent'!A1920</f>
        <v>ARS</v>
      </c>
      <c r="B1920" t="str">
        <f>+'[2]por cuent'!B1920</f>
        <v>624001821</v>
      </c>
      <c r="C1920" t="str">
        <f>+'[2]por cuent'!C1920</f>
        <v>BONALUMI ALEJANDRO WALTER</v>
      </c>
      <c r="D1920" s="35">
        <f>+'[2]por cuent'!G1920</f>
        <v>187325343.41</v>
      </c>
      <c r="E1920" s="35">
        <f>+'[2]por cuent'!H1920</f>
        <v>187325343.41</v>
      </c>
      <c r="F1920" t="str">
        <f>+'[2]por cuent'!I1920</f>
        <v>624</v>
      </c>
    </row>
    <row r="1921" spans="1:6" x14ac:dyDescent="0.35">
      <c r="A1921" t="str">
        <f>+'[2]por cuent'!A1921</f>
        <v>ARS</v>
      </c>
      <c r="B1921" t="str">
        <f>+'[2]por cuent'!B1921</f>
        <v>624001828</v>
      </c>
      <c r="C1921" t="str">
        <f>+'[2]por cuent'!C1921</f>
        <v xml:space="preserve">REGNER , ROXANA ANALIA </v>
      </c>
      <c r="D1921" s="35">
        <f>+'[2]por cuent'!G1921</f>
        <v>1443458.87</v>
      </c>
      <c r="E1921" s="35">
        <f>+'[2]por cuent'!H1921</f>
        <v>1443458.87</v>
      </c>
      <c r="F1921" t="str">
        <f>+'[2]por cuent'!I1921</f>
        <v>624</v>
      </c>
    </row>
    <row r="1922" spans="1:6" x14ac:dyDescent="0.35">
      <c r="A1922" t="str">
        <f>+'[2]por cuent'!A1922</f>
        <v>ARS</v>
      </c>
      <c r="B1922" t="str">
        <f>+'[2]por cuent'!B1922</f>
        <v>624001896</v>
      </c>
      <c r="C1922" t="str">
        <f>+'[2]por cuent'!C1922</f>
        <v>PALOU , BERNARDO CARLOS o BETRIA, ALICIA NORMA o FERNANDEZ BETRIA, NESTOR JAVIER u otros</v>
      </c>
      <c r="D1922" s="35">
        <f>+'[2]por cuent'!G1922</f>
        <v>137258217.96000001</v>
      </c>
      <c r="E1922" s="35">
        <f>+'[2]por cuent'!H1922</f>
        <v>137258217.96000001</v>
      </c>
      <c r="F1922" t="str">
        <f>+'[2]por cuent'!I1922</f>
        <v>624</v>
      </c>
    </row>
    <row r="1923" spans="1:6" x14ac:dyDescent="0.35">
      <c r="A1923" t="str">
        <f>+'[2]por cuent'!A1923</f>
        <v>ARS</v>
      </c>
      <c r="B1923" t="str">
        <f>+'[2]por cuent'!B1923</f>
        <v>624001924</v>
      </c>
      <c r="C1923" t="str">
        <f>+'[2]por cuent'!C1923</f>
        <v>MARTINEZ , DAVID PABLO o MARTINEZ, MARIA SOL o MARTINEZ SCHENARDI, TOMAS</v>
      </c>
      <c r="D1923" s="35">
        <f>+'[2]por cuent'!G1923</f>
        <v>709823807.55999994</v>
      </c>
      <c r="E1923" s="35">
        <f>+'[2]por cuent'!H1923</f>
        <v>709823807.55999994</v>
      </c>
      <c r="F1923" t="str">
        <f>+'[2]por cuent'!I1923</f>
        <v>624</v>
      </c>
    </row>
    <row r="1924" spans="1:6" x14ac:dyDescent="0.35">
      <c r="A1924" t="str">
        <f>+'[2]por cuent'!A1924</f>
        <v>ARS</v>
      </c>
      <c r="B1924" t="str">
        <f>+'[2]por cuent'!B1924</f>
        <v>624002073</v>
      </c>
      <c r="C1924" t="str">
        <f>+'[2]por cuent'!C1924</f>
        <v xml:space="preserve">ANDREOMATTEO, ANA MARIA o GALLI, CAROLINA NATALIA </v>
      </c>
      <c r="D1924" s="35">
        <f>+'[2]por cuent'!G1924</f>
        <v>319889285.01999998</v>
      </c>
      <c r="E1924" s="35">
        <f>+'[2]por cuent'!H1924</f>
        <v>319889285.01999998</v>
      </c>
      <c r="F1924" t="str">
        <f>+'[2]por cuent'!I1924</f>
        <v>624</v>
      </c>
    </row>
    <row r="1925" spans="1:6" x14ac:dyDescent="0.35">
      <c r="A1925" t="str">
        <f>+'[2]por cuent'!A1925</f>
        <v>ARS</v>
      </c>
      <c r="B1925" t="str">
        <f>+'[2]por cuent'!B1925</f>
        <v>624002107</v>
      </c>
      <c r="C1925" t="str">
        <f>+'[2]por cuent'!C1925</f>
        <v>NIQUIO, BEATRIZ ANA o ANNONI, ANGEL FERMIN o ANNONI, VERONICA CARLA u otros</v>
      </c>
      <c r="D1925" s="35">
        <f>+'[2]por cuent'!G1925</f>
        <v>6517266.1299999999</v>
      </c>
      <c r="E1925" s="35">
        <f>+'[2]por cuent'!H1925</f>
        <v>6517266.1299999999</v>
      </c>
      <c r="F1925" t="str">
        <f>+'[2]por cuent'!I1925</f>
        <v>624</v>
      </c>
    </row>
    <row r="1926" spans="1:6" x14ac:dyDescent="0.35">
      <c r="A1926" t="str">
        <f>+'[2]por cuent'!A1926</f>
        <v>ARS</v>
      </c>
      <c r="B1926" t="str">
        <f>+'[2]por cuent'!B1926</f>
        <v>624002122</v>
      </c>
      <c r="C1926" t="str">
        <f>+'[2]por cuent'!C1926</f>
        <v xml:space="preserve">BELLITTIERI, ALDO OMAR o CO, ADRIANA ANDREA </v>
      </c>
      <c r="D1926" s="35">
        <f>+'[2]por cuent'!G1926</f>
        <v>4959750.42</v>
      </c>
      <c r="E1926" s="35">
        <f>+'[2]por cuent'!H1926</f>
        <v>4959750.42</v>
      </c>
      <c r="F1926" t="str">
        <f>+'[2]por cuent'!I1926</f>
        <v>624</v>
      </c>
    </row>
    <row r="1927" spans="1:6" x14ac:dyDescent="0.35">
      <c r="A1927" t="str">
        <f>+'[2]por cuent'!A1927</f>
        <v>ARS</v>
      </c>
      <c r="B1927" t="str">
        <f>+'[2]por cuent'!B1927</f>
        <v>624002493</v>
      </c>
      <c r="C1927" t="str">
        <f>+'[2]por cuent'!C1927</f>
        <v>SUAZO, MARIA EMMA o DIAZ, ROBERTO o DIAZ , ARIEL MARTIN</v>
      </c>
      <c r="D1927" s="35">
        <f>+'[2]por cuent'!G1927</f>
        <v>35749207.75</v>
      </c>
      <c r="E1927" s="35">
        <f>+'[2]por cuent'!H1927</f>
        <v>35749207.75</v>
      </c>
      <c r="F1927" t="str">
        <f>+'[2]por cuent'!I1927</f>
        <v>624</v>
      </c>
    </row>
    <row r="1928" spans="1:6" x14ac:dyDescent="0.35">
      <c r="A1928" t="str">
        <f>+'[2]por cuent'!A1928</f>
        <v>ARS</v>
      </c>
      <c r="B1928" t="str">
        <f>+'[2]por cuent'!B1928</f>
        <v>624002531</v>
      </c>
      <c r="C1928" t="str">
        <f>+'[2]por cuent'!C1928</f>
        <v>SERCA DE BELOTTI , NELIDA BEATRIZ o BELOTTI, RAUL ALBERTO o BELOTTI, MARIA PAULA u otros</v>
      </c>
      <c r="D1928" s="35">
        <f>+'[2]por cuent'!G1928</f>
        <v>27200</v>
      </c>
      <c r="E1928" s="35">
        <f>+'[2]por cuent'!H1928</f>
        <v>27200</v>
      </c>
      <c r="F1928" t="str">
        <f>+'[2]por cuent'!I1928</f>
        <v>624</v>
      </c>
    </row>
    <row r="1929" spans="1:6" x14ac:dyDescent="0.35">
      <c r="A1929" t="str">
        <f>+'[2]por cuent'!A1929</f>
        <v>ARS</v>
      </c>
      <c r="B1929" t="str">
        <f>+'[2]por cuent'!B1929</f>
        <v>624002545</v>
      </c>
      <c r="C1929" t="str">
        <f>+'[2]por cuent'!C1929</f>
        <v>LEOCATA , JUAN CARLOS o LEOCATA , IVANA ROMINA</v>
      </c>
      <c r="D1929" s="35">
        <f>+'[2]por cuent'!G1929</f>
        <v>5031828.87</v>
      </c>
      <c r="E1929" s="35">
        <f>+'[2]por cuent'!H1929</f>
        <v>5031828.87</v>
      </c>
      <c r="F1929" t="str">
        <f>+'[2]por cuent'!I1929</f>
        <v>624</v>
      </c>
    </row>
    <row r="1930" spans="1:6" x14ac:dyDescent="0.35">
      <c r="A1930" t="str">
        <f>+'[2]por cuent'!A1930</f>
        <v>ARS</v>
      </c>
      <c r="B1930" t="str">
        <f>+'[2]por cuent'!B1930</f>
        <v>624002555</v>
      </c>
      <c r="C1930" t="str">
        <f>+'[2]por cuent'!C1930</f>
        <v>LISTRO FABRICIO J. (CARTERA PROPIA)</v>
      </c>
      <c r="D1930" s="35">
        <f>+'[2]por cuent'!G1930</f>
        <v>1711281368.28</v>
      </c>
      <c r="E1930" s="35">
        <f>+'[2]por cuent'!H1930</f>
        <v>1711281368.28</v>
      </c>
      <c r="F1930" t="str">
        <f>+'[2]por cuent'!I1930</f>
        <v>624</v>
      </c>
    </row>
    <row r="1931" spans="1:6" x14ac:dyDescent="0.35">
      <c r="A1931" t="str">
        <f>+'[2]por cuent'!A1931</f>
        <v>ARS</v>
      </c>
      <c r="B1931" t="str">
        <f>+'[2]por cuent'!B1931</f>
        <v>624002558</v>
      </c>
      <c r="C1931" t="str">
        <f>+'[2]por cuent'!C1931</f>
        <v>ORAZI, DANIEL FEDERICO JOSE u ORAZI, FEDERICO TOMAS</v>
      </c>
      <c r="D1931" s="35">
        <f>+'[2]por cuent'!G1931</f>
        <v>3535565.26</v>
      </c>
      <c r="E1931" s="35">
        <f>+'[2]por cuent'!H1931</f>
        <v>3535565.26</v>
      </c>
      <c r="F1931" t="str">
        <f>+'[2]por cuent'!I1931</f>
        <v>624</v>
      </c>
    </row>
    <row r="1932" spans="1:6" x14ac:dyDescent="0.35">
      <c r="A1932" t="str">
        <f>+'[2]por cuent'!A1932</f>
        <v>ARS</v>
      </c>
      <c r="B1932" t="str">
        <f>+'[2]por cuent'!B1932</f>
        <v>624002577</v>
      </c>
      <c r="C1932" t="str">
        <f>+'[2]por cuent'!C1932</f>
        <v>MUGICA , MATIAS NICOLAS o MUGICA DIAZ , PATRICIO MATIAS o MUGICA DIAZ, JOAQUIN NICOLAS</v>
      </c>
      <c r="D1932" s="35">
        <f>+'[2]por cuent'!G1932</f>
        <v>20080294.84</v>
      </c>
      <c r="E1932" s="35">
        <f>+'[2]por cuent'!H1932</f>
        <v>20080294.84</v>
      </c>
      <c r="F1932" t="str">
        <f>+'[2]por cuent'!I1932</f>
        <v>624</v>
      </c>
    </row>
    <row r="1933" spans="1:6" x14ac:dyDescent="0.35">
      <c r="A1933" t="str">
        <f>+'[2]por cuent'!A1933</f>
        <v>ARS</v>
      </c>
      <c r="B1933" t="str">
        <f>+'[2]por cuent'!B1933</f>
        <v>624002598</v>
      </c>
      <c r="C1933" t="str">
        <f>+'[2]por cuent'!C1933</f>
        <v>DI GIACOMO , OSCAR ROBERTO o SCHNEIDER , OLGA ZULMA o DI GIACOMO , LORENA PAOLA u otros</v>
      </c>
      <c r="D1933" s="35">
        <f>+'[2]por cuent'!G1933</f>
        <v>561533.31000000006</v>
      </c>
      <c r="E1933" s="35">
        <f>+'[2]por cuent'!H1933</f>
        <v>561533.31000000006</v>
      </c>
      <c r="F1933" t="str">
        <f>+'[2]por cuent'!I1933</f>
        <v>624</v>
      </c>
    </row>
    <row r="1934" spans="1:6" x14ac:dyDescent="0.35">
      <c r="A1934" t="str">
        <f>+'[2]por cuent'!A1934</f>
        <v>ARS</v>
      </c>
      <c r="B1934" t="str">
        <f>+'[2]por cuent'!B1934</f>
        <v>624002804</v>
      </c>
      <c r="C1934" t="str">
        <f>+'[2]por cuent'!C1934</f>
        <v xml:space="preserve">SVETAZ, ANA MARIA </v>
      </c>
      <c r="D1934" s="35">
        <f>+'[2]por cuent'!G1934</f>
        <v>132799494.11</v>
      </c>
      <c r="E1934" s="35">
        <f>+'[2]por cuent'!H1934</f>
        <v>132799494.11</v>
      </c>
      <c r="F1934" t="str">
        <f>+'[2]por cuent'!I1934</f>
        <v>624</v>
      </c>
    </row>
    <row r="1935" spans="1:6" x14ac:dyDescent="0.35">
      <c r="A1935" t="str">
        <f>+'[2]por cuent'!A1935</f>
        <v>ARS</v>
      </c>
      <c r="B1935" t="str">
        <f>+'[2]por cuent'!B1935</f>
        <v>624002841</v>
      </c>
      <c r="C1935" t="str">
        <f>+'[2]por cuent'!C1935</f>
        <v>MORINI , FABIAN PABLO</v>
      </c>
      <c r="D1935" s="35">
        <f>+'[2]por cuent'!G1935</f>
        <v>1358735.88</v>
      </c>
      <c r="E1935" s="35">
        <f>+'[2]por cuent'!H1935</f>
        <v>1358735.88</v>
      </c>
      <c r="F1935" t="str">
        <f>+'[2]por cuent'!I1935</f>
        <v>624</v>
      </c>
    </row>
    <row r="1936" spans="1:6" x14ac:dyDescent="0.35">
      <c r="A1936" t="str">
        <f>+'[2]por cuent'!A1936</f>
        <v>ARS</v>
      </c>
      <c r="B1936" t="str">
        <f>+'[2]por cuent'!B1936</f>
        <v>624002887</v>
      </c>
      <c r="C1936" t="str">
        <f>+'[2]por cuent'!C1936</f>
        <v>PROIND INGENIERIA SRL</v>
      </c>
      <c r="D1936" s="35">
        <f>+'[2]por cuent'!G1936</f>
        <v>200069601</v>
      </c>
      <c r="E1936" s="35">
        <f>+'[2]por cuent'!H1936</f>
        <v>200069601</v>
      </c>
      <c r="F1936" t="str">
        <f>+'[2]por cuent'!I1936</f>
        <v>624</v>
      </c>
    </row>
    <row r="1937" spans="1:6" x14ac:dyDescent="0.35">
      <c r="A1937" t="str">
        <f>+'[2]por cuent'!A1937</f>
        <v>ARS</v>
      </c>
      <c r="B1937" t="str">
        <f>+'[2]por cuent'!B1937</f>
        <v>624002953</v>
      </c>
      <c r="C1937" t="str">
        <f>+'[2]por cuent'!C1937</f>
        <v>BASTERRETCHE, MIGUEL ALBERTO o MONTERO MARIELA, LUJAN o BASTERRETCHE MONTERO,  MARINA PAULA</v>
      </c>
      <c r="D1937" s="35">
        <f>+'[2]por cuent'!G1937</f>
        <v>127472217.23</v>
      </c>
      <c r="E1937" s="35">
        <f>+'[2]por cuent'!H1937</f>
        <v>127472217.23</v>
      </c>
      <c r="F1937" t="str">
        <f>+'[2]por cuent'!I1937</f>
        <v>624</v>
      </c>
    </row>
    <row r="1938" spans="1:6" x14ac:dyDescent="0.35">
      <c r="A1938" t="str">
        <f>+'[2]por cuent'!A1938</f>
        <v>ARS</v>
      </c>
      <c r="B1938" t="str">
        <f>+'[2]por cuent'!B1938</f>
        <v>624003016</v>
      </c>
      <c r="C1938" t="str">
        <f>+'[2]por cuent'!C1938</f>
        <v>DIAZ, GUSTAVO ADRIAN</v>
      </c>
      <c r="D1938" s="35">
        <f>+'[2]por cuent'!G1938</f>
        <v>58601501.590000004</v>
      </c>
      <c r="E1938" s="35">
        <f>+'[2]por cuent'!H1938</f>
        <v>58601501.590000004</v>
      </c>
      <c r="F1938" t="str">
        <f>+'[2]por cuent'!I1938</f>
        <v>624</v>
      </c>
    </row>
    <row r="1939" spans="1:6" x14ac:dyDescent="0.35">
      <c r="A1939" t="str">
        <f>+'[2]por cuent'!A1939</f>
        <v>ARS</v>
      </c>
      <c r="B1939" t="str">
        <f>+'[2]por cuent'!B1939</f>
        <v>624003045</v>
      </c>
      <c r="C1939" t="str">
        <f>+'[2]por cuent'!C1939</f>
        <v>GABRIELLONI , EMILIO  ANGEL o FEDELI, GRACIELA MARIA  o GABRIELLONI, CAROLINA MAGALI</v>
      </c>
      <c r="D1939" s="35">
        <f>+'[2]por cuent'!G1939</f>
        <v>13109997.789999999</v>
      </c>
      <c r="E1939" s="35">
        <f>+'[2]por cuent'!H1939</f>
        <v>13109997.789999999</v>
      </c>
      <c r="F1939" t="str">
        <f>+'[2]por cuent'!I1939</f>
        <v>624</v>
      </c>
    </row>
    <row r="1940" spans="1:6" x14ac:dyDescent="0.35">
      <c r="A1940" t="str">
        <f>+'[2]por cuent'!A1940</f>
        <v>ARS</v>
      </c>
      <c r="B1940" t="str">
        <f>+'[2]por cuent'!B1940</f>
        <v>624003080</v>
      </c>
      <c r="C1940" t="str">
        <f>+'[2]por cuent'!C1940</f>
        <v>LISTRO GISELA RAQUEL (CARTERA PROPIA)</v>
      </c>
      <c r="D1940" s="35">
        <f>+'[2]por cuent'!G1940</f>
        <v>16745240.57</v>
      </c>
      <c r="E1940" s="35">
        <f>+'[2]por cuent'!H1940</f>
        <v>16745240.57</v>
      </c>
      <c r="F1940" t="str">
        <f>+'[2]por cuent'!I1940</f>
        <v>624</v>
      </c>
    </row>
    <row r="1941" spans="1:6" x14ac:dyDescent="0.35">
      <c r="A1941" t="str">
        <f>+'[2]por cuent'!A1941</f>
        <v>ARS</v>
      </c>
      <c r="B1941" t="str">
        <f>+'[2]por cuent'!B1941</f>
        <v>624003136</v>
      </c>
      <c r="C1941" t="str">
        <f>+'[2]por cuent'!C1941</f>
        <v>ORTIZ, LELIO o HANLON , ELIDA ESTHER u ORTIZ, DANIEL u otros</v>
      </c>
      <c r="D1941" s="35">
        <f>+'[2]por cuent'!G1941</f>
        <v>91671399.299999997</v>
      </c>
      <c r="E1941" s="35">
        <f>+'[2]por cuent'!H1941</f>
        <v>91671399.299999997</v>
      </c>
      <c r="F1941" t="str">
        <f>+'[2]por cuent'!I1941</f>
        <v>624</v>
      </c>
    </row>
    <row r="1942" spans="1:6" x14ac:dyDescent="0.35">
      <c r="A1942" t="str">
        <f>+'[2]por cuent'!A1942</f>
        <v>ARS</v>
      </c>
      <c r="B1942" t="str">
        <f>+'[2]por cuent'!B1942</f>
        <v>624003156</v>
      </c>
      <c r="C1942" t="str">
        <f>+'[2]por cuent'!C1942</f>
        <v>LISTRO VALORES S.A.(CARTERA PROPIA)</v>
      </c>
      <c r="D1942" s="35">
        <f>+'[2]por cuent'!G1942</f>
        <v>194997238.99000001</v>
      </c>
      <c r="E1942" s="35">
        <f>+'[2]por cuent'!H1942</f>
        <v>194997238.99000001</v>
      </c>
      <c r="F1942" t="str">
        <f>+'[2]por cuent'!I1942</f>
        <v>624</v>
      </c>
    </row>
    <row r="1943" spans="1:6" x14ac:dyDescent="0.35">
      <c r="A1943" t="str">
        <f>+'[2]por cuent'!A1943</f>
        <v>ARS</v>
      </c>
      <c r="B1943" t="str">
        <f>+'[2]por cuent'!B1943</f>
        <v>624003163</v>
      </c>
      <c r="C1943" t="str">
        <f>+'[2]por cuent'!C1943</f>
        <v>GUSTAFSSON , GUILLERMO MARTIN o GUSTAFSSON , MARCELO ANDRES o GUSTAFSSON, LUCILA u otros</v>
      </c>
      <c r="D1943" s="35">
        <f>+'[2]por cuent'!G1943</f>
        <v>7123910.6200000001</v>
      </c>
      <c r="E1943" s="35">
        <f>+'[2]por cuent'!H1943</f>
        <v>7123910.6200000001</v>
      </c>
      <c r="F1943" t="str">
        <f>+'[2]por cuent'!I1943</f>
        <v>624</v>
      </c>
    </row>
    <row r="1944" spans="1:6" x14ac:dyDescent="0.35">
      <c r="A1944" t="str">
        <f>+'[2]por cuent'!A1944</f>
        <v>ARS</v>
      </c>
      <c r="B1944" t="str">
        <f>+'[2]por cuent'!B1944</f>
        <v>624003188</v>
      </c>
      <c r="C1944" t="str">
        <f>+'[2]por cuent'!C1944</f>
        <v>AYALA , EDUARDO OSCAR o AYALA, SILVINA BEATRIZ</v>
      </c>
      <c r="D1944" s="35">
        <f>+'[2]por cuent'!G1944</f>
        <v>6304308.46</v>
      </c>
      <c r="E1944" s="35">
        <f>+'[2]por cuent'!H1944</f>
        <v>6304308.46</v>
      </c>
      <c r="F1944" t="str">
        <f>+'[2]por cuent'!I1944</f>
        <v>624</v>
      </c>
    </row>
    <row r="1945" spans="1:6" x14ac:dyDescent="0.35">
      <c r="A1945" t="str">
        <f>+'[2]por cuent'!A1945</f>
        <v>ARS</v>
      </c>
      <c r="B1945" t="str">
        <f>+'[2]por cuent'!B1945</f>
        <v>624003196</v>
      </c>
      <c r="C1945" t="str">
        <f>+'[2]por cuent'!C1945</f>
        <v>CAMERLO  , RICARDO ALBERTO o CAMERLO , GUSTAVO ALBERTO</v>
      </c>
      <c r="D1945" s="35">
        <f>+'[2]por cuent'!G1945</f>
        <v>21811804.690000001</v>
      </c>
      <c r="E1945" s="35">
        <f>+'[2]por cuent'!H1945</f>
        <v>21811804.690000001</v>
      </c>
      <c r="F1945" t="str">
        <f>+'[2]por cuent'!I1945</f>
        <v>624</v>
      </c>
    </row>
    <row r="1946" spans="1:6" x14ac:dyDescent="0.35">
      <c r="A1946" t="str">
        <f>+'[2]por cuent'!A1946</f>
        <v>ARS</v>
      </c>
      <c r="B1946" t="str">
        <f>+'[2]por cuent'!B1946</f>
        <v>624003248</v>
      </c>
      <c r="C1946" t="str">
        <f>+'[2]por cuent'!C1946</f>
        <v>AMATO NICOLAS</v>
      </c>
      <c r="D1946" s="35">
        <f>+'[2]por cuent'!G1946</f>
        <v>49027622.829999998</v>
      </c>
      <c r="E1946" s="35">
        <f>+'[2]por cuent'!H1946</f>
        <v>49027622.829999998</v>
      </c>
      <c r="F1946" t="str">
        <f>+'[2]por cuent'!I1946</f>
        <v>624</v>
      </c>
    </row>
    <row r="1947" spans="1:6" x14ac:dyDescent="0.35">
      <c r="A1947" t="str">
        <f>+'[2]por cuent'!A1947</f>
        <v>ARS</v>
      </c>
      <c r="B1947" t="str">
        <f>+'[2]por cuent'!B1947</f>
        <v>624003286</v>
      </c>
      <c r="C1947" t="str">
        <f>+'[2]por cuent'!C1947</f>
        <v>DE GIROLAMI DANIEL HECTOR</v>
      </c>
      <c r="D1947" s="35">
        <f>+'[2]por cuent'!G1947</f>
        <v>1112487.92</v>
      </c>
      <c r="E1947" s="35">
        <f>+'[2]por cuent'!H1947</f>
        <v>1112487.92</v>
      </c>
      <c r="F1947" t="str">
        <f>+'[2]por cuent'!I1947</f>
        <v>624</v>
      </c>
    </row>
    <row r="1948" spans="1:6" x14ac:dyDescent="0.35">
      <c r="A1948" t="str">
        <f>+'[2]por cuent'!A1948</f>
        <v>ARS</v>
      </c>
      <c r="B1948" t="str">
        <f>+'[2]por cuent'!B1948</f>
        <v>624003293</v>
      </c>
      <c r="C1948" t="str">
        <f>+'[2]por cuent'!C1948</f>
        <v>DEFILIPPI CRISTIAN GABRIEL</v>
      </c>
      <c r="D1948" s="35">
        <f>+'[2]por cuent'!G1948</f>
        <v>92487998.659999996</v>
      </c>
      <c r="E1948" s="35">
        <f>+'[2]por cuent'!H1948</f>
        <v>92487998.659999996</v>
      </c>
      <c r="F1948" t="str">
        <f>+'[2]por cuent'!I1948</f>
        <v>624</v>
      </c>
    </row>
    <row r="1949" spans="1:6" x14ac:dyDescent="0.35">
      <c r="A1949" t="str">
        <f>+'[2]por cuent'!A1949</f>
        <v>ARS</v>
      </c>
      <c r="B1949" t="str">
        <f>+'[2]por cuent'!B1949</f>
        <v>624003335</v>
      </c>
      <c r="C1949" t="str">
        <f>+'[2]por cuent'!C1949</f>
        <v>FERRINI GUSTAVO HUGO</v>
      </c>
      <c r="D1949" s="35">
        <f>+'[2]por cuent'!G1949</f>
        <v>1221691.8999999999</v>
      </c>
      <c r="E1949" s="35">
        <f>+'[2]por cuent'!H1949</f>
        <v>1221691.8999999999</v>
      </c>
      <c r="F1949" t="str">
        <f>+'[2]por cuent'!I1949</f>
        <v>624</v>
      </c>
    </row>
    <row r="1950" spans="1:6" x14ac:dyDescent="0.35">
      <c r="A1950" t="str">
        <f>+'[2]por cuent'!A1950</f>
        <v>ARS</v>
      </c>
      <c r="B1950" t="str">
        <f>+'[2]por cuent'!B1950</f>
        <v>624003357</v>
      </c>
      <c r="C1950" t="str">
        <f>+'[2]por cuent'!C1950</f>
        <v>RONCO , CESAR ANGEL</v>
      </c>
      <c r="D1950" s="35">
        <f>+'[2]por cuent'!G1950</f>
        <v>29706753.289999999</v>
      </c>
      <c r="E1950" s="35">
        <f>+'[2]por cuent'!H1950</f>
        <v>29706753.289999999</v>
      </c>
      <c r="F1950" t="str">
        <f>+'[2]por cuent'!I1950</f>
        <v>624</v>
      </c>
    </row>
    <row r="1951" spans="1:6" x14ac:dyDescent="0.35">
      <c r="A1951" t="str">
        <f>+'[2]por cuent'!A1951</f>
        <v>ARS</v>
      </c>
      <c r="B1951" t="str">
        <f>+'[2]por cuent'!B1951</f>
        <v>624003361</v>
      </c>
      <c r="C1951" t="str">
        <f>+'[2]por cuent'!C1951</f>
        <v>LISTRO, GISELA RAQUEL o LISTRO, FABRICIO JESUS o LISTRO, ANA BELEN</v>
      </c>
      <c r="D1951" s="35">
        <f>+'[2]por cuent'!G1951</f>
        <v>39072733.479999997</v>
      </c>
      <c r="E1951" s="35">
        <f>+'[2]por cuent'!H1951</f>
        <v>39072733.479999997</v>
      </c>
      <c r="F1951" t="str">
        <f>+'[2]por cuent'!I1951</f>
        <v>624</v>
      </c>
    </row>
    <row r="1952" spans="1:6" x14ac:dyDescent="0.35">
      <c r="A1952" t="str">
        <f>+'[2]por cuent'!A1952</f>
        <v>ARS</v>
      </c>
      <c r="B1952" t="str">
        <f>+'[2]por cuent'!B1952</f>
        <v>624003393</v>
      </c>
      <c r="C1952" t="str">
        <f>+'[2]por cuent'!C1952</f>
        <v>GUSTINCICH, ALEJANDRA MARCELA o RUIZ , NORA ZULMA</v>
      </c>
      <c r="D1952" s="35">
        <f>+'[2]por cuent'!G1952</f>
        <v>588488.84</v>
      </c>
      <c r="E1952" s="35">
        <f>+'[2]por cuent'!H1952</f>
        <v>588488.84</v>
      </c>
      <c r="F1952" t="str">
        <f>+'[2]por cuent'!I1952</f>
        <v>624</v>
      </c>
    </row>
    <row r="1953" spans="1:6" x14ac:dyDescent="0.35">
      <c r="A1953" t="str">
        <f>+'[2]por cuent'!A1953</f>
        <v>ARS</v>
      </c>
      <c r="B1953" t="str">
        <f>+'[2]por cuent'!B1953</f>
        <v>624003400</v>
      </c>
      <c r="C1953" t="str">
        <f>+'[2]por cuent'!C1953</f>
        <v>CARDAMONE, GABRIEL ALEJANDRO o KOCHANIUK, CECILIA</v>
      </c>
      <c r="D1953" s="35">
        <f>+'[2]por cuent'!G1953</f>
        <v>65415118.710000001</v>
      </c>
      <c r="E1953" s="35">
        <f>+'[2]por cuent'!H1953</f>
        <v>65415118.710000001</v>
      </c>
      <c r="F1953" t="str">
        <f>+'[2]por cuent'!I1953</f>
        <v>624</v>
      </c>
    </row>
    <row r="1954" spans="1:6" x14ac:dyDescent="0.35">
      <c r="A1954" t="str">
        <f>+'[2]por cuent'!A1954</f>
        <v>ARS</v>
      </c>
      <c r="B1954" t="str">
        <f>+'[2]por cuent'!B1954</f>
        <v>624003412</v>
      </c>
      <c r="C1954" t="str">
        <f>+'[2]por cuent'!C1954</f>
        <v>LEMOINE, DANIEL o MORALES , BEATRIZ ELSA</v>
      </c>
      <c r="D1954" s="35">
        <f>+'[2]por cuent'!G1954</f>
        <v>7612907.0499999998</v>
      </c>
      <c r="E1954" s="35">
        <f>+'[2]por cuent'!H1954</f>
        <v>7612907.0499999998</v>
      </c>
      <c r="F1954" t="str">
        <f>+'[2]por cuent'!I1954</f>
        <v>624</v>
      </c>
    </row>
    <row r="1955" spans="1:6" x14ac:dyDescent="0.35">
      <c r="A1955" t="str">
        <f>+'[2]por cuent'!A1955</f>
        <v>ARS</v>
      </c>
      <c r="B1955" t="str">
        <f>+'[2]por cuent'!B1955</f>
        <v>624003414</v>
      </c>
      <c r="C1955" t="str">
        <f>+'[2]por cuent'!C1955</f>
        <v>MORRONE  , MONICA ADA o FANARA, ADA MARIANELA o FANARA , JESICA NATALI</v>
      </c>
      <c r="D1955" s="35">
        <f>+'[2]por cuent'!G1955</f>
        <v>34034834.579999998</v>
      </c>
      <c r="E1955" s="35">
        <f>+'[2]por cuent'!H1955</f>
        <v>34034834.579999998</v>
      </c>
      <c r="F1955" t="str">
        <f>+'[2]por cuent'!I1955</f>
        <v>624</v>
      </c>
    </row>
    <row r="1956" spans="1:6" x14ac:dyDescent="0.35">
      <c r="A1956" t="str">
        <f>+'[2]por cuent'!A1956</f>
        <v>ARS</v>
      </c>
      <c r="B1956" t="str">
        <f>+'[2]por cuent'!B1956</f>
        <v>624003431</v>
      </c>
      <c r="C1956" t="str">
        <f>+'[2]por cuent'!C1956</f>
        <v>DJOUBAILI, JORGE FRANCISCO o AGUSTI ROLDAN, MARIANELA o DJOUBAILI, ANDREA CATALINA u otros</v>
      </c>
      <c r="D1956" s="35">
        <f>+'[2]por cuent'!G1956</f>
        <v>13853373.75</v>
      </c>
      <c r="E1956" s="35">
        <f>+'[2]por cuent'!H1956</f>
        <v>13853373.75</v>
      </c>
      <c r="F1956" t="str">
        <f>+'[2]por cuent'!I1956</f>
        <v>624</v>
      </c>
    </row>
    <row r="1957" spans="1:6" x14ac:dyDescent="0.35">
      <c r="A1957" t="str">
        <f>+'[2]por cuent'!A1957</f>
        <v>ARS</v>
      </c>
      <c r="B1957" t="str">
        <f>+'[2]por cuent'!B1957</f>
        <v>624003438</v>
      </c>
      <c r="C1957" t="str">
        <f>+'[2]por cuent'!C1957</f>
        <v>VEGA, CLAUDIA BEATRIZ o PEYSERE, NICOLAS NAIQUEN</v>
      </c>
      <c r="D1957" s="35">
        <f>+'[2]por cuent'!G1957</f>
        <v>995321.06</v>
      </c>
      <c r="E1957" s="35">
        <f>+'[2]por cuent'!H1957</f>
        <v>995321.06</v>
      </c>
      <c r="F1957" t="str">
        <f>+'[2]por cuent'!I1957</f>
        <v>624</v>
      </c>
    </row>
    <row r="1958" spans="1:6" x14ac:dyDescent="0.35">
      <c r="A1958" t="str">
        <f>+'[2]por cuent'!A1958</f>
        <v>ARS</v>
      </c>
      <c r="B1958" t="str">
        <f>+'[2]por cuent'!B1958</f>
        <v>624003461</v>
      </c>
      <c r="C1958" t="str">
        <f>+'[2]por cuent'!C1958</f>
        <v>IDOMANICO, SANDRA EDIT o MAURUTTO, FABIO HERNAN</v>
      </c>
      <c r="D1958" s="35">
        <f>+'[2]por cuent'!G1958</f>
        <v>1298529330.73</v>
      </c>
      <c r="E1958" s="35">
        <f>+'[2]por cuent'!H1958</f>
        <v>1298529330.73</v>
      </c>
      <c r="F1958" t="str">
        <f>+'[2]por cuent'!I1958</f>
        <v>624</v>
      </c>
    </row>
    <row r="1959" spans="1:6" x14ac:dyDescent="0.35">
      <c r="A1959" t="str">
        <f>+'[2]por cuent'!A1959</f>
        <v>ARS</v>
      </c>
      <c r="B1959" t="str">
        <f>+'[2]por cuent'!B1959</f>
        <v>624003464</v>
      </c>
      <c r="C1959" t="str">
        <f>+'[2]por cuent'!C1959</f>
        <v>FERNANDEZ NORBERTO VICTOR</v>
      </c>
      <c r="D1959" s="35">
        <f>+'[2]por cuent'!G1959</f>
        <v>12920071.9</v>
      </c>
      <c r="E1959" s="35">
        <f>+'[2]por cuent'!H1959</f>
        <v>12920071.9</v>
      </c>
      <c r="F1959" t="str">
        <f>+'[2]por cuent'!I1959</f>
        <v>624</v>
      </c>
    </row>
    <row r="1960" spans="1:6" x14ac:dyDescent="0.35">
      <c r="A1960" t="str">
        <f>+'[2]por cuent'!A1960</f>
        <v>ARS</v>
      </c>
      <c r="B1960" t="str">
        <f>+'[2]por cuent'!B1960</f>
        <v>624003468</v>
      </c>
      <c r="C1960" t="str">
        <f>+'[2]por cuent'!C1960</f>
        <v>CICALESE NICOLA</v>
      </c>
      <c r="D1960" s="35">
        <f>+'[2]por cuent'!G1960</f>
        <v>579507.41</v>
      </c>
      <c r="E1960" s="35">
        <f>+'[2]por cuent'!H1960</f>
        <v>579507.41</v>
      </c>
      <c r="F1960" t="str">
        <f>+'[2]por cuent'!I1960</f>
        <v>624</v>
      </c>
    </row>
    <row r="1961" spans="1:6" x14ac:dyDescent="0.35">
      <c r="A1961" t="str">
        <f>+'[2]por cuent'!A1961</f>
        <v>ARS</v>
      </c>
      <c r="B1961" t="str">
        <f>+'[2]por cuent'!B1961</f>
        <v>624003484</v>
      </c>
      <c r="C1961" t="str">
        <f>+'[2]por cuent'!C1961</f>
        <v>CALABRO , EDUARDO FRANCISCO o MARUSSO , PATRICIA BEATRIZ</v>
      </c>
      <c r="D1961" s="35">
        <f>+'[2]por cuent'!G1961</f>
        <v>393664808.99000001</v>
      </c>
      <c r="E1961" s="35">
        <f>+'[2]por cuent'!H1961</f>
        <v>393664808.99000001</v>
      </c>
      <c r="F1961" t="str">
        <f>+'[2]por cuent'!I1961</f>
        <v>624</v>
      </c>
    </row>
    <row r="1962" spans="1:6" x14ac:dyDescent="0.35">
      <c r="A1962" t="str">
        <f>+'[2]por cuent'!A1962</f>
        <v>ARS</v>
      </c>
      <c r="B1962" t="str">
        <f>+'[2]por cuent'!B1962</f>
        <v>624003491</v>
      </c>
      <c r="C1962" t="str">
        <f>+'[2]por cuent'!C1962</f>
        <v>PROKESEL INTERNATIONAL CORPORATION</v>
      </c>
      <c r="D1962" s="35">
        <f>+'[2]por cuent'!G1962</f>
        <v>504135474.57999998</v>
      </c>
      <c r="E1962" s="35">
        <f>+'[2]por cuent'!H1962</f>
        <v>504135474.57999998</v>
      </c>
      <c r="F1962" t="str">
        <f>+'[2]por cuent'!I1962</f>
        <v>624</v>
      </c>
    </row>
    <row r="1963" spans="1:6" x14ac:dyDescent="0.35">
      <c r="A1963" t="str">
        <f>+'[2]por cuent'!A1963</f>
        <v>ARS</v>
      </c>
      <c r="B1963" t="str">
        <f>+'[2]por cuent'!B1963</f>
        <v>624003493</v>
      </c>
      <c r="C1963" t="str">
        <f>+'[2]por cuent'!C1963</f>
        <v>CABRERA, GUSTAVO ANDRES o SVETAZ, ANA MARIA</v>
      </c>
      <c r="D1963" s="35">
        <f>+'[2]por cuent'!G1963</f>
        <v>704730.17</v>
      </c>
      <c r="E1963" s="35">
        <f>+'[2]por cuent'!H1963</f>
        <v>704730.17</v>
      </c>
      <c r="F1963" t="str">
        <f>+'[2]por cuent'!I1963</f>
        <v>624</v>
      </c>
    </row>
    <row r="1964" spans="1:6" x14ac:dyDescent="0.35">
      <c r="A1964" t="str">
        <f>+'[2]por cuent'!A1964</f>
        <v>ARS</v>
      </c>
      <c r="B1964" t="str">
        <f>+'[2]por cuent'!B1964</f>
        <v>624003514</v>
      </c>
      <c r="C1964" t="str">
        <f>+'[2]por cuent'!C1964</f>
        <v>CIRCULO DE AVIACION</v>
      </c>
      <c r="D1964" s="35">
        <f>+'[2]por cuent'!G1964</f>
        <v>26536826.449999999</v>
      </c>
      <c r="E1964" s="35">
        <f>+'[2]por cuent'!H1964</f>
        <v>26536826.449999999</v>
      </c>
      <c r="F1964" t="str">
        <f>+'[2]por cuent'!I1964</f>
        <v>624</v>
      </c>
    </row>
    <row r="1965" spans="1:6" x14ac:dyDescent="0.35">
      <c r="A1965" t="str">
        <f>+'[2]por cuent'!A1965</f>
        <v>ARS</v>
      </c>
      <c r="B1965" t="str">
        <f>+'[2]por cuent'!B1965</f>
        <v>624003516</v>
      </c>
      <c r="C1965" t="str">
        <f>+'[2]por cuent'!C1965</f>
        <v>AMATO  , JUAN CARLOS o FIORINI, DORA MARIA DEL CARMEN</v>
      </c>
      <c r="D1965" s="35">
        <f>+'[2]por cuent'!G1965</f>
        <v>24959190.800000001</v>
      </c>
      <c r="E1965" s="35">
        <f>+'[2]por cuent'!H1965</f>
        <v>24959190.800000001</v>
      </c>
      <c r="F1965" t="str">
        <f>+'[2]por cuent'!I1965</f>
        <v>624</v>
      </c>
    </row>
    <row r="1966" spans="1:6" x14ac:dyDescent="0.35">
      <c r="A1966" t="str">
        <f>+'[2]por cuent'!A1966</f>
        <v>ARS</v>
      </c>
      <c r="B1966" t="str">
        <f>+'[2]por cuent'!B1966</f>
        <v>624003533</v>
      </c>
      <c r="C1966" t="str">
        <f>+'[2]por cuent'!C1966</f>
        <v>RUBIO PEÑARANDA, CONCEPCION o KOCHANIUK , MIGUEL ALBERTO o KOCHANIUK, RODRIGO ANDRES</v>
      </c>
      <c r="D1966" s="35">
        <f>+'[2]por cuent'!G1966</f>
        <v>2274252.5</v>
      </c>
      <c r="E1966" s="35">
        <f>+'[2]por cuent'!H1966</f>
        <v>2274252.5</v>
      </c>
      <c r="F1966" t="str">
        <f>+'[2]por cuent'!I1966</f>
        <v>624</v>
      </c>
    </row>
    <row r="1967" spans="1:6" x14ac:dyDescent="0.35">
      <c r="A1967" t="str">
        <f>+'[2]por cuent'!A1967</f>
        <v>ARS</v>
      </c>
      <c r="B1967" t="str">
        <f>+'[2]por cuent'!B1967</f>
        <v>624003541</v>
      </c>
      <c r="C1967" t="str">
        <f>+'[2]por cuent'!C1967</f>
        <v>BOLSANELLA, MARIANA o MOGLIATI, EDGARDO JOSE</v>
      </c>
      <c r="D1967" s="35">
        <f>+'[2]por cuent'!G1967</f>
        <v>50556354.759999998</v>
      </c>
      <c r="E1967" s="35">
        <f>+'[2]por cuent'!H1967</f>
        <v>50556354.759999998</v>
      </c>
      <c r="F1967" t="str">
        <f>+'[2]por cuent'!I1967</f>
        <v>624</v>
      </c>
    </row>
    <row r="1968" spans="1:6" x14ac:dyDescent="0.35">
      <c r="A1968" t="str">
        <f>+'[2]por cuent'!A1968</f>
        <v>ARS</v>
      </c>
      <c r="B1968" t="str">
        <f>+'[2]por cuent'!B1968</f>
        <v>624003546</v>
      </c>
      <c r="C1968" t="str">
        <f>+'[2]por cuent'!C1968</f>
        <v>PEREYRA, CINTIA DAIANA o PEREYRA , MIGUEL ANGEL o RUIZ , ALICIA NORA</v>
      </c>
      <c r="D1968" s="35">
        <f>+'[2]por cuent'!G1968</f>
        <v>2025642.5</v>
      </c>
      <c r="E1968" s="35">
        <f>+'[2]por cuent'!H1968</f>
        <v>2025642.5</v>
      </c>
      <c r="F1968" t="str">
        <f>+'[2]por cuent'!I1968</f>
        <v>624</v>
      </c>
    </row>
    <row r="1969" spans="1:6" x14ac:dyDescent="0.35">
      <c r="A1969" t="str">
        <f>+'[2]por cuent'!A1969</f>
        <v>ARS</v>
      </c>
      <c r="B1969" t="str">
        <f>+'[2]por cuent'!B1969</f>
        <v>624003548</v>
      </c>
      <c r="C1969" t="str">
        <f>+'[2]por cuent'!C1969</f>
        <v>ARASA, EDGARDO JOSE o ARASA, NAZARENO JOSE o ARASA, LAUTARO EDGARDO</v>
      </c>
      <c r="D1969" s="35">
        <f>+'[2]por cuent'!G1969</f>
        <v>163336512.91999999</v>
      </c>
      <c r="E1969" s="35">
        <f>+'[2]por cuent'!H1969</f>
        <v>163336512.91999999</v>
      </c>
      <c r="F1969" t="str">
        <f>+'[2]por cuent'!I1969</f>
        <v>624</v>
      </c>
    </row>
    <row r="1970" spans="1:6" x14ac:dyDescent="0.35">
      <c r="A1970" t="str">
        <f>+'[2]por cuent'!A1970</f>
        <v>ARS</v>
      </c>
      <c r="B1970" t="str">
        <f>+'[2]por cuent'!B1970</f>
        <v>624003568</v>
      </c>
      <c r="C1970" t="str">
        <f>+'[2]por cuent'!C1970</f>
        <v>IDOMANICO, CARINA ANDREA u ORTOLANI , GUSTAVO ALEJANDRO u ORTOLANI, GINO ANDRES  u otros</v>
      </c>
      <c r="D1970" s="35">
        <f>+'[2]por cuent'!G1970</f>
        <v>675173072.55999994</v>
      </c>
      <c r="E1970" s="35">
        <f>+'[2]por cuent'!H1970</f>
        <v>675173072.55999994</v>
      </c>
      <c r="F1970" t="str">
        <f>+'[2]por cuent'!I1970</f>
        <v>624</v>
      </c>
    </row>
    <row r="1971" spans="1:6" x14ac:dyDescent="0.35">
      <c r="A1971" t="str">
        <f>+'[2]por cuent'!A1971</f>
        <v>ARS</v>
      </c>
      <c r="B1971" t="str">
        <f>+'[2]por cuent'!B1971</f>
        <v>624003584</v>
      </c>
      <c r="C1971" t="str">
        <f>+'[2]por cuent'!C1971</f>
        <v>PERALTA, RAUL RAMON o AQUINO, OFELIA NELLY</v>
      </c>
      <c r="D1971" s="35">
        <f>+'[2]por cuent'!G1971</f>
        <v>116819626.98999999</v>
      </c>
      <c r="E1971" s="35">
        <f>+'[2]por cuent'!H1971</f>
        <v>116819626.98999999</v>
      </c>
      <c r="F1971" t="str">
        <f>+'[2]por cuent'!I1971</f>
        <v>624</v>
      </c>
    </row>
    <row r="1972" spans="1:6" x14ac:dyDescent="0.35">
      <c r="A1972" t="str">
        <f>+'[2]por cuent'!A1972</f>
        <v>ARS</v>
      </c>
      <c r="B1972" t="str">
        <f>+'[2]por cuent'!B1972</f>
        <v>624003588</v>
      </c>
      <c r="C1972" t="str">
        <f>+'[2]por cuent'!C1972</f>
        <v>SAMBOLINO, MARIA DEL ROSARIO</v>
      </c>
      <c r="D1972" s="35">
        <f>+'[2]por cuent'!G1972</f>
        <v>6413457.0800000001</v>
      </c>
      <c r="E1972" s="35">
        <f>+'[2]por cuent'!H1972</f>
        <v>6413457.0800000001</v>
      </c>
      <c r="F1972" t="str">
        <f>+'[2]por cuent'!I1972</f>
        <v>624</v>
      </c>
    </row>
    <row r="1973" spans="1:6" x14ac:dyDescent="0.35">
      <c r="A1973" t="str">
        <f>+'[2]por cuent'!A1973</f>
        <v>ARS</v>
      </c>
      <c r="B1973" t="str">
        <f>+'[2]por cuent'!B1973</f>
        <v>624003597</v>
      </c>
      <c r="C1973" t="str">
        <f>+'[2]por cuent'!C1973</f>
        <v>DESMOURES, EDITA NORMA</v>
      </c>
      <c r="D1973" s="35">
        <f>+'[2]por cuent'!G1973</f>
        <v>18236627.32</v>
      </c>
      <c r="E1973" s="35">
        <f>+'[2]por cuent'!H1973</f>
        <v>18236627.32</v>
      </c>
      <c r="F1973" t="str">
        <f>+'[2]por cuent'!I1973</f>
        <v>624</v>
      </c>
    </row>
    <row r="1974" spans="1:6" x14ac:dyDescent="0.35">
      <c r="A1974" t="str">
        <f>+'[2]por cuent'!A1974</f>
        <v>ARS</v>
      </c>
      <c r="B1974" t="str">
        <f>+'[2]por cuent'!B1974</f>
        <v>624003598</v>
      </c>
      <c r="C1974" t="str">
        <f>+'[2]por cuent'!C1974</f>
        <v>FERNANDEZ , ARSENIO OMAR</v>
      </c>
      <c r="D1974" s="35">
        <f>+'[2]por cuent'!G1974</f>
        <v>1371895.77</v>
      </c>
      <c r="E1974" s="35">
        <f>+'[2]por cuent'!H1974</f>
        <v>1371895.77</v>
      </c>
      <c r="F1974" t="str">
        <f>+'[2]por cuent'!I1974</f>
        <v>624</v>
      </c>
    </row>
    <row r="1975" spans="1:6" x14ac:dyDescent="0.35">
      <c r="A1975" t="str">
        <f>+'[2]por cuent'!A1975</f>
        <v>ARS</v>
      </c>
      <c r="B1975" t="str">
        <f>+'[2]por cuent'!B1975</f>
        <v>624003599</v>
      </c>
      <c r="C1975" t="str">
        <f>+'[2]por cuent'!C1975</f>
        <v>OLTOLINO, ALICIA BEATRIZ u OPETE, DAIANA LAURA</v>
      </c>
      <c r="D1975" s="35">
        <f>+'[2]por cuent'!G1975</f>
        <v>10161106.189999999</v>
      </c>
      <c r="E1975" s="35">
        <f>+'[2]por cuent'!H1975</f>
        <v>10161106.189999999</v>
      </c>
      <c r="F1975" t="str">
        <f>+'[2]por cuent'!I1975</f>
        <v>624</v>
      </c>
    </row>
    <row r="1976" spans="1:6" x14ac:dyDescent="0.35">
      <c r="A1976" t="str">
        <f>+'[2]por cuent'!A1976</f>
        <v>ARS</v>
      </c>
      <c r="B1976" t="str">
        <f>+'[2]por cuent'!B1976</f>
        <v>624003619</v>
      </c>
      <c r="C1976" t="str">
        <f>+'[2]por cuent'!C1976</f>
        <v>PALACIOS, LUIS OSVALDO o TESOLINI, MARIA FLORENCIA</v>
      </c>
      <c r="D1976" s="35">
        <f>+'[2]por cuent'!G1976</f>
        <v>285853342.12</v>
      </c>
      <c r="E1976" s="35">
        <f>+'[2]por cuent'!H1976</f>
        <v>285853342.12</v>
      </c>
      <c r="F1976" t="str">
        <f>+'[2]por cuent'!I1976</f>
        <v>624</v>
      </c>
    </row>
    <row r="1977" spans="1:6" x14ac:dyDescent="0.35">
      <c r="A1977" t="str">
        <f>+'[2]por cuent'!A1977</f>
        <v>ARS</v>
      </c>
      <c r="B1977" t="str">
        <f>+'[2]por cuent'!B1977</f>
        <v>624003620</v>
      </c>
      <c r="C1977" t="str">
        <f>+'[2]por cuent'!C1977</f>
        <v>CONSORCIO DE COPROP. PARQUE INDUSTRIAL ALVEAR</v>
      </c>
      <c r="D1977" s="35">
        <f>+'[2]por cuent'!G1977</f>
        <v>1646220.81</v>
      </c>
      <c r="E1977" s="35">
        <f>+'[2]por cuent'!H1977</f>
        <v>1646220.81</v>
      </c>
      <c r="F1977" t="str">
        <f>+'[2]por cuent'!I1977</f>
        <v>624</v>
      </c>
    </row>
    <row r="1978" spans="1:6" x14ac:dyDescent="0.35">
      <c r="A1978" t="str">
        <f>+'[2]por cuent'!A1978</f>
        <v>ARS</v>
      </c>
      <c r="B1978" t="str">
        <f>+'[2]por cuent'!B1978</f>
        <v>624003626</v>
      </c>
      <c r="C1978" t="str">
        <f>+'[2]por cuent'!C1978</f>
        <v>GENTILE, LEONARDO EUGENIO</v>
      </c>
      <c r="D1978" s="35">
        <f>+'[2]por cuent'!G1978</f>
        <v>52832116.600000001</v>
      </c>
      <c r="E1978" s="35">
        <f>+'[2]por cuent'!H1978</f>
        <v>52832116.600000001</v>
      </c>
      <c r="F1978" t="str">
        <f>+'[2]por cuent'!I1978</f>
        <v>624</v>
      </c>
    </row>
    <row r="1979" spans="1:6" x14ac:dyDescent="0.35">
      <c r="A1979" t="str">
        <f>+'[2]por cuent'!A1979</f>
        <v>ARS</v>
      </c>
      <c r="B1979" t="str">
        <f>+'[2]por cuent'!B1979</f>
        <v>624003629</v>
      </c>
      <c r="C1979" t="str">
        <f>+'[2]por cuent'!C1979</f>
        <v>CARABAJAL, FACUNDO EZEQUIEL o VIRZI, TRIANA MURIEL</v>
      </c>
      <c r="D1979" s="35">
        <f>+'[2]por cuent'!G1979</f>
        <v>45356558</v>
      </c>
      <c r="E1979" s="35">
        <f>+'[2]por cuent'!H1979</f>
        <v>45356558</v>
      </c>
      <c r="F1979" t="str">
        <f>+'[2]por cuent'!I1979</f>
        <v>624</v>
      </c>
    </row>
    <row r="1980" spans="1:6" x14ac:dyDescent="0.35">
      <c r="A1980" t="str">
        <f>+'[2]por cuent'!A1980</f>
        <v>ARS</v>
      </c>
      <c r="B1980" t="str">
        <f>+'[2]por cuent'!B1980</f>
        <v>624003635</v>
      </c>
      <c r="C1980" t="str">
        <f>+'[2]por cuent'!C1980</f>
        <v>SILVERA, MARTIN</v>
      </c>
      <c r="D1980" s="35">
        <f>+'[2]por cuent'!G1980</f>
        <v>190346261.75999999</v>
      </c>
      <c r="E1980" s="35">
        <f>+'[2]por cuent'!H1980</f>
        <v>190346261.75999999</v>
      </c>
      <c r="F1980" t="str">
        <f>+'[2]por cuent'!I1980</f>
        <v>624</v>
      </c>
    </row>
    <row r="1981" spans="1:6" x14ac:dyDescent="0.35">
      <c r="A1981" t="str">
        <f>+'[2]por cuent'!A1981</f>
        <v>ARS</v>
      </c>
      <c r="B1981" t="str">
        <f>+'[2]por cuent'!B1981</f>
        <v>624003639</v>
      </c>
      <c r="C1981" t="str">
        <f>+'[2]por cuent'!C1981</f>
        <v>BELLONI, ELSA BEATRIZ o BELMONTE, GEORGINA BEATRIZ</v>
      </c>
      <c r="D1981" s="35">
        <f>+'[2]por cuent'!G1981</f>
        <v>10972707.300000001</v>
      </c>
      <c r="E1981" s="35">
        <f>+'[2]por cuent'!H1981</f>
        <v>10972707.300000001</v>
      </c>
      <c r="F1981" t="str">
        <f>+'[2]por cuent'!I1981</f>
        <v>624</v>
      </c>
    </row>
    <row r="1982" spans="1:6" x14ac:dyDescent="0.35">
      <c r="A1982" t="str">
        <f>+'[2]por cuent'!A1982</f>
        <v>ARS</v>
      </c>
      <c r="B1982" t="str">
        <f>+'[2]por cuent'!B1982</f>
        <v>624003650</v>
      </c>
      <c r="C1982" t="str">
        <f>+'[2]por cuent'!C1982</f>
        <v>NOSTE, JOSE LUIS o MALISANI, SUSANA LUISA  o NOSTE, FERNANDO LUIS</v>
      </c>
      <c r="D1982" s="35">
        <f>+'[2]por cuent'!G1982</f>
        <v>185391383.90000001</v>
      </c>
      <c r="E1982" s="35">
        <f>+'[2]por cuent'!H1982</f>
        <v>185391383.90000001</v>
      </c>
      <c r="F1982" t="str">
        <f>+'[2]por cuent'!I1982</f>
        <v>624</v>
      </c>
    </row>
    <row r="1983" spans="1:6" x14ac:dyDescent="0.35">
      <c r="A1983" t="str">
        <f>+'[2]por cuent'!A1983</f>
        <v>ARS</v>
      </c>
      <c r="B1983" t="str">
        <f>+'[2]por cuent'!B1983</f>
        <v>624003651</v>
      </c>
      <c r="C1983" t="str">
        <f>+'[2]por cuent'!C1983</f>
        <v>CALABRO S.R.L.</v>
      </c>
      <c r="D1983" s="35">
        <f>+'[2]por cuent'!G1983</f>
        <v>2485248.67</v>
      </c>
      <c r="E1983" s="35">
        <f>+'[2]por cuent'!H1983</f>
        <v>2485248.67</v>
      </c>
      <c r="F1983" t="str">
        <f>+'[2]por cuent'!I1983</f>
        <v>624</v>
      </c>
    </row>
    <row r="1984" spans="1:6" x14ac:dyDescent="0.35">
      <c r="A1984" t="str">
        <f>+'[2]por cuent'!A1984</f>
        <v>ARS</v>
      </c>
      <c r="B1984" t="str">
        <f>+'[2]por cuent'!B1984</f>
        <v>624003652</v>
      </c>
      <c r="C1984" t="str">
        <f>+'[2]por cuent'!C1984</f>
        <v>BERTOLOTTI, FERNANDO JESUS o MARCHETTI, NOEMI</v>
      </c>
      <c r="D1984" s="35">
        <f>+'[2]por cuent'!G1984</f>
        <v>1008786</v>
      </c>
      <c r="E1984" s="35">
        <f>+'[2]por cuent'!H1984</f>
        <v>1008786</v>
      </c>
      <c r="F1984" t="str">
        <f>+'[2]por cuent'!I1984</f>
        <v>624</v>
      </c>
    </row>
    <row r="1985" spans="1:6" x14ac:dyDescent="0.35">
      <c r="A1985" t="str">
        <f>+'[2]por cuent'!A1985</f>
        <v>ARS</v>
      </c>
      <c r="B1985" t="str">
        <f>+'[2]por cuent'!B1985</f>
        <v>624003653</v>
      </c>
      <c r="C1985" t="str">
        <f>+'[2]por cuent'!C1985</f>
        <v>FERNANDEZ, DARIO OMAR o FALCO, VERONICA ISABEL</v>
      </c>
      <c r="D1985" s="35">
        <f>+'[2]por cuent'!G1985</f>
        <v>9781752.9600000009</v>
      </c>
      <c r="E1985" s="35">
        <f>+'[2]por cuent'!H1985</f>
        <v>9781752.9600000009</v>
      </c>
      <c r="F1985" t="str">
        <f>+'[2]por cuent'!I1985</f>
        <v>624</v>
      </c>
    </row>
    <row r="1986" spans="1:6" x14ac:dyDescent="0.35">
      <c r="A1986" t="str">
        <f>+'[2]por cuent'!A1986</f>
        <v>ARS</v>
      </c>
      <c r="B1986" t="str">
        <f>+'[2]por cuent'!B1986</f>
        <v>624003657</v>
      </c>
      <c r="C1986" t="str">
        <f>+'[2]por cuent'!C1986</f>
        <v>FRISANI, OSVALDO DANIEL o ADAD, GRACIELA BEATRIZ o FRISANI, PABLO EMILIANO</v>
      </c>
      <c r="D1986" s="35">
        <f>+'[2]por cuent'!G1986</f>
        <v>11506513.99</v>
      </c>
      <c r="E1986" s="35">
        <f>+'[2]por cuent'!H1986</f>
        <v>11506513.99</v>
      </c>
      <c r="F1986" t="str">
        <f>+'[2]por cuent'!I1986</f>
        <v>624</v>
      </c>
    </row>
    <row r="1987" spans="1:6" x14ac:dyDescent="0.35">
      <c r="A1987" t="str">
        <f>+'[2]por cuent'!A1987</f>
        <v>ARS</v>
      </c>
      <c r="B1987" t="str">
        <f>+'[2]por cuent'!B1987</f>
        <v>624003659</v>
      </c>
      <c r="C1987" t="str">
        <f>+'[2]por cuent'!C1987</f>
        <v>RUESCA, DARIO FABIAN</v>
      </c>
      <c r="D1987" s="35">
        <f>+'[2]por cuent'!G1987</f>
        <v>3613035.83</v>
      </c>
      <c r="E1987" s="35">
        <f>+'[2]por cuent'!H1987</f>
        <v>3613035.83</v>
      </c>
      <c r="F1987" t="str">
        <f>+'[2]por cuent'!I1987</f>
        <v>624</v>
      </c>
    </row>
    <row r="1988" spans="1:6" x14ac:dyDescent="0.35">
      <c r="A1988" t="str">
        <f>+'[2]por cuent'!A1988</f>
        <v>ARS</v>
      </c>
      <c r="B1988" t="str">
        <f>+'[2]por cuent'!B1988</f>
        <v>624003667</v>
      </c>
      <c r="C1988" t="str">
        <f>+'[2]por cuent'!C1988</f>
        <v>MOLINA, DANIEL OSVALDO</v>
      </c>
      <c r="D1988" s="35">
        <f>+'[2]por cuent'!G1988</f>
        <v>8435484.4600000009</v>
      </c>
      <c r="E1988" s="35">
        <f>+'[2]por cuent'!H1988</f>
        <v>8435484.4600000009</v>
      </c>
      <c r="F1988" t="str">
        <f>+'[2]por cuent'!I1988</f>
        <v>624</v>
      </c>
    </row>
    <row r="1989" spans="1:6" x14ac:dyDescent="0.35">
      <c r="A1989" t="str">
        <f>+'[2]por cuent'!A1989</f>
        <v>ARS</v>
      </c>
      <c r="B1989" t="str">
        <f>+'[2]por cuent'!B1989</f>
        <v>624003670</v>
      </c>
      <c r="C1989" t="str">
        <f>+'[2]por cuent'!C1989</f>
        <v>VIEYRA , DANIEL RUBEN o VIEYRA, FRANCO DANIEL</v>
      </c>
      <c r="D1989" s="35">
        <f>+'[2]por cuent'!G1989</f>
        <v>68400</v>
      </c>
      <c r="E1989" s="35">
        <f>+'[2]por cuent'!H1989</f>
        <v>68400</v>
      </c>
      <c r="F1989" t="str">
        <f>+'[2]por cuent'!I1989</f>
        <v>624</v>
      </c>
    </row>
    <row r="1990" spans="1:6" x14ac:dyDescent="0.35">
      <c r="A1990" t="str">
        <f>+'[2]por cuent'!A1990</f>
        <v>ARS</v>
      </c>
      <c r="B1990" t="str">
        <f>+'[2]por cuent'!B1990</f>
        <v>624003672</v>
      </c>
      <c r="C1990" t="str">
        <f>+'[2]por cuent'!C1990</f>
        <v>FRIGIERI, ANA MARIA o PATRIARCA, MARIA BETANIA</v>
      </c>
      <c r="D1990" s="35">
        <f>+'[2]por cuent'!G1990</f>
        <v>36360</v>
      </c>
      <c r="E1990" s="35">
        <f>+'[2]por cuent'!H1990</f>
        <v>36360</v>
      </c>
      <c r="F1990" t="str">
        <f>+'[2]por cuent'!I1990</f>
        <v>624</v>
      </c>
    </row>
    <row r="1991" spans="1:6" x14ac:dyDescent="0.35">
      <c r="A1991" t="str">
        <f>+'[2]por cuent'!A1991</f>
        <v>ARS</v>
      </c>
      <c r="B1991" t="str">
        <f>+'[2]por cuent'!B1991</f>
        <v>624003675</v>
      </c>
      <c r="C1991" t="str">
        <f>+'[2]por cuent'!C1991</f>
        <v>RIZZO, MARTA SUSANA o ZIMMER, OSCAR MIGUEL</v>
      </c>
      <c r="D1991" s="35">
        <f>+'[2]por cuent'!G1991</f>
        <v>66912794.689999998</v>
      </c>
      <c r="E1991" s="35">
        <f>+'[2]por cuent'!H1991</f>
        <v>66912794.689999998</v>
      </c>
      <c r="F1991" t="str">
        <f>+'[2]por cuent'!I1991</f>
        <v>624</v>
      </c>
    </row>
    <row r="1992" spans="1:6" x14ac:dyDescent="0.35">
      <c r="A1992" t="str">
        <f>+'[2]por cuent'!A1992</f>
        <v>ARS</v>
      </c>
      <c r="B1992" t="str">
        <f>+'[2]por cuent'!B1992</f>
        <v>624003677</v>
      </c>
      <c r="C1992" t="str">
        <f>+'[2]por cuent'!C1992</f>
        <v>PERRONE, ROMAN o PERRONE, GERMAN</v>
      </c>
      <c r="D1992" s="35">
        <f>+'[2]por cuent'!G1992</f>
        <v>14233610</v>
      </c>
      <c r="E1992" s="35">
        <f>+'[2]por cuent'!H1992</f>
        <v>14233610</v>
      </c>
      <c r="F1992" t="str">
        <f>+'[2]por cuent'!I1992</f>
        <v>624</v>
      </c>
    </row>
    <row r="1993" spans="1:6" x14ac:dyDescent="0.35">
      <c r="A1993" t="str">
        <f>+'[2]por cuent'!A1993</f>
        <v>ARS</v>
      </c>
      <c r="B1993" t="str">
        <f>+'[2]por cuent'!B1993</f>
        <v>624003700</v>
      </c>
      <c r="C1993" t="str">
        <f>+'[2]por cuent'!C1993</f>
        <v>MARTINEZ, ELIANA PAOLA</v>
      </c>
      <c r="D1993" s="35">
        <f>+'[2]por cuent'!G1993</f>
        <v>420962.74</v>
      </c>
      <c r="E1993" s="35">
        <f>+'[2]por cuent'!H1993</f>
        <v>420962.74</v>
      </c>
      <c r="F1993" t="str">
        <f>+'[2]por cuent'!I1993</f>
        <v>624</v>
      </c>
    </row>
    <row r="1994" spans="1:6" x14ac:dyDescent="0.35">
      <c r="A1994" t="str">
        <f>+'[2]por cuent'!A1994</f>
        <v>ARS</v>
      </c>
      <c r="B1994" t="str">
        <f>+'[2]por cuent'!B1994</f>
        <v>624003714</v>
      </c>
      <c r="C1994" t="str">
        <f>+'[2]por cuent'!C1994</f>
        <v>GIORDANO, VITALIO BARTOLOME o BLANCO, MARIA INES</v>
      </c>
      <c r="D1994" s="35">
        <f>+'[2]por cuent'!G1994</f>
        <v>1580251.92</v>
      </c>
      <c r="E1994" s="35">
        <f>+'[2]por cuent'!H1994</f>
        <v>1580251.92</v>
      </c>
      <c r="F1994" t="str">
        <f>+'[2]por cuent'!I1994</f>
        <v>624</v>
      </c>
    </row>
    <row r="1995" spans="1:6" x14ac:dyDescent="0.35">
      <c r="A1995" t="str">
        <f>+'[2]por cuent'!A1995</f>
        <v>ARS</v>
      </c>
      <c r="B1995" t="str">
        <f>+'[2]por cuent'!B1995</f>
        <v>624003717</v>
      </c>
      <c r="C1995" t="str">
        <f>+'[2]por cuent'!C1995</f>
        <v>ARIJON, EDUARDO</v>
      </c>
      <c r="D1995" s="35">
        <f>+'[2]por cuent'!G1995</f>
        <v>22440764.629999999</v>
      </c>
      <c r="E1995" s="35">
        <f>+'[2]por cuent'!H1995</f>
        <v>22440764.629999999</v>
      </c>
      <c r="F1995" t="str">
        <f>+'[2]por cuent'!I1995</f>
        <v>624</v>
      </c>
    </row>
    <row r="1996" spans="1:6" x14ac:dyDescent="0.35">
      <c r="A1996" t="str">
        <f>+'[2]por cuent'!A1996</f>
        <v>ARS</v>
      </c>
      <c r="B1996" t="str">
        <f>+'[2]por cuent'!B1996</f>
        <v>624003719</v>
      </c>
      <c r="C1996" t="str">
        <f>+'[2]por cuent'!C1996</f>
        <v>MC DONNELL, LEONOR  ISABEL o MC DONNELL, NORMA</v>
      </c>
      <c r="D1996" s="35">
        <f>+'[2]por cuent'!G1996</f>
        <v>8731004.9399999995</v>
      </c>
      <c r="E1996" s="35">
        <f>+'[2]por cuent'!H1996</f>
        <v>8731004.9399999995</v>
      </c>
      <c r="F1996" t="str">
        <f>+'[2]por cuent'!I1996</f>
        <v>624</v>
      </c>
    </row>
    <row r="1997" spans="1:6" x14ac:dyDescent="0.35">
      <c r="A1997" t="str">
        <f>+'[2]por cuent'!A1997</f>
        <v>ARS</v>
      </c>
      <c r="B1997" t="str">
        <f>+'[2]por cuent'!B1997</f>
        <v>624003723</v>
      </c>
      <c r="C1997" t="str">
        <f>+'[2]por cuent'!C1997</f>
        <v>ARIJON, JUAN JOSE o PASCUAL, VIVIANA EUGENIA</v>
      </c>
      <c r="D1997" s="35">
        <f>+'[2]por cuent'!G1997</f>
        <v>10884334.199999999</v>
      </c>
      <c r="E1997" s="35">
        <f>+'[2]por cuent'!H1997</f>
        <v>10884334.199999999</v>
      </c>
      <c r="F1997" t="str">
        <f>+'[2]por cuent'!I1997</f>
        <v>624</v>
      </c>
    </row>
    <row r="1998" spans="1:6" x14ac:dyDescent="0.35">
      <c r="A1998" t="str">
        <f>+'[2]por cuent'!A1998</f>
        <v>ARS</v>
      </c>
      <c r="B1998" t="str">
        <f>+'[2]por cuent'!B1998</f>
        <v>624003725</v>
      </c>
      <c r="C1998" t="str">
        <f>+'[2]por cuent'!C1998</f>
        <v>SANFILIPPO, GRACIELA BEATRIZ RITA o PELIQUIN, WALTER SILVIO</v>
      </c>
      <c r="D1998" s="35">
        <f>+'[2]por cuent'!G1998</f>
        <v>4608920</v>
      </c>
      <c r="E1998" s="35">
        <f>+'[2]por cuent'!H1998</f>
        <v>4608920</v>
      </c>
      <c r="F1998" t="str">
        <f>+'[2]por cuent'!I1998</f>
        <v>624</v>
      </c>
    </row>
    <row r="1999" spans="1:6" x14ac:dyDescent="0.35">
      <c r="A1999" t="str">
        <f>+'[2]por cuent'!A1999</f>
        <v>ARS</v>
      </c>
      <c r="B1999" t="str">
        <f>+'[2]por cuent'!B1999</f>
        <v>624003728</v>
      </c>
      <c r="C1999" t="str">
        <f>+'[2]por cuent'!C1999</f>
        <v>BADIA, DANIEL OSCAR o BADIA, JONATAN GONZALO</v>
      </c>
      <c r="D1999" s="35">
        <f>+'[2]por cuent'!G1999</f>
        <v>24976258.309999999</v>
      </c>
      <c r="E1999" s="35">
        <f>+'[2]por cuent'!H1999</f>
        <v>24976258.309999999</v>
      </c>
      <c r="F1999" t="str">
        <f>+'[2]por cuent'!I1999</f>
        <v>624</v>
      </c>
    </row>
    <row r="2000" spans="1:6" x14ac:dyDescent="0.35">
      <c r="A2000" t="str">
        <f>+'[2]por cuent'!A2000</f>
        <v>ARS</v>
      </c>
      <c r="B2000" t="str">
        <f>+'[2]por cuent'!B2000</f>
        <v>624003731</v>
      </c>
      <c r="C2000" t="str">
        <f>+'[2]por cuent'!C2000</f>
        <v>BARAVALLE, ROBERTO ANIBAL</v>
      </c>
      <c r="D2000" s="35">
        <f>+'[2]por cuent'!G2000</f>
        <v>8495</v>
      </c>
      <c r="E2000" s="35">
        <f>+'[2]por cuent'!H2000</f>
        <v>8495</v>
      </c>
      <c r="F2000" t="str">
        <f>+'[2]por cuent'!I2000</f>
        <v>624</v>
      </c>
    </row>
    <row r="2001" spans="1:6" x14ac:dyDescent="0.35">
      <c r="A2001" t="str">
        <f>+'[2]por cuent'!A2001</f>
        <v>ARS</v>
      </c>
      <c r="B2001" t="str">
        <f>+'[2]por cuent'!B2001</f>
        <v>624003734</v>
      </c>
      <c r="C2001" t="str">
        <f>+'[2]por cuent'!C2001</f>
        <v>SANCHEZ, SUSANA BEATRIZ o CASAL, IVANA ROCIO</v>
      </c>
      <c r="D2001" s="35">
        <f>+'[2]por cuent'!G2001</f>
        <v>3732357.96</v>
      </c>
      <c r="E2001" s="35">
        <f>+'[2]por cuent'!H2001</f>
        <v>3732357.96</v>
      </c>
      <c r="F2001" t="str">
        <f>+'[2]por cuent'!I2001</f>
        <v>624</v>
      </c>
    </row>
    <row r="2002" spans="1:6" x14ac:dyDescent="0.35">
      <c r="A2002" t="str">
        <f>+'[2]por cuent'!A2002</f>
        <v>ARS</v>
      </c>
      <c r="B2002" t="str">
        <f>+'[2]por cuent'!B2002</f>
        <v>624003742</v>
      </c>
      <c r="C2002" t="str">
        <f>+'[2]por cuent'!C2002</f>
        <v>MARTIN, TERESITA JOSEFINA o AYALA, SILVINA BEATRIZ</v>
      </c>
      <c r="D2002" s="35">
        <f>+'[2]por cuent'!G2002</f>
        <v>12329468.939999999</v>
      </c>
      <c r="E2002" s="35">
        <f>+'[2]por cuent'!H2002</f>
        <v>12329468.939999999</v>
      </c>
      <c r="F2002" t="str">
        <f>+'[2]por cuent'!I2002</f>
        <v>624</v>
      </c>
    </row>
    <row r="2003" spans="1:6" x14ac:dyDescent="0.35">
      <c r="A2003" t="str">
        <f>+'[2]por cuent'!A2003</f>
        <v>ARS</v>
      </c>
      <c r="B2003" t="str">
        <f>+'[2]por cuent'!B2003</f>
        <v>624003757</v>
      </c>
      <c r="C2003" t="str">
        <f>+'[2]por cuent'!C2003</f>
        <v>BUA, CONCEPCION o GOMEZ, HECTOR DAVID</v>
      </c>
      <c r="D2003" s="35">
        <f>+'[2]por cuent'!G2003</f>
        <v>19558606.710000001</v>
      </c>
      <c r="E2003" s="35">
        <f>+'[2]por cuent'!H2003</f>
        <v>19558606.710000001</v>
      </c>
      <c r="F2003" t="str">
        <f>+'[2]por cuent'!I2003</f>
        <v>624</v>
      </c>
    </row>
    <row r="2004" spans="1:6" x14ac:dyDescent="0.35">
      <c r="A2004" t="str">
        <f>+'[2]por cuent'!A2004</f>
        <v>ARS</v>
      </c>
      <c r="B2004" t="str">
        <f>+'[2]por cuent'!B2004</f>
        <v>624003767</v>
      </c>
      <c r="C2004" t="str">
        <f>+'[2]por cuent'!C2004</f>
        <v>AGÜERO, MARISA ROSANA o BOLZON, RENZO o MOLINARO, HERNAN JOSE</v>
      </c>
      <c r="D2004" s="35">
        <f>+'[2]por cuent'!G2004</f>
        <v>12914819.67</v>
      </c>
      <c r="E2004" s="35">
        <f>+'[2]por cuent'!H2004</f>
        <v>12914819.67</v>
      </c>
      <c r="F2004" t="str">
        <f>+'[2]por cuent'!I2004</f>
        <v>624</v>
      </c>
    </row>
    <row r="2005" spans="1:6" x14ac:dyDescent="0.35">
      <c r="A2005" t="str">
        <f>+'[2]por cuent'!A2005</f>
        <v>ARS</v>
      </c>
      <c r="B2005" t="str">
        <f>+'[2]por cuent'!B2005</f>
        <v>624003773</v>
      </c>
      <c r="C2005" t="str">
        <f>+'[2]por cuent'!C2005</f>
        <v>OLDANI, ALICIA DANIELA o GONZALEZ, CELSO DARIO</v>
      </c>
      <c r="D2005" s="35">
        <f>+'[2]por cuent'!G2005</f>
        <v>1549461.49</v>
      </c>
      <c r="E2005" s="35">
        <f>+'[2]por cuent'!H2005</f>
        <v>1549461.49</v>
      </c>
      <c r="F2005" t="str">
        <f>+'[2]por cuent'!I2005</f>
        <v>624</v>
      </c>
    </row>
    <row r="2006" spans="1:6" x14ac:dyDescent="0.35">
      <c r="A2006" t="str">
        <f>+'[2]por cuent'!A2006</f>
        <v>ARS</v>
      </c>
      <c r="B2006" t="str">
        <f>+'[2]por cuent'!B2006</f>
        <v>624003774</v>
      </c>
      <c r="C2006" t="str">
        <f>+'[2]por cuent'!C2006</f>
        <v>BARROSO, ENRIQUE LUJAN o ZORZENON , BARBARA JULIANA</v>
      </c>
      <c r="D2006" s="35">
        <f>+'[2]por cuent'!G2006</f>
        <v>9133664.8399999999</v>
      </c>
      <c r="E2006" s="35">
        <f>+'[2]por cuent'!H2006</f>
        <v>9133664.8399999999</v>
      </c>
      <c r="F2006" t="str">
        <f>+'[2]por cuent'!I2006</f>
        <v>624</v>
      </c>
    </row>
    <row r="2007" spans="1:6" x14ac:dyDescent="0.35">
      <c r="A2007" t="str">
        <f>+'[2]por cuent'!A2007</f>
        <v>ARS</v>
      </c>
      <c r="B2007" t="str">
        <f>+'[2]por cuent'!B2007</f>
        <v>624003775</v>
      </c>
      <c r="C2007" t="str">
        <f>+'[2]por cuent'!C2007</f>
        <v>VILLALBA, ANALIA BEATRIZ o LISTRO, LEONEL ARIEL</v>
      </c>
      <c r="D2007" s="35">
        <f>+'[2]por cuent'!G2007</f>
        <v>905170</v>
      </c>
      <c r="E2007" s="35">
        <f>+'[2]por cuent'!H2007</f>
        <v>905170</v>
      </c>
      <c r="F2007" t="str">
        <f>+'[2]por cuent'!I2007</f>
        <v>624</v>
      </c>
    </row>
    <row r="2008" spans="1:6" x14ac:dyDescent="0.35">
      <c r="A2008" t="str">
        <f>+'[2]por cuent'!A2008</f>
        <v>ARS</v>
      </c>
      <c r="B2008" t="str">
        <f>+'[2]por cuent'!B2008</f>
        <v>624003785</v>
      </c>
      <c r="C2008" t="str">
        <f>+'[2]por cuent'!C2008</f>
        <v>COINTRY, PABLO BERNABE</v>
      </c>
      <c r="D2008" s="35">
        <f>+'[2]por cuent'!G2008</f>
        <v>322638.24</v>
      </c>
      <c r="E2008" s="35">
        <f>+'[2]por cuent'!H2008</f>
        <v>322638.24</v>
      </c>
      <c r="F2008" t="str">
        <f>+'[2]por cuent'!I2008</f>
        <v>624</v>
      </c>
    </row>
    <row r="2009" spans="1:6" x14ac:dyDescent="0.35">
      <c r="A2009" t="str">
        <f>+'[2]por cuent'!A2009</f>
        <v>ARS</v>
      </c>
      <c r="B2009" t="str">
        <f>+'[2]por cuent'!B2009</f>
        <v>624003801</v>
      </c>
      <c r="C2009" t="str">
        <f>+'[2]por cuent'!C2009</f>
        <v>LUNA, RODRIGO EDUARDO RAMON</v>
      </c>
      <c r="D2009" s="35">
        <f>+'[2]por cuent'!G2009</f>
        <v>1410221</v>
      </c>
      <c r="E2009" s="35">
        <f>+'[2]por cuent'!H2009</f>
        <v>1410221</v>
      </c>
      <c r="F2009" t="str">
        <f>+'[2]por cuent'!I2009</f>
        <v>624</v>
      </c>
    </row>
    <row r="2010" spans="1:6" x14ac:dyDescent="0.35">
      <c r="A2010" t="str">
        <f>+'[2]por cuent'!A2010</f>
        <v>ARS</v>
      </c>
      <c r="B2010" t="str">
        <f>+'[2]por cuent'!B2010</f>
        <v>624003804</v>
      </c>
      <c r="C2010" t="str">
        <f>+'[2]por cuent'!C2010</f>
        <v>FRAILE, ELENA JOSEFA o LEDESMA, CRISTINA BEATRIZ</v>
      </c>
      <c r="D2010" s="35">
        <f>+'[2]por cuent'!G2010</f>
        <v>3956713.64</v>
      </c>
      <c r="E2010" s="35">
        <f>+'[2]por cuent'!H2010</f>
        <v>3956713.64</v>
      </c>
      <c r="F2010" t="str">
        <f>+'[2]por cuent'!I2010</f>
        <v>624</v>
      </c>
    </row>
    <row r="2011" spans="1:6" x14ac:dyDescent="0.35">
      <c r="A2011" t="str">
        <f>+'[2]por cuent'!A2011</f>
        <v>ARS</v>
      </c>
      <c r="B2011" t="str">
        <f>+'[2]por cuent'!B2011</f>
        <v>624003805</v>
      </c>
      <c r="C2011" t="str">
        <f>+'[2]por cuent'!C2011</f>
        <v>PERRONE, GERMAN u ONYSKIW, SABRINA JUDITH</v>
      </c>
      <c r="D2011" s="35">
        <f>+'[2]por cuent'!G2011</f>
        <v>14541890</v>
      </c>
      <c r="E2011" s="35">
        <f>+'[2]por cuent'!H2011</f>
        <v>14541890</v>
      </c>
      <c r="F2011" t="str">
        <f>+'[2]por cuent'!I2011</f>
        <v>624</v>
      </c>
    </row>
    <row r="2012" spans="1:6" x14ac:dyDescent="0.35">
      <c r="A2012" t="str">
        <f>+'[2]por cuent'!A2012</f>
        <v>ARS</v>
      </c>
      <c r="B2012" t="str">
        <f>+'[2]por cuent'!B2012</f>
        <v>624003806</v>
      </c>
      <c r="C2012" t="str">
        <f>+'[2]por cuent'!C2012</f>
        <v>TOMASSONE  , GRACIELA BEATRIZ o BANCHIO, MARTA OFELIA</v>
      </c>
      <c r="D2012" s="35">
        <f>+'[2]por cuent'!G2012</f>
        <v>30300187.890000001</v>
      </c>
      <c r="E2012" s="35">
        <f>+'[2]por cuent'!H2012</f>
        <v>30300187.890000001</v>
      </c>
      <c r="F2012" t="str">
        <f>+'[2]por cuent'!I2012</f>
        <v>624</v>
      </c>
    </row>
    <row r="2013" spans="1:6" x14ac:dyDescent="0.35">
      <c r="A2013" t="str">
        <f>+'[2]por cuent'!A2013</f>
        <v>ARS</v>
      </c>
      <c r="B2013" t="str">
        <f>+'[2]por cuent'!B2013</f>
        <v>624003816</v>
      </c>
      <c r="C2013" t="str">
        <f>+'[2]por cuent'!C2013</f>
        <v xml:space="preserve">GIORDANO, JOSE MARIA </v>
      </c>
      <c r="D2013" s="35">
        <f>+'[2]por cuent'!G2013</f>
        <v>44553447.25</v>
      </c>
      <c r="E2013" s="35">
        <f>+'[2]por cuent'!H2013</f>
        <v>44553447.25</v>
      </c>
      <c r="F2013" t="str">
        <f>+'[2]por cuent'!I2013</f>
        <v>624</v>
      </c>
    </row>
    <row r="2014" spans="1:6" x14ac:dyDescent="0.35">
      <c r="A2014" t="str">
        <f>+'[2]por cuent'!A2014</f>
        <v>ARS</v>
      </c>
      <c r="B2014" t="str">
        <f>+'[2]por cuent'!B2014</f>
        <v>624003833</v>
      </c>
      <c r="C2014" t="str">
        <f>+'[2]por cuent'!C2014</f>
        <v>ALDANA, LILIANA MIRTA o BONGELLI, OSCAR ANTONIO o ZAMBRANO, LEANDRO ARIEL</v>
      </c>
      <c r="D2014" s="35">
        <f>+'[2]por cuent'!G2014</f>
        <v>42071519.439999998</v>
      </c>
      <c r="E2014" s="35">
        <f>+'[2]por cuent'!H2014</f>
        <v>42071519.439999998</v>
      </c>
      <c r="F2014" t="str">
        <f>+'[2]por cuent'!I2014</f>
        <v>624</v>
      </c>
    </row>
    <row r="2015" spans="1:6" x14ac:dyDescent="0.35">
      <c r="A2015" t="str">
        <f>+'[2]por cuent'!A2015</f>
        <v>ARS</v>
      </c>
      <c r="B2015" t="str">
        <f>+'[2]por cuent'!B2015</f>
        <v>624003835</v>
      </c>
      <c r="C2015" t="str">
        <f>+'[2]por cuent'!C2015</f>
        <v>GIORDANO, SUSANA RAQUEL o DE DOMINICIS, SANTIAGO ALDO</v>
      </c>
      <c r="D2015" s="35">
        <f>+'[2]por cuent'!G2015</f>
        <v>2903575.01</v>
      </c>
      <c r="E2015" s="35">
        <f>+'[2]por cuent'!H2015</f>
        <v>2903575.01</v>
      </c>
      <c r="F2015" t="str">
        <f>+'[2]por cuent'!I2015</f>
        <v>624</v>
      </c>
    </row>
    <row r="2016" spans="1:6" x14ac:dyDescent="0.35">
      <c r="A2016" t="str">
        <f>+'[2]por cuent'!A2016</f>
        <v>ARS</v>
      </c>
      <c r="B2016" t="str">
        <f>+'[2]por cuent'!B2016</f>
        <v>624003849</v>
      </c>
      <c r="C2016" t="str">
        <f>+'[2]por cuent'!C2016</f>
        <v>LEDESMA, CRISTINA BEATRIZ</v>
      </c>
      <c r="D2016" s="35">
        <f>+'[2]por cuent'!G2016</f>
        <v>6303824.3700000001</v>
      </c>
      <c r="E2016" s="35">
        <f>+'[2]por cuent'!H2016</f>
        <v>6303824.3700000001</v>
      </c>
      <c r="F2016" t="str">
        <f>+'[2]por cuent'!I2016</f>
        <v>624</v>
      </c>
    </row>
    <row r="2017" spans="1:6" x14ac:dyDescent="0.35">
      <c r="A2017" t="str">
        <f>+'[2]por cuent'!A2017</f>
        <v>ARS</v>
      </c>
      <c r="B2017" t="str">
        <f>+'[2]por cuent'!B2017</f>
        <v>624003863</v>
      </c>
      <c r="C2017" t="str">
        <f>+'[2]por cuent'!C2017</f>
        <v>DI FRANCESCO, STELLA MARIS o DI FRANCESCO, NANCY RAQUEL</v>
      </c>
      <c r="D2017" s="35">
        <f>+'[2]por cuent'!G2017</f>
        <v>20889142.57</v>
      </c>
      <c r="E2017" s="35">
        <f>+'[2]por cuent'!H2017</f>
        <v>20889142.57</v>
      </c>
      <c r="F2017" t="str">
        <f>+'[2]por cuent'!I2017</f>
        <v>624</v>
      </c>
    </row>
    <row r="2018" spans="1:6" x14ac:dyDescent="0.35">
      <c r="A2018" t="str">
        <f>+'[2]por cuent'!A2018</f>
        <v>ARS</v>
      </c>
      <c r="B2018" t="str">
        <f>+'[2]por cuent'!B2018</f>
        <v>624003893</v>
      </c>
      <c r="C2018" t="str">
        <f>+'[2]por cuent'!C2018</f>
        <v xml:space="preserve">COLEGIO DE CORREDORES INMOBILIARIOS DE ROSARIO   </v>
      </c>
      <c r="D2018" s="35">
        <f>+'[2]por cuent'!G2018</f>
        <v>301406.42</v>
      </c>
      <c r="E2018" s="35">
        <f>+'[2]por cuent'!H2018</f>
        <v>301406.42</v>
      </c>
      <c r="F2018" t="str">
        <f>+'[2]por cuent'!I2018</f>
        <v>624</v>
      </c>
    </row>
    <row r="2019" spans="1:6" x14ac:dyDescent="0.35">
      <c r="A2019" t="str">
        <f>+'[2]por cuent'!A2019</f>
        <v>ARS</v>
      </c>
      <c r="B2019" t="str">
        <f>+'[2]por cuent'!B2019</f>
        <v>624003894</v>
      </c>
      <c r="C2019" t="str">
        <f>+'[2]por cuent'!C2019</f>
        <v>FALCON, GERMAN</v>
      </c>
      <c r="D2019" s="35">
        <f>+'[2]por cuent'!G2019</f>
        <v>4155355.5</v>
      </c>
      <c r="E2019" s="35">
        <f>+'[2]por cuent'!H2019</f>
        <v>4155355.5</v>
      </c>
      <c r="F2019" t="str">
        <f>+'[2]por cuent'!I2019</f>
        <v>624</v>
      </c>
    </row>
    <row r="2020" spans="1:6" x14ac:dyDescent="0.35">
      <c r="A2020" t="str">
        <f>+'[2]por cuent'!A2020</f>
        <v>ARS</v>
      </c>
      <c r="B2020" t="str">
        <f>+'[2]por cuent'!B2020</f>
        <v>624003904</v>
      </c>
      <c r="C2020" t="str">
        <f>+'[2]por cuent'!C2020</f>
        <v>CASAL, ERICA ESTEFANIA o SANCHEZ, SUSANA BEATRIZ</v>
      </c>
      <c r="D2020" s="35">
        <f>+'[2]por cuent'!G2020</f>
        <v>329374.24</v>
      </c>
      <c r="E2020" s="35">
        <f>+'[2]por cuent'!H2020</f>
        <v>329374.24</v>
      </c>
      <c r="F2020" t="str">
        <f>+'[2]por cuent'!I2020</f>
        <v>624</v>
      </c>
    </row>
    <row r="2021" spans="1:6" x14ac:dyDescent="0.35">
      <c r="A2021" t="str">
        <f>+'[2]por cuent'!A2021</f>
        <v>ARS</v>
      </c>
      <c r="B2021" t="str">
        <f>+'[2]por cuent'!B2021</f>
        <v>624003924</v>
      </c>
      <c r="C2021" t="str">
        <f>+'[2]por cuent'!C2021</f>
        <v>JAROSZCZUK, SUSANA EUNICE o JAROSZCZUK, LORENA RAQUEL</v>
      </c>
      <c r="D2021" s="35">
        <f>+'[2]por cuent'!G2021</f>
        <v>2728052.53</v>
      </c>
      <c r="E2021" s="35">
        <f>+'[2]por cuent'!H2021</f>
        <v>2728052.53</v>
      </c>
      <c r="F2021" t="str">
        <f>+'[2]por cuent'!I2021</f>
        <v>624</v>
      </c>
    </row>
    <row r="2022" spans="1:6" x14ac:dyDescent="0.35">
      <c r="A2022" t="str">
        <f>+'[2]por cuent'!A2022</f>
        <v>ARS</v>
      </c>
      <c r="B2022" t="str">
        <f>+'[2]por cuent'!B2022</f>
        <v>624003933</v>
      </c>
      <c r="C2022" t="str">
        <f>+'[2]por cuent'!C2022</f>
        <v xml:space="preserve"> FORTE, BRUNO</v>
      </c>
      <c r="D2022" s="35">
        <f>+'[2]por cuent'!G2022</f>
        <v>370000059.27999997</v>
      </c>
      <c r="E2022" s="35">
        <f>+'[2]por cuent'!H2022</f>
        <v>370000059.27999997</v>
      </c>
      <c r="F2022" t="str">
        <f>+'[2]por cuent'!I2022</f>
        <v>624</v>
      </c>
    </row>
    <row r="2023" spans="1:6" x14ac:dyDescent="0.35">
      <c r="A2023" t="str">
        <f>+'[2]por cuent'!A2023</f>
        <v>ARS</v>
      </c>
      <c r="B2023" t="str">
        <f>+'[2]por cuent'!B2023</f>
        <v>624003935</v>
      </c>
      <c r="C2023" t="str">
        <f>+'[2]por cuent'!C2023</f>
        <v>MORENO, CECILIA CARLA o ZURBRIGGEN, GASTON CARLOS</v>
      </c>
      <c r="D2023" s="35">
        <f>+'[2]por cuent'!G2023</f>
        <v>29457270.890000001</v>
      </c>
      <c r="E2023" s="35">
        <f>+'[2]por cuent'!H2023</f>
        <v>29457270.890000001</v>
      </c>
      <c r="F2023" t="str">
        <f>+'[2]por cuent'!I2023</f>
        <v>624</v>
      </c>
    </row>
    <row r="2024" spans="1:6" x14ac:dyDescent="0.35">
      <c r="A2024" t="str">
        <f>+'[2]por cuent'!A2024</f>
        <v>ARS</v>
      </c>
      <c r="B2024" t="str">
        <f>+'[2]por cuent'!B2024</f>
        <v>624003967</v>
      </c>
      <c r="C2024" t="str">
        <f>+'[2]por cuent'!C2024</f>
        <v>PIGATTO, JULIA ELENA</v>
      </c>
      <c r="D2024" s="35">
        <f>+'[2]por cuent'!G2024</f>
        <v>302070</v>
      </c>
      <c r="E2024" s="35">
        <f>+'[2]por cuent'!H2024</f>
        <v>302070</v>
      </c>
      <c r="F2024" t="str">
        <f>+'[2]por cuent'!I2024</f>
        <v>624</v>
      </c>
    </row>
    <row r="2025" spans="1:6" x14ac:dyDescent="0.35">
      <c r="A2025" t="str">
        <f>+'[2]por cuent'!A2025</f>
        <v>ARS</v>
      </c>
      <c r="B2025" t="str">
        <f>+'[2]por cuent'!B2025</f>
        <v>624003970</v>
      </c>
      <c r="C2025" t="str">
        <f>+'[2]por cuent'!C2025</f>
        <v>CANTARELLA, GABRIEL ALEJANDRO o GASPARRI, MARIA BELEN</v>
      </c>
      <c r="D2025" s="35">
        <f>+'[2]por cuent'!G2025</f>
        <v>51464870</v>
      </c>
      <c r="E2025" s="35">
        <f>+'[2]por cuent'!H2025</f>
        <v>51464870</v>
      </c>
      <c r="F2025" t="str">
        <f>+'[2]por cuent'!I2025</f>
        <v>624</v>
      </c>
    </row>
    <row r="2026" spans="1:6" x14ac:dyDescent="0.35">
      <c r="A2026" t="str">
        <f>+'[2]por cuent'!A2026</f>
        <v>ARS</v>
      </c>
      <c r="B2026" t="str">
        <f>+'[2]por cuent'!B2026</f>
        <v>624003974</v>
      </c>
      <c r="C2026" t="str">
        <f>+'[2]por cuent'!C2026</f>
        <v>TOMMASINO, MARIA INES o AYALA GAUNA, RICARDO ALBERTO</v>
      </c>
      <c r="D2026" s="35">
        <f>+'[2]por cuent'!G2026</f>
        <v>6143768.8799999999</v>
      </c>
      <c r="E2026" s="35">
        <f>+'[2]por cuent'!H2026</f>
        <v>6143768.8799999999</v>
      </c>
      <c r="F2026" t="str">
        <f>+'[2]por cuent'!I2026</f>
        <v>624</v>
      </c>
    </row>
    <row r="2027" spans="1:6" x14ac:dyDescent="0.35">
      <c r="A2027" t="str">
        <f>+'[2]por cuent'!A2027</f>
        <v>ARS</v>
      </c>
      <c r="B2027" t="str">
        <f>+'[2]por cuent'!B2027</f>
        <v>624003985</v>
      </c>
      <c r="C2027" t="str">
        <f>+'[2]por cuent'!C2027</f>
        <v>SUAREZ, GABRIEL ADRIAN</v>
      </c>
      <c r="D2027" s="35">
        <f>+'[2]por cuent'!G2027</f>
        <v>6314805.3300000001</v>
      </c>
      <c r="E2027" s="35">
        <f>+'[2]por cuent'!H2027</f>
        <v>6314805.3300000001</v>
      </c>
      <c r="F2027" t="str">
        <f>+'[2]por cuent'!I2027</f>
        <v>624</v>
      </c>
    </row>
    <row r="2028" spans="1:6" x14ac:dyDescent="0.35">
      <c r="A2028" t="str">
        <f>+'[2]por cuent'!A2028</f>
        <v>ARS</v>
      </c>
      <c r="B2028" t="str">
        <f>+'[2]por cuent'!B2028</f>
        <v>624003987</v>
      </c>
      <c r="C2028" t="str">
        <f>+'[2]por cuent'!C2028</f>
        <v>AZZARELLO, FEDERICO JESUS o BANCHERO, CRISTINA ESTER</v>
      </c>
      <c r="D2028" s="35">
        <f>+'[2]por cuent'!G2028</f>
        <v>59936296.210000001</v>
      </c>
      <c r="E2028" s="35">
        <f>+'[2]por cuent'!H2028</f>
        <v>59936296.210000001</v>
      </c>
      <c r="F2028" t="str">
        <f>+'[2]por cuent'!I2028</f>
        <v>624</v>
      </c>
    </row>
    <row r="2029" spans="1:6" x14ac:dyDescent="0.35">
      <c r="A2029" t="str">
        <f>+'[2]por cuent'!A2029</f>
        <v>ARS</v>
      </c>
      <c r="B2029" t="str">
        <f>+'[2]por cuent'!B2029</f>
        <v>624003988</v>
      </c>
      <c r="C2029" t="str">
        <f>+'[2]por cuent'!C2029</f>
        <v>GRIMBLAT, HECTOR SAMUEL o GOLDIN , JOSEFINA ELVIRA o GRIMBLAT, NICOLAS</v>
      </c>
      <c r="D2029" s="35">
        <f>+'[2]por cuent'!G2029</f>
        <v>13702664.609999999</v>
      </c>
      <c r="E2029" s="35">
        <f>+'[2]por cuent'!H2029</f>
        <v>13702664.609999999</v>
      </c>
      <c r="F2029" t="str">
        <f>+'[2]por cuent'!I2029</f>
        <v>624</v>
      </c>
    </row>
    <row r="2030" spans="1:6" x14ac:dyDescent="0.35">
      <c r="A2030" t="str">
        <f>+'[2]por cuent'!A2030</f>
        <v>ARS</v>
      </c>
      <c r="B2030" t="str">
        <f>+'[2]por cuent'!B2030</f>
        <v>624004005</v>
      </c>
      <c r="C2030" t="str">
        <f>+'[2]por cuent'!C2030</f>
        <v>CORREA, ALEXIS DEMIAN o AGUIRRE, NADIA ITATI</v>
      </c>
      <c r="D2030" s="35">
        <f>+'[2]por cuent'!G2030</f>
        <v>4914885.5199999996</v>
      </c>
      <c r="E2030" s="35">
        <f>+'[2]por cuent'!H2030</f>
        <v>4914885.5199999996</v>
      </c>
      <c r="F2030" t="str">
        <f>+'[2]por cuent'!I2030</f>
        <v>624</v>
      </c>
    </row>
    <row r="2031" spans="1:6" x14ac:dyDescent="0.35">
      <c r="A2031" t="str">
        <f>+'[2]por cuent'!A2031</f>
        <v>ARS</v>
      </c>
      <c r="B2031" t="str">
        <f>+'[2]por cuent'!B2031</f>
        <v>624004012</v>
      </c>
      <c r="C2031" t="str">
        <f>+'[2]por cuent'!C2031</f>
        <v xml:space="preserve"> IÑIGUEZ, JUAN IGNACIO</v>
      </c>
      <c r="D2031" s="35">
        <f>+'[2]por cuent'!G2031</f>
        <v>33356113</v>
      </c>
      <c r="E2031" s="35">
        <f>+'[2]por cuent'!H2031</f>
        <v>33356113</v>
      </c>
      <c r="F2031" t="str">
        <f>+'[2]por cuent'!I2031</f>
        <v>624</v>
      </c>
    </row>
    <row r="2032" spans="1:6" x14ac:dyDescent="0.35">
      <c r="A2032" t="str">
        <f>+'[2]por cuent'!A2032</f>
        <v>ARS</v>
      </c>
      <c r="B2032" t="str">
        <f>+'[2]por cuent'!B2032</f>
        <v>624004020</v>
      </c>
      <c r="C2032" t="str">
        <f>+'[2]por cuent'!C2032</f>
        <v>ALONSO, ANALIA o ESTEBAN ALONSO, AGUSTIN</v>
      </c>
      <c r="D2032" s="35">
        <f>+'[2]por cuent'!G2032</f>
        <v>1542246.73</v>
      </c>
      <c r="E2032" s="35">
        <f>+'[2]por cuent'!H2032</f>
        <v>1542246.73</v>
      </c>
      <c r="F2032" t="str">
        <f>+'[2]por cuent'!I2032</f>
        <v>624</v>
      </c>
    </row>
    <row r="2033" spans="1:6" x14ac:dyDescent="0.35">
      <c r="A2033" t="str">
        <f>+'[2]por cuent'!A2033</f>
        <v>ARS</v>
      </c>
      <c r="B2033" t="str">
        <f>+'[2]por cuent'!B2033</f>
        <v>624004032</v>
      </c>
      <c r="C2033" t="str">
        <f>+'[2]por cuent'!C2033</f>
        <v>FRISANI, GIULIANA LUCIANA</v>
      </c>
      <c r="D2033" s="35">
        <f>+'[2]por cuent'!G2033</f>
        <v>898962.16</v>
      </c>
      <c r="E2033" s="35">
        <f>+'[2]por cuent'!H2033</f>
        <v>898962.16</v>
      </c>
      <c r="F2033" t="str">
        <f>+'[2]por cuent'!I2033</f>
        <v>624</v>
      </c>
    </row>
    <row r="2034" spans="1:6" x14ac:dyDescent="0.35">
      <c r="A2034" t="str">
        <f>+'[2]por cuent'!A2034</f>
        <v>ARS</v>
      </c>
      <c r="B2034" t="str">
        <f>+'[2]por cuent'!B2034</f>
        <v>624004035</v>
      </c>
      <c r="C2034" t="str">
        <f>+'[2]por cuent'!C2034</f>
        <v>D'AMICO, JOSE LUIS VICTOR</v>
      </c>
      <c r="D2034" s="35">
        <f>+'[2]por cuent'!G2034</f>
        <v>1899875772.26</v>
      </c>
      <c r="E2034" s="35">
        <f>+'[2]por cuent'!H2034</f>
        <v>1899875772.26</v>
      </c>
      <c r="F2034" t="str">
        <f>+'[2]por cuent'!I2034</f>
        <v>624</v>
      </c>
    </row>
    <row r="2035" spans="1:6" x14ac:dyDescent="0.35">
      <c r="A2035" t="str">
        <f>+'[2]por cuent'!A2035</f>
        <v>ARS</v>
      </c>
      <c r="B2035" t="str">
        <f>+'[2]por cuent'!B2035</f>
        <v>624004041</v>
      </c>
      <c r="C2035" t="str">
        <f>+'[2]por cuent'!C2035</f>
        <v>SILVA, JUAN MANUEL  o SILVA, DANIELA PRISCILA</v>
      </c>
      <c r="D2035" s="35">
        <f>+'[2]por cuent'!G2035</f>
        <v>530129101.93000001</v>
      </c>
      <c r="E2035" s="35">
        <f>+'[2]por cuent'!H2035</f>
        <v>530129101.93000001</v>
      </c>
      <c r="F2035" t="str">
        <f>+'[2]por cuent'!I2035</f>
        <v>624</v>
      </c>
    </row>
    <row r="2036" spans="1:6" x14ac:dyDescent="0.35">
      <c r="A2036" t="str">
        <f>+'[2]por cuent'!A2036</f>
        <v>ARS</v>
      </c>
      <c r="B2036" t="str">
        <f>+'[2]por cuent'!B2036</f>
        <v>624004045</v>
      </c>
      <c r="C2036" t="str">
        <f>+'[2]por cuent'!C2036</f>
        <v>RED CAFARELL INGENIERIA S.R.L.</v>
      </c>
      <c r="D2036" s="35">
        <f>+'[2]por cuent'!G2036</f>
        <v>460812233.75</v>
      </c>
      <c r="E2036" s="35">
        <f>+'[2]por cuent'!H2036</f>
        <v>460812233.75</v>
      </c>
      <c r="F2036" t="str">
        <f>+'[2]por cuent'!I2036</f>
        <v>624</v>
      </c>
    </row>
    <row r="2037" spans="1:6" x14ac:dyDescent="0.35">
      <c r="A2037" t="str">
        <f>+'[2]por cuent'!A2037</f>
        <v>ARS</v>
      </c>
      <c r="B2037" t="str">
        <f>+'[2]por cuent'!B2037</f>
        <v>624004053</v>
      </c>
      <c r="C2037" t="str">
        <f>+'[2]por cuent'!C2037</f>
        <v>GUSTINCICH, SABRINA VANESA o GUSTINCICH, ALEJANDRA MARCELA</v>
      </c>
      <c r="D2037" s="35">
        <f>+'[2]por cuent'!G2037</f>
        <v>180634.83</v>
      </c>
      <c r="E2037" s="35">
        <f>+'[2]por cuent'!H2037</f>
        <v>180634.83</v>
      </c>
      <c r="F2037" t="str">
        <f>+'[2]por cuent'!I2037</f>
        <v>624</v>
      </c>
    </row>
    <row r="2038" spans="1:6" x14ac:dyDescent="0.35">
      <c r="A2038" t="str">
        <f>+'[2]por cuent'!A2038</f>
        <v>ARS</v>
      </c>
      <c r="B2038" t="str">
        <f>+'[2]por cuent'!B2038</f>
        <v>624004064</v>
      </c>
      <c r="C2038" t="str">
        <f>+'[2]por cuent'!C2038</f>
        <v>VIETTI, SANTIAGO ANDRES o ARASA, ROSANA MARIEL o VIETTI, MACARENA</v>
      </c>
      <c r="D2038" s="35">
        <f>+'[2]por cuent'!G2038</f>
        <v>134275.89000000001</v>
      </c>
      <c r="E2038" s="35">
        <f>+'[2]por cuent'!H2038</f>
        <v>134275.89000000001</v>
      </c>
      <c r="F2038" t="str">
        <f>+'[2]por cuent'!I2038</f>
        <v>624</v>
      </c>
    </row>
    <row r="2039" spans="1:6" x14ac:dyDescent="0.35">
      <c r="A2039" t="str">
        <f>+'[2]por cuent'!A2039</f>
        <v>ARS</v>
      </c>
      <c r="B2039" t="str">
        <f>+'[2]por cuent'!B2039</f>
        <v>624004065</v>
      </c>
      <c r="C2039" t="str">
        <f>+'[2]por cuent'!C2039</f>
        <v>ARIMANY, JEREMIAS</v>
      </c>
      <c r="D2039" s="35">
        <f>+'[2]por cuent'!G2039</f>
        <v>78581789.599999994</v>
      </c>
      <c r="E2039" s="35">
        <f>+'[2]por cuent'!H2039</f>
        <v>78581789.599999994</v>
      </c>
      <c r="F2039" t="str">
        <f>+'[2]por cuent'!I2039</f>
        <v>624</v>
      </c>
    </row>
    <row r="2040" spans="1:6" x14ac:dyDescent="0.35">
      <c r="A2040" t="str">
        <f>+'[2]por cuent'!A2040</f>
        <v>ARS</v>
      </c>
      <c r="B2040" t="str">
        <f>+'[2]por cuent'!B2040</f>
        <v>624004066</v>
      </c>
      <c r="C2040" t="str">
        <f>+'[2]por cuent'!C2040</f>
        <v>CAFARELL, MARIANO OSVALDO</v>
      </c>
      <c r="D2040" s="35">
        <f>+'[2]por cuent'!G2040</f>
        <v>28862358.300000001</v>
      </c>
      <c r="E2040" s="35">
        <f>+'[2]por cuent'!H2040</f>
        <v>28862358.300000001</v>
      </c>
      <c r="F2040" t="str">
        <f>+'[2]por cuent'!I2040</f>
        <v>624</v>
      </c>
    </row>
    <row r="2041" spans="1:6" x14ac:dyDescent="0.35">
      <c r="A2041" t="str">
        <f>+'[2]por cuent'!A2041</f>
        <v>ARS</v>
      </c>
      <c r="B2041" t="str">
        <f>+'[2]por cuent'!B2041</f>
        <v>624004070</v>
      </c>
      <c r="C2041" t="str">
        <f>+'[2]por cuent'!C2041</f>
        <v>NEGRO, FLAVIA XIMENA o NEGRO, CINTIA GERALDINE</v>
      </c>
      <c r="D2041" s="35">
        <f>+'[2]por cuent'!G2041</f>
        <v>66085034.350000001</v>
      </c>
      <c r="E2041" s="35">
        <f>+'[2]por cuent'!H2041</f>
        <v>66085034.350000001</v>
      </c>
      <c r="F2041" t="str">
        <f>+'[2]por cuent'!I2041</f>
        <v>624</v>
      </c>
    </row>
    <row r="2042" spans="1:6" x14ac:dyDescent="0.35">
      <c r="A2042" t="str">
        <f>+'[2]por cuent'!A2042</f>
        <v>ARS</v>
      </c>
      <c r="B2042" t="str">
        <f>+'[2]por cuent'!B2042</f>
        <v>624004071</v>
      </c>
      <c r="C2042" t="str">
        <f>+'[2]por cuent'!C2042</f>
        <v>CAFARELL, OSVALDO RAMON</v>
      </c>
      <c r="D2042" s="35">
        <f>+'[2]por cuent'!G2042</f>
        <v>221238614.94999999</v>
      </c>
      <c r="E2042" s="35">
        <f>+'[2]por cuent'!H2042</f>
        <v>221238614.94999999</v>
      </c>
      <c r="F2042" t="str">
        <f>+'[2]por cuent'!I2042</f>
        <v>624</v>
      </c>
    </row>
    <row r="2043" spans="1:6" x14ac:dyDescent="0.35">
      <c r="A2043" t="str">
        <f>+'[2]por cuent'!A2043</f>
        <v>ARS</v>
      </c>
      <c r="B2043" t="str">
        <f>+'[2]por cuent'!B2043</f>
        <v>624004072</v>
      </c>
      <c r="C2043" t="str">
        <f>+'[2]por cuent'!C2043</f>
        <v>GALEAZZI, JOSE LUIS o FISSORE, MARIA SOLEDAD o GALEAZZI, FRANCO</v>
      </c>
      <c r="D2043" s="35">
        <f>+'[2]por cuent'!G2043</f>
        <v>27318730.420000002</v>
      </c>
      <c r="E2043" s="35">
        <f>+'[2]por cuent'!H2043</f>
        <v>27318730.420000002</v>
      </c>
      <c r="F2043" t="str">
        <f>+'[2]por cuent'!I2043</f>
        <v>624</v>
      </c>
    </row>
    <row r="2044" spans="1:6" x14ac:dyDescent="0.35">
      <c r="A2044" t="str">
        <f>+'[2]por cuent'!A2044</f>
        <v>ARS</v>
      </c>
      <c r="B2044" t="str">
        <f>+'[2]por cuent'!B2044</f>
        <v>624004080</v>
      </c>
      <c r="C2044" t="str">
        <f>+'[2]por cuent'!C2044</f>
        <v>ORTEGA , ENRIQUE HECTOR o BERLINGO NILDA SUSANA</v>
      </c>
      <c r="D2044" s="35">
        <f>+'[2]por cuent'!G2044</f>
        <v>34410420.719999999</v>
      </c>
      <c r="E2044" s="35">
        <f>+'[2]por cuent'!H2044</f>
        <v>34410420.719999999</v>
      </c>
      <c r="F2044" t="str">
        <f>+'[2]por cuent'!I2044</f>
        <v>624</v>
      </c>
    </row>
    <row r="2045" spans="1:6" x14ac:dyDescent="0.35">
      <c r="A2045" t="str">
        <f>+'[2]por cuent'!A2045</f>
        <v>ARS</v>
      </c>
      <c r="B2045" t="str">
        <f>+'[2]por cuent'!B2045</f>
        <v>624004096</v>
      </c>
      <c r="C2045" t="str">
        <f>+'[2]por cuent'!C2045</f>
        <v>ZURBRIGGEN, GASTON CARLOS o MORENO, CECILIA CARLA</v>
      </c>
      <c r="D2045" s="35">
        <f>+'[2]por cuent'!G2045</f>
        <v>3693149.95</v>
      </c>
      <c r="E2045" s="35">
        <f>+'[2]por cuent'!H2045</f>
        <v>3693149.95</v>
      </c>
      <c r="F2045" t="str">
        <f>+'[2]por cuent'!I2045</f>
        <v>624</v>
      </c>
    </row>
    <row r="2046" spans="1:6" x14ac:dyDescent="0.35">
      <c r="A2046" t="str">
        <f>+'[2]por cuent'!A2046</f>
        <v>ARS</v>
      </c>
      <c r="B2046" t="str">
        <f>+'[2]por cuent'!B2046</f>
        <v>624004099</v>
      </c>
      <c r="C2046" t="str">
        <f>+'[2]por cuent'!C2046</f>
        <v>CECCHI, MARIA LUISA o SUAREZ, ISABELINO o SUAREZ, GABRIEL ADRIAN</v>
      </c>
      <c r="D2046" s="35">
        <f>+'[2]por cuent'!G2046</f>
        <v>71173900.329999998</v>
      </c>
      <c r="E2046" s="35">
        <f>+'[2]por cuent'!H2046</f>
        <v>71173900.329999998</v>
      </c>
      <c r="F2046" t="str">
        <f>+'[2]por cuent'!I2046</f>
        <v>624</v>
      </c>
    </row>
    <row r="2047" spans="1:6" x14ac:dyDescent="0.35">
      <c r="A2047" t="str">
        <f>+'[2]por cuent'!A2047</f>
        <v>ARS</v>
      </c>
      <c r="B2047" t="str">
        <f>+'[2]por cuent'!B2047</f>
        <v>624004105</v>
      </c>
      <c r="C2047" t="str">
        <f>+'[2]por cuent'!C2047</f>
        <v>ABDELMALEK , MARIELA CAROLINA</v>
      </c>
      <c r="D2047" s="35">
        <f>+'[2]por cuent'!G2047</f>
        <v>1507688</v>
      </c>
      <c r="E2047" s="35">
        <f>+'[2]por cuent'!H2047</f>
        <v>1507688</v>
      </c>
      <c r="F2047" t="str">
        <f>+'[2]por cuent'!I2047</f>
        <v>624</v>
      </c>
    </row>
    <row r="2048" spans="1:6" x14ac:dyDescent="0.35">
      <c r="A2048" t="str">
        <f>+'[2]por cuent'!A2048</f>
        <v>ARS</v>
      </c>
      <c r="B2048" t="str">
        <f>+'[2]por cuent'!B2048</f>
        <v>624004106</v>
      </c>
      <c r="C2048" t="str">
        <f>+'[2]por cuent'!C2048</f>
        <v>LISTRO, ANA BELEN (CARTERA PROPIA)</v>
      </c>
      <c r="D2048" s="35">
        <f>+'[2]por cuent'!G2048</f>
        <v>1680925.52</v>
      </c>
      <c r="E2048" s="35">
        <f>+'[2]por cuent'!H2048</f>
        <v>1680925.52</v>
      </c>
      <c r="F2048" t="str">
        <f>+'[2]por cuent'!I2048</f>
        <v>624</v>
      </c>
    </row>
    <row r="2049" spans="1:6" x14ac:dyDescent="0.35">
      <c r="A2049" t="str">
        <f>+'[2]por cuent'!A2049</f>
        <v>ARS</v>
      </c>
      <c r="B2049" t="str">
        <f>+'[2]por cuent'!B2049</f>
        <v>624004124</v>
      </c>
      <c r="C2049" t="str">
        <f>+'[2]por cuent'!C2049</f>
        <v>TONSICH, INES DEL LUJAN o DI PEGO, BELEN INES o DI PEGO, IGNACIO FERNANDO</v>
      </c>
      <c r="D2049" s="35">
        <f>+'[2]por cuent'!G2049</f>
        <v>3065517.03</v>
      </c>
      <c r="E2049" s="35">
        <f>+'[2]por cuent'!H2049</f>
        <v>3065517.03</v>
      </c>
      <c r="F2049" t="str">
        <f>+'[2]por cuent'!I2049</f>
        <v>624</v>
      </c>
    </row>
    <row r="2050" spans="1:6" x14ac:dyDescent="0.35">
      <c r="A2050" t="str">
        <f>+'[2]por cuent'!A2050</f>
        <v>ARS</v>
      </c>
      <c r="B2050" t="str">
        <f>+'[2]por cuent'!B2050</f>
        <v>624004130</v>
      </c>
      <c r="C2050" t="str">
        <f>+'[2]por cuent'!C2050</f>
        <v>PONZETTI, MAXIMILIANO IVAN</v>
      </c>
      <c r="D2050" s="35">
        <f>+'[2]por cuent'!G2050</f>
        <v>114963195.37</v>
      </c>
      <c r="E2050" s="35">
        <f>+'[2]por cuent'!H2050</f>
        <v>114963195.37</v>
      </c>
      <c r="F2050" t="str">
        <f>+'[2]por cuent'!I2050</f>
        <v>624</v>
      </c>
    </row>
    <row r="2051" spans="1:6" x14ac:dyDescent="0.35">
      <c r="A2051" t="str">
        <f>+'[2]por cuent'!A2051</f>
        <v>ARS</v>
      </c>
      <c r="B2051" t="str">
        <f>+'[2]por cuent'!B2051</f>
        <v>624004136</v>
      </c>
      <c r="C2051" t="str">
        <f>+'[2]por cuent'!C2051</f>
        <v>ARIJON, JUAN JOSE o ARIJON , JUAN JOSE (H)</v>
      </c>
      <c r="D2051" s="35">
        <f>+'[2]por cuent'!G2051</f>
        <v>2512625.0499999998</v>
      </c>
      <c r="E2051" s="35">
        <f>+'[2]por cuent'!H2051</f>
        <v>2512625.0499999998</v>
      </c>
      <c r="F2051" t="str">
        <f>+'[2]por cuent'!I2051</f>
        <v>624</v>
      </c>
    </row>
    <row r="2052" spans="1:6" x14ac:dyDescent="0.35">
      <c r="A2052" t="str">
        <f>+'[2]por cuent'!A2052</f>
        <v>ARS</v>
      </c>
      <c r="B2052" t="str">
        <f>+'[2]por cuent'!B2052</f>
        <v>624004142</v>
      </c>
      <c r="C2052" t="str">
        <f>+'[2]por cuent'!C2052</f>
        <v>LOYOLA, EMILCE</v>
      </c>
      <c r="D2052" s="35">
        <f>+'[2]por cuent'!G2052</f>
        <v>28839175.870000001</v>
      </c>
      <c r="E2052" s="35">
        <f>+'[2]por cuent'!H2052</f>
        <v>28839175.870000001</v>
      </c>
      <c r="F2052" t="str">
        <f>+'[2]por cuent'!I2052</f>
        <v>624</v>
      </c>
    </row>
    <row r="2053" spans="1:6" x14ac:dyDescent="0.35">
      <c r="A2053" t="str">
        <f>+'[2]por cuent'!A2053</f>
        <v>ARS</v>
      </c>
      <c r="B2053" t="str">
        <f>+'[2]por cuent'!B2053</f>
        <v>624004144</v>
      </c>
      <c r="C2053" t="str">
        <f>+'[2]por cuent'!C2053</f>
        <v>AGUIRRE, NADIA ITATI</v>
      </c>
      <c r="D2053" s="35">
        <f>+'[2]por cuent'!G2053</f>
        <v>1015763.32</v>
      </c>
      <c r="E2053" s="35">
        <f>+'[2]por cuent'!H2053</f>
        <v>1015763.32</v>
      </c>
      <c r="F2053" t="str">
        <f>+'[2]por cuent'!I2053</f>
        <v>624</v>
      </c>
    </row>
    <row r="2054" spans="1:6" x14ac:dyDescent="0.35">
      <c r="A2054" t="str">
        <f>+'[2]por cuent'!A2054</f>
        <v>ARS</v>
      </c>
      <c r="B2054" t="str">
        <f>+'[2]por cuent'!B2054</f>
        <v>624004151</v>
      </c>
      <c r="C2054" t="str">
        <f>+'[2]por cuent'!C2054</f>
        <v>DE LUCA, ANTONELA</v>
      </c>
      <c r="D2054" s="35">
        <f>+'[2]por cuent'!G2054</f>
        <v>62822252.719999999</v>
      </c>
      <c r="E2054" s="35">
        <f>+'[2]por cuent'!H2054</f>
        <v>62822252.719999999</v>
      </c>
      <c r="F2054" t="str">
        <f>+'[2]por cuent'!I2054</f>
        <v>624</v>
      </c>
    </row>
    <row r="2055" spans="1:6" x14ac:dyDescent="0.35">
      <c r="A2055" t="str">
        <f>+'[2]por cuent'!A2055</f>
        <v>ARS</v>
      </c>
      <c r="B2055" t="str">
        <f>+'[2]por cuent'!B2055</f>
        <v>624004153</v>
      </c>
      <c r="C2055" t="str">
        <f>+'[2]por cuent'!C2055</f>
        <v>SANTA CRUZ, MARIA TERESA</v>
      </c>
      <c r="D2055" s="35">
        <f>+'[2]por cuent'!G2055</f>
        <v>2871153.2</v>
      </c>
      <c r="E2055" s="35">
        <f>+'[2]por cuent'!H2055</f>
        <v>2871153.2</v>
      </c>
      <c r="F2055" t="str">
        <f>+'[2]por cuent'!I2055</f>
        <v>624</v>
      </c>
    </row>
    <row r="2056" spans="1:6" x14ac:dyDescent="0.35">
      <c r="A2056" t="str">
        <f>+'[2]por cuent'!A2056</f>
        <v>ARS</v>
      </c>
      <c r="B2056" t="str">
        <f>+'[2]por cuent'!B2056</f>
        <v>624004154</v>
      </c>
      <c r="C2056" t="str">
        <f>+'[2]por cuent'!C2056</f>
        <v>JAZMIN, DELFINA LUCIA o GALARZA, YANINA SOLEDAD</v>
      </c>
      <c r="D2056" s="35">
        <f>+'[2]por cuent'!G2056</f>
        <v>393315</v>
      </c>
      <c r="E2056" s="35">
        <f>+'[2]por cuent'!H2056</f>
        <v>393315</v>
      </c>
      <c r="F2056" t="str">
        <f>+'[2]por cuent'!I2056</f>
        <v>624</v>
      </c>
    </row>
    <row r="2057" spans="1:6" x14ac:dyDescent="0.35">
      <c r="A2057" t="str">
        <f>+'[2]por cuent'!A2057</f>
        <v>ARS</v>
      </c>
      <c r="B2057" t="str">
        <f>+'[2]por cuent'!B2057</f>
        <v>624004155</v>
      </c>
      <c r="C2057" t="str">
        <f>+'[2]por cuent'!C2057</f>
        <v>CAVAGNA, NADIN NICOLE</v>
      </c>
      <c r="D2057" s="35">
        <f>+'[2]por cuent'!G2057</f>
        <v>3773315.72</v>
      </c>
      <c r="E2057" s="35">
        <f>+'[2]por cuent'!H2057</f>
        <v>3773315.72</v>
      </c>
      <c r="F2057" t="str">
        <f>+'[2]por cuent'!I2057</f>
        <v>624</v>
      </c>
    </row>
    <row r="2058" spans="1:6" x14ac:dyDescent="0.35">
      <c r="A2058" t="str">
        <f>+'[2]por cuent'!A2058</f>
        <v>ARS</v>
      </c>
      <c r="B2058" t="str">
        <f>+'[2]por cuent'!B2058</f>
        <v>624004158</v>
      </c>
      <c r="C2058" t="str">
        <f>+'[2]por cuent'!C2058</f>
        <v>DE LA PEÑA, ESTEBAN DANIEL o BERTUCCELLI, ANTONELLA LUCIANA</v>
      </c>
      <c r="D2058" s="35">
        <f>+'[2]por cuent'!G2058</f>
        <v>12295562.130000001</v>
      </c>
      <c r="E2058" s="35">
        <f>+'[2]por cuent'!H2058</f>
        <v>12295562.130000001</v>
      </c>
      <c r="F2058" t="str">
        <f>+'[2]por cuent'!I2058</f>
        <v>624</v>
      </c>
    </row>
    <row r="2059" spans="1:6" x14ac:dyDescent="0.35">
      <c r="A2059" t="str">
        <f>+'[2]por cuent'!A2059</f>
        <v>ARS</v>
      </c>
      <c r="B2059" t="str">
        <f>+'[2]por cuent'!B2059</f>
        <v>624004175</v>
      </c>
      <c r="C2059" t="str">
        <f>+'[2]por cuent'!C2059</f>
        <v>MURADAS, FERNANDO DANIEL o EZCURRA, GRAZIELA ISABEL</v>
      </c>
      <c r="D2059" s="35">
        <f>+'[2]por cuent'!G2059</f>
        <v>2616577.1</v>
      </c>
      <c r="E2059" s="35">
        <f>+'[2]por cuent'!H2059</f>
        <v>2616577.1</v>
      </c>
      <c r="F2059" t="str">
        <f>+'[2]por cuent'!I2059</f>
        <v>624</v>
      </c>
    </row>
    <row r="2060" spans="1:6" x14ac:dyDescent="0.35">
      <c r="A2060" t="str">
        <f>+'[2]por cuent'!A2060</f>
        <v>ARS</v>
      </c>
      <c r="B2060" t="str">
        <f>+'[2]por cuent'!B2060</f>
        <v>624004176</v>
      </c>
      <c r="C2060" t="str">
        <f>+'[2]por cuent'!C2060</f>
        <v>EZCURRA, GRAZIELA ISABEL o MURADAS, FERNANDO DANIEL</v>
      </c>
      <c r="D2060" s="35">
        <f>+'[2]por cuent'!G2060</f>
        <v>4384141.57</v>
      </c>
      <c r="E2060" s="35">
        <f>+'[2]por cuent'!H2060</f>
        <v>4384141.57</v>
      </c>
      <c r="F2060" t="str">
        <f>+'[2]por cuent'!I2060</f>
        <v>624</v>
      </c>
    </row>
    <row r="2061" spans="1:6" x14ac:dyDescent="0.35">
      <c r="A2061" t="str">
        <f>+'[2]por cuent'!A2061</f>
        <v>ARS</v>
      </c>
      <c r="B2061" t="str">
        <f>+'[2]por cuent'!B2061</f>
        <v>624004177</v>
      </c>
      <c r="C2061" t="str">
        <f>+'[2]por cuent'!C2061</f>
        <v>EZCURRA HNOS S.R.L.</v>
      </c>
      <c r="D2061" s="35">
        <f>+'[2]por cuent'!G2061</f>
        <v>1662533.48</v>
      </c>
      <c r="E2061" s="35">
        <f>+'[2]por cuent'!H2061</f>
        <v>1662533.48</v>
      </c>
      <c r="F2061" t="str">
        <f>+'[2]por cuent'!I2061</f>
        <v>624</v>
      </c>
    </row>
    <row r="2062" spans="1:6" x14ac:dyDescent="0.35">
      <c r="A2062" t="str">
        <f>+'[2]por cuent'!A2062</f>
        <v>ARS</v>
      </c>
      <c r="B2062" t="str">
        <f>+'[2]por cuent'!B2062</f>
        <v>624004178</v>
      </c>
      <c r="C2062" t="str">
        <f>+'[2]por cuent'!C2062</f>
        <v>NEW PLENTY S.R.L.</v>
      </c>
      <c r="D2062" s="35">
        <f>+'[2]por cuent'!G2062</f>
        <v>797617302.11000001</v>
      </c>
      <c r="E2062" s="35">
        <f>+'[2]por cuent'!H2062</f>
        <v>797617302.11000001</v>
      </c>
      <c r="F2062" t="str">
        <f>+'[2]por cuent'!I2062</f>
        <v>624</v>
      </c>
    </row>
    <row r="2063" spans="1:6" x14ac:dyDescent="0.35">
      <c r="A2063" t="str">
        <f>+'[2]por cuent'!A2063</f>
        <v>ARS</v>
      </c>
      <c r="B2063" t="str">
        <f>+'[2]por cuent'!B2063</f>
        <v>624004186</v>
      </c>
      <c r="C2063" t="str">
        <f>+'[2]por cuent'!C2063</f>
        <v>EGEA S.R.L.</v>
      </c>
      <c r="D2063" s="35">
        <f>+'[2]por cuent'!G2063</f>
        <v>403778.85</v>
      </c>
      <c r="E2063" s="35">
        <f>+'[2]por cuent'!H2063</f>
        <v>403778.85</v>
      </c>
      <c r="F2063" t="str">
        <f>+'[2]por cuent'!I2063</f>
        <v>624</v>
      </c>
    </row>
    <row r="2064" spans="1:6" x14ac:dyDescent="0.35">
      <c r="A2064" t="str">
        <f>+'[2]por cuent'!A2064</f>
        <v>ARS</v>
      </c>
      <c r="B2064" t="str">
        <f>+'[2]por cuent'!B2064</f>
        <v>624004207</v>
      </c>
      <c r="C2064" t="str">
        <f>+'[2]por cuent'!C2064</f>
        <v>RODRIGUEZ, DENIS EMANUEL</v>
      </c>
      <c r="D2064" s="35">
        <f>+'[2]por cuent'!G2064</f>
        <v>3670440</v>
      </c>
      <c r="E2064" s="35">
        <f>+'[2]por cuent'!H2064</f>
        <v>3670440</v>
      </c>
      <c r="F2064" t="str">
        <f>+'[2]por cuent'!I2064</f>
        <v>624</v>
      </c>
    </row>
    <row r="2065" spans="1:6" x14ac:dyDescent="0.35">
      <c r="A2065" t="str">
        <f>+'[2]por cuent'!A2065</f>
        <v>ARS</v>
      </c>
      <c r="B2065" t="str">
        <f>+'[2]por cuent'!B2065</f>
        <v>624004211</v>
      </c>
      <c r="C2065" t="str">
        <f>+'[2]por cuent'!C2065</f>
        <v>ASTURZZI, ALFONSO LUIS o ASTURZZI, DANIEL HERNAN</v>
      </c>
      <c r="D2065" s="35">
        <f>+'[2]por cuent'!G2065</f>
        <v>466324220.38</v>
      </c>
      <c r="E2065" s="35">
        <f>+'[2]por cuent'!H2065</f>
        <v>466324220.38</v>
      </c>
      <c r="F2065" t="str">
        <f>+'[2]por cuent'!I2065</f>
        <v>624</v>
      </c>
    </row>
    <row r="2066" spans="1:6" x14ac:dyDescent="0.35">
      <c r="A2066" t="str">
        <f>+'[2]por cuent'!A2066</f>
        <v>ARS</v>
      </c>
      <c r="B2066" t="str">
        <f>+'[2]por cuent'!B2066</f>
        <v>624004219</v>
      </c>
      <c r="C2066" t="str">
        <f>+'[2]por cuent'!C2066</f>
        <v>ORTEGA, LUCIANA</v>
      </c>
      <c r="D2066" s="35">
        <f>+'[2]por cuent'!G2066</f>
        <v>13349151.970000001</v>
      </c>
      <c r="E2066" s="35">
        <f>+'[2]por cuent'!H2066</f>
        <v>13349151.970000001</v>
      </c>
      <c r="F2066" t="str">
        <f>+'[2]por cuent'!I2066</f>
        <v>624</v>
      </c>
    </row>
    <row r="2067" spans="1:6" x14ac:dyDescent="0.35">
      <c r="A2067" t="str">
        <f>+'[2]por cuent'!A2067</f>
        <v>ARS</v>
      </c>
      <c r="B2067" t="str">
        <f>+'[2]por cuent'!B2067</f>
        <v>624004220</v>
      </c>
      <c r="C2067" t="str">
        <f>+'[2]por cuent'!C2067</f>
        <v>ROJAS , ANALIA BEATRIZ o MORENO, JUSTO MARIO  o MORENO, NICOLE NAHIR u otros</v>
      </c>
      <c r="D2067" s="35">
        <f>+'[2]por cuent'!G2067</f>
        <v>62388</v>
      </c>
      <c r="E2067" s="35">
        <f>+'[2]por cuent'!H2067</f>
        <v>62388</v>
      </c>
      <c r="F2067" t="str">
        <f>+'[2]por cuent'!I2067</f>
        <v>624</v>
      </c>
    </row>
    <row r="2068" spans="1:6" x14ac:dyDescent="0.35">
      <c r="A2068" t="str">
        <f>+'[2]por cuent'!A2068</f>
        <v>ARS</v>
      </c>
      <c r="B2068" t="str">
        <f>+'[2]por cuent'!B2068</f>
        <v>624004233</v>
      </c>
      <c r="C2068" t="str">
        <f>+'[2]por cuent'!C2068</f>
        <v>RODRIGUEZ, JOSE OSCAR</v>
      </c>
      <c r="D2068" s="35">
        <f>+'[2]por cuent'!G2068</f>
        <v>8222408.9000000004</v>
      </c>
      <c r="E2068" s="35">
        <f>+'[2]por cuent'!H2068</f>
        <v>8222408.9000000004</v>
      </c>
      <c r="F2068" t="str">
        <f>+'[2]por cuent'!I2068</f>
        <v>624</v>
      </c>
    </row>
    <row r="2069" spans="1:6" x14ac:dyDescent="0.35">
      <c r="A2069" t="str">
        <f>+'[2]por cuent'!A2069</f>
        <v>ARS</v>
      </c>
      <c r="B2069" t="str">
        <f>+'[2]por cuent'!B2069</f>
        <v>624004236</v>
      </c>
      <c r="C2069" t="str">
        <f>+'[2]por cuent'!C2069</f>
        <v>BELMONTE, DARIO RAUL o COVACEVICH, NATALIA CECILIA</v>
      </c>
      <c r="D2069" s="35">
        <f>+'[2]por cuent'!G2069</f>
        <v>138400</v>
      </c>
      <c r="E2069" s="35">
        <f>+'[2]por cuent'!H2069</f>
        <v>138400</v>
      </c>
      <c r="F2069" t="str">
        <f>+'[2]por cuent'!I2069</f>
        <v>624</v>
      </c>
    </row>
    <row r="2070" spans="1:6" x14ac:dyDescent="0.35">
      <c r="A2070" t="str">
        <f>+'[2]por cuent'!A2070</f>
        <v>ARS</v>
      </c>
      <c r="B2070" t="str">
        <f>+'[2]por cuent'!B2070</f>
        <v>624004242</v>
      </c>
      <c r="C2070" t="str">
        <f>+'[2]por cuent'!C2070</f>
        <v>UNIAGRO S.A.</v>
      </c>
      <c r="D2070" s="35">
        <f>+'[2]por cuent'!G2070</f>
        <v>671709674.07000005</v>
      </c>
      <c r="E2070" s="35">
        <f>+'[2]por cuent'!H2070</f>
        <v>671709674.07000005</v>
      </c>
      <c r="F2070" t="str">
        <f>+'[2]por cuent'!I2070</f>
        <v>624</v>
      </c>
    </row>
    <row r="2071" spans="1:6" x14ac:dyDescent="0.35">
      <c r="A2071" t="str">
        <f>+'[2]por cuent'!A2071</f>
        <v>ARS</v>
      </c>
      <c r="B2071" t="str">
        <f>+'[2]por cuent'!B2071</f>
        <v>624004245</v>
      </c>
      <c r="C2071" t="str">
        <f>+'[2]por cuent'!C2071</f>
        <v>HOURCADE, JUAN LUIS</v>
      </c>
      <c r="D2071" s="35">
        <f>+'[2]por cuent'!G2071</f>
        <v>285462.49</v>
      </c>
      <c r="E2071" s="35">
        <f>+'[2]por cuent'!H2071</f>
        <v>285462.49</v>
      </c>
      <c r="F2071" t="str">
        <f>+'[2]por cuent'!I2071</f>
        <v>624</v>
      </c>
    </row>
    <row r="2072" spans="1:6" x14ac:dyDescent="0.35">
      <c r="A2072" t="str">
        <f>+'[2]por cuent'!A2072</f>
        <v>ARS</v>
      </c>
      <c r="B2072" t="str">
        <f>+'[2]por cuent'!B2072</f>
        <v>624004254</v>
      </c>
      <c r="C2072" t="str">
        <f>+'[2]por cuent'!C2072</f>
        <v>ESTEBAN ALONSO, AGUSTIN o ALONSO, ANALIA</v>
      </c>
      <c r="D2072" s="35">
        <f>+'[2]por cuent'!G2072</f>
        <v>1389983.72</v>
      </c>
      <c r="E2072" s="35">
        <f>+'[2]por cuent'!H2072</f>
        <v>1389983.72</v>
      </c>
      <c r="F2072" t="str">
        <f>+'[2]por cuent'!I2072</f>
        <v>624</v>
      </c>
    </row>
    <row r="2073" spans="1:6" x14ac:dyDescent="0.35">
      <c r="A2073" t="str">
        <f>+'[2]por cuent'!A2073</f>
        <v>ARS</v>
      </c>
      <c r="B2073" t="str">
        <f>+'[2]por cuent'!B2073</f>
        <v>624004255</v>
      </c>
      <c r="C2073" t="str">
        <f>+'[2]por cuent'!C2073</f>
        <v xml:space="preserve">CALZOLARI, DELMA LUISA o CALZOLARI, ELBA NELIDA o CASTELLETTA, FLORENCIA </v>
      </c>
      <c r="D2073" s="35">
        <f>+'[2]por cuent'!G2073</f>
        <v>99901641.689999998</v>
      </c>
      <c r="E2073" s="35">
        <f>+'[2]por cuent'!H2073</f>
        <v>99901641.689999998</v>
      </c>
      <c r="F2073" t="str">
        <f>+'[2]por cuent'!I2073</f>
        <v>624</v>
      </c>
    </row>
    <row r="2074" spans="1:6" x14ac:dyDescent="0.35">
      <c r="A2074" t="str">
        <f>+'[2]por cuent'!A2074</f>
        <v>ARS</v>
      </c>
      <c r="B2074" t="str">
        <f>+'[2]por cuent'!B2074</f>
        <v>624004256</v>
      </c>
      <c r="C2074" t="str">
        <f>+'[2]por cuent'!C2074</f>
        <v>ZULIANI, SILVANA BEATRIZ o ZULIANI, ETHEL JOSE NICOLAS</v>
      </c>
      <c r="D2074" s="35">
        <f>+'[2]por cuent'!G2074</f>
        <v>130546329.40000001</v>
      </c>
      <c r="E2074" s="35">
        <f>+'[2]por cuent'!H2074</f>
        <v>130546329.40000001</v>
      </c>
      <c r="F2074" t="str">
        <f>+'[2]por cuent'!I2074</f>
        <v>624</v>
      </c>
    </row>
    <row r="2075" spans="1:6" x14ac:dyDescent="0.35">
      <c r="A2075" t="str">
        <f>+'[2]por cuent'!A2075</f>
        <v>ARS</v>
      </c>
      <c r="B2075" t="str">
        <f>+'[2]por cuent'!B2075</f>
        <v>624004259</v>
      </c>
      <c r="C2075" t="str">
        <f>+'[2]por cuent'!C2075</f>
        <v>AMG ODONTOLOGIA CONSORCIO DE COOPERACION</v>
      </c>
      <c r="D2075" s="35">
        <f>+'[2]por cuent'!G2075</f>
        <v>190044661.81</v>
      </c>
      <c r="E2075" s="35">
        <f>+'[2]por cuent'!H2075</f>
        <v>190044661.81</v>
      </c>
      <c r="F2075" t="str">
        <f>+'[2]por cuent'!I2075</f>
        <v>624</v>
      </c>
    </row>
    <row r="2076" spans="1:6" x14ac:dyDescent="0.35">
      <c r="A2076" t="str">
        <f>+'[2]por cuent'!A2076</f>
        <v>ARS</v>
      </c>
      <c r="B2076" t="str">
        <f>+'[2]por cuent'!B2076</f>
        <v>624004267</v>
      </c>
      <c r="C2076" t="str">
        <f>+'[2]por cuent'!C2076</f>
        <v>DIEZ, LEANDRO SEBASTIAN</v>
      </c>
      <c r="D2076" s="35">
        <f>+'[2]por cuent'!G2076</f>
        <v>34765787.299999997</v>
      </c>
      <c r="E2076" s="35">
        <f>+'[2]por cuent'!H2076</f>
        <v>34765787.299999997</v>
      </c>
      <c r="F2076" t="str">
        <f>+'[2]por cuent'!I2076</f>
        <v>624</v>
      </c>
    </row>
    <row r="2077" spans="1:6" x14ac:dyDescent="0.35">
      <c r="A2077" t="str">
        <f>+'[2]por cuent'!A2077</f>
        <v>ARS</v>
      </c>
      <c r="B2077" t="str">
        <f>+'[2]por cuent'!B2077</f>
        <v>624004271</v>
      </c>
      <c r="C2077" t="str">
        <f>+'[2]por cuent'!C2077</f>
        <v>RODRIGUEZ, PABLO OSCAR</v>
      </c>
      <c r="D2077" s="35">
        <f>+'[2]por cuent'!G2077</f>
        <v>6447145.1900000004</v>
      </c>
      <c r="E2077" s="35">
        <f>+'[2]por cuent'!H2077</f>
        <v>6447145.1900000004</v>
      </c>
      <c r="F2077" t="str">
        <f>+'[2]por cuent'!I2077</f>
        <v>624</v>
      </c>
    </row>
    <row r="2078" spans="1:6" x14ac:dyDescent="0.35">
      <c r="A2078" t="str">
        <f>+'[2]por cuent'!A2078</f>
        <v>ARS</v>
      </c>
      <c r="B2078" t="str">
        <f>+'[2]por cuent'!B2078</f>
        <v>624004281</v>
      </c>
      <c r="C2078" t="str">
        <f>+'[2]por cuent'!C2078</f>
        <v>ROLDAN, ROSA LILIANA  o AGUSTI ROLDAN, MARIANELA o DJOUBAILI, JORGE FRANCISCO</v>
      </c>
      <c r="D2078" s="35">
        <f>+'[2]por cuent'!G2078</f>
        <v>8652100.7100000009</v>
      </c>
      <c r="E2078" s="35">
        <f>+'[2]por cuent'!H2078</f>
        <v>8652100.7100000009</v>
      </c>
      <c r="F2078" t="str">
        <f>+'[2]por cuent'!I2078</f>
        <v>624</v>
      </c>
    </row>
    <row r="2079" spans="1:6" x14ac:dyDescent="0.35">
      <c r="A2079" t="str">
        <f>+'[2]por cuent'!A2079</f>
        <v>ARS</v>
      </c>
      <c r="B2079" t="str">
        <f>+'[2]por cuent'!B2079</f>
        <v>624004283</v>
      </c>
      <c r="C2079" t="str">
        <f>+'[2]por cuent'!C2079</f>
        <v xml:space="preserve">PELATTI, GABRIEL IGNACIO o BRUNET, ELISABET PAOLA </v>
      </c>
      <c r="D2079" s="35">
        <f>+'[2]por cuent'!G2079</f>
        <v>21860702</v>
      </c>
      <c r="E2079" s="35">
        <f>+'[2]por cuent'!H2079</f>
        <v>21860702</v>
      </c>
      <c r="F2079" t="str">
        <f>+'[2]por cuent'!I2079</f>
        <v>624</v>
      </c>
    </row>
    <row r="2080" spans="1:6" x14ac:dyDescent="0.35">
      <c r="A2080" t="str">
        <f>+'[2]por cuent'!A2080</f>
        <v>ARS</v>
      </c>
      <c r="B2080" t="str">
        <f>+'[2]por cuent'!B2080</f>
        <v>624004286</v>
      </c>
      <c r="C2080" t="str">
        <f>+'[2]por cuent'!C2080</f>
        <v>D'AGOSTINO, CECILIA CAYETANA RITA</v>
      </c>
      <c r="D2080" s="35">
        <f>+'[2]por cuent'!G2080</f>
        <v>118490</v>
      </c>
      <c r="E2080" s="35">
        <f>+'[2]por cuent'!H2080</f>
        <v>118490</v>
      </c>
      <c r="F2080" t="str">
        <f>+'[2]por cuent'!I2080</f>
        <v>624</v>
      </c>
    </row>
    <row r="2081" spans="1:6" x14ac:dyDescent="0.35">
      <c r="A2081" t="str">
        <f>+'[2]por cuent'!A2081</f>
        <v>ARS</v>
      </c>
      <c r="B2081" t="str">
        <f>+'[2]por cuent'!B2081</f>
        <v>624004287</v>
      </c>
      <c r="C2081" t="str">
        <f>+'[2]por cuent'!C2081</f>
        <v xml:space="preserve">POGLIACOMI, ADELA ADA o MORENO, JUSTO MARIO </v>
      </c>
      <c r="D2081" s="35">
        <f>+'[2]por cuent'!G2081</f>
        <v>8316</v>
      </c>
      <c r="E2081" s="35">
        <f>+'[2]por cuent'!H2081</f>
        <v>8316</v>
      </c>
      <c r="F2081" t="str">
        <f>+'[2]por cuent'!I2081</f>
        <v>624</v>
      </c>
    </row>
    <row r="2082" spans="1:6" x14ac:dyDescent="0.35">
      <c r="A2082" t="str">
        <f>+'[2]por cuent'!A2082</f>
        <v>ARS</v>
      </c>
      <c r="B2082" t="str">
        <f>+'[2]por cuent'!B2082</f>
        <v>624004300</v>
      </c>
      <c r="C2082" t="str">
        <f>+'[2]por cuent'!C2082</f>
        <v>SETTECASI, JULIETA</v>
      </c>
      <c r="D2082" s="35">
        <f>+'[2]por cuent'!G2082</f>
        <v>1498185</v>
      </c>
      <c r="E2082" s="35">
        <f>+'[2]por cuent'!H2082</f>
        <v>1498185</v>
      </c>
      <c r="F2082" t="str">
        <f>+'[2]por cuent'!I2082</f>
        <v>624</v>
      </c>
    </row>
    <row r="2083" spans="1:6" x14ac:dyDescent="0.35">
      <c r="A2083" t="str">
        <f>+'[2]por cuent'!A2083</f>
        <v>ARS</v>
      </c>
      <c r="B2083" t="str">
        <f>+'[2]por cuent'!B2083</f>
        <v>624004304</v>
      </c>
      <c r="C2083" t="str">
        <f>+'[2]por cuent'!C2083</f>
        <v>RESINAS ROSARIO S.R.L.</v>
      </c>
      <c r="D2083" s="35">
        <f>+'[2]por cuent'!G2083</f>
        <v>2144744348.97</v>
      </c>
      <c r="E2083" s="35">
        <f>+'[2]por cuent'!H2083</f>
        <v>2144744348.97</v>
      </c>
      <c r="F2083" t="str">
        <f>+'[2]por cuent'!I2083</f>
        <v>624</v>
      </c>
    </row>
    <row r="2084" spans="1:6" x14ac:dyDescent="0.35">
      <c r="A2084" t="str">
        <f>+'[2]por cuent'!A2084</f>
        <v>ARS</v>
      </c>
      <c r="B2084" t="str">
        <f>+'[2]por cuent'!B2084</f>
        <v>624004305</v>
      </c>
      <c r="C2084" t="str">
        <f>+'[2]por cuent'!C2084</f>
        <v>VEGAS, NESTOR JOSE</v>
      </c>
      <c r="D2084" s="35">
        <f>+'[2]por cuent'!G2084</f>
        <v>186492</v>
      </c>
      <c r="E2084" s="35">
        <f>+'[2]por cuent'!H2084</f>
        <v>186492</v>
      </c>
      <c r="F2084" t="str">
        <f>+'[2]por cuent'!I2084</f>
        <v>624</v>
      </c>
    </row>
    <row r="2085" spans="1:6" x14ac:dyDescent="0.35">
      <c r="A2085" t="str">
        <f>+'[2]por cuent'!A2085</f>
        <v>ARS</v>
      </c>
      <c r="B2085" t="str">
        <f>+'[2]por cuent'!B2085</f>
        <v>624004307</v>
      </c>
      <c r="C2085" t="str">
        <f>+'[2]por cuent'!C2085</f>
        <v>DI BENEDETTI, SANDRA VIVIANA</v>
      </c>
      <c r="D2085" s="35">
        <f>+'[2]por cuent'!G2085</f>
        <v>27772767.559999999</v>
      </c>
      <c r="E2085" s="35">
        <f>+'[2]por cuent'!H2085</f>
        <v>27772767.559999999</v>
      </c>
      <c r="F2085" t="str">
        <f>+'[2]por cuent'!I2085</f>
        <v>624</v>
      </c>
    </row>
    <row r="2086" spans="1:6" x14ac:dyDescent="0.35">
      <c r="A2086" t="str">
        <f>+'[2]por cuent'!A2086</f>
        <v>ARS</v>
      </c>
      <c r="B2086" t="str">
        <f>+'[2]por cuent'!B2086</f>
        <v>624004312</v>
      </c>
      <c r="C2086" t="str">
        <f>+'[2]por cuent'!C2086</f>
        <v>GONZALEZ, MARCELO ALEJANDRO</v>
      </c>
      <c r="D2086" s="35">
        <f>+'[2]por cuent'!G2086</f>
        <v>83646957.540000007</v>
      </c>
      <c r="E2086" s="35">
        <f>+'[2]por cuent'!H2086</f>
        <v>83646957.540000007</v>
      </c>
      <c r="F2086" t="str">
        <f>+'[2]por cuent'!I2086</f>
        <v>624</v>
      </c>
    </row>
    <row r="2087" spans="1:6" x14ac:dyDescent="0.35">
      <c r="A2087" t="str">
        <f>+'[2]por cuent'!A2087</f>
        <v>ARS</v>
      </c>
      <c r="B2087" t="str">
        <f>+'[2]por cuent'!B2087</f>
        <v>624004316</v>
      </c>
      <c r="C2087" t="str">
        <f>+'[2]por cuent'!C2087</f>
        <v>MOROSINI, MARIA DEL CARMEN ELENA</v>
      </c>
      <c r="D2087" s="35">
        <f>+'[2]por cuent'!G2087</f>
        <v>12975944.109999999</v>
      </c>
      <c r="E2087" s="35">
        <f>+'[2]por cuent'!H2087</f>
        <v>12975944.109999999</v>
      </c>
      <c r="F2087" t="str">
        <f>+'[2]por cuent'!I2087</f>
        <v>624</v>
      </c>
    </row>
    <row r="2088" spans="1:6" x14ac:dyDescent="0.35">
      <c r="A2088" t="str">
        <f>+'[2]por cuent'!A2088</f>
        <v>ARS</v>
      </c>
      <c r="B2088" t="str">
        <f>+'[2]por cuent'!B2088</f>
        <v>624004317</v>
      </c>
      <c r="C2088" t="str">
        <f>+'[2]por cuent'!C2088</f>
        <v>MAGE, LILIANA BEATRIZ</v>
      </c>
      <c r="D2088" s="35">
        <f>+'[2]por cuent'!G2088</f>
        <v>290046005.39999998</v>
      </c>
      <c r="E2088" s="35">
        <f>+'[2]por cuent'!H2088</f>
        <v>290046005.39999998</v>
      </c>
      <c r="F2088" t="str">
        <f>+'[2]por cuent'!I2088</f>
        <v>624</v>
      </c>
    </row>
    <row r="2089" spans="1:6" x14ac:dyDescent="0.35">
      <c r="A2089" t="str">
        <f>+'[2]por cuent'!A2089</f>
        <v>ARS</v>
      </c>
      <c r="B2089" t="str">
        <f>+'[2]por cuent'!B2089</f>
        <v>624004318</v>
      </c>
      <c r="C2089" t="str">
        <f>+'[2]por cuent'!C2089</f>
        <v>VEGAS, GUSTAVO ARIEL</v>
      </c>
      <c r="D2089" s="35">
        <f>+'[2]por cuent'!G2089</f>
        <v>35870077.149999999</v>
      </c>
      <c r="E2089" s="35">
        <f>+'[2]por cuent'!H2089</f>
        <v>35870077.149999999</v>
      </c>
      <c r="F2089" t="str">
        <f>+'[2]por cuent'!I2089</f>
        <v>624</v>
      </c>
    </row>
    <row r="2090" spans="1:6" x14ac:dyDescent="0.35">
      <c r="A2090" t="str">
        <f>+'[2]por cuent'!A2090</f>
        <v>ARS</v>
      </c>
      <c r="B2090" t="str">
        <f>+'[2]por cuent'!B2090</f>
        <v>624004321</v>
      </c>
      <c r="C2090" t="str">
        <f>+'[2]por cuent'!C2090</f>
        <v>LIBERATORE, ALICIA ELDA</v>
      </c>
      <c r="D2090" s="35">
        <f>+'[2]por cuent'!G2090</f>
        <v>24111040.309999999</v>
      </c>
      <c r="E2090" s="35">
        <f>+'[2]por cuent'!H2090</f>
        <v>24111040.309999999</v>
      </c>
      <c r="F2090" t="str">
        <f>+'[2]por cuent'!I2090</f>
        <v>624</v>
      </c>
    </row>
    <row r="2091" spans="1:6" x14ac:dyDescent="0.35">
      <c r="A2091" t="str">
        <f>+'[2]por cuent'!A2091</f>
        <v>ARS</v>
      </c>
      <c r="B2091" t="str">
        <f>+'[2]por cuent'!B2091</f>
        <v>624004324</v>
      </c>
      <c r="C2091" t="str">
        <f>+'[2]por cuent'!C2091</f>
        <v>SILVA, DANIELA PRISCILA</v>
      </c>
      <c r="D2091" s="35">
        <f>+'[2]por cuent'!G2091</f>
        <v>1548166.6</v>
      </c>
      <c r="E2091" s="35">
        <f>+'[2]por cuent'!H2091</f>
        <v>1548166.6</v>
      </c>
      <c r="F2091" t="str">
        <f>+'[2]por cuent'!I2091</f>
        <v>624</v>
      </c>
    </row>
    <row r="2092" spans="1:6" x14ac:dyDescent="0.35">
      <c r="A2092" t="str">
        <f>+'[2]por cuent'!A2092</f>
        <v>ARS</v>
      </c>
      <c r="B2092" t="str">
        <f>+'[2]por cuent'!B2092</f>
        <v>624004330</v>
      </c>
      <c r="C2092" t="str">
        <f>+'[2]por cuent'!C2092</f>
        <v>GRIPLAST SOC. de HECHO</v>
      </c>
      <c r="D2092" s="35">
        <f>+'[2]por cuent'!G2092</f>
        <v>275056185.20999998</v>
      </c>
      <c r="E2092" s="35">
        <f>+'[2]por cuent'!H2092</f>
        <v>275056185.20999998</v>
      </c>
      <c r="F2092" t="str">
        <f>+'[2]por cuent'!I2092</f>
        <v>624</v>
      </c>
    </row>
    <row r="2093" spans="1:6" x14ac:dyDescent="0.35">
      <c r="A2093" t="str">
        <f>+'[2]por cuent'!A2093</f>
        <v>ARS</v>
      </c>
      <c r="B2093" t="str">
        <f>+'[2]por cuent'!B2093</f>
        <v>624004332</v>
      </c>
      <c r="C2093" t="str">
        <f>+'[2]por cuent'!C2093</f>
        <v>EZPELETA, HORACIO ESTEBAN</v>
      </c>
      <c r="D2093" s="35">
        <f>+'[2]por cuent'!G2093</f>
        <v>344486.9</v>
      </c>
      <c r="E2093" s="35">
        <f>+'[2]por cuent'!H2093</f>
        <v>344486.9</v>
      </c>
      <c r="F2093" t="str">
        <f>+'[2]por cuent'!I2093</f>
        <v>624</v>
      </c>
    </row>
    <row r="2094" spans="1:6" x14ac:dyDescent="0.35">
      <c r="A2094" t="str">
        <f>+'[2]por cuent'!A2094</f>
        <v>ARS</v>
      </c>
      <c r="B2094" t="str">
        <f>+'[2]por cuent'!B2094</f>
        <v>624004335</v>
      </c>
      <c r="C2094" t="str">
        <f>+'[2]por cuent'!C2094</f>
        <v>SCARPIGNATO, CELINA</v>
      </c>
      <c r="D2094" s="35">
        <f>+'[2]por cuent'!G2094</f>
        <v>86340</v>
      </c>
      <c r="E2094" s="35">
        <f>+'[2]por cuent'!H2094</f>
        <v>86340</v>
      </c>
      <c r="F2094" t="str">
        <f>+'[2]por cuent'!I2094</f>
        <v>624</v>
      </c>
    </row>
    <row r="2095" spans="1:6" x14ac:dyDescent="0.35">
      <c r="A2095" t="str">
        <f>+'[2]por cuent'!A2095</f>
        <v>ARS</v>
      </c>
      <c r="B2095" t="str">
        <f>+'[2]por cuent'!B2095</f>
        <v>624004344</v>
      </c>
      <c r="C2095" t="str">
        <f>+'[2]por cuent'!C2095</f>
        <v>PERETTI, GABRIELA FERNANDA o PERETTI, LUIS ALBERTO o PERETTI, LUCIANA BELEN</v>
      </c>
      <c r="D2095" s="35">
        <f>+'[2]por cuent'!G2095</f>
        <v>6104000</v>
      </c>
      <c r="E2095" s="35">
        <f>+'[2]por cuent'!H2095</f>
        <v>6104000</v>
      </c>
      <c r="F2095" t="str">
        <f>+'[2]por cuent'!I2095</f>
        <v>624</v>
      </c>
    </row>
    <row r="2096" spans="1:6" x14ac:dyDescent="0.35">
      <c r="A2096" t="str">
        <f>+'[2]por cuent'!A2096</f>
        <v>ARS</v>
      </c>
      <c r="B2096" t="str">
        <f>+'[2]por cuent'!B2096</f>
        <v>624004353</v>
      </c>
      <c r="C2096" t="str">
        <f>+'[2]por cuent'!C2096</f>
        <v>BARRILLI, GRACIELA ESTHER  o SYLWAN, ALBERTO GUSTAVO</v>
      </c>
      <c r="D2096" s="35">
        <f>+'[2]por cuent'!G2096</f>
        <v>1025584.72</v>
      </c>
      <c r="E2096" s="35">
        <f>+'[2]por cuent'!H2096</f>
        <v>1025584.72</v>
      </c>
      <c r="F2096" t="str">
        <f>+'[2]por cuent'!I2096</f>
        <v>624</v>
      </c>
    </row>
    <row r="2097" spans="1:6" x14ac:dyDescent="0.35">
      <c r="A2097" t="str">
        <f>+'[2]por cuent'!A2097</f>
        <v>ARS</v>
      </c>
      <c r="B2097" t="str">
        <f>+'[2]por cuent'!B2097</f>
        <v>624004354</v>
      </c>
      <c r="C2097" t="str">
        <f>+'[2]por cuent'!C2097</f>
        <v>SEMPRINI, ANA MARIA</v>
      </c>
      <c r="D2097" s="35">
        <f>+'[2]por cuent'!G2097</f>
        <v>30694981.280000001</v>
      </c>
      <c r="E2097" s="35">
        <f>+'[2]por cuent'!H2097</f>
        <v>30694981.280000001</v>
      </c>
      <c r="F2097" t="str">
        <f>+'[2]por cuent'!I2097</f>
        <v>624</v>
      </c>
    </row>
    <row r="2098" spans="1:6" x14ac:dyDescent="0.35">
      <c r="A2098" t="str">
        <f>+'[2]por cuent'!A2098</f>
        <v>ARS</v>
      </c>
      <c r="B2098" t="str">
        <f>+'[2]por cuent'!B2098</f>
        <v>624004363</v>
      </c>
      <c r="C2098" t="str">
        <f>+'[2]por cuent'!C2098</f>
        <v>KYOJIN S.A.</v>
      </c>
      <c r="D2098" s="35">
        <f>+'[2]por cuent'!G2098</f>
        <v>69750</v>
      </c>
      <c r="E2098" s="35">
        <f>+'[2]por cuent'!H2098</f>
        <v>69750</v>
      </c>
      <c r="F2098" t="str">
        <f>+'[2]por cuent'!I2098</f>
        <v>624</v>
      </c>
    </row>
    <row r="2099" spans="1:6" x14ac:dyDescent="0.35">
      <c r="A2099" t="str">
        <f>+'[2]por cuent'!A2099</f>
        <v>ARS</v>
      </c>
      <c r="B2099" t="str">
        <f>+'[2]por cuent'!B2099</f>
        <v>624004374</v>
      </c>
      <c r="C2099" t="str">
        <f>+'[2]por cuent'!C2099</f>
        <v>MONTECCHIARI, ANDRES PABLO</v>
      </c>
      <c r="D2099" s="35">
        <f>+'[2]por cuent'!G2099</f>
        <v>185775.4</v>
      </c>
      <c r="E2099" s="35">
        <f>+'[2]por cuent'!H2099</f>
        <v>185775.4</v>
      </c>
      <c r="F2099" t="str">
        <f>+'[2]por cuent'!I2099</f>
        <v>624</v>
      </c>
    </row>
    <row r="2100" spans="1:6" x14ac:dyDescent="0.35">
      <c r="A2100" t="str">
        <f>+'[2]por cuent'!A2100</f>
        <v>ARS</v>
      </c>
      <c r="B2100" t="str">
        <f>+'[2]por cuent'!B2100</f>
        <v>624004375</v>
      </c>
      <c r="C2100" t="str">
        <f>+'[2]por cuent'!C2100</f>
        <v>BAO, OSVALDO HECTOR o WITT, NORMA CRISTINA</v>
      </c>
      <c r="D2100" s="35">
        <f>+'[2]por cuent'!G2100</f>
        <v>1006471.1</v>
      </c>
      <c r="E2100" s="35">
        <f>+'[2]por cuent'!H2100</f>
        <v>1006471.1</v>
      </c>
      <c r="F2100" t="str">
        <f>+'[2]por cuent'!I2100</f>
        <v>624</v>
      </c>
    </row>
    <row r="2101" spans="1:6" x14ac:dyDescent="0.35">
      <c r="A2101" t="str">
        <f>+'[2]por cuent'!A2101</f>
        <v>ARS</v>
      </c>
      <c r="B2101" t="str">
        <f>+'[2]por cuent'!B2101</f>
        <v>624004380</v>
      </c>
      <c r="C2101" t="str">
        <f>+'[2]por cuent'!C2101</f>
        <v>RODRIGUEZ , MARIA ROSA o LOPEZ, SILVINA ANDREA</v>
      </c>
      <c r="D2101" s="35">
        <f>+'[2]por cuent'!G2101</f>
        <v>184267614.5</v>
      </c>
      <c r="E2101" s="35">
        <f>+'[2]por cuent'!H2101</f>
        <v>184267614.5</v>
      </c>
      <c r="F2101" t="str">
        <f>+'[2]por cuent'!I2101</f>
        <v>624</v>
      </c>
    </row>
    <row r="2102" spans="1:6" x14ac:dyDescent="0.35">
      <c r="A2102" t="str">
        <f>+'[2]por cuent'!A2102</f>
        <v>ARS</v>
      </c>
      <c r="B2102" t="str">
        <f>+'[2]por cuent'!B2102</f>
        <v>624004387</v>
      </c>
      <c r="C2102" t="str">
        <f>+'[2]por cuent'!C2102</f>
        <v>ORTIZ, DANIEL o FISICARO, MARIA ALEJANDRA</v>
      </c>
      <c r="D2102" s="35">
        <f>+'[2]por cuent'!G2102</f>
        <v>22247296.359999999</v>
      </c>
      <c r="E2102" s="35">
        <f>+'[2]por cuent'!H2102</f>
        <v>22247296.359999999</v>
      </c>
      <c r="F2102" t="str">
        <f>+'[2]por cuent'!I2102</f>
        <v>624</v>
      </c>
    </row>
    <row r="2103" spans="1:6" x14ac:dyDescent="0.35">
      <c r="A2103" t="str">
        <f>+'[2]por cuent'!A2103</f>
        <v>ARS</v>
      </c>
      <c r="B2103" t="str">
        <f>+'[2]por cuent'!B2103</f>
        <v>624004389</v>
      </c>
      <c r="C2103" t="str">
        <f>+'[2]por cuent'!C2103</f>
        <v>FERNANDEZ, MARIA DEL ROSARIO o HACHEN, LUCIANA  o HACHEN, ULISES</v>
      </c>
      <c r="D2103" s="35">
        <f>+'[2]por cuent'!G2103</f>
        <v>25575777.09</v>
      </c>
      <c r="E2103" s="35">
        <f>+'[2]por cuent'!H2103</f>
        <v>25575777.09</v>
      </c>
      <c r="F2103" t="str">
        <f>+'[2]por cuent'!I2103</f>
        <v>624</v>
      </c>
    </row>
    <row r="2104" spans="1:6" x14ac:dyDescent="0.35">
      <c r="A2104" t="str">
        <f>+'[2]por cuent'!A2104</f>
        <v>ARS</v>
      </c>
      <c r="B2104" t="str">
        <f>+'[2]por cuent'!B2104</f>
        <v>624004392</v>
      </c>
      <c r="C2104" t="str">
        <f>+'[2]por cuent'!C2104</f>
        <v>LOYOLA, EMILCE MARIA Y LOYOLA IGNACIO GUSTAVO S. CAP I SECC IV</v>
      </c>
      <c r="D2104" s="35">
        <f>+'[2]por cuent'!G2104</f>
        <v>36826541.340000004</v>
      </c>
      <c r="E2104" s="35">
        <f>+'[2]por cuent'!H2104</f>
        <v>36826541.340000004</v>
      </c>
      <c r="F2104" t="str">
        <f>+'[2]por cuent'!I2104</f>
        <v>624</v>
      </c>
    </row>
    <row r="2105" spans="1:6" x14ac:dyDescent="0.35">
      <c r="A2105" t="str">
        <f>+'[2]por cuent'!A2105</f>
        <v>ARS</v>
      </c>
      <c r="B2105" t="str">
        <f>+'[2]por cuent'!B2105</f>
        <v>624004394</v>
      </c>
      <c r="C2105" t="str">
        <f>+'[2]por cuent'!C2105</f>
        <v>DELL'ELCE, KARINA PAOLA o DELL'ELCE, LAURA MARIELA</v>
      </c>
      <c r="D2105" s="35">
        <f>+'[2]por cuent'!G2105</f>
        <v>9463950.9700000007</v>
      </c>
      <c r="E2105" s="35">
        <f>+'[2]por cuent'!H2105</f>
        <v>9463950.9700000007</v>
      </c>
      <c r="F2105" t="str">
        <f>+'[2]por cuent'!I2105</f>
        <v>624</v>
      </c>
    </row>
    <row r="2106" spans="1:6" x14ac:dyDescent="0.35">
      <c r="A2106" t="str">
        <f>+'[2]por cuent'!A2106</f>
        <v>ARS</v>
      </c>
      <c r="B2106" t="str">
        <f>+'[2]por cuent'!B2106</f>
        <v>624004395</v>
      </c>
      <c r="C2106" t="str">
        <f>+'[2]por cuent'!C2106</f>
        <v>DELL'ELCE, LAURA MARIELA o DELL'ELCE, KARINA PAOLA</v>
      </c>
      <c r="D2106" s="35">
        <f>+'[2]por cuent'!G2106</f>
        <v>31663733.43</v>
      </c>
      <c r="E2106" s="35">
        <f>+'[2]por cuent'!H2106</f>
        <v>31663733.43</v>
      </c>
      <c r="F2106" t="str">
        <f>+'[2]por cuent'!I2106</f>
        <v>624</v>
      </c>
    </row>
    <row r="2107" spans="1:6" x14ac:dyDescent="0.35">
      <c r="A2107" t="str">
        <f>+'[2]por cuent'!A2107</f>
        <v>ARS</v>
      </c>
      <c r="B2107" t="str">
        <f>+'[2]por cuent'!B2107</f>
        <v>624004396</v>
      </c>
      <c r="C2107" t="str">
        <f>+'[2]por cuent'!C2107</f>
        <v>DELL'ELCE, KARINA PAOLA o DELL'ELCE, LAURA MARIELA</v>
      </c>
      <c r="D2107" s="35">
        <f>+'[2]por cuent'!G2107</f>
        <v>36693231.07</v>
      </c>
      <c r="E2107" s="35">
        <f>+'[2]por cuent'!H2107</f>
        <v>36693231.07</v>
      </c>
      <c r="F2107" t="str">
        <f>+'[2]por cuent'!I2107</f>
        <v>624</v>
      </c>
    </row>
    <row r="2108" spans="1:6" x14ac:dyDescent="0.35">
      <c r="A2108" t="str">
        <f>+'[2]por cuent'!A2108</f>
        <v>ARS</v>
      </c>
      <c r="B2108" t="str">
        <f>+'[2]por cuent'!B2108</f>
        <v>624004411</v>
      </c>
      <c r="C2108" t="str">
        <f>+'[2]por cuent'!C2108</f>
        <v>NOBAU, LUCIANO ANDRES o LARIO, NATALIA GISELA</v>
      </c>
      <c r="D2108" s="35">
        <f>+'[2]por cuent'!G2108</f>
        <v>12123309.210000001</v>
      </c>
      <c r="E2108" s="35">
        <f>+'[2]por cuent'!H2108</f>
        <v>12123309.210000001</v>
      </c>
      <c r="F2108" t="str">
        <f>+'[2]por cuent'!I2108</f>
        <v>624</v>
      </c>
    </row>
    <row r="2109" spans="1:6" x14ac:dyDescent="0.35">
      <c r="A2109" t="str">
        <f>+'[2]por cuent'!A2109</f>
        <v>ARS</v>
      </c>
      <c r="B2109" t="str">
        <f>+'[2]por cuent'!B2109</f>
        <v>624004415</v>
      </c>
      <c r="C2109" t="str">
        <f>+'[2]por cuent'!C2109</f>
        <v xml:space="preserve"> [C.E.R.A.] PINAZO, MARIA SUSANA</v>
      </c>
      <c r="D2109" s="35">
        <f>+'[2]por cuent'!G2109</f>
        <v>46705</v>
      </c>
      <c r="E2109" s="35">
        <f>+'[2]por cuent'!H2109</f>
        <v>46705</v>
      </c>
      <c r="F2109" t="str">
        <f>+'[2]por cuent'!I2109</f>
        <v>624</v>
      </c>
    </row>
    <row r="2110" spans="1:6" x14ac:dyDescent="0.35">
      <c r="A2110" t="str">
        <f>+'[2]por cuent'!A2110</f>
        <v>ARS</v>
      </c>
      <c r="B2110" t="str">
        <f>+'[2]por cuent'!B2110</f>
        <v>624004420</v>
      </c>
      <c r="C2110" t="str">
        <f>+'[2]por cuent'!C2110</f>
        <v xml:space="preserve">ELISEI, MATIAS GABRIEL </v>
      </c>
      <c r="D2110" s="35">
        <f>+'[2]por cuent'!G2110</f>
        <v>3205440.96</v>
      </c>
      <c r="E2110" s="35">
        <f>+'[2]por cuent'!H2110</f>
        <v>3205440.96</v>
      </c>
      <c r="F2110" t="str">
        <f>+'[2]por cuent'!I2110</f>
        <v>624</v>
      </c>
    </row>
    <row r="2111" spans="1:6" x14ac:dyDescent="0.35">
      <c r="A2111" t="str">
        <f>+'[2]por cuent'!A2111</f>
        <v>ARS</v>
      </c>
      <c r="B2111" t="str">
        <f>+'[2]por cuent'!B2111</f>
        <v>624004427</v>
      </c>
      <c r="C2111" t="str">
        <f>+'[2]por cuent'!C2111</f>
        <v>OLIVERA, CAROLINA ALEJANDRA DEL VALLE</v>
      </c>
      <c r="D2111" s="35">
        <f>+'[2]por cuent'!G2111</f>
        <v>2820750.1</v>
      </c>
      <c r="E2111" s="35">
        <f>+'[2]por cuent'!H2111</f>
        <v>2820750.1</v>
      </c>
      <c r="F2111" t="str">
        <f>+'[2]por cuent'!I2111</f>
        <v>624</v>
      </c>
    </row>
    <row r="2112" spans="1:6" x14ac:dyDescent="0.35">
      <c r="A2112" t="str">
        <f>+'[2]por cuent'!A2112</f>
        <v>ARS</v>
      </c>
      <c r="B2112" t="str">
        <f>+'[2]por cuent'!B2112</f>
        <v>624004430</v>
      </c>
      <c r="C2112" t="str">
        <f>+'[2]por cuent'!C2112</f>
        <v>CODESIDO, LIDIA MARTA LILIANA o LEIVA, FRANCISCO GABRIEL</v>
      </c>
      <c r="D2112" s="35">
        <f>+'[2]por cuent'!G2112</f>
        <v>42890361.25</v>
      </c>
      <c r="E2112" s="35">
        <f>+'[2]por cuent'!H2112</f>
        <v>42890361.25</v>
      </c>
      <c r="F2112" t="str">
        <f>+'[2]por cuent'!I2112</f>
        <v>624</v>
      </c>
    </row>
    <row r="2113" spans="1:6" x14ac:dyDescent="0.35">
      <c r="A2113" t="str">
        <f>+'[2]por cuent'!A2113</f>
        <v>ARS</v>
      </c>
      <c r="B2113" t="str">
        <f>+'[2]por cuent'!B2113</f>
        <v>624004432</v>
      </c>
      <c r="C2113" t="str">
        <f>+'[2]por cuent'!C2113</f>
        <v>PETRINI , EDUARDO FERNANDO o PETRINI, MARTIN EDUARDO</v>
      </c>
      <c r="D2113" s="35">
        <f>+'[2]por cuent'!G2113</f>
        <v>81689790.819999993</v>
      </c>
      <c r="E2113" s="35">
        <f>+'[2]por cuent'!H2113</f>
        <v>81689790.819999993</v>
      </c>
      <c r="F2113" t="str">
        <f>+'[2]por cuent'!I2113</f>
        <v>624</v>
      </c>
    </row>
    <row r="2114" spans="1:6" x14ac:dyDescent="0.35">
      <c r="A2114" t="str">
        <f>+'[2]por cuent'!A2114</f>
        <v>ARS</v>
      </c>
      <c r="B2114" t="str">
        <f>+'[2]por cuent'!B2114</f>
        <v>624004436</v>
      </c>
      <c r="C2114" t="str">
        <f>+'[2]por cuent'!C2114</f>
        <v>FISSORE, MARIA ESTER o ZURBRIGGEN, CARLOS ALBERTO o ZURBRIGGEN, GASTON CARLOS</v>
      </c>
      <c r="D2114" s="35">
        <f>+'[2]por cuent'!G2114</f>
        <v>3446612.74</v>
      </c>
      <c r="E2114" s="35">
        <f>+'[2]por cuent'!H2114</f>
        <v>3446612.74</v>
      </c>
      <c r="F2114" t="str">
        <f>+'[2]por cuent'!I2114</f>
        <v>624</v>
      </c>
    </row>
    <row r="2115" spans="1:6" x14ac:dyDescent="0.35">
      <c r="A2115" t="str">
        <f>+'[2]por cuent'!A2115</f>
        <v>ARS</v>
      </c>
      <c r="B2115" t="str">
        <f>+'[2]por cuent'!B2115</f>
        <v>624004438</v>
      </c>
      <c r="C2115" t="str">
        <f>+'[2]por cuent'!C2115</f>
        <v>AGUSTI, RUBEN ANIBAL o AGUSTI ROLDAN, MARIANELA o DJOUBAILI, JORGE FRANCISCO</v>
      </c>
      <c r="D2115" s="35">
        <f>+'[2]por cuent'!G2115</f>
        <v>39498147.509999998</v>
      </c>
      <c r="E2115" s="35">
        <f>+'[2]por cuent'!H2115</f>
        <v>39498147.509999998</v>
      </c>
      <c r="F2115" t="str">
        <f>+'[2]por cuent'!I2115</f>
        <v>624</v>
      </c>
    </row>
    <row r="2116" spans="1:6" x14ac:dyDescent="0.35">
      <c r="A2116" t="str">
        <f>+'[2]por cuent'!A2116</f>
        <v>ARS</v>
      </c>
      <c r="B2116" t="str">
        <f>+'[2]por cuent'!B2116</f>
        <v>624004441</v>
      </c>
      <c r="C2116" t="str">
        <f>+'[2]por cuent'!C2116</f>
        <v>KAPLAN, MELISA MIRIAN O COMAN, MARIA DE LOS ANGELES (CARTERA PROPIA)</v>
      </c>
      <c r="D2116" s="35">
        <f>+'[2]por cuent'!G2116</f>
        <v>6798665.8600000003</v>
      </c>
      <c r="E2116" s="35">
        <f>+'[2]por cuent'!H2116</f>
        <v>6798665.8600000003</v>
      </c>
      <c r="F2116" t="str">
        <f>+'[2]por cuent'!I2116</f>
        <v>624</v>
      </c>
    </row>
    <row r="2117" spans="1:6" x14ac:dyDescent="0.35">
      <c r="A2117" t="str">
        <f>+'[2]por cuent'!A2117</f>
        <v>ARS</v>
      </c>
      <c r="B2117" t="str">
        <f>+'[2]por cuent'!B2117</f>
        <v>624004442</v>
      </c>
      <c r="C2117" t="str">
        <f>+'[2]por cuent'!C2117</f>
        <v>BELTRAN, JUAN</v>
      </c>
      <c r="D2117" s="35">
        <f>+'[2]por cuent'!G2117</f>
        <v>44262919.759999998</v>
      </c>
      <c r="E2117" s="35">
        <f>+'[2]por cuent'!H2117</f>
        <v>44262919.759999998</v>
      </c>
      <c r="F2117" t="str">
        <f>+'[2]por cuent'!I2117</f>
        <v>624</v>
      </c>
    </row>
    <row r="2118" spans="1:6" x14ac:dyDescent="0.35">
      <c r="A2118" t="str">
        <f>+'[2]por cuent'!A2118</f>
        <v>ARS</v>
      </c>
      <c r="B2118" t="str">
        <f>+'[2]por cuent'!B2118</f>
        <v>624004444</v>
      </c>
      <c r="C2118" t="str">
        <f>+'[2]por cuent'!C2118</f>
        <v>NAYMARK , CARLOS GABRIEL</v>
      </c>
      <c r="D2118" s="35">
        <f>+'[2]por cuent'!G2118</f>
        <v>344355</v>
      </c>
      <c r="E2118" s="35">
        <f>+'[2]por cuent'!H2118</f>
        <v>344355</v>
      </c>
      <c r="F2118" t="str">
        <f>+'[2]por cuent'!I2118</f>
        <v>624</v>
      </c>
    </row>
    <row r="2119" spans="1:6" x14ac:dyDescent="0.35">
      <c r="A2119" t="str">
        <f>+'[2]por cuent'!A2119</f>
        <v>ARS</v>
      </c>
      <c r="B2119" t="str">
        <f>+'[2]por cuent'!B2119</f>
        <v>624004446</v>
      </c>
      <c r="C2119" t="str">
        <f>+'[2]por cuent'!C2119</f>
        <v>CARPINETTI, NATALIA MARIA o BERTANI, RODRIGO LIONEL</v>
      </c>
      <c r="D2119" s="35">
        <f>+'[2]por cuent'!G2119</f>
        <v>5441625.8200000003</v>
      </c>
      <c r="E2119" s="35">
        <f>+'[2]por cuent'!H2119</f>
        <v>5441625.8200000003</v>
      </c>
      <c r="F2119" t="str">
        <f>+'[2]por cuent'!I2119</f>
        <v>624</v>
      </c>
    </row>
    <row r="2120" spans="1:6" x14ac:dyDescent="0.35">
      <c r="A2120" t="str">
        <f>+'[2]por cuent'!A2120</f>
        <v>ARS</v>
      </c>
      <c r="B2120" t="str">
        <f>+'[2]por cuent'!B2120</f>
        <v>624004448</v>
      </c>
      <c r="C2120" t="str">
        <f>+'[2]por cuent'!C2120</f>
        <v>PELLIZZER, CLAUDIA SILVANA o DRUKER, NATASHA LEA o DRUKER, COSTANZA YAEL</v>
      </c>
      <c r="D2120" s="35">
        <f>+'[2]por cuent'!G2120</f>
        <v>336180</v>
      </c>
      <c r="E2120" s="35">
        <f>+'[2]por cuent'!H2120</f>
        <v>336180</v>
      </c>
      <c r="F2120" t="str">
        <f>+'[2]por cuent'!I2120</f>
        <v>624</v>
      </c>
    </row>
    <row r="2121" spans="1:6" x14ac:dyDescent="0.35">
      <c r="A2121" t="str">
        <f>+'[2]por cuent'!A2121</f>
        <v>ARS</v>
      </c>
      <c r="B2121" t="str">
        <f>+'[2]por cuent'!B2121</f>
        <v>624004449</v>
      </c>
      <c r="C2121" t="str">
        <f>+'[2]por cuent'!C2121</f>
        <v>ELISAVETSKY JUAREZ, ERNESTO GUSTAVO o ZORZOLI, MIRTA MONICA</v>
      </c>
      <c r="D2121" s="35">
        <f>+'[2]por cuent'!G2121</f>
        <v>74192920.599999994</v>
      </c>
      <c r="E2121" s="35">
        <f>+'[2]por cuent'!H2121</f>
        <v>74192920.599999994</v>
      </c>
      <c r="F2121" t="str">
        <f>+'[2]por cuent'!I2121</f>
        <v>624</v>
      </c>
    </row>
    <row r="2122" spans="1:6" x14ac:dyDescent="0.35">
      <c r="A2122" t="str">
        <f>+'[2]por cuent'!A2122</f>
        <v>ARS</v>
      </c>
      <c r="B2122" t="str">
        <f>+'[2]por cuent'!B2122</f>
        <v>624004451</v>
      </c>
      <c r="C2122" t="str">
        <f>+'[2]por cuent'!C2122</f>
        <v xml:space="preserve">ZAFFORA , DANIEL LEONARDO o TIBALDO, DAIANA JACINTA </v>
      </c>
      <c r="D2122" s="35">
        <f>+'[2]por cuent'!G2122</f>
        <v>2326514.5099999998</v>
      </c>
      <c r="E2122" s="35">
        <f>+'[2]por cuent'!H2122</f>
        <v>2326514.5099999998</v>
      </c>
      <c r="F2122" t="str">
        <f>+'[2]por cuent'!I2122</f>
        <v>624</v>
      </c>
    </row>
    <row r="2123" spans="1:6" x14ac:dyDescent="0.35">
      <c r="A2123" t="str">
        <f>+'[2]por cuent'!A2123</f>
        <v>ARS</v>
      </c>
      <c r="B2123" t="str">
        <f>+'[2]por cuent'!B2123</f>
        <v>624004454</v>
      </c>
      <c r="C2123" t="str">
        <f>+'[2]por cuent'!C2123</f>
        <v xml:space="preserve">BERETTA , OSCAR MARCELO </v>
      </c>
      <c r="D2123" s="35">
        <f>+'[2]por cuent'!G2123</f>
        <v>3963468.85</v>
      </c>
      <c r="E2123" s="35">
        <f>+'[2]por cuent'!H2123</f>
        <v>3963468.85</v>
      </c>
      <c r="F2123" t="str">
        <f>+'[2]por cuent'!I2123</f>
        <v>624</v>
      </c>
    </row>
    <row r="2124" spans="1:6" x14ac:dyDescent="0.35">
      <c r="A2124" t="str">
        <f>+'[2]por cuent'!A2124</f>
        <v>ARS</v>
      </c>
      <c r="B2124" t="str">
        <f>+'[2]por cuent'!B2124</f>
        <v>648014013</v>
      </c>
      <c r="C2124" t="str">
        <f>+'[2]por cuent'!C2124</f>
        <v>AMBASCH MARIO ELIAS</v>
      </c>
      <c r="D2124" s="35">
        <f>+'[2]por cuent'!G2124</f>
        <v>3479811</v>
      </c>
      <c r="E2124" s="35">
        <f>+'[2]por cuent'!H2124</f>
        <v>3479811</v>
      </c>
      <c r="F2124" t="str">
        <f>+'[2]por cuent'!I2124</f>
        <v>648</v>
      </c>
    </row>
    <row r="2125" spans="1:6" x14ac:dyDescent="0.35">
      <c r="A2125" t="str">
        <f>+'[2]por cuent'!A2125</f>
        <v>ARS</v>
      </c>
      <c r="B2125" t="str">
        <f>+'[2]por cuent'!B2125</f>
        <v>649003789</v>
      </c>
      <c r="C2125" t="str">
        <f>+'[2]por cuent'!C2125</f>
        <v>LABORATORIOS BETA S.A</v>
      </c>
      <c r="D2125" s="35">
        <f>+'[2]por cuent'!G2125</f>
        <v>419697823.98000002</v>
      </c>
      <c r="E2125" s="35">
        <f>+'[2]por cuent'!H2125</f>
        <v>419697823.98000002</v>
      </c>
      <c r="F2125" t="str">
        <f>+'[2]por cuent'!I2125</f>
        <v>649</v>
      </c>
    </row>
    <row r="2126" spans="1:6" x14ac:dyDescent="0.35">
      <c r="A2126" t="str">
        <f>+'[2]por cuent'!A2126</f>
        <v>ARS</v>
      </c>
      <c r="B2126" t="str">
        <f>+'[2]por cuent'!B2126</f>
        <v>687000005</v>
      </c>
      <c r="C2126" t="str">
        <f>+'[2]por cuent'!C2126</f>
        <v>SAVINI, SERGIO OMAR o SANTOS, MARTA SILVIA</v>
      </c>
      <c r="D2126" s="35">
        <f>+'[2]por cuent'!G2126</f>
        <v>1717000</v>
      </c>
      <c r="E2126" s="35">
        <f>+'[2]por cuent'!H2126</f>
        <v>1717000</v>
      </c>
      <c r="F2126" t="str">
        <f>+'[2]por cuent'!I2126</f>
        <v>687</v>
      </c>
    </row>
    <row r="2127" spans="1:6" x14ac:dyDescent="0.35">
      <c r="A2127" t="str">
        <f>+'[2]por cuent'!A2127</f>
        <v>ARS</v>
      </c>
      <c r="B2127" t="str">
        <f>+'[2]por cuent'!B2127</f>
        <v>687000022</v>
      </c>
      <c r="C2127" t="str">
        <f>+'[2]por cuent'!C2127</f>
        <v>PIANO DANIEL</v>
      </c>
      <c r="D2127" s="35">
        <f>+'[2]por cuent'!G2127</f>
        <v>9329</v>
      </c>
      <c r="E2127" s="35">
        <f>+'[2]por cuent'!H2127</f>
        <v>9329</v>
      </c>
      <c r="F2127" t="str">
        <f>+'[2]por cuent'!I2127</f>
        <v>687</v>
      </c>
    </row>
    <row r="2128" spans="1:6" x14ac:dyDescent="0.35">
      <c r="A2128" t="str">
        <f>+'[2]por cuent'!A2128</f>
        <v>ARS</v>
      </c>
      <c r="B2128" t="str">
        <f>+'[2]por cuent'!B2128</f>
        <v>687000039</v>
      </c>
      <c r="C2128" t="str">
        <f>+'[2]por cuent'!C2128</f>
        <v xml:space="preserve">BERNELLI, PAOLA ALEJANDRA o BERNELLI, RAUL AUGUSTO o BERNELLI, CECILIA ANDREA </v>
      </c>
      <c r="D2128" s="35">
        <f>+'[2]por cuent'!G2128</f>
        <v>97846685.540000007</v>
      </c>
      <c r="E2128" s="35">
        <f>+'[2]por cuent'!H2128</f>
        <v>97846685.540000007</v>
      </c>
      <c r="F2128" t="str">
        <f>+'[2]por cuent'!I2128</f>
        <v>687</v>
      </c>
    </row>
    <row r="2129" spans="1:6" x14ac:dyDescent="0.35">
      <c r="A2129" t="str">
        <f>+'[2]por cuent'!A2129</f>
        <v>ARS</v>
      </c>
      <c r="B2129" t="str">
        <f>+'[2]por cuent'!B2129</f>
        <v>687000040</v>
      </c>
      <c r="C2129" t="str">
        <f>+'[2]por cuent'!C2129</f>
        <v>BERNELLI, RAUL AUGUSTO o MAISONNAVE, CARLOTA EMILIA o BERNELLI, CECILIA ANDREA</v>
      </c>
      <c r="D2129" s="35">
        <f>+'[2]por cuent'!G2129</f>
        <v>102056358.34999999</v>
      </c>
      <c r="E2129" s="35">
        <f>+'[2]por cuent'!H2129</f>
        <v>102056358.34999999</v>
      </c>
      <c r="F2129" t="str">
        <f>+'[2]por cuent'!I2129</f>
        <v>687</v>
      </c>
    </row>
    <row r="2130" spans="1:6" x14ac:dyDescent="0.35">
      <c r="A2130" t="str">
        <f>+'[2]por cuent'!A2130</f>
        <v>ARS</v>
      </c>
      <c r="B2130" t="str">
        <f>+'[2]por cuent'!B2130</f>
        <v>687000141</v>
      </c>
      <c r="C2130" t="str">
        <f>+'[2]por cuent'!C2130</f>
        <v>ARCEO, HORACIO MIGUEL</v>
      </c>
      <c r="D2130" s="35">
        <f>+'[2]por cuent'!G2130</f>
        <v>756000</v>
      </c>
      <c r="E2130" s="35">
        <f>+'[2]por cuent'!H2130</f>
        <v>756000</v>
      </c>
      <c r="F2130" t="str">
        <f>+'[2]por cuent'!I2130</f>
        <v>687</v>
      </c>
    </row>
    <row r="2131" spans="1:6" x14ac:dyDescent="0.35">
      <c r="A2131" t="str">
        <f>+'[2]por cuent'!A2131</f>
        <v>ARS</v>
      </c>
      <c r="B2131" t="str">
        <f>+'[2]por cuent'!B2131</f>
        <v>687000184</v>
      </c>
      <c r="C2131" t="str">
        <f>+'[2]por cuent'!C2131</f>
        <v>RESTOVICH, ROBERTO CARLOS</v>
      </c>
      <c r="D2131" s="35">
        <f>+'[2]por cuent'!G2131</f>
        <v>382510</v>
      </c>
      <c r="E2131" s="35">
        <f>+'[2]por cuent'!H2131</f>
        <v>382510</v>
      </c>
      <c r="F2131" t="str">
        <f>+'[2]por cuent'!I2131</f>
        <v>687</v>
      </c>
    </row>
    <row r="2132" spans="1:6" x14ac:dyDescent="0.35">
      <c r="A2132" t="str">
        <f>+'[2]por cuent'!A2132</f>
        <v>ARS</v>
      </c>
      <c r="B2132" t="str">
        <f>+'[2]por cuent'!B2132</f>
        <v>687000202</v>
      </c>
      <c r="C2132" t="str">
        <f>+'[2]por cuent'!C2132</f>
        <v>CEFOLA, ALDO VIDAL o CEFOLA, MARIA VERONICA o CEFOLA, MARIA FABIANA</v>
      </c>
      <c r="D2132" s="35">
        <f>+'[2]por cuent'!G2132</f>
        <v>337777371.56</v>
      </c>
      <c r="E2132" s="35">
        <f>+'[2]por cuent'!H2132</f>
        <v>337777371.56</v>
      </c>
      <c r="F2132" t="str">
        <f>+'[2]por cuent'!I2132</f>
        <v>687</v>
      </c>
    </row>
    <row r="2133" spans="1:6" x14ac:dyDescent="0.35">
      <c r="A2133" t="str">
        <f>+'[2]por cuent'!A2133</f>
        <v>ARS</v>
      </c>
      <c r="B2133" t="str">
        <f>+'[2]por cuent'!B2133</f>
        <v>687000213</v>
      </c>
      <c r="C2133" t="str">
        <f>+'[2]por cuent'!C2133</f>
        <v>SBARRA, SALVADOR PEDRO o SBARRA LEONARDO TOMAS o DI CARLO JUANA</v>
      </c>
      <c r="D2133" s="35">
        <f>+'[2]por cuent'!G2133</f>
        <v>238599372</v>
      </c>
      <c r="E2133" s="35">
        <f>+'[2]por cuent'!H2133</f>
        <v>238599372</v>
      </c>
      <c r="F2133" t="str">
        <f>+'[2]por cuent'!I2133</f>
        <v>687</v>
      </c>
    </row>
    <row r="2134" spans="1:6" x14ac:dyDescent="0.35">
      <c r="A2134" t="str">
        <f>+'[2]por cuent'!A2134</f>
        <v>ARS</v>
      </c>
      <c r="B2134" t="str">
        <f>+'[2]por cuent'!B2134</f>
        <v>687000219</v>
      </c>
      <c r="C2134" t="str">
        <f>+'[2]por cuent'!C2134</f>
        <v>CHIARAMONE, LUIS HUMBERTO</v>
      </c>
      <c r="D2134" s="35">
        <f>+'[2]por cuent'!G2134</f>
        <v>83151000</v>
      </c>
      <c r="E2134" s="35">
        <f>+'[2]por cuent'!H2134</f>
        <v>83151000</v>
      </c>
      <c r="F2134" t="str">
        <f>+'[2]por cuent'!I2134</f>
        <v>687</v>
      </c>
    </row>
    <row r="2135" spans="1:6" x14ac:dyDescent="0.35">
      <c r="A2135" t="str">
        <f>+'[2]por cuent'!A2135</f>
        <v>ARS</v>
      </c>
      <c r="B2135" t="str">
        <f>+'[2]por cuent'!B2135</f>
        <v>687000233</v>
      </c>
      <c r="C2135" t="str">
        <f>+'[2]por cuent'!C2135</f>
        <v xml:space="preserve">ROMERO, GRISELDA MARIA o MENENDEZ, FACUNDO ROY </v>
      </c>
      <c r="D2135" s="35">
        <f>+'[2]por cuent'!G2135</f>
        <v>24568000</v>
      </c>
      <c r="E2135" s="35">
        <f>+'[2]por cuent'!H2135</f>
        <v>24568000</v>
      </c>
      <c r="F2135" t="str">
        <f>+'[2]por cuent'!I2135</f>
        <v>687</v>
      </c>
    </row>
    <row r="2136" spans="1:6" x14ac:dyDescent="0.35">
      <c r="A2136" t="str">
        <f>+'[2]por cuent'!A2136</f>
        <v>ARS</v>
      </c>
      <c r="B2136" t="str">
        <f>+'[2]por cuent'!B2136</f>
        <v>687000237</v>
      </c>
      <c r="C2136" t="str">
        <f>+'[2]por cuent'!C2136</f>
        <v>BUTTIGLIERO, CARLOS RAUL</v>
      </c>
      <c r="D2136" s="35">
        <f>+'[2]por cuent'!G2136</f>
        <v>289000</v>
      </c>
      <c r="E2136" s="35">
        <f>+'[2]por cuent'!H2136</f>
        <v>289000</v>
      </c>
      <c r="F2136" t="str">
        <f>+'[2]por cuent'!I2136</f>
        <v>687</v>
      </c>
    </row>
    <row r="2137" spans="1:6" x14ac:dyDescent="0.35">
      <c r="A2137" t="str">
        <f>+'[2]por cuent'!A2137</f>
        <v>ARS</v>
      </c>
      <c r="B2137" t="str">
        <f>+'[2]por cuent'!B2137</f>
        <v>687000252</v>
      </c>
      <c r="C2137" t="str">
        <f>+'[2]por cuent'!C2137</f>
        <v>DI PAOLO, HORACIO MIGUEL o RON, RAQUEL o DI PAOLO, CRISTIAN ARIEL</v>
      </c>
      <c r="D2137" s="35">
        <f>+'[2]por cuent'!G2137</f>
        <v>130661798.95</v>
      </c>
      <c r="E2137" s="35">
        <f>+'[2]por cuent'!H2137</f>
        <v>130661798.95</v>
      </c>
      <c r="F2137" t="str">
        <f>+'[2]por cuent'!I2137</f>
        <v>687</v>
      </c>
    </row>
    <row r="2138" spans="1:6" x14ac:dyDescent="0.35">
      <c r="A2138" t="str">
        <f>+'[2]por cuent'!A2138</f>
        <v>ARS</v>
      </c>
      <c r="B2138" t="str">
        <f>+'[2]por cuent'!B2138</f>
        <v>687000272</v>
      </c>
      <c r="C2138" t="str">
        <f>+'[2]por cuent'!C2138</f>
        <v>MOGETTA, PEDRO LUIS o JIMENEZ, GABRIELA</v>
      </c>
      <c r="D2138" s="35">
        <f>+'[2]por cuent'!G2138</f>
        <v>263996</v>
      </c>
      <c r="E2138" s="35">
        <f>+'[2]por cuent'!H2138</f>
        <v>263996</v>
      </c>
      <c r="F2138" t="str">
        <f>+'[2]por cuent'!I2138</f>
        <v>687</v>
      </c>
    </row>
    <row r="2139" spans="1:6" x14ac:dyDescent="0.35">
      <c r="A2139" t="str">
        <f>+'[2]por cuent'!A2139</f>
        <v>ARS</v>
      </c>
      <c r="B2139" t="str">
        <f>+'[2]por cuent'!B2139</f>
        <v>687000278</v>
      </c>
      <c r="C2139" t="str">
        <f>+'[2]por cuent'!C2139</f>
        <v>BARTOLELLI, LUCAS WALDEMAR o MAINI ANTONINI, MARINA</v>
      </c>
      <c r="D2139" s="35">
        <f>+'[2]por cuent'!G2139</f>
        <v>5360000</v>
      </c>
      <c r="E2139" s="35">
        <f>+'[2]por cuent'!H2139</f>
        <v>5360000</v>
      </c>
      <c r="F2139" t="str">
        <f>+'[2]por cuent'!I2139</f>
        <v>687</v>
      </c>
    </row>
    <row r="2140" spans="1:6" x14ac:dyDescent="0.35">
      <c r="A2140" t="str">
        <f>+'[2]por cuent'!A2140</f>
        <v>ARS</v>
      </c>
      <c r="B2140" t="str">
        <f>+'[2]por cuent'!B2140</f>
        <v>687000299</v>
      </c>
      <c r="C2140" t="str">
        <f>+'[2]por cuent'!C2140</f>
        <v>DE SANCTIS, MARIANA o FUSTER, RAUL WALTER o FUSTER, MANUEL</v>
      </c>
      <c r="D2140" s="35">
        <f>+'[2]por cuent'!G2140</f>
        <v>30170000</v>
      </c>
      <c r="E2140" s="35">
        <f>+'[2]por cuent'!H2140</f>
        <v>30170000</v>
      </c>
      <c r="F2140" t="str">
        <f>+'[2]por cuent'!I2140</f>
        <v>687</v>
      </c>
    </row>
    <row r="2141" spans="1:6" x14ac:dyDescent="0.35">
      <c r="A2141" t="str">
        <f>+'[2]por cuent'!A2141</f>
        <v>ARS</v>
      </c>
      <c r="B2141" t="str">
        <f>+'[2]por cuent'!B2141</f>
        <v>687000318</v>
      </c>
      <c r="C2141" t="str">
        <f>+'[2]por cuent'!C2141</f>
        <v>NEIROTTI, MARIO AGUSTIN o NEIROTTI, ILEANA MARIA o NEIROTTI, ANDRES JOSE</v>
      </c>
      <c r="D2141" s="35">
        <f>+'[2]por cuent'!G2141</f>
        <v>6970000</v>
      </c>
      <c r="E2141" s="35">
        <f>+'[2]por cuent'!H2141</f>
        <v>6970000</v>
      </c>
      <c r="F2141" t="str">
        <f>+'[2]por cuent'!I2141</f>
        <v>687</v>
      </c>
    </row>
    <row r="2142" spans="1:6" x14ac:dyDescent="0.35">
      <c r="A2142" t="str">
        <f>+'[2]por cuent'!A2142</f>
        <v>ARS</v>
      </c>
      <c r="B2142" t="str">
        <f>+'[2]por cuent'!B2142</f>
        <v>687000360</v>
      </c>
      <c r="C2142" t="str">
        <f>+'[2]por cuent'!C2142</f>
        <v>PELLEGRINI, ADRIANA MABEL o PAGANI, JORGE CRISTIAN</v>
      </c>
      <c r="D2142" s="35">
        <f>+'[2]por cuent'!G2142</f>
        <v>8150866.2599999998</v>
      </c>
      <c r="E2142" s="35">
        <f>+'[2]por cuent'!H2142</f>
        <v>8150866.2599999998</v>
      </c>
      <c r="F2142" t="str">
        <f>+'[2]por cuent'!I2142</f>
        <v>687</v>
      </c>
    </row>
    <row r="2143" spans="1:6" x14ac:dyDescent="0.35">
      <c r="A2143" t="str">
        <f>+'[2]por cuent'!A2143</f>
        <v>ARS</v>
      </c>
      <c r="B2143" t="str">
        <f>+'[2]por cuent'!B2143</f>
        <v>687000370</v>
      </c>
      <c r="C2143" t="str">
        <f>+'[2]por cuent'!C2143</f>
        <v>FAZIO, RODOLFO LEONARDO o RAMPELLO, DANIELA DEL LUJAN o MATEO GABRIEL, FAZIO</v>
      </c>
      <c r="D2143" s="35">
        <f>+'[2]por cuent'!G2143</f>
        <v>913690387.29999995</v>
      </c>
      <c r="E2143" s="35">
        <f>+'[2]por cuent'!H2143</f>
        <v>913690387.29999995</v>
      </c>
      <c r="F2143" t="str">
        <f>+'[2]por cuent'!I2143</f>
        <v>687</v>
      </c>
    </row>
    <row r="2144" spans="1:6" x14ac:dyDescent="0.35">
      <c r="A2144" t="str">
        <f>+'[2]por cuent'!A2144</f>
        <v>ARS</v>
      </c>
      <c r="B2144" t="str">
        <f>+'[2]por cuent'!B2144</f>
        <v>687000371</v>
      </c>
      <c r="C2144" t="str">
        <f>+'[2]por cuent'!C2144</f>
        <v>SUFFRITI, LEOPOLDO o CEFOLA, MARIA VERONICA</v>
      </c>
      <c r="D2144" s="35">
        <f>+'[2]por cuent'!G2144</f>
        <v>192894</v>
      </c>
      <c r="E2144" s="35">
        <f>+'[2]por cuent'!H2144</f>
        <v>192894</v>
      </c>
      <c r="F2144" t="str">
        <f>+'[2]por cuent'!I2144</f>
        <v>687</v>
      </c>
    </row>
    <row r="2145" spans="1:6" x14ac:dyDescent="0.35">
      <c r="A2145" t="str">
        <f>+'[2]por cuent'!A2145</f>
        <v>ARS</v>
      </c>
      <c r="B2145" t="str">
        <f>+'[2]por cuent'!B2145</f>
        <v>687000400</v>
      </c>
      <c r="C2145" t="str">
        <f>+'[2]por cuent'!C2145</f>
        <v>NUÑEZ, MONICA VIVIANA o RUIZ, MICAELA ALEJANDRA o RUIZ, JUAN JOSE</v>
      </c>
      <c r="D2145" s="35">
        <f>+'[2]por cuent'!G2145</f>
        <v>78991248.049999997</v>
      </c>
      <c r="E2145" s="35">
        <f>+'[2]por cuent'!H2145</f>
        <v>78991248.049999997</v>
      </c>
      <c r="F2145" t="str">
        <f>+'[2]por cuent'!I2145</f>
        <v>687</v>
      </c>
    </row>
    <row r="2146" spans="1:6" x14ac:dyDescent="0.35">
      <c r="A2146" t="str">
        <f>+'[2]por cuent'!A2146</f>
        <v>ARS</v>
      </c>
      <c r="B2146" t="str">
        <f>+'[2]por cuent'!B2146</f>
        <v>687000403</v>
      </c>
      <c r="C2146" t="str">
        <f>+'[2]por cuent'!C2146</f>
        <v>FRIGUGLIETTI, PAULO ANDRES o DI, FILIPPO LORENA</v>
      </c>
      <c r="D2146" s="35">
        <f>+'[2]por cuent'!G2146</f>
        <v>469000</v>
      </c>
      <c r="E2146" s="35">
        <f>+'[2]por cuent'!H2146</f>
        <v>469000</v>
      </c>
      <c r="F2146" t="str">
        <f>+'[2]por cuent'!I2146</f>
        <v>687</v>
      </c>
    </row>
    <row r="2147" spans="1:6" x14ac:dyDescent="0.35">
      <c r="A2147" t="str">
        <f>+'[2]por cuent'!A2147</f>
        <v>ARS</v>
      </c>
      <c r="B2147" t="str">
        <f>+'[2]por cuent'!B2147</f>
        <v>687000410</v>
      </c>
      <c r="C2147" t="str">
        <f>+'[2]por cuent'!C2147</f>
        <v>CEFOLA, MARIA FABIANA</v>
      </c>
      <c r="D2147" s="35">
        <f>+'[2]por cuent'!G2147</f>
        <v>206631156.15000001</v>
      </c>
      <c r="E2147" s="35">
        <f>+'[2]por cuent'!H2147</f>
        <v>206631156.15000001</v>
      </c>
      <c r="F2147" t="str">
        <f>+'[2]por cuent'!I2147</f>
        <v>687</v>
      </c>
    </row>
    <row r="2148" spans="1:6" x14ac:dyDescent="0.35">
      <c r="A2148" t="str">
        <f>+'[2]por cuent'!A2148</f>
        <v>ARS</v>
      </c>
      <c r="B2148" t="str">
        <f>+'[2]por cuent'!B2148</f>
        <v>687000421</v>
      </c>
      <c r="C2148" t="str">
        <f>+'[2]por cuent'!C2148</f>
        <v xml:space="preserve">DFC CAPITAL MANAGEMENT SA </v>
      </c>
      <c r="D2148" s="35">
        <f>+'[2]por cuent'!G2148</f>
        <v>2865499</v>
      </c>
      <c r="E2148" s="35">
        <f>+'[2]por cuent'!H2148</f>
        <v>2865499</v>
      </c>
      <c r="F2148" t="str">
        <f>+'[2]por cuent'!I2148</f>
        <v>687</v>
      </c>
    </row>
    <row r="2149" spans="1:6" x14ac:dyDescent="0.35">
      <c r="A2149" t="str">
        <f>+'[2]por cuent'!A2149</f>
        <v>ARS</v>
      </c>
      <c r="B2149" t="str">
        <f>+'[2]por cuent'!B2149</f>
        <v>687000431</v>
      </c>
      <c r="C2149" t="str">
        <f>+'[2]por cuent'!C2149</f>
        <v>MUGUERZA, MARTA IRENE o MUGUERZA, MARIA ELENA</v>
      </c>
      <c r="D2149" s="35">
        <f>+'[2]por cuent'!G2149</f>
        <v>72495716.069999993</v>
      </c>
      <c r="E2149" s="35">
        <f>+'[2]por cuent'!H2149</f>
        <v>72495716.069999993</v>
      </c>
      <c r="F2149" t="str">
        <f>+'[2]por cuent'!I2149</f>
        <v>687</v>
      </c>
    </row>
    <row r="2150" spans="1:6" x14ac:dyDescent="0.35">
      <c r="A2150" t="str">
        <f>+'[2]por cuent'!A2150</f>
        <v>ARS</v>
      </c>
      <c r="B2150" t="str">
        <f>+'[2]por cuent'!B2150</f>
        <v>687000432</v>
      </c>
      <c r="C2150" t="str">
        <f>+'[2]por cuent'!C2150</f>
        <v>FONTANA, HIPOLITO RIZIERI o GHIGLIONE, LUISA BEATRIZ o FONTANA, ADRIANA GRACIELA</v>
      </c>
      <c r="D2150" s="35">
        <f>+'[2]por cuent'!G2150</f>
        <v>2431098674.4699998</v>
      </c>
      <c r="E2150" s="35">
        <f>+'[2]por cuent'!H2150</f>
        <v>2431098674.4699998</v>
      </c>
      <c r="F2150" t="str">
        <f>+'[2]por cuent'!I2150</f>
        <v>687</v>
      </c>
    </row>
    <row r="2151" spans="1:6" x14ac:dyDescent="0.35">
      <c r="A2151" t="str">
        <f>+'[2]por cuent'!A2151</f>
        <v>ARS</v>
      </c>
      <c r="B2151" t="str">
        <f>+'[2]por cuent'!B2151</f>
        <v>687000448</v>
      </c>
      <c r="C2151" t="str">
        <f>+'[2]por cuent'!C2151</f>
        <v>MARTIN, CATHERINE</v>
      </c>
      <c r="D2151" s="35">
        <f>+'[2]por cuent'!G2151</f>
        <v>4650000</v>
      </c>
      <c r="E2151" s="35">
        <f>+'[2]por cuent'!H2151</f>
        <v>4650000</v>
      </c>
      <c r="F2151" t="str">
        <f>+'[2]por cuent'!I2151</f>
        <v>687</v>
      </c>
    </row>
    <row r="2152" spans="1:6" x14ac:dyDescent="0.35">
      <c r="A2152" t="str">
        <f>+'[2]por cuent'!A2152</f>
        <v>ARS</v>
      </c>
      <c r="B2152" t="str">
        <f>+'[2]por cuent'!B2152</f>
        <v>687000450</v>
      </c>
      <c r="C2152" t="str">
        <f>+'[2]por cuent'!C2152</f>
        <v>TERSOGLIO, MARIELA LUCIA o PEREZ CALOGERO, NELIDA ESTHER</v>
      </c>
      <c r="D2152" s="35">
        <f>+'[2]por cuent'!G2152</f>
        <v>52400000</v>
      </c>
      <c r="E2152" s="35">
        <f>+'[2]por cuent'!H2152</f>
        <v>52400000</v>
      </c>
      <c r="F2152" t="str">
        <f>+'[2]por cuent'!I2152</f>
        <v>687</v>
      </c>
    </row>
    <row r="2153" spans="1:6" x14ac:dyDescent="0.35">
      <c r="A2153" t="str">
        <f>+'[2]por cuent'!A2153</f>
        <v>ARS</v>
      </c>
      <c r="B2153" t="str">
        <f>+'[2]por cuent'!B2153</f>
        <v>687000459</v>
      </c>
      <c r="C2153" t="str">
        <f>+'[2]por cuent'!C2153</f>
        <v>CONTESTI, JUAN EMILIO o PAGANO, ANALIA EVELIN</v>
      </c>
      <c r="D2153" s="35">
        <f>+'[2]por cuent'!G2153</f>
        <v>449335506.81</v>
      </c>
      <c r="E2153" s="35">
        <f>+'[2]por cuent'!H2153</f>
        <v>449335506.81</v>
      </c>
      <c r="F2153" t="str">
        <f>+'[2]por cuent'!I2153</f>
        <v>687</v>
      </c>
    </row>
    <row r="2154" spans="1:6" x14ac:dyDescent="0.35">
      <c r="A2154" t="str">
        <f>+'[2]por cuent'!A2154</f>
        <v>ARS</v>
      </c>
      <c r="B2154" t="str">
        <f>+'[2]por cuent'!B2154</f>
        <v>687000470</v>
      </c>
      <c r="C2154" t="str">
        <f>+'[2]por cuent'!C2154</f>
        <v>DELALOYE, NICANOR FELIX ALEJO</v>
      </c>
      <c r="D2154" s="35">
        <f>+'[2]por cuent'!G2154</f>
        <v>33547000</v>
      </c>
      <c r="E2154" s="35">
        <f>+'[2]por cuent'!H2154</f>
        <v>33547000</v>
      </c>
      <c r="F2154" t="str">
        <f>+'[2]por cuent'!I2154</f>
        <v>687</v>
      </c>
    </row>
    <row r="2155" spans="1:6" x14ac:dyDescent="0.35">
      <c r="A2155" t="str">
        <f>+'[2]por cuent'!A2155</f>
        <v>ARS</v>
      </c>
      <c r="B2155" t="str">
        <f>+'[2]por cuent'!B2155</f>
        <v>687000483</v>
      </c>
      <c r="C2155" t="str">
        <f>+'[2]por cuent'!C2155</f>
        <v>DAMINATO, LUCIANO o DAMINATO, FRANCA</v>
      </c>
      <c r="D2155" s="35">
        <f>+'[2]por cuent'!G2155</f>
        <v>7962000</v>
      </c>
      <c r="E2155" s="35">
        <f>+'[2]por cuent'!H2155</f>
        <v>7962000</v>
      </c>
      <c r="F2155" t="str">
        <f>+'[2]por cuent'!I2155</f>
        <v>687</v>
      </c>
    </row>
    <row r="2156" spans="1:6" x14ac:dyDescent="0.35">
      <c r="A2156" t="str">
        <f>+'[2]por cuent'!A2156</f>
        <v>ARS</v>
      </c>
      <c r="B2156" t="str">
        <f>+'[2]por cuent'!B2156</f>
        <v>687000502</v>
      </c>
      <c r="C2156" t="str">
        <f>+'[2]por cuent'!C2156</f>
        <v>BALONCHARD, HECTOR MARIO o BALONCHARD, LUCAS MARIO o BALONCHARD, LEONARDO MATIAS</v>
      </c>
      <c r="D2156" s="35">
        <f>+'[2]por cuent'!G2156</f>
        <v>23497324.960000001</v>
      </c>
      <c r="E2156" s="35">
        <f>+'[2]por cuent'!H2156</f>
        <v>23497324.960000001</v>
      </c>
      <c r="F2156" t="str">
        <f>+'[2]por cuent'!I2156</f>
        <v>687</v>
      </c>
    </row>
    <row r="2157" spans="1:6" x14ac:dyDescent="0.35">
      <c r="A2157" t="str">
        <f>+'[2]por cuent'!A2157</f>
        <v>ARS</v>
      </c>
      <c r="B2157" t="str">
        <f>+'[2]por cuent'!B2157</f>
        <v>687000511</v>
      </c>
      <c r="C2157" t="str">
        <f>+'[2]por cuent'!C2157</f>
        <v>FERNANDEZ MENDEZ, CARLOS ALBERTO</v>
      </c>
      <c r="D2157" s="35">
        <f>+'[2]por cuent'!G2157</f>
        <v>625000</v>
      </c>
      <c r="E2157" s="35">
        <f>+'[2]por cuent'!H2157</f>
        <v>625000</v>
      </c>
      <c r="F2157" t="str">
        <f>+'[2]por cuent'!I2157</f>
        <v>687</v>
      </c>
    </row>
    <row r="2158" spans="1:6" x14ac:dyDescent="0.35">
      <c r="A2158" t="str">
        <f>+'[2]por cuent'!A2158</f>
        <v>ARS</v>
      </c>
      <c r="B2158" t="str">
        <f>+'[2]por cuent'!B2158</f>
        <v>687000524</v>
      </c>
      <c r="C2158" t="str">
        <f>+'[2]por cuent'!C2158</f>
        <v>ALESSI, EZIO DANTE o ALESSI, SERGIO LUIS</v>
      </c>
      <c r="D2158" s="35">
        <f>+'[2]por cuent'!G2158</f>
        <v>9970000</v>
      </c>
      <c r="E2158" s="35">
        <f>+'[2]por cuent'!H2158</f>
        <v>9970000</v>
      </c>
      <c r="F2158" t="str">
        <f>+'[2]por cuent'!I2158</f>
        <v>687</v>
      </c>
    </row>
    <row r="2159" spans="1:6" x14ac:dyDescent="0.35">
      <c r="A2159" t="str">
        <f>+'[2]por cuent'!A2159</f>
        <v>ARS</v>
      </c>
      <c r="B2159" t="str">
        <f>+'[2]por cuent'!B2159</f>
        <v>687000537</v>
      </c>
      <c r="C2159" t="str">
        <f>+'[2]por cuent'!C2159</f>
        <v>ETCHEVERS, PEDRO JUAN o GONZALEZ, DIANA CECILIA</v>
      </c>
      <c r="D2159" s="35">
        <f>+'[2]por cuent'!G2159</f>
        <v>59731060</v>
      </c>
      <c r="E2159" s="35">
        <f>+'[2]por cuent'!H2159</f>
        <v>59731060</v>
      </c>
      <c r="F2159" t="str">
        <f>+'[2]por cuent'!I2159</f>
        <v>687</v>
      </c>
    </row>
    <row r="2160" spans="1:6" x14ac:dyDescent="0.35">
      <c r="A2160" t="str">
        <f>+'[2]por cuent'!A2160</f>
        <v>ARS</v>
      </c>
      <c r="B2160" t="str">
        <f>+'[2]por cuent'!B2160</f>
        <v>687000540</v>
      </c>
      <c r="C2160" t="str">
        <f>+'[2]por cuent'!C2160</f>
        <v>RAMPELLO, HECTOR MARIO o MORRESI, EDIT MARCELA o FAZIO, RODOLFO LEONARDO</v>
      </c>
      <c r="D2160" s="35">
        <f>+'[2]por cuent'!G2160</f>
        <v>29952648.609999999</v>
      </c>
      <c r="E2160" s="35">
        <f>+'[2]por cuent'!H2160</f>
        <v>29952648.609999999</v>
      </c>
      <c r="F2160" t="str">
        <f>+'[2]por cuent'!I2160</f>
        <v>687</v>
      </c>
    </row>
    <row r="2161" spans="1:6" x14ac:dyDescent="0.35">
      <c r="A2161" t="str">
        <f>+'[2]por cuent'!A2161</f>
        <v>ARS</v>
      </c>
      <c r="B2161" t="str">
        <f>+'[2]por cuent'!B2161</f>
        <v>687000550</v>
      </c>
      <c r="C2161" t="str">
        <f>+'[2]por cuent'!C2161</f>
        <v>BRIL, ANDRES SIMON o GUTIERREZ, VERONICA</v>
      </c>
      <c r="D2161" s="35">
        <f>+'[2]por cuent'!G2161</f>
        <v>52851906.399999999</v>
      </c>
      <c r="E2161" s="35">
        <f>+'[2]por cuent'!H2161</f>
        <v>52851906.399999999</v>
      </c>
      <c r="F2161" t="str">
        <f>+'[2]por cuent'!I2161</f>
        <v>687</v>
      </c>
    </row>
    <row r="2162" spans="1:6" x14ac:dyDescent="0.35">
      <c r="A2162" t="str">
        <f>+'[2]por cuent'!A2162</f>
        <v>ARS</v>
      </c>
      <c r="B2162" t="str">
        <f>+'[2]por cuent'!B2162</f>
        <v>687000551</v>
      </c>
      <c r="C2162" t="str">
        <f>+'[2]por cuent'!C2162</f>
        <v>CASADEI, GERARDO MARTIN</v>
      </c>
      <c r="D2162" s="35">
        <f>+'[2]por cuent'!G2162</f>
        <v>4386427.9000000004</v>
      </c>
      <c r="E2162" s="35">
        <f>+'[2]por cuent'!H2162</f>
        <v>4386427.9000000004</v>
      </c>
      <c r="F2162" t="str">
        <f>+'[2]por cuent'!I2162</f>
        <v>687</v>
      </c>
    </row>
    <row r="2163" spans="1:6" x14ac:dyDescent="0.35">
      <c r="A2163" t="str">
        <f>+'[2]por cuent'!A2163</f>
        <v>ARS</v>
      </c>
      <c r="B2163" t="str">
        <f>+'[2]por cuent'!B2163</f>
        <v>687000579</v>
      </c>
      <c r="C2163" t="str">
        <f>+'[2]por cuent'!C2163</f>
        <v>ZORATTI, VICTOR ANTONIO ESTEBAN o ZORATTI, GABRIEL MARCOS o ZORATTI, ANDREA BEATRIZ</v>
      </c>
      <c r="D2163" s="35">
        <f>+'[2]por cuent'!G2163</f>
        <v>677806.75</v>
      </c>
      <c r="E2163" s="35">
        <f>+'[2]por cuent'!H2163</f>
        <v>677806.75</v>
      </c>
      <c r="F2163" t="str">
        <f>+'[2]por cuent'!I2163</f>
        <v>687</v>
      </c>
    </row>
    <row r="2164" spans="1:6" x14ac:dyDescent="0.35">
      <c r="A2164" t="str">
        <f>+'[2]por cuent'!A2164</f>
        <v>ARS</v>
      </c>
      <c r="B2164" t="str">
        <f>+'[2]por cuent'!B2164</f>
        <v>687000581</v>
      </c>
      <c r="C2164" t="str">
        <f>+'[2]por cuent'!C2164</f>
        <v>LORTE, ERNESTO PABLO</v>
      </c>
      <c r="D2164" s="35">
        <f>+'[2]por cuent'!G2164</f>
        <v>54100166.789999999</v>
      </c>
      <c r="E2164" s="35">
        <f>+'[2]por cuent'!H2164</f>
        <v>54100166.789999999</v>
      </c>
      <c r="F2164" t="str">
        <f>+'[2]por cuent'!I2164</f>
        <v>687</v>
      </c>
    </row>
    <row r="2165" spans="1:6" x14ac:dyDescent="0.35">
      <c r="A2165" t="str">
        <f>+'[2]por cuent'!A2165</f>
        <v>ARS</v>
      </c>
      <c r="B2165" t="str">
        <f>+'[2]por cuent'!B2165</f>
        <v>687000587</v>
      </c>
      <c r="C2165" t="str">
        <f>+'[2]por cuent'!C2165</f>
        <v>MAOLONI, PAOLA MARIA o GALVANI, LUCAS ARIEL o FIORENTINI, NORA ISABEL</v>
      </c>
      <c r="D2165" s="35">
        <f>+'[2]por cuent'!G2165</f>
        <v>4357687988.0500002</v>
      </c>
      <c r="E2165" s="35">
        <f>+'[2]por cuent'!H2165</f>
        <v>4357687988.0500002</v>
      </c>
      <c r="F2165" t="str">
        <f>+'[2]por cuent'!I2165</f>
        <v>687</v>
      </c>
    </row>
    <row r="2166" spans="1:6" x14ac:dyDescent="0.35">
      <c r="A2166" t="str">
        <f>+'[2]por cuent'!A2166</f>
        <v>ARS</v>
      </c>
      <c r="B2166" t="str">
        <f>+'[2]por cuent'!B2166</f>
        <v>687000594</v>
      </c>
      <c r="C2166" t="str">
        <f>+'[2]por cuent'!C2166</f>
        <v>CACCHIONE, BEATRIZ ELENA o CACCHIONE, RAUL JUAN</v>
      </c>
      <c r="D2166" s="35">
        <f>+'[2]por cuent'!G2166</f>
        <v>530370</v>
      </c>
      <c r="E2166" s="35">
        <f>+'[2]por cuent'!H2166</f>
        <v>530370</v>
      </c>
      <c r="F2166" t="str">
        <f>+'[2]por cuent'!I2166</f>
        <v>687</v>
      </c>
    </row>
    <row r="2167" spans="1:6" x14ac:dyDescent="0.35">
      <c r="A2167" t="str">
        <f>+'[2]por cuent'!A2167</f>
        <v>ARS</v>
      </c>
      <c r="B2167" t="str">
        <f>+'[2]por cuent'!B2167</f>
        <v>687000596</v>
      </c>
      <c r="C2167" t="str">
        <f>+'[2]por cuent'!C2167</f>
        <v>OLOBARDI, SERGIO ENZO o RAMALLO, ADELINA</v>
      </c>
      <c r="D2167" s="35">
        <f>+'[2]por cuent'!G2167</f>
        <v>1870000</v>
      </c>
      <c r="E2167" s="35">
        <f>+'[2]por cuent'!H2167</f>
        <v>1870000</v>
      </c>
      <c r="F2167" t="str">
        <f>+'[2]por cuent'!I2167</f>
        <v>687</v>
      </c>
    </row>
    <row r="2168" spans="1:6" x14ac:dyDescent="0.35">
      <c r="A2168" t="str">
        <f>+'[2]por cuent'!A2168</f>
        <v>ARS</v>
      </c>
      <c r="B2168" t="str">
        <f>+'[2]por cuent'!B2168</f>
        <v>687000597</v>
      </c>
      <c r="C2168" t="str">
        <f>+'[2]por cuent'!C2168</f>
        <v>GARCIA, ENRIQUE NORBERTO</v>
      </c>
      <c r="D2168" s="35">
        <f>+'[2]por cuent'!G2168</f>
        <v>3154595932.52</v>
      </c>
      <c r="E2168" s="35">
        <f>+'[2]por cuent'!H2168</f>
        <v>3154595932.52</v>
      </c>
      <c r="F2168" t="str">
        <f>+'[2]por cuent'!I2168</f>
        <v>687</v>
      </c>
    </row>
    <row r="2169" spans="1:6" x14ac:dyDescent="0.35">
      <c r="A2169" t="str">
        <f>+'[2]por cuent'!A2169</f>
        <v>ARS</v>
      </c>
      <c r="B2169" t="str">
        <f>+'[2]por cuent'!B2169</f>
        <v>687000616</v>
      </c>
      <c r="C2169" t="str">
        <f>+'[2]por cuent'!C2169</f>
        <v>GARCIA, MARCELO PEDRO o MANOCHI, MARIEL RAQUEL o SEGANFREDDO, LIBERTAD</v>
      </c>
      <c r="D2169" s="35">
        <f>+'[2]por cuent'!G2169</f>
        <v>10913700</v>
      </c>
      <c r="E2169" s="35">
        <f>+'[2]por cuent'!H2169</f>
        <v>10913700</v>
      </c>
      <c r="F2169" t="str">
        <f>+'[2]por cuent'!I2169</f>
        <v>687</v>
      </c>
    </row>
    <row r="2170" spans="1:6" x14ac:dyDescent="0.35">
      <c r="A2170" t="str">
        <f>+'[2]por cuent'!A2170</f>
        <v>ARS</v>
      </c>
      <c r="B2170" t="str">
        <f>+'[2]por cuent'!B2170</f>
        <v>687000665</v>
      </c>
      <c r="C2170" t="str">
        <f>+'[2]por cuent'!C2170</f>
        <v>TORRES, NATALIA EVANGELINA o IANNARELLI ERCOLE, JUAN BRUNO</v>
      </c>
      <c r="D2170" s="35">
        <f>+'[2]por cuent'!G2170</f>
        <v>81348285</v>
      </c>
      <c r="E2170" s="35">
        <f>+'[2]por cuent'!H2170</f>
        <v>81348285</v>
      </c>
      <c r="F2170" t="str">
        <f>+'[2]por cuent'!I2170</f>
        <v>687</v>
      </c>
    </row>
    <row r="2171" spans="1:6" x14ac:dyDescent="0.35">
      <c r="A2171" t="str">
        <f>+'[2]por cuent'!A2171</f>
        <v>ARS</v>
      </c>
      <c r="B2171" t="str">
        <f>+'[2]por cuent'!B2171</f>
        <v>687000674</v>
      </c>
      <c r="C2171" t="str">
        <f>+'[2]por cuent'!C2171</f>
        <v>DE SANCTIS , ANIBAL PERICLES  o DE SANCTIS, SOFIA FLAVIA</v>
      </c>
      <c r="D2171" s="35">
        <f>+'[2]por cuent'!G2171</f>
        <v>8459725</v>
      </c>
      <c r="E2171" s="35">
        <f>+'[2]por cuent'!H2171</f>
        <v>8459725</v>
      </c>
      <c r="F2171" t="str">
        <f>+'[2]por cuent'!I2171</f>
        <v>687</v>
      </c>
    </row>
    <row r="2172" spans="1:6" x14ac:dyDescent="0.35">
      <c r="A2172" t="str">
        <f>+'[2]por cuent'!A2172</f>
        <v>ARS</v>
      </c>
      <c r="B2172" t="str">
        <f>+'[2]por cuent'!B2172</f>
        <v>687000681</v>
      </c>
      <c r="C2172" t="str">
        <f>+'[2]por cuent'!C2172</f>
        <v>PAGLIALUNGA, LEANDRO JAVIER o MARTIÑENA, MELISA</v>
      </c>
      <c r="D2172" s="35">
        <f>+'[2]por cuent'!G2172</f>
        <v>18165218.010000002</v>
      </c>
      <c r="E2172" s="35">
        <f>+'[2]por cuent'!H2172</f>
        <v>18165218.010000002</v>
      </c>
      <c r="F2172" t="str">
        <f>+'[2]por cuent'!I2172</f>
        <v>687</v>
      </c>
    </row>
    <row r="2173" spans="1:6" x14ac:dyDescent="0.35">
      <c r="A2173" t="str">
        <f>+'[2]por cuent'!A2173</f>
        <v>ARS</v>
      </c>
      <c r="B2173" t="str">
        <f>+'[2]por cuent'!B2173</f>
        <v>687000685</v>
      </c>
      <c r="C2173" t="str">
        <f>+'[2]por cuent'!C2173</f>
        <v xml:space="preserve">DE SANCTIS, NICOLAS ANIBAL o DE SANCTIS , ANIBAL PERICLES </v>
      </c>
      <c r="D2173" s="35">
        <f>+'[2]por cuent'!G2173</f>
        <v>3909358.4</v>
      </c>
      <c r="E2173" s="35">
        <f>+'[2]por cuent'!H2173</f>
        <v>3909358.4</v>
      </c>
      <c r="F2173" t="str">
        <f>+'[2]por cuent'!I2173</f>
        <v>687</v>
      </c>
    </row>
    <row r="2174" spans="1:6" x14ac:dyDescent="0.35">
      <c r="A2174" t="str">
        <f>+'[2]por cuent'!A2174</f>
        <v>ARS</v>
      </c>
      <c r="B2174" t="str">
        <f>+'[2]por cuent'!B2174</f>
        <v>687000698</v>
      </c>
      <c r="C2174" t="str">
        <f>+'[2]por cuent'!C2174</f>
        <v>ARIAS, RAMIRO</v>
      </c>
      <c r="D2174" s="35">
        <f>+'[2]por cuent'!G2174</f>
        <v>407085000</v>
      </c>
      <c r="E2174" s="35">
        <f>+'[2]por cuent'!H2174</f>
        <v>407085000</v>
      </c>
      <c r="F2174" t="str">
        <f>+'[2]por cuent'!I2174</f>
        <v>687</v>
      </c>
    </row>
    <row r="2175" spans="1:6" x14ac:dyDescent="0.35">
      <c r="A2175" t="str">
        <f>+'[2]por cuent'!A2175</f>
        <v>ARS</v>
      </c>
      <c r="B2175" t="str">
        <f>+'[2]por cuent'!B2175</f>
        <v>687000705</v>
      </c>
      <c r="C2175" t="str">
        <f>+'[2]por cuent'!C2175</f>
        <v>MARTIN, ALBERTO JORGE</v>
      </c>
      <c r="D2175" s="35">
        <f>+'[2]por cuent'!G2175</f>
        <v>26675806.199999999</v>
      </c>
      <c r="E2175" s="35">
        <f>+'[2]por cuent'!H2175</f>
        <v>26675806.199999999</v>
      </c>
      <c r="F2175" t="str">
        <f>+'[2]por cuent'!I2175</f>
        <v>687</v>
      </c>
    </row>
    <row r="2176" spans="1:6" x14ac:dyDescent="0.35">
      <c r="A2176" t="str">
        <f>+'[2]por cuent'!A2176</f>
        <v>ARS</v>
      </c>
      <c r="B2176" t="str">
        <f>+'[2]por cuent'!B2176</f>
        <v>687000713</v>
      </c>
      <c r="C2176" t="str">
        <f>+'[2]por cuent'!C2176</f>
        <v>RINESI, JORGELINA o DAMINATO, ROBERTO JUAN</v>
      </c>
      <c r="D2176" s="35">
        <f>+'[2]por cuent'!G2176</f>
        <v>48833000</v>
      </c>
      <c r="E2176" s="35">
        <f>+'[2]por cuent'!H2176</f>
        <v>48833000</v>
      </c>
      <c r="F2176" t="str">
        <f>+'[2]por cuent'!I2176</f>
        <v>687</v>
      </c>
    </row>
    <row r="2177" spans="1:6" x14ac:dyDescent="0.35">
      <c r="A2177" t="str">
        <f>+'[2]por cuent'!A2177</f>
        <v>ARS</v>
      </c>
      <c r="B2177" t="str">
        <f>+'[2]por cuent'!B2177</f>
        <v>687000740</v>
      </c>
      <c r="C2177" t="str">
        <f>+'[2]por cuent'!C2177</f>
        <v>CAMPOSTRINI, MARIA EUGENIA o GONZALEZ, MAURO</v>
      </c>
      <c r="D2177" s="35">
        <f>+'[2]por cuent'!G2177</f>
        <v>767167506.45000005</v>
      </c>
      <c r="E2177" s="35">
        <f>+'[2]por cuent'!H2177</f>
        <v>767167506.45000005</v>
      </c>
      <c r="F2177" t="str">
        <f>+'[2]por cuent'!I2177</f>
        <v>687</v>
      </c>
    </row>
    <row r="2178" spans="1:6" x14ac:dyDescent="0.35">
      <c r="A2178" t="str">
        <f>+'[2]por cuent'!A2178</f>
        <v>ARS</v>
      </c>
      <c r="B2178" t="str">
        <f>+'[2]por cuent'!B2178</f>
        <v>687000748</v>
      </c>
      <c r="C2178" t="str">
        <f>+'[2]por cuent'!C2178</f>
        <v>FERRI, GLADYS ESTHER o TOMEI, SANDRA MARISA o TOMEI, MARIANO JOSE u otros</v>
      </c>
      <c r="D2178" s="35">
        <f>+'[2]por cuent'!G2178</f>
        <v>12319211559.15</v>
      </c>
      <c r="E2178" s="35">
        <f>+'[2]por cuent'!H2178</f>
        <v>12319211559.15</v>
      </c>
      <c r="F2178" t="str">
        <f>+'[2]por cuent'!I2178</f>
        <v>687</v>
      </c>
    </row>
    <row r="2179" spans="1:6" x14ac:dyDescent="0.35">
      <c r="A2179" t="str">
        <f>+'[2]por cuent'!A2179</f>
        <v>ARS</v>
      </c>
      <c r="B2179" t="str">
        <f>+'[2]por cuent'!B2179</f>
        <v>687000754</v>
      </c>
      <c r="C2179" t="str">
        <f>+'[2]por cuent'!C2179</f>
        <v>RIBECCA, SEBASTIAN LUCIANO</v>
      </c>
      <c r="D2179" s="35">
        <f>+'[2]por cuent'!G2179</f>
        <v>60193000</v>
      </c>
      <c r="E2179" s="35">
        <f>+'[2]por cuent'!H2179</f>
        <v>60193000</v>
      </c>
      <c r="F2179" t="str">
        <f>+'[2]por cuent'!I2179</f>
        <v>687</v>
      </c>
    </row>
    <row r="2180" spans="1:6" x14ac:dyDescent="0.35">
      <c r="A2180" t="str">
        <f>+'[2]por cuent'!A2180</f>
        <v>ARS</v>
      </c>
      <c r="B2180" t="str">
        <f>+'[2]por cuent'!B2180</f>
        <v>687000761</v>
      </c>
      <c r="C2180" t="str">
        <f>+'[2]por cuent'!C2180</f>
        <v>ZORATTI, CRISTIAN PABLO o ZORATTI, ANDREA BEATRIZ o ZORATTI, VICTOR ANTONIO ESTEBAN</v>
      </c>
      <c r="D2180" s="35">
        <f>+'[2]por cuent'!G2180</f>
        <v>1148614.6000000001</v>
      </c>
      <c r="E2180" s="35">
        <f>+'[2]por cuent'!H2180</f>
        <v>1148614.6000000001</v>
      </c>
      <c r="F2180" t="str">
        <f>+'[2]por cuent'!I2180</f>
        <v>687</v>
      </c>
    </row>
    <row r="2181" spans="1:6" x14ac:dyDescent="0.35">
      <c r="A2181" t="str">
        <f>+'[2]por cuent'!A2181</f>
        <v>ARS</v>
      </c>
      <c r="B2181" t="str">
        <f>+'[2]por cuent'!B2181</f>
        <v>687000763</v>
      </c>
      <c r="C2181" t="str">
        <f>+'[2]por cuent'!C2181</f>
        <v>BIANCONI, SILVINA ANDREA</v>
      </c>
      <c r="D2181" s="35">
        <f>+'[2]por cuent'!G2181</f>
        <v>1677000</v>
      </c>
      <c r="E2181" s="35">
        <f>+'[2]por cuent'!H2181</f>
        <v>1677000</v>
      </c>
      <c r="F2181" t="str">
        <f>+'[2]por cuent'!I2181</f>
        <v>687</v>
      </c>
    </row>
    <row r="2182" spans="1:6" x14ac:dyDescent="0.35">
      <c r="A2182" t="str">
        <f>+'[2]por cuent'!A2182</f>
        <v>ARS</v>
      </c>
      <c r="B2182" t="str">
        <f>+'[2]por cuent'!B2182</f>
        <v>687000767</v>
      </c>
      <c r="C2182" t="str">
        <f>+'[2]por cuent'!C2182</f>
        <v>ALESSI, SERGIO LUIS</v>
      </c>
      <c r="D2182" s="35">
        <f>+'[2]por cuent'!G2182</f>
        <v>2638000</v>
      </c>
      <c r="E2182" s="35">
        <f>+'[2]por cuent'!H2182</f>
        <v>2638000</v>
      </c>
      <c r="F2182" t="str">
        <f>+'[2]por cuent'!I2182</f>
        <v>687</v>
      </c>
    </row>
    <row r="2183" spans="1:6" x14ac:dyDescent="0.35">
      <c r="A2183" t="str">
        <f>+'[2]por cuent'!A2183</f>
        <v>ARS</v>
      </c>
      <c r="B2183" t="str">
        <f>+'[2]por cuent'!B2183</f>
        <v>687000768</v>
      </c>
      <c r="C2183" t="str">
        <f>+'[2]por cuent'!C2183</f>
        <v>BORRI, GABRIELA ROSANA</v>
      </c>
      <c r="D2183" s="35">
        <f>+'[2]por cuent'!G2183</f>
        <v>40455000</v>
      </c>
      <c r="E2183" s="35">
        <f>+'[2]por cuent'!H2183</f>
        <v>40455000</v>
      </c>
      <c r="F2183" t="str">
        <f>+'[2]por cuent'!I2183</f>
        <v>687</v>
      </c>
    </row>
    <row r="2184" spans="1:6" x14ac:dyDescent="0.35">
      <c r="A2184" t="str">
        <f>+'[2]por cuent'!A2184</f>
        <v>ARS</v>
      </c>
      <c r="B2184" t="str">
        <f>+'[2]por cuent'!B2184</f>
        <v>687000771</v>
      </c>
      <c r="C2184" t="str">
        <f>+'[2]por cuent'!C2184</f>
        <v>GALVANI, GASTON ALEJANDRO o MATTIA, MARIA VIRGINIA</v>
      </c>
      <c r="D2184" s="35">
        <f>+'[2]por cuent'!G2184</f>
        <v>35043000</v>
      </c>
      <c r="E2184" s="35">
        <f>+'[2]por cuent'!H2184</f>
        <v>35043000</v>
      </c>
      <c r="F2184" t="str">
        <f>+'[2]por cuent'!I2184</f>
        <v>687</v>
      </c>
    </row>
    <row r="2185" spans="1:6" x14ac:dyDescent="0.35">
      <c r="A2185" t="str">
        <f>+'[2]por cuent'!A2185</f>
        <v>ARS</v>
      </c>
      <c r="B2185" t="str">
        <f>+'[2]por cuent'!B2185</f>
        <v>687000782</v>
      </c>
      <c r="C2185" t="str">
        <f>+'[2]por cuent'!C2185</f>
        <v xml:space="preserve">ASOCIACION MUTUAL DEMOS SALUD </v>
      </c>
      <c r="D2185" s="35">
        <f>+'[2]por cuent'!G2185</f>
        <v>819848508.75</v>
      </c>
      <c r="E2185" s="35">
        <f>+'[2]por cuent'!H2185</f>
        <v>819848508.75</v>
      </c>
      <c r="F2185" t="str">
        <f>+'[2]por cuent'!I2185</f>
        <v>687</v>
      </c>
    </row>
    <row r="2186" spans="1:6" x14ac:dyDescent="0.35">
      <c r="A2186" t="str">
        <f>+'[2]por cuent'!A2186</f>
        <v>ARS</v>
      </c>
      <c r="B2186" t="str">
        <f>+'[2]por cuent'!B2186</f>
        <v>687000784</v>
      </c>
      <c r="C2186" t="str">
        <f>+'[2]por cuent'!C2186</f>
        <v>COLETTA, MARCOS ANDRES</v>
      </c>
      <c r="D2186" s="35">
        <f>+'[2]por cuent'!G2186</f>
        <v>25681375.199999999</v>
      </c>
      <c r="E2186" s="35">
        <f>+'[2]por cuent'!H2186</f>
        <v>25681375.199999999</v>
      </c>
      <c r="F2186" t="str">
        <f>+'[2]por cuent'!I2186</f>
        <v>687</v>
      </c>
    </row>
    <row r="2187" spans="1:6" x14ac:dyDescent="0.35">
      <c r="A2187" t="str">
        <f>+'[2]por cuent'!A2187</f>
        <v>ARS</v>
      </c>
      <c r="B2187" t="str">
        <f>+'[2]por cuent'!B2187</f>
        <v>687000785</v>
      </c>
      <c r="C2187" t="str">
        <f>+'[2]por cuent'!C2187</f>
        <v>MARTINEZ, MARIO GERARDO</v>
      </c>
      <c r="D2187" s="35">
        <f>+'[2]por cuent'!G2187</f>
        <v>783697200</v>
      </c>
      <c r="E2187" s="35">
        <f>+'[2]por cuent'!H2187</f>
        <v>783697200</v>
      </c>
      <c r="F2187" t="str">
        <f>+'[2]por cuent'!I2187</f>
        <v>687</v>
      </c>
    </row>
    <row r="2188" spans="1:6" x14ac:dyDescent="0.35">
      <c r="A2188" t="str">
        <f>+'[2]por cuent'!A2188</f>
        <v>ARS</v>
      </c>
      <c r="B2188" t="str">
        <f>+'[2]por cuent'!B2188</f>
        <v>687000788</v>
      </c>
      <c r="C2188" t="str">
        <f>+'[2]por cuent'!C2188</f>
        <v>SAN MARTIN, GERMAN JULIAN</v>
      </c>
      <c r="D2188" s="35">
        <f>+'[2]por cuent'!G2188</f>
        <v>1781847710.99</v>
      </c>
      <c r="E2188" s="35">
        <f>+'[2]por cuent'!H2188</f>
        <v>1781847710.99</v>
      </c>
      <c r="F2188" t="str">
        <f>+'[2]por cuent'!I2188</f>
        <v>687</v>
      </c>
    </row>
    <row r="2189" spans="1:6" x14ac:dyDescent="0.35">
      <c r="A2189" t="str">
        <f>+'[2]por cuent'!A2189</f>
        <v>ARS</v>
      </c>
      <c r="B2189" t="str">
        <f>+'[2]por cuent'!B2189</f>
        <v>687000789</v>
      </c>
      <c r="C2189" t="str">
        <f>+'[2]por cuent'!C2189</f>
        <v>RUIZ, HERNAN GERARDO</v>
      </c>
      <c r="D2189" s="35">
        <f>+'[2]por cuent'!G2189</f>
        <v>2549658391.3000002</v>
      </c>
      <c r="E2189" s="35">
        <f>+'[2]por cuent'!H2189</f>
        <v>2549658391.3000002</v>
      </c>
      <c r="F2189" t="str">
        <f>+'[2]por cuent'!I2189</f>
        <v>687</v>
      </c>
    </row>
    <row r="2190" spans="1:6" x14ac:dyDescent="0.35">
      <c r="A2190" t="str">
        <f>+'[2]por cuent'!A2190</f>
        <v>ARS</v>
      </c>
      <c r="B2190" t="str">
        <f>+'[2]por cuent'!B2190</f>
        <v>687000796</v>
      </c>
      <c r="C2190" t="str">
        <f>+'[2]por cuent'!C2190</f>
        <v>FIORENTINI, NORA ISABEL o GALVANI, LUCAS ARIEL</v>
      </c>
      <c r="D2190" s="35">
        <f>+'[2]por cuent'!G2190</f>
        <v>10512478.720000001</v>
      </c>
      <c r="E2190" s="35">
        <f>+'[2]por cuent'!H2190</f>
        <v>10512478.720000001</v>
      </c>
      <c r="F2190" t="str">
        <f>+'[2]por cuent'!I2190</f>
        <v>687</v>
      </c>
    </row>
    <row r="2191" spans="1:6" x14ac:dyDescent="0.35">
      <c r="A2191" t="str">
        <f>+'[2]por cuent'!A2191</f>
        <v>ARS</v>
      </c>
      <c r="B2191" t="str">
        <f>+'[2]por cuent'!B2191</f>
        <v>687000807</v>
      </c>
      <c r="C2191" t="str">
        <f>+'[2]por cuent'!C2191</f>
        <v>CHAIN, LUIS ALBERTO o CHAIN, PRISCILA NANCI</v>
      </c>
      <c r="D2191" s="35">
        <f>+'[2]por cuent'!G2191</f>
        <v>46575</v>
      </c>
      <c r="E2191" s="35">
        <f>+'[2]por cuent'!H2191</f>
        <v>46575</v>
      </c>
      <c r="F2191" t="str">
        <f>+'[2]por cuent'!I2191</f>
        <v>687</v>
      </c>
    </row>
    <row r="2192" spans="1:6" x14ac:dyDescent="0.35">
      <c r="A2192" t="str">
        <f>+'[2]por cuent'!A2192</f>
        <v>ARS</v>
      </c>
      <c r="B2192" t="str">
        <f>+'[2]por cuent'!B2192</f>
        <v>687000809</v>
      </c>
      <c r="C2192" t="str">
        <f>+'[2]por cuent'!C2192</f>
        <v>NAVARRO, CRISTIAN DANIEL</v>
      </c>
      <c r="D2192" s="35">
        <f>+'[2]por cuent'!G2192</f>
        <v>186437490.87</v>
      </c>
      <c r="E2192" s="35">
        <f>+'[2]por cuent'!H2192</f>
        <v>186437490.87</v>
      </c>
      <c r="F2192" t="str">
        <f>+'[2]por cuent'!I2192</f>
        <v>687</v>
      </c>
    </row>
    <row r="2193" spans="1:6" x14ac:dyDescent="0.35">
      <c r="A2193" t="str">
        <f>+'[2]por cuent'!A2193</f>
        <v>ARS</v>
      </c>
      <c r="B2193" t="str">
        <f>+'[2]por cuent'!B2193</f>
        <v>687000814</v>
      </c>
      <c r="C2193" t="str">
        <f>+'[2]por cuent'!C2193</f>
        <v>PEREZ CORTES, IGNACIO o MARZIONI, MELISA AGOSTINA</v>
      </c>
      <c r="D2193" s="35">
        <f>+'[2]por cuent'!G2193</f>
        <v>516309</v>
      </c>
      <c r="E2193" s="35">
        <f>+'[2]por cuent'!H2193</f>
        <v>516309</v>
      </c>
      <c r="F2193" t="str">
        <f>+'[2]por cuent'!I2193</f>
        <v>687</v>
      </c>
    </row>
    <row r="2194" spans="1:6" x14ac:dyDescent="0.35">
      <c r="A2194" t="str">
        <f>+'[2]por cuent'!A2194</f>
        <v>ARS</v>
      </c>
      <c r="B2194" t="str">
        <f>+'[2]por cuent'!B2194</f>
        <v>687000822</v>
      </c>
      <c r="C2194" t="str">
        <f>+'[2]por cuent'!C2194</f>
        <v>CARNINO, MARIA ISABEL o BARAT CARNINO, PALOMA o BARAT CARNINO, MERCEDES</v>
      </c>
      <c r="D2194" s="35">
        <f>+'[2]por cuent'!G2194</f>
        <v>74340</v>
      </c>
      <c r="E2194" s="35">
        <f>+'[2]por cuent'!H2194</f>
        <v>74340</v>
      </c>
      <c r="F2194" t="str">
        <f>+'[2]por cuent'!I2194</f>
        <v>687</v>
      </c>
    </row>
    <row r="2195" spans="1:6" x14ac:dyDescent="0.35">
      <c r="A2195" t="str">
        <f>+'[2]por cuent'!A2195</f>
        <v>ARS</v>
      </c>
      <c r="B2195" t="str">
        <f>+'[2]por cuent'!B2195</f>
        <v>687000825</v>
      </c>
      <c r="C2195" t="str">
        <f>+'[2]por cuent'!C2195</f>
        <v>RISSO, EDUARDO ANTONIO</v>
      </c>
      <c r="D2195" s="35">
        <f>+'[2]por cuent'!G2195</f>
        <v>3040724.1</v>
      </c>
      <c r="E2195" s="35">
        <f>+'[2]por cuent'!H2195</f>
        <v>3040724.1</v>
      </c>
      <c r="F2195" t="str">
        <f>+'[2]por cuent'!I2195</f>
        <v>687</v>
      </c>
    </row>
    <row r="2196" spans="1:6" x14ac:dyDescent="0.35">
      <c r="A2196" t="str">
        <f>+'[2]por cuent'!A2196</f>
        <v>ARS</v>
      </c>
      <c r="B2196" t="str">
        <f>+'[2]por cuent'!B2196</f>
        <v>687000829</v>
      </c>
      <c r="C2196" t="str">
        <f>+'[2]por cuent'!C2196</f>
        <v>MUTUAL DEL CLUB ATLETICO JUVENTUD UNIDA</v>
      </c>
      <c r="D2196" s="35">
        <f>+'[2]por cuent'!G2196</f>
        <v>6688577683.4399996</v>
      </c>
      <c r="E2196" s="35">
        <f>+'[2]por cuent'!H2196</f>
        <v>6688577683.4399996</v>
      </c>
      <c r="F2196" t="str">
        <f>+'[2]por cuent'!I2196</f>
        <v>687</v>
      </c>
    </row>
    <row r="2197" spans="1:6" x14ac:dyDescent="0.35">
      <c r="A2197" t="str">
        <f>+'[2]por cuent'!A2197</f>
        <v>ARS</v>
      </c>
      <c r="B2197" t="str">
        <f>+'[2]por cuent'!B2197</f>
        <v>687000832</v>
      </c>
      <c r="C2197" t="str">
        <f>+'[2]por cuent'!C2197</f>
        <v xml:space="preserve">MAOLONI, ÓSCAR </v>
      </c>
      <c r="D2197" s="35">
        <f>+'[2]por cuent'!G2197</f>
        <v>104358000</v>
      </c>
      <c r="E2197" s="35">
        <f>+'[2]por cuent'!H2197</f>
        <v>104358000</v>
      </c>
      <c r="F2197" t="str">
        <f>+'[2]por cuent'!I2197</f>
        <v>687</v>
      </c>
    </row>
    <row r="2198" spans="1:6" x14ac:dyDescent="0.35">
      <c r="A2198" t="str">
        <f>+'[2]por cuent'!A2198</f>
        <v>ARS</v>
      </c>
      <c r="B2198" t="str">
        <f>+'[2]por cuent'!B2198</f>
        <v>687000833</v>
      </c>
      <c r="C2198" t="str">
        <f>+'[2]por cuent'!C2198</f>
        <v>GALLI, EUGENIA MARIA o BARAT, JUAN MANUEL</v>
      </c>
      <c r="D2198" s="35">
        <f>+'[2]por cuent'!G2198</f>
        <v>114833.4</v>
      </c>
      <c r="E2198" s="35">
        <f>+'[2]por cuent'!H2198</f>
        <v>114833.4</v>
      </c>
      <c r="F2198" t="str">
        <f>+'[2]por cuent'!I2198</f>
        <v>687</v>
      </c>
    </row>
    <row r="2199" spans="1:6" x14ac:dyDescent="0.35">
      <c r="A2199" t="str">
        <f>+'[2]por cuent'!A2199</f>
        <v>ARS</v>
      </c>
      <c r="B2199" t="str">
        <f>+'[2]por cuent'!B2199</f>
        <v>687000845</v>
      </c>
      <c r="C2199" t="str">
        <f>+'[2]por cuent'!C2199</f>
        <v>LA FAMILLE S.A.</v>
      </c>
      <c r="D2199" s="35">
        <f>+'[2]por cuent'!G2199</f>
        <v>552320843.19000006</v>
      </c>
      <c r="E2199" s="35">
        <f>+'[2]por cuent'!H2199</f>
        <v>552320843.19000006</v>
      </c>
      <c r="F2199" t="str">
        <f>+'[2]por cuent'!I2199</f>
        <v>687</v>
      </c>
    </row>
    <row r="2200" spans="1:6" x14ac:dyDescent="0.35">
      <c r="A2200" t="str">
        <f>+'[2]por cuent'!A2200</f>
        <v>ARS</v>
      </c>
      <c r="B2200" t="str">
        <f>+'[2]por cuent'!B2200</f>
        <v>687000847</v>
      </c>
      <c r="C2200" t="str">
        <f>+'[2]por cuent'!C2200</f>
        <v>MOLLARD, MARTIN ENRIQUE o CASAS, SILVANA NATALIA</v>
      </c>
      <c r="D2200" s="35">
        <f>+'[2]por cuent'!G2200</f>
        <v>88476735.469999999</v>
      </c>
      <c r="E2200" s="35">
        <f>+'[2]por cuent'!H2200</f>
        <v>88476735.469999999</v>
      </c>
      <c r="F2200" t="str">
        <f>+'[2]por cuent'!I2200</f>
        <v>687</v>
      </c>
    </row>
    <row r="2201" spans="1:6" x14ac:dyDescent="0.35">
      <c r="A2201" t="str">
        <f>+'[2]por cuent'!A2201</f>
        <v>ARS</v>
      </c>
      <c r="B2201" t="str">
        <f>+'[2]por cuent'!B2201</f>
        <v>687000855</v>
      </c>
      <c r="C2201" t="str">
        <f>+'[2]por cuent'!C2201</f>
        <v>LABADIE, MARIA JULIETA o SOLA, LEANDRO ARIEL</v>
      </c>
      <c r="D2201" s="35">
        <f>+'[2]por cuent'!G2201</f>
        <v>591816080</v>
      </c>
      <c r="E2201" s="35">
        <f>+'[2]por cuent'!H2201</f>
        <v>591816080</v>
      </c>
      <c r="F2201" t="str">
        <f>+'[2]por cuent'!I2201</f>
        <v>687</v>
      </c>
    </row>
    <row r="2202" spans="1:6" x14ac:dyDescent="0.35">
      <c r="A2202" t="str">
        <f>+'[2]por cuent'!A2202</f>
        <v>ARS</v>
      </c>
      <c r="B2202" t="str">
        <f>+'[2]por cuent'!B2202</f>
        <v>687000860</v>
      </c>
      <c r="C2202" t="str">
        <f>+'[2]por cuent'!C2202</f>
        <v>AUDISALUD S.R.L</v>
      </c>
      <c r="D2202" s="35">
        <f>+'[2]por cuent'!G2202</f>
        <v>233749645.5</v>
      </c>
      <c r="E2202" s="35">
        <f>+'[2]por cuent'!H2202</f>
        <v>233749645.5</v>
      </c>
      <c r="F2202" t="str">
        <f>+'[2]por cuent'!I2202</f>
        <v>687</v>
      </c>
    </row>
    <row r="2203" spans="1:6" x14ac:dyDescent="0.35">
      <c r="A2203" t="str">
        <f>+'[2]por cuent'!A2203</f>
        <v>ARS</v>
      </c>
      <c r="B2203" t="str">
        <f>+'[2]por cuent'!B2203</f>
        <v>687000867</v>
      </c>
      <c r="C2203" t="str">
        <f>+'[2]por cuent'!C2203</f>
        <v>MATKOVICH, MARCOS</v>
      </c>
      <c r="D2203" s="35">
        <f>+'[2]por cuent'!G2203</f>
        <v>28175986.149999999</v>
      </c>
      <c r="E2203" s="35">
        <f>+'[2]por cuent'!H2203</f>
        <v>28175986.149999999</v>
      </c>
      <c r="F2203" t="str">
        <f>+'[2]por cuent'!I2203</f>
        <v>687</v>
      </c>
    </row>
    <row r="2204" spans="1:6" x14ac:dyDescent="0.35">
      <c r="A2204" t="str">
        <f>+'[2]por cuent'!A2204</f>
        <v>ARS</v>
      </c>
      <c r="B2204" t="str">
        <f>+'[2]por cuent'!B2204</f>
        <v>687000871</v>
      </c>
      <c r="C2204" t="str">
        <f>+'[2]por cuent'!C2204</f>
        <v>GALVANI, GRACIELA NORA o GALVANI, HECTOR OSCAR</v>
      </c>
      <c r="D2204" s="35">
        <f>+'[2]por cuent'!G2204</f>
        <v>4281000</v>
      </c>
      <c r="E2204" s="35">
        <f>+'[2]por cuent'!H2204</f>
        <v>4281000</v>
      </c>
      <c r="F2204" t="str">
        <f>+'[2]por cuent'!I2204</f>
        <v>687</v>
      </c>
    </row>
    <row r="2205" spans="1:6" x14ac:dyDescent="0.35">
      <c r="A2205" t="str">
        <f>+'[2]por cuent'!A2205</f>
        <v>ARS</v>
      </c>
      <c r="B2205" t="str">
        <f>+'[2]por cuent'!B2205</f>
        <v>687000883</v>
      </c>
      <c r="C2205" t="str">
        <f>+'[2]por cuent'!C2205</f>
        <v>RAMACCIOTTI, LAUTARO o RAMACCIOTTI, FAVIO PEDRO</v>
      </c>
      <c r="D2205" s="35">
        <f>+'[2]por cuent'!G2205</f>
        <v>835000</v>
      </c>
      <c r="E2205" s="35">
        <f>+'[2]por cuent'!H2205</f>
        <v>835000</v>
      </c>
      <c r="F2205" t="str">
        <f>+'[2]por cuent'!I2205</f>
        <v>687</v>
      </c>
    </row>
    <row r="2206" spans="1:6" x14ac:dyDescent="0.35">
      <c r="A2206" t="str">
        <f>+'[2]por cuent'!A2206</f>
        <v>ARS</v>
      </c>
      <c r="B2206" t="str">
        <f>+'[2]por cuent'!B2206</f>
        <v>687000885</v>
      </c>
      <c r="C2206" t="str">
        <f>+'[2]por cuent'!C2206</f>
        <v>PICARDI, JAVIER ANDRES</v>
      </c>
      <c r="D2206" s="35">
        <f>+'[2]por cuent'!G2206</f>
        <v>10558855</v>
      </c>
      <c r="E2206" s="35">
        <f>+'[2]por cuent'!H2206</f>
        <v>10558855</v>
      </c>
      <c r="F2206" t="str">
        <f>+'[2]por cuent'!I2206</f>
        <v>687</v>
      </c>
    </row>
    <row r="2207" spans="1:6" x14ac:dyDescent="0.35">
      <c r="A2207" t="str">
        <f>+'[2]por cuent'!A2207</f>
        <v>ARS</v>
      </c>
      <c r="B2207" t="str">
        <f>+'[2]por cuent'!B2207</f>
        <v>687000906</v>
      </c>
      <c r="C2207" t="str">
        <f>+'[2]por cuent'!C2207</f>
        <v>CASAGRANDE, PATRICIO GONZALO</v>
      </c>
      <c r="D2207" s="35">
        <f>+'[2]por cuent'!G2207</f>
        <v>24489349.940000001</v>
      </c>
      <c r="E2207" s="35">
        <f>+'[2]por cuent'!H2207</f>
        <v>24489349.940000001</v>
      </c>
      <c r="F2207" t="str">
        <f>+'[2]por cuent'!I2207</f>
        <v>687</v>
      </c>
    </row>
    <row r="2208" spans="1:6" x14ac:dyDescent="0.35">
      <c r="A2208" t="str">
        <f>+'[2]por cuent'!A2208</f>
        <v>ARS</v>
      </c>
      <c r="B2208" t="str">
        <f>+'[2]por cuent'!B2208</f>
        <v>687000911</v>
      </c>
      <c r="C2208" t="str">
        <f>+'[2]por cuent'!C2208</f>
        <v>HERNANDEZ, GONZALO RAUL o PAZ, MELODI NATALI</v>
      </c>
      <c r="D2208" s="35">
        <f>+'[2]por cuent'!G2208</f>
        <v>53997000</v>
      </c>
      <c r="E2208" s="35">
        <f>+'[2]por cuent'!H2208</f>
        <v>53997000</v>
      </c>
      <c r="F2208" t="str">
        <f>+'[2]por cuent'!I2208</f>
        <v>687</v>
      </c>
    </row>
    <row r="2209" spans="1:6" x14ac:dyDescent="0.35">
      <c r="A2209" t="str">
        <f>+'[2]por cuent'!A2209</f>
        <v>ARS</v>
      </c>
      <c r="B2209" t="str">
        <f>+'[2]por cuent'!B2209</f>
        <v>687000912</v>
      </c>
      <c r="C2209" t="str">
        <f>+'[2]por cuent'!C2209</f>
        <v xml:space="preserve">TENAGLIA, JULIAN PABLO o PEDRO , MARIA DEL LUJAN </v>
      </c>
      <c r="D2209" s="35">
        <f>+'[2]por cuent'!G2209</f>
        <v>237407568.88999999</v>
      </c>
      <c r="E2209" s="35">
        <f>+'[2]por cuent'!H2209</f>
        <v>237407568.88999999</v>
      </c>
      <c r="F2209" t="str">
        <f>+'[2]por cuent'!I2209</f>
        <v>687</v>
      </c>
    </row>
    <row r="2210" spans="1:6" x14ac:dyDescent="0.35">
      <c r="A2210" t="str">
        <f>+'[2]por cuent'!A2210</f>
        <v>ARS</v>
      </c>
      <c r="B2210" t="str">
        <f>+'[2]por cuent'!B2210</f>
        <v>687000923</v>
      </c>
      <c r="C2210" t="str">
        <f>+'[2]por cuent'!C2210</f>
        <v>RIBECA, RAMIRO OSCAR o CARIGNANO IAMONICO, GIULIANA LUCIA</v>
      </c>
      <c r="D2210" s="35">
        <f>+'[2]por cuent'!G2210</f>
        <v>410702000</v>
      </c>
      <c r="E2210" s="35">
        <f>+'[2]por cuent'!H2210</f>
        <v>410702000</v>
      </c>
      <c r="F2210" t="str">
        <f>+'[2]por cuent'!I2210</f>
        <v>687</v>
      </c>
    </row>
    <row r="2211" spans="1:6" x14ac:dyDescent="0.35">
      <c r="A2211" t="str">
        <f>+'[2]por cuent'!A2211</f>
        <v>ARS</v>
      </c>
      <c r="B2211" t="str">
        <f>+'[2]por cuent'!B2211</f>
        <v>687000925</v>
      </c>
      <c r="C2211" t="str">
        <f>+'[2]por cuent'!C2211</f>
        <v>YOCCO, WALTER DARIO</v>
      </c>
      <c r="D2211" s="35">
        <f>+'[2]por cuent'!G2211</f>
        <v>9585000</v>
      </c>
      <c r="E2211" s="35">
        <f>+'[2]por cuent'!H2211</f>
        <v>9585000</v>
      </c>
      <c r="F2211" t="str">
        <f>+'[2]por cuent'!I2211</f>
        <v>687</v>
      </c>
    </row>
    <row r="2212" spans="1:6" x14ac:dyDescent="0.35">
      <c r="A2212" t="str">
        <f>+'[2]por cuent'!A2212</f>
        <v>ARS</v>
      </c>
      <c r="B2212" t="str">
        <f>+'[2]por cuent'!B2212</f>
        <v>687000928</v>
      </c>
      <c r="C2212" t="str">
        <f>+'[2]por cuent'!C2212</f>
        <v>CORDIVIOLA, ESTEBAN GABRIEL</v>
      </c>
      <c r="D2212" s="35">
        <f>+'[2]por cuent'!G2212</f>
        <v>7355182046.4399996</v>
      </c>
      <c r="E2212" s="35">
        <f>+'[2]por cuent'!H2212</f>
        <v>7355182046.4399996</v>
      </c>
      <c r="F2212" t="str">
        <f>+'[2]por cuent'!I2212</f>
        <v>687</v>
      </c>
    </row>
    <row r="2213" spans="1:6" x14ac:dyDescent="0.35">
      <c r="A2213" t="str">
        <f>+'[2]por cuent'!A2213</f>
        <v>ARS</v>
      </c>
      <c r="B2213" t="str">
        <f>+'[2]por cuent'!B2213</f>
        <v>687000929</v>
      </c>
      <c r="C2213" t="str">
        <f>+'[2]por cuent'!C2213</f>
        <v xml:space="preserve">DFC CAPITAL MANAGEMENT SA </v>
      </c>
      <c r="D2213" s="35">
        <f>+'[2]por cuent'!G2213</f>
        <v>5888532654.21</v>
      </c>
      <c r="E2213" s="35">
        <f>+'[2]por cuent'!H2213</f>
        <v>5888532654.21</v>
      </c>
      <c r="F2213" t="str">
        <f>+'[2]por cuent'!I2213</f>
        <v>687</v>
      </c>
    </row>
    <row r="2214" spans="1:6" x14ac:dyDescent="0.35">
      <c r="A2214" t="str">
        <f>+'[2]por cuent'!A2214</f>
        <v>ARS</v>
      </c>
      <c r="B2214" t="str">
        <f>+'[2]por cuent'!B2214</f>
        <v>687000931</v>
      </c>
      <c r="C2214" t="str">
        <f>+'[2]por cuent'!C2214</f>
        <v>MENENDEZ, IGNACIO MARTIN</v>
      </c>
      <c r="D2214" s="35">
        <f>+'[2]por cuent'!G2214</f>
        <v>726258</v>
      </c>
      <c r="E2214" s="35">
        <f>+'[2]por cuent'!H2214</f>
        <v>726258</v>
      </c>
      <c r="F2214" t="str">
        <f>+'[2]por cuent'!I2214</f>
        <v>687</v>
      </c>
    </row>
    <row r="2215" spans="1:6" x14ac:dyDescent="0.35">
      <c r="A2215" t="str">
        <f>+'[2]por cuent'!A2215</f>
        <v>ARS</v>
      </c>
      <c r="B2215" t="str">
        <f>+'[2]por cuent'!B2215</f>
        <v>687000932</v>
      </c>
      <c r="C2215" t="str">
        <f>+'[2]por cuent'!C2215</f>
        <v>ASOCIACION MUTUAL DESARROLLO REGIONAL</v>
      </c>
      <c r="D2215" s="35">
        <f>+'[2]por cuent'!G2215</f>
        <v>526523132.10000002</v>
      </c>
      <c r="E2215" s="35">
        <f>+'[2]por cuent'!H2215</f>
        <v>526523132.10000002</v>
      </c>
      <c r="F2215" t="str">
        <f>+'[2]por cuent'!I2215</f>
        <v>687</v>
      </c>
    </row>
    <row r="2216" spans="1:6" x14ac:dyDescent="0.35">
      <c r="A2216" t="str">
        <f>+'[2]por cuent'!A2216</f>
        <v>ARS</v>
      </c>
      <c r="B2216" t="str">
        <f>+'[2]por cuent'!B2216</f>
        <v>687000933</v>
      </c>
      <c r="C2216" t="str">
        <f>+'[2]por cuent'!C2216</f>
        <v xml:space="preserve">TASSILE, MONICA EMILSE </v>
      </c>
      <c r="D2216" s="35">
        <f>+'[2]por cuent'!G2216</f>
        <v>26144388.59</v>
      </c>
      <c r="E2216" s="35">
        <f>+'[2]por cuent'!H2216</f>
        <v>26144388.59</v>
      </c>
      <c r="F2216" t="str">
        <f>+'[2]por cuent'!I2216</f>
        <v>687</v>
      </c>
    </row>
    <row r="2217" spans="1:6" x14ac:dyDescent="0.35">
      <c r="A2217" t="str">
        <f>+'[2]por cuent'!A2217</f>
        <v>ARS</v>
      </c>
      <c r="B2217" t="str">
        <f>+'[2]por cuent'!B2217</f>
        <v>687000934</v>
      </c>
      <c r="C2217" t="str">
        <f>+'[2]por cuent'!C2217</f>
        <v>LION HEAD SRL</v>
      </c>
      <c r="D2217" s="35">
        <f>+'[2]por cuent'!G2217</f>
        <v>78443083.170000002</v>
      </c>
      <c r="E2217" s="35">
        <f>+'[2]por cuent'!H2217</f>
        <v>78443083.170000002</v>
      </c>
      <c r="F2217" t="str">
        <f>+'[2]por cuent'!I2217</f>
        <v>687</v>
      </c>
    </row>
    <row r="2218" spans="1:6" x14ac:dyDescent="0.35">
      <c r="A2218" t="str">
        <f>+'[2]por cuent'!A2218</f>
        <v>ARS</v>
      </c>
      <c r="B2218" t="str">
        <f>+'[2]por cuent'!B2218</f>
        <v>687000936</v>
      </c>
      <c r="C2218" t="str">
        <f>+'[2]por cuent'!C2218</f>
        <v>MANCINI, IVANA ROMINA</v>
      </c>
      <c r="D2218" s="35">
        <f>+'[2]por cuent'!G2218</f>
        <v>410047499.22000003</v>
      </c>
      <c r="E2218" s="35">
        <f>+'[2]por cuent'!H2218</f>
        <v>410047499.22000003</v>
      </c>
      <c r="F2218" t="str">
        <f>+'[2]por cuent'!I2218</f>
        <v>687</v>
      </c>
    </row>
    <row r="2219" spans="1:6" x14ac:dyDescent="0.35">
      <c r="A2219" t="str">
        <f>+'[2]por cuent'!A2219</f>
        <v>ARS</v>
      </c>
      <c r="B2219" t="str">
        <f>+'[2]por cuent'!B2219</f>
        <v>687000942</v>
      </c>
      <c r="C2219" t="str">
        <f>+'[2]por cuent'!C2219</f>
        <v>ERMAGIVA SA</v>
      </c>
      <c r="D2219" s="35">
        <f>+'[2]por cuent'!G2219</f>
        <v>51699599</v>
      </c>
      <c r="E2219" s="35">
        <f>+'[2]por cuent'!H2219</f>
        <v>51699599</v>
      </c>
      <c r="F2219" t="str">
        <f>+'[2]por cuent'!I2219</f>
        <v>687</v>
      </c>
    </row>
    <row r="2220" spans="1:6" x14ac:dyDescent="0.35">
      <c r="A2220" t="str">
        <f>+'[2]por cuent'!A2220</f>
        <v>ARS</v>
      </c>
      <c r="B2220" t="str">
        <f>+'[2]por cuent'!B2220</f>
        <v>687000946</v>
      </c>
      <c r="C2220" t="str">
        <f>+'[2]por cuent'!C2220</f>
        <v>MACHADO, JUAN IGNACIO</v>
      </c>
      <c r="D2220" s="35">
        <f>+'[2]por cuent'!G2220</f>
        <v>248959829.41</v>
      </c>
      <c r="E2220" s="35">
        <f>+'[2]por cuent'!H2220</f>
        <v>248959829.41</v>
      </c>
      <c r="F2220" t="str">
        <f>+'[2]por cuent'!I2220</f>
        <v>687</v>
      </c>
    </row>
    <row r="2221" spans="1:6" x14ac:dyDescent="0.35">
      <c r="A2221" t="str">
        <f>+'[2]por cuent'!A2221</f>
        <v>ARS</v>
      </c>
      <c r="B2221" t="str">
        <f>+'[2]por cuent'!B2221</f>
        <v>687000947</v>
      </c>
      <c r="C2221" t="str">
        <f>+'[2]por cuent'!C2221</f>
        <v xml:space="preserve">PROCOPIO, PABLO SILVIO </v>
      </c>
      <c r="D2221" s="35">
        <f>+'[2]por cuent'!G2221</f>
        <v>848020</v>
      </c>
      <c r="E2221" s="35">
        <f>+'[2]por cuent'!H2221</f>
        <v>848020</v>
      </c>
      <c r="F2221" t="str">
        <f>+'[2]por cuent'!I2221</f>
        <v>687</v>
      </c>
    </row>
    <row r="2222" spans="1:6" x14ac:dyDescent="0.35">
      <c r="A2222" t="str">
        <f>+'[2]por cuent'!A2222</f>
        <v>ARS</v>
      </c>
      <c r="B2222" t="str">
        <f>+'[2]por cuent'!B2222</f>
        <v>687000955</v>
      </c>
      <c r="C2222" t="str">
        <f>+'[2]por cuent'!C2222</f>
        <v>D'ALESSANDRO, SANTIAGO PEDRO</v>
      </c>
      <c r="D2222" s="35">
        <f>+'[2]por cuent'!G2222</f>
        <v>6622035</v>
      </c>
      <c r="E2222" s="35">
        <f>+'[2]por cuent'!H2222</f>
        <v>6622035</v>
      </c>
      <c r="F2222" t="str">
        <f>+'[2]por cuent'!I2222</f>
        <v>687</v>
      </c>
    </row>
    <row r="2223" spans="1:6" x14ac:dyDescent="0.35">
      <c r="A2223" t="str">
        <f>+'[2]por cuent'!A2223</f>
        <v>ARS</v>
      </c>
      <c r="B2223" t="str">
        <f>+'[2]por cuent'!B2223</f>
        <v>687000958</v>
      </c>
      <c r="C2223" t="str">
        <f>+'[2]por cuent'!C2223</f>
        <v>BORRELL, MARIANA</v>
      </c>
      <c r="D2223" s="35">
        <f>+'[2]por cuent'!G2223</f>
        <v>26963366.789999999</v>
      </c>
      <c r="E2223" s="35">
        <f>+'[2]por cuent'!H2223</f>
        <v>26963366.789999999</v>
      </c>
      <c r="F2223" t="str">
        <f>+'[2]por cuent'!I2223</f>
        <v>687</v>
      </c>
    </row>
    <row r="2224" spans="1:6" x14ac:dyDescent="0.35">
      <c r="A2224" t="str">
        <f>+'[2]por cuent'!A2224</f>
        <v>ARS</v>
      </c>
      <c r="B2224" t="str">
        <f>+'[2]por cuent'!B2224</f>
        <v>687000960</v>
      </c>
      <c r="C2224" t="str">
        <f>+'[2]por cuent'!C2224</f>
        <v>FARINA S.R.L</v>
      </c>
      <c r="D2224" s="35">
        <f>+'[2]por cuent'!G2224</f>
        <v>423298000</v>
      </c>
      <c r="E2224" s="35">
        <f>+'[2]por cuent'!H2224</f>
        <v>423298000</v>
      </c>
      <c r="F2224" t="str">
        <f>+'[2]por cuent'!I2224</f>
        <v>687</v>
      </c>
    </row>
    <row r="2225" spans="1:6" x14ac:dyDescent="0.35">
      <c r="A2225" t="str">
        <f>+'[2]por cuent'!A2225</f>
        <v>ARS</v>
      </c>
      <c r="B2225" t="str">
        <f>+'[2]por cuent'!B2225</f>
        <v>687000961</v>
      </c>
      <c r="C2225" t="str">
        <f>+'[2]por cuent'!C2225</f>
        <v>MARZIONI, MELISA AGOSTINA</v>
      </c>
      <c r="D2225" s="35">
        <f>+'[2]por cuent'!G2225</f>
        <v>4213988.5999999996</v>
      </c>
      <c r="E2225" s="35">
        <f>+'[2]por cuent'!H2225</f>
        <v>4213988.5999999996</v>
      </c>
      <c r="F2225" t="str">
        <f>+'[2]por cuent'!I2225</f>
        <v>687</v>
      </c>
    </row>
    <row r="2226" spans="1:6" x14ac:dyDescent="0.35">
      <c r="A2226" t="str">
        <f>+'[2]por cuent'!A2226</f>
        <v>ARS</v>
      </c>
      <c r="B2226" t="str">
        <f>+'[2]por cuent'!B2226</f>
        <v>687000964</v>
      </c>
      <c r="C2226" t="str">
        <f>+'[2]por cuent'!C2226</f>
        <v>YOCCO, ELIZABETH SOLEDAD</v>
      </c>
      <c r="D2226" s="35">
        <f>+'[2]por cuent'!G2226</f>
        <v>51800</v>
      </c>
      <c r="E2226" s="35">
        <f>+'[2]por cuent'!H2226</f>
        <v>51800</v>
      </c>
      <c r="F2226" t="str">
        <f>+'[2]por cuent'!I2226</f>
        <v>687</v>
      </c>
    </row>
    <row r="2227" spans="1:6" x14ac:dyDescent="0.35">
      <c r="A2227" t="str">
        <f>+'[2]por cuent'!A2227</f>
        <v>ARS</v>
      </c>
      <c r="B2227" t="str">
        <f>+'[2]por cuent'!B2227</f>
        <v>687000968</v>
      </c>
      <c r="C2227" t="str">
        <f>+'[2]por cuent'!C2227</f>
        <v>GARCIA, AGUSTIN GASTON</v>
      </c>
      <c r="D2227" s="35">
        <f>+'[2]por cuent'!G2227</f>
        <v>47640944.140000001</v>
      </c>
      <c r="E2227" s="35">
        <f>+'[2]por cuent'!H2227</f>
        <v>47640944.140000001</v>
      </c>
      <c r="F2227" t="str">
        <f>+'[2]por cuent'!I2227</f>
        <v>687</v>
      </c>
    </row>
    <row r="2228" spans="1:6" x14ac:dyDescent="0.35">
      <c r="A2228" t="str">
        <f>+'[2]por cuent'!A2228</f>
        <v>ARS</v>
      </c>
      <c r="B2228" t="str">
        <f>+'[2]por cuent'!B2228</f>
        <v>687000969</v>
      </c>
      <c r="C2228" t="str">
        <f>+'[2]por cuent'!C2228</f>
        <v>VIALE, JUAN MANUEL</v>
      </c>
      <c r="D2228" s="35">
        <f>+'[2]por cuent'!G2228</f>
        <v>408879000</v>
      </c>
      <c r="E2228" s="35">
        <f>+'[2]por cuent'!H2228</f>
        <v>408879000</v>
      </c>
      <c r="F2228" t="str">
        <f>+'[2]por cuent'!I2228</f>
        <v>687</v>
      </c>
    </row>
    <row r="2229" spans="1:6" x14ac:dyDescent="0.35">
      <c r="A2229" t="str">
        <f>+'[2]por cuent'!A2229</f>
        <v>ARS</v>
      </c>
      <c r="B2229" t="str">
        <f>+'[2]por cuent'!B2229</f>
        <v>687000970</v>
      </c>
      <c r="C2229" t="str">
        <f>+'[2]por cuent'!C2229</f>
        <v>SENTINELLI, LUCA</v>
      </c>
      <c r="D2229" s="35">
        <f>+'[2]por cuent'!G2229</f>
        <v>35055358.810000002</v>
      </c>
      <c r="E2229" s="35">
        <f>+'[2]por cuent'!H2229</f>
        <v>35055358.810000002</v>
      </c>
      <c r="F2229" t="str">
        <f>+'[2]por cuent'!I2229</f>
        <v>687</v>
      </c>
    </row>
    <row r="2230" spans="1:6" x14ac:dyDescent="0.35">
      <c r="A2230" t="str">
        <f>+'[2]por cuent'!A2230</f>
        <v>ARS</v>
      </c>
      <c r="B2230" t="str">
        <f>+'[2]por cuent'!B2230</f>
        <v>687000973</v>
      </c>
      <c r="C2230" t="str">
        <f>+'[2]por cuent'!C2230</f>
        <v>MALPASSI, LUCIANO DAMIAN</v>
      </c>
      <c r="D2230" s="35">
        <f>+'[2]por cuent'!G2230</f>
        <v>142089240.97</v>
      </c>
      <c r="E2230" s="35">
        <f>+'[2]por cuent'!H2230</f>
        <v>142089240.97</v>
      </c>
      <c r="F2230" t="str">
        <f>+'[2]por cuent'!I2230</f>
        <v>687</v>
      </c>
    </row>
    <row r="2231" spans="1:6" x14ac:dyDescent="0.35">
      <c r="A2231" t="str">
        <f>+'[2]por cuent'!A2231</f>
        <v>ARS</v>
      </c>
      <c r="B2231" t="str">
        <f>+'[2]por cuent'!B2231</f>
        <v>687000978</v>
      </c>
      <c r="C2231" t="str">
        <f>+'[2]por cuent'!C2231</f>
        <v>KOBILA, ANIBAL ABEL o MESSINA, LORENA ANDREA</v>
      </c>
      <c r="D2231" s="35">
        <f>+'[2]por cuent'!G2231</f>
        <v>10017.4</v>
      </c>
      <c r="E2231" s="35">
        <f>+'[2]por cuent'!H2231</f>
        <v>10017.4</v>
      </c>
      <c r="F2231" t="str">
        <f>+'[2]por cuent'!I2231</f>
        <v>687</v>
      </c>
    </row>
    <row r="2232" spans="1:6" x14ac:dyDescent="0.35">
      <c r="A2232" t="str">
        <f>+'[2]por cuent'!A2232</f>
        <v>ARS</v>
      </c>
      <c r="B2232" t="str">
        <f>+'[2]por cuent'!B2232</f>
        <v>687000980</v>
      </c>
      <c r="C2232" t="str">
        <f>+'[2]por cuent'!C2232</f>
        <v>MARTIN, JUAN IGNACIO</v>
      </c>
      <c r="D2232" s="35">
        <f>+'[2]por cuent'!G2232</f>
        <v>862620</v>
      </c>
      <c r="E2232" s="35">
        <f>+'[2]por cuent'!H2232</f>
        <v>862620</v>
      </c>
      <c r="F2232" t="str">
        <f>+'[2]por cuent'!I2232</f>
        <v>687</v>
      </c>
    </row>
    <row r="2233" spans="1:6" x14ac:dyDescent="0.35">
      <c r="A2233" t="str">
        <f>+'[2]por cuent'!A2233</f>
        <v>ARS</v>
      </c>
      <c r="B2233" t="str">
        <f>+'[2]por cuent'!B2233</f>
        <v>687000981</v>
      </c>
      <c r="C2233" t="str">
        <f>+'[2]por cuent'!C2233</f>
        <v>GARCIA, FRANCO</v>
      </c>
      <c r="D2233" s="35">
        <f>+'[2]por cuent'!G2233</f>
        <v>17438221</v>
      </c>
      <c r="E2233" s="35">
        <f>+'[2]por cuent'!H2233</f>
        <v>17438221</v>
      </c>
      <c r="F2233" t="str">
        <f>+'[2]por cuent'!I2233</f>
        <v>687</v>
      </c>
    </row>
    <row r="2234" spans="1:6" x14ac:dyDescent="0.35">
      <c r="A2234" t="str">
        <f>+'[2]por cuent'!A2234</f>
        <v>ARS</v>
      </c>
      <c r="B2234" t="str">
        <f>+'[2]por cuent'!B2234</f>
        <v>687000983</v>
      </c>
      <c r="C2234" t="str">
        <f>+'[2]por cuent'!C2234</f>
        <v>YALKH, ALAN HERNAN</v>
      </c>
      <c r="D2234" s="35">
        <f>+'[2]por cuent'!G2234</f>
        <v>399430</v>
      </c>
      <c r="E2234" s="35">
        <f>+'[2]por cuent'!H2234</f>
        <v>399430</v>
      </c>
      <c r="F2234" t="str">
        <f>+'[2]por cuent'!I2234</f>
        <v>687</v>
      </c>
    </row>
    <row r="2235" spans="1:6" x14ac:dyDescent="0.35">
      <c r="A2235" t="str">
        <f>+'[2]por cuent'!A2235</f>
        <v>ARS</v>
      </c>
      <c r="B2235" t="str">
        <f>+'[2]por cuent'!B2235</f>
        <v>687000985</v>
      </c>
      <c r="C2235" t="str">
        <f>+'[2]por cuent'!C2235</f>
        <v>BOTTI, CLARISA  o LANG, DENIS MIGUEL</v>
      </c>
      <c r="D2235" s="35">
        <f>+'[2]por cuent'!G2235</f>
        <v>235712000</v>
      </c>
      <c r="E2235" s="35">
        <f>+'[2]por cuent'!H2235</f>
        <v>235712000</v>
      </c>
      <c r="F2235" t="str">
        <f>+'[2]por cuent'!I2235</f>
        <v>687</v>
      </c>
    </row>
    <row r="2236" spans="1:6" x14ac:dyDescent="0.35">
      <c r="A2236" t="str">
        <f>+'[2]por cuent'!A2236</f>
        <v>ARS</v>
      </c>
      <c r="B2236" t="str">
        <f>+'[2]por cuent'!B2236</f>
        <v>687000989</v>
      </c>
      <c r="C2236" t="str">
        <f>+'[2]por cuent'!C2236</f>
        <v xml:space="preserve">BONORIS, FERNANDO DANIEL o MINUET, ELIZABETH </v>
      </c>
      <c r="D2236" s="35">
        <f>+'[2]por cuent'!G2236</f>
        <v>276049.84000000003</v>
      </c>
      <c r="E2236" s="35">
        <f>+'[2]por cuent'!H2236</f>
        <v>276049.84000000003</v>
      </c>
      <c r="F2236" t="str">
        <f>+'[2]por cuent'!I2236</f>
        <v>687</v>
      </c>
    </row>
    <row r="2237" spans="1:6" x14ac:dyDescent="0.35">
      <c r="A2237" t="str">
        <f>+'[2]por cuent'!A2237</f>
        <v>ARS</v>
      </c>
      <c r="B2237" t="str">
        <f>+'[2]por cuent'!B2237</f>
        <v>687000991</v>
      </c>
      <c r="C2237" t="str">
        <f>+'[2]por cuent'!C2237</f>
        <v>RUFACH, SERGIO FABIAN o SCIURBA, ROSA MARIA VICENTA</v>
      </c>
      <c r="D2237" s="35">
        <f>+'[2]por cuent'!G2237</f>
        <v>679361297.80999994</v>
      </c>
      <c r="E2237" s="35">
        <f>+'[2]por cuent'!H2237</f>
        <v>679361297.80999994</v>
      </c>
      <c r="F2237" t="str">
        <f>+'[2]por cuent'!I2237</f>
        <v>687</v>
      </c>
    </row>
    <row r="2238" spans="1:6" x14ac:dyDescent="0.35">
      <c r="A2238" t="str">
        <f>+'[2]por cuent'!A2238</f>
        <v>ARS</v>
      </c>
      <c r="B2238" t="str">
        <f>+'[2]por cuent'!B2238</f>
        <v>687000992</v>
      </c>
      <c r="C2238" t="str">
        <f>+'[2]por cuent'!C2238</f>
        <v>PIATTI, CRISTIAN LEONARDO o MANGIONE, CARLA o PIATTI, CAMILO</v>
      </c>
      <c r="D2238" s="35">
        <f>+'[2]por cuent'!G2238</f>
        <v>730957079.23000002</v>
      </c>
      <c r="E2238" s="35">
        <f>+'[2]por cuent'!H2238</f>
        <v>730957079.23000002</v>
      </c>
      <c r="F2238" t="str">
        <f>+'[2]por cuent'!I2238</f>
        <v>687</v>
      </c>
    </row>
    <row r="2239" spans="1:6" x14ac:dyDescent="0.35">
      <c r="A2239" t="str">
        <f>+'[2]por cuent'!A2239</f>
        <v>ARS</v>
      </c>
      <c r="B2239" t="str">
        <f>+'[2]por cuent'!B2239</f>
        <v>687000995</v>
      </c>
      <c r="C2239" t="str">
        <f>+'[2]por cuent'!C2239</f>
        <v>ROMANO, PATRICIO</v>
      </c>
      <c r="D2239" s="35">
        <f>+'[2]por cuent'!G2239</f>
        <v>1602.6</v>
      </c>
      <c r="E2239" s="35">
        <f>+'[2]por cuent'!H2239</f>
        <v>1602.6</v>
      </c>
      <c r="F2239" t="str">
        <f>+'[2]por cuent'!I2239</f>
        <v>687</v>
      </c>
    </row>
    <row r="2240" spans="1:6" x14ac:dyDescent="0.35">
      <c r="A2240" t="str">
        <f>+'[2]por cuent'!A2240</f>
        <v>ARS</v>
      </c>
      <c r="B2240" t="str">
        <f>+'[2]por cuent'!B2240</f>
        <v>687000997</v>
      </c>
      <c r="C2240" t="str">
        <f>+'[2]por cuent'!C2240</f>
        <v>OJEDA, GUIDO ANTONIO</v>
      </c>
      <c r="D2240" s="35">
        <f>+'[2]por cuent'!G2240</f>
        <v>5789737.5800000001</v>
      </c>
      <c r="E2240" s="35">
        <f>+'[2]por cuent'!H2240</f>
        <v>5789737.5800000001</v>
      </c>
      <c r="F2240" t="str">
        <f>+'[2]por cuent'!I2240</f>
        <v>687</v>
      </c>
    </row>
    <row r="2241" spans="1:6" x14ac:dyDescent="0.35">
      <c r="A2241" t="str">
        <f>+'[2]por cuent'!A2241</f>
        <v>ARS</v>
      </c>
      <c r="B2241" t="str">
        <f>+'[2]por cuent'!B2241</f>
        <v>687000998</v>
      </c>
      <c r="C2241" t="str">
        <f>+'[2]por cuent'!C2241</f>
        <v>MORELLI, XIMENA NATALIA</v>
      </c>
      <c r="D2241" s="35">
        <f>+'[2]por cuent'!G2241</f>
        <v>1237600</v>
      </c>
      <c r="E2241" s="35">
        <f>+'[2]por cuent'!H2241</f>
        <v>1237600</v>
      </c>
      <c r="F2241" t="str">
        <f>+'[2]por cuent'!I2241</f>
        <v>687</v>
      </c>
    </row>
    <row r="2242" spans="1:6" x14ac:dyDescent="0.35">
      <c r="A2242" t="str">
        <f>+'[2]por cuent'!A2242</f>
        <v>ARS</v>
      </c>
      <c r="B2242" t="str">
        <f>+'[2]por cuent'!B2242</f>
        <v>687001000</v>
      </c>
      <c r="C2242" t="str">
        <f>+'[2]por cuent'!C2242</f>
        <v>LABAC S.A.</v>
      </c>
      <c r="D2242" s="35">
        <f>+'[2]por cuent'!G2242</f>
        <v>384410972.86000001</v>
      </c>
      <c r="E2242" s="35">
        <f>+'[2]por cuent'!H2242</f>
        <v>384410972.86000001</v>
      </c>
      <c r="F2242" t="str">
        <f>+'[2]por cuent'!I2242</f>
        <v>687</v>
      </c>
    </row>
    <row r="2243" spans="1:6" x14ac:dyDescent="0.35">
      <c r="A2243" t="str">
        <f>+'[2]por cuent'!A2243</f>
        <v>ARS</v>
      </c>
      <c r="B2243" t="str">
        <f>+'[2]por cuent'!B2243</f>
        <v>687001003</v>
      </c>
      <c r="C2243" t="str">
        <f>+'[2]por cuent'!C2243</f>
        <v>SOCSeMe SAS</v>
      </c>
      <c r="D2243" s="35">
        <f>+'[2]por cuent'!G2243</f>
        <v>220129785.41</v>
      </c>
      <c r="E2243" s="35">
        <f>+'[2]por cuent'!H2243</f>
        <v>220129785.41</v>
      </c>
      <c r="F2243" t="str">
        <f>+'[2]por cuent'!I2243</f>
        <v>687</v>
      </c>
    </row>
    <row r="2244" spans="1:6" x14ac:dyDescent="0.35">
      <c r="A2244" t="str">
        <f>+'[2]por cuent'!A2244</f>
        <v>ARS</v>
      </c>
      <c r="B2244" t="str">
        <f>+'[2]por cuent'!B2244</f>
        <v>687001004</v>
      </c>
      <c r="C2244" t="str">
        <f>+'[2]por cuent'!C2244</f>
        <v>STE SRL</v>
      </c>
      <c r="D2244" s="35">
        <f>+'[2]por cuent'!G2244</f>
        <v>186555490.22999999</v>
      </c>
      <c r="E2244" s="35">
        <f>+'[2]por cuent'!H2244</f>
        <v>186555490.22999999</v>
      </c>
      <c r="F2244" t="str">
        <f>+'[2]por cuent'!I2244</f>
        <v>687</v>
      </c>
    </row>
    <row r="2245" spans="1:6" x14ac:dyDescent="0.35">
      <c r="A2245" t="str">
        <f>+'[2]por cuent'!A2245</f>
        <v>ARS</v>
      </c>
      <c r="B2245" t="str">
        <f>+'[2]por cuent'!B2245</f>
        <v>687001005</v>
      </c>
      <c r="C2245" t="str">
        <f>+'[2]por cuent'!C2245</f>
        <v>Moreno, Juan Pablo</v>
      </c>
      <c r="D2245" s="35">
        <f>+'[2]por cuent'!G2245</f>
        <v>9908000</v>
      </c>
      <c r="E2245" s="35">
        <f>+'[2]por cuent'!H2245</f>
        <v>9908000</v>
      </c>
      <c r="F2245" t="str">
        <f>+'[2]por cuent'!I2245</f>
        <v>687</v>
      </c>
    </row>
    <row r="2246" spans="1:6" x14ac:dyDescent="0.35">
      <c r="A2246" t="str">
        <f>+'[2]por cuent'!A2246</f>
        <v>ARS</v>
      </c>
      <c r="B2246" t="str">
        <f>+'[2]por cuent'!B2246</f>
        <v>717002001</v>
      </c>
      <c r="C2246" t="str">
        <f>+'[2]por cuent'!C2246</f>
        <v>BARRILLI S.A.</v>
      </c>
      <c r="D2246" s="35">
        <f>+'[2]por cuent'!G2246</f>
        <v>317388764.60000002</v>
      </c>
      <c r="E2246" s="35">
        <f>+'[2]por cuent'!H2246</f>
        <v>317388764.60000002</v>
      </c>
      <c r="F2246" t="str">
        <f>+'[2]por cuent'!I2246</f>
        <v>717</v>
      </c>
    </row>
    <row r="2247" spans="1:6" x14ac:dyDescent="0.35">
      <c r="A2247" t="str">
        <f>+'[2]por cuent'!A2247</f>
        <v>ARS</v>
      </c>
      <c r="B2247" t="str">
        <f>+'[2]por cuent'!B2247</f>
        <v>717002144</v>
      </c>
      <c r="C2247" t="str">
        <f>+'[2]por cuent'!C2247</f>
        <v>NASELLO AURELIO PABLO</v>
      </c>
      <c r="D2247" s="35">
        <f>+'[2]por cuent'!G2247</f>
        <v>75455546.140000001</v>
      </c>
      <c r="E2247" s="35">
        <f>+'[2]por cuent'!H2247</f>
        <v>75455546.140000001</v>
      </c>
      <c r="F2247" t="str">
        <f>+'[2]por cuent'!I2247</f>
        <v>717</v>
      </c>
    </row>
    <row r="2248" spans="1:6" x14ac:dyDescent="0.35">
      <c r="A2248" t="str">
        <f>+'[2]por cuent'!A2248</f>
        <v>ARS</v>
      </c>
      <c r="B2248" t="str">
        <f>+'[2]por cuent'!B2248</f>
        <v>717003756</v>
      </c>
      <c r="C2248" t="str">
        <f>+'[2]por cuent'!C2248</f>
        <v>SERVIGRAIN S.A</v>
      </c>
      <c r="D2248" s="35">
        <f>+'[2]por cuent'!G2248</f>
        <v>1557984315.6600001</v>
      </c>
      <c r="E2248" s="35">
        <f>+'[2]por cuent'!H2248</f>
        <v>1557984315.6600001</v>
      </c>
      <c r="F2248" t="str">
        <f>+'[2]por cuent'!I2248</f>
        <v>717</v>
      </c>
    </row>
    <row r="2249" spans="1:6" x14ac:dyDescent="0.35">
      <c r="A2249" t="str">
        <f>+'[2]por cuent'!A2249</f>
        <v>ARS</v>
      </c>
      <c r="B2249" t="str">
        <f>+'[2]por cuent'!B2249</f>
        <v>717006527</v>
      </c>
      <c r="C2249" t="str">
        <f>+'[2]por cuent'!C2249</f>
        <v>AGROLEY S.A.</v>
      </c>
      <c r="D2249" s="35">
        <f>+'[2]por cuent'!G2249</f>
        <v>143363433.19</v>
      </c>
      <c r="E2249" s="35">
        <f>+'[2]por cuent'!H2249</f>
        <v>143363433.19</v>
      </c>
      <c r="F2249" t="str">
        <f>+'[2]por cuent'!I2249</f>
        <v>717</v>
      </c>
    </row>
    <row r="2250" spans="1:6" x14ac:dyDescent="0.35">
      <c r="A2250" t="str">
        <f>+'[2]por cuent'!A2250</f>
        <v>ARS</v>
      </c>
      <c r="B2250" t="str">
        <f>+'[2]por cuent'!B2250</f>
        <v>717006653</v>
      </c>
      <c r="C2250" t="str">
        <f>+'[2]por cuent'!C2250</f>
        <v>CAMURRI SA</v>
      </c>
      <c r="D2250" s="35">
        <f>+'[2]por cuent'!G2250</f>
        <v>578333597</v>
      </c>
      <c r="E2250" s="35">
        <f>+'[2]por cuent'!H2250</f>
        <v>578333597</v>
      </c>
      <c r="F2250" t="str">
        <f>+'[2]por cuent'!I2250</f>
        <v>717</v>
      </c>
    </row>
    <row r="2251" spans="1:6" x14ac:dyDescent="0.35">
      <c r="A2251" t="str">
        <f>+'[2]por cuent'!A2251</f>
        <v>ARS</v>
      </c>
      <c r="B2251" t="str">
        <f>+'[2]por cuent'!B2251</f>
        <v>717008565</v>
      </c>
      <c r="C2251" t="str">
        <f>+'[2]por cuent'!C2251</f>
        <v>ESCARRA FERNANDO</v>
      </c>
      <c r="D2251" s="35">
        <f>+'[2]por cuent'!G2251</f>
        <v>1906547333.24</v>
      </c>
      <c r="E2251" s="35">
        <f>+'[2]por cuent'!H2251</f>
        <v>1906547333.24</v>
      </c>
      <c r="F2251" t="str">
        <f>+'[2]por cuent'!I2251</f>
        <v>717</v>
      </c>
    </row>
    <row r="2252" spans="1:6" x14ac:dyDescent="0.35">
      <c r="A2252" t="str">
        <f>+'[2]por cuent'!A2252</f>
        <v>ARS</v>
      </c>
      <c r="B2252" t="str">
        <f>+'[2]por cuent'!B2252</f>
        <v>717009563</v>
      </c>
      <c r="C2252" t="str">
        <f>+'[2]por cuent'!C2252</f>
        <v>OSCAR ROBERTO DI SCIASCIO SRL.</v>
      </c>
      <c r="D2252" s="35">
        <f>+'[2]por cuent'!G2252</f>
        <v>300000</v>
      </c>
      <c r="E2252" s="35">
        <f>+'[2]por cuent'!H2252</f>
        <v>300000</v>
      </c>
      <c r="F2252" t="str">
        <f>+'[2]por cuent'!I2252</f>
        <v>717</v>
      </c>
    </row>
    <row r="2253" spans="1:6" x14ac:dyDescent="0.35">
      <c r="A2253" t="str">
        <f>+'[2]por cuent'!A2253</f>
        <v>ARS</v>
      </c>
      <c r="B2253" t="str">
        <f>+'[2]por cuent'!B2253</f>
        <v>717019643</v>
      </c>
      <c r="C2253" t="str">
        <f>+'[2]por cuent'!C2253</f>
        <v>GRUPO MARYMAR S.A.</v>
      </c>
      <c r="D2253" s="35">
        <f>+'[2]por cuent'!G2253</f>
        <v>39359217.600000001</v>
      </c>
      <c r="E2253" s="35">
        <f>+'[2]por cuent'!H2253</f>
        <v>39359217.600000001</v>
      </c>
      <c r="F2253" t="str">
        <f>+'[2]por cuent'!I2253</f>
        <v>717</v>
      </c>
    </row>
    <row r="2254" spans="1:6" x14ac:dyDescent="0.35">
      <c r="A2254" t="str">
        <f>+'[2]por cuent'!A2254</f>
        <v>ARS</v>
      </c>
      <c r="B2254" t="str">
        <f>+'[2]por cuent'!B2254</f>
        <v>717035674</v>
      </c>
      <c r="C2254" t="str">
        <f>+'[2]por cuent'!C2254</f>
        <v>SERVICIOS AGROTECNICOS S.R.L.</v>
      </c>
      <c r="D2254" s="35">
        <f>+'[2]por cuent'!G2254</f>
        <v>1333889881</v>
      </c>
      <c r="E2254" s="35">
        <f>+'[2]por cuent'!H2254</f>
        <v>1333889881</v>
      </c>
      <c r="F2254" t="str">
        <f>+'[2]por cuent'!I2254</f>
        <v>717</v>
      </c>
    </row>
    <row r="2255" spans="1:6" x14ac:dyDescent="0.35">
      <c r="A2255" t="str">
        <f>+'[2]por cuent'!A2255</f>
        <v>ARS</v>
      </c>
      <c r="B2255" t="str">
        <f>+'[2]por cuent'!B2255</f>
        <v>717041369</v>
      </c>
      <c r="C2255" t="str">
        <f>+'[2]por cuent'!C2255</f>
        <v>FENOGLIO DARIEN DIEGO</v>
      </c>
      <c r="D2255" s="35">
        <f>+'[2]por cuent'!G2255</f>
        <v>29221648.300000001</v>
      </c>
      <c r="E2255" s="35">
        <f>+'[2]por cuent'!H2255</f>
        <v>29221648.300000001</v>
      </c>
      <c r="F2255" t="str">
        <f>+'[2]por cuent'!I2255</f>
        <v>717</v>
      </c>
    </row>
    <row r="2256" spans="1:6" x14ac:dyDescent="0.35">
      <c r="A2256" t="str">
        <f>+'[2]por cuent'!A2256</f>
        <v>ARS</v>
      </c>
      <c r="B2256" t="str">
        <f>+'[2]por cuent'!B2256</f>
        <v>717041429</v>
      </c>
      <c r="C2256" t="str">
        <f>+'[2]por cuent'!C2256</f>
        <v>NEIROTTI JULIAN EDGARDO</v>
      </c>
      <c r="D2256" s="35">
        <f>+'[2]por cuent'!G2256</f>
        <v>2017572.5</v>
      </c>
      <c r="E2256" s="35">
        <f>+'[2]por cuent'!H2256</f>
        <v>2017572.5</v>
      </c>
      <c r="F2256" t="str">
        <f>+'[2]por cuent'!I2256</f>
        <v>717</v>
      </c>
    </row>
    <row r="2257" spans="1:6" x14ac:dyDescent="0.35">
      <c r="A2257" t="str">
        <f>+'[2]por cuent'!A2257</f>
        <v>ARS</v>
      </c>
      <c r="B2257" t="str">
        <f>+'[2]por cuent'!B2257</f>
        <v>717041993</v>
      </c>
      <c r="C2257" t="str">
        <f>+'[2]por cuent'!C2257</f>
        <v>DERVA HERNAN JORGE</v>
      </c>
      <c r="D2257" s="35">
        <f>+'[2]por cuent'!G2257</f>
        <v>12267098</v>
      </c>
      <c r="E2257" s="35">
        <f>+'[2]por cuent'!H2257</f>
        <v>12267098</v>
      </c>
      <c r="F2257" t="str">
        <f>+'[2]por cuent'!I2257</f>
        <v>717</v>
      </c>
    </row>
    <row r="2258" spans="1:6" x14ac:dyDescent="0.35">
      <c r="A2258" t="str">
        <f>+'[2]por cuent'!A2258</f>
        <v>ARS</v>
      </c>
      <c r="B2258" t="str">
        <f>+'[2]por cuent'!B2258</f>
        <v>717042297</v>
      </c>
      <c r="C2258" t="str">
        <f>+'[2]por cuent'!C2258</f>
        <v>BARRILLI GUSTAVO MARCELO</v>
      </c>
      <c r="D2258" s="35">
        <f>+'[2]por cuent'!G2258</f>
        <v>5636059.3600000003</v>
      </c>
      <c r="E2258" s="35">
        <f>+'[2]por cuent'!H2258</f>
        <v>5636059.3600000003</v>
      </c>
      <c r="F2258" t="str">
        <f>+'[2]por cuent'!I2258</f>
        <v>717</v>
      </c>
    </row>
    <row r="2259" spans="1:6" x14ac:dyDescent="0.35">
      <c r="A2259" t="str">
        <f>+'[2]por cuent'!A2259</f>
        <v>ARS</v>
      </c>
      <c r="B2259" t="str">
        <f>+'[2]por cuent'!B2259</f>
        <v>717042379</v>
      </c>
      <c r="C2259" t="str">
        <f>+'[2]por cuent'!C2259</f>
        <v>BOLATTI IVANA NATALIA</v>
      </c>
      <c r="D2259" s="35">
        <f>+'[2]por cuent'!G2259</f>
        <v>111321</v>
      </c>
      <c r="E2259" s="35">
        <f>+'[2]por cuent'!H2259</f>
        <v>111321</v>
      </c>
      <c r="F2259" t="str">
        <f>+'[2]por cuent'!I2259</f>
        <v>717</v>
      </c>
    </row>
    <row r="2260" spans="1:6" x14ac:dyDescent="0.35">
      <c r="A2260" t="str">
        <f>+'[2]por cuent'!A2260</f>
        <v>ARS</v>
      </c>
      <c r="B2260" t="str">
        <f>+'[2]por cuent'!B2260</f>
        <v>717043349</v>
      </c>
      <c r="C2260" t="str">
        <f>+'[2]por cuent'!C2260</f>
        <v>MONTEDORO MARA SOLEDAD</v>
      </c>
      <c r="D2260" s="35">
        <f>+'[2]por cuent'!G2260</f>
        <v>1532321.18</v>
      </c>
      <c r="E2260" s="35">
        <f>+'[2]por cuent'!H2260</f>
        <v>1532321.18</v>
      </c>
      <c r="F2260" t="str">
        <f>+'[2]por cuent'!I2260</f>
        <v>717</v>
      </c>
    </row>
    <row r="2261" spans="1:6" x14ac:dyDescent="0.35">
      <c r="A2261" t="str">
        <f>+'[2]por cuent'!A2261</f>
        <v>ARS</v>
      </c>
      <c r="B2261" t="str">
        <f>+'[2]por cuent'!B2261</f>
        <v>717044115</v>
      </c>
      <c r="C2261" t="str">
        <f>+'[2]por cuent'!C2261</f>
        <v>SZEKIETA PAOLA ANDREA</v>
      </c>
      <c r="D2261" s="35">
        <f>+'[2]por cuent'!G2261</f>
        <v>3772.5</v>
      </c>
      <c r="E2261" s="35">
        <f>+'[2]por cuent'!H2261</f>
        <v>3772.5</v>
      </c>
      <c r="F2261" t="str">
        <f>+'[2]por cuent'!I2261</f>
        <v>717</v>
      </c>
    </row>
    <row r="2262" spans="1:6" x14ac:dyDescent="0.35">
      <c r="A2262" t="str">
        <f>+'[2]por cuent'!A2262</f>
        <v>ARS</v>
      </c>
      <c r="B2262" t="str">
        <f>+'[2]por cuent'!B2262</f>
        <v>717044235</v>
      </c>
      <c r="C2262" t="str">
        <f>+'[2]por cuent'!C2262</f>
        <v>JORGE LIBRA S.A.</v>
      </c>
      <c r="D2262" s="35">
        <f>+'[2]por cuent'!G2262</f>
        <v>68176200</v>
      </c>
      <c r="E2262" s="35">
        <f>+'[2]por cuent'!H2262</f>
        <v>68176200</v>
      </c>
      <c r="F2262" t="str">
        <f>+'[2]por cuent'!I2262</f>
        <v>717</v>
      </c>
    </row>
    <row r="2263" spans="1:6" x14ac:dyDescent="0.35">
      <c r="A2263" t="str">
        <f>+'[2]por cuent'!A2263</f>
        <v>ARS</v>
      </c>
      <c r="B2263" t="str">
        <f>+'[2]por cuent'!B2263</f>
        <v>717045575</v>
      </c>
      <c r="C2263" t="str">
        <f>+'[2]por cuent'!C2263</f>
        <v>BIANCUCCI HUGO OSCAR</v>
      </c>
      <c r="D2263" s="35">
        <f>+'[2]por cuent'!G2263</f>
        <v>61623505.060000002</v>
      </c>
      <c r="E2263" s="35">
        <f>+'[2]por cuent'!H2263</f>
        <v>61623505.060000002</v>
      </c>
      <c r="F2263" t="str">
        <f>+'[2]por cuent'!I2263</f>
        <v>717</v>
      </c>
    </row>
    <row r="2264" spans="1:6" x14ac:dyDescent="0.35">
      <c r="A2264" t="str">
        <f>+'[2]por cuent'!A2264</f>
        <v>ARS</v>
      </c>
      <c r="B2264" t="str">
        <f>+'[2]por cuent'!B2264</f>
        <v>717045689</v>
      </c>
      <c r="C2264" t="str">
        <f>+'[2]por cuent'!C2264</f>
        <v>BECERRA JUAN JOSE ANTONIO</v>
      </c>
      <c r="D2264" s="35">
        <f>+'[2]por cuent'!G2264</f>
        <v>21889769.289999999</v>
      </c>
      <c r="E2264" s="35">
        <f>+'[2]por cuent'!H2264</f>
        <v>21889769.289999999</v>
      </c>
      <c r="F2264" t="str">
        <f>+'[2]por cuent'!I2264</f>
        <v>717</v>
      </c>
    </row>
    <row r="2265" spans="1:6" x14ac:dyDescent="0.35">
      <c r="A2265" t="str">
        <f>+'[2]por cuent'!A2265</f>
        <v>ARS</v>
      </c>
      <c r="B2265" t="str">
        <f>+'[2]por cuent'!B2265</f>
        <v>717054875</v>
      </c>
      <c r="C2265" t="str">
        <f>+'[2]por cuent'!C2265</f>
        <v>GATTO FERNANDEZ, GONZALO ENRIQUE  o MIGUEL ANGEL MARIO, GATTO</v>
      </c>
      <c r="D2265" s="35">
        <f>+'[2]por cuent'!G2265</f>
        <v>28568585</v>
      </c>
      <c r="E2265" s="35">
        <f>+'[2]por cuent'!H2265</f>
        <v>28568585</v>
      </c>
      <c r="F2265" t="str">
        <f>+'[2]por cuent'!I2265</f>
        <v>717</v>
      </c>
    </row>
    <row r="2266" spans="1:6" x14ac:dyDescent="0.35">
      <c r="A2266" t="str">
        <f>+'[2]por cuent'!A2266</f>
        <v>ARS</v>
      </c>
      <c r="B2266" t="str">
        <f>+'[2]por cuent'!B2266</f>
        <v>717055664</v>
      </c>
      <c r="C2266" t="str">
        <f>+'[2]por cuent'!C2266</f>
        <v>AGRO RIO SA</v>
      </c>
      <c r="D2266" s="35">
        <f>+'[2]por cuent'!G2266</f>
        <v>74293091</v>
      </c>
      <c r="E2266" s="35">
        <f>+'[2]por cuent'!H2266</f>
        <v>74293091</v>
      </c>
      <c r="F2266" t="str">
        <f>+'[2]por cuent'!I2266</f>
        <v>717</v>
      </c>
    </row>
    <row r="2267" spans="1:6" x14ac:dyDescent="0.35">
      <c r="A2267" t="str">
        <f>+'[2]por cuent'!A2267</f>
        <v>ARS</v>
      </c>
      <c r="B2267" t="str">
        <f>+'[2]por cuent'!B2267</f>
        <v>717058636</v>
      </c>
      <c r="C2267" t="str">
        <f>+'[2]por cuent'!C2267</f>
        <v>ALVAREZ, ANDRES</v>
      </c>
      <c r="D2267" s="35">
        <f>+'[2]por cuent'!G2267</f>
        <v>1093485</v>
      </c>
      <c r="E2267" s="35">
        <f>+'[2]por cuent'!H2267</f>
        <v>1093485</v>
      </c>
      <c r="F2267" t="str">
        <f>+'[2]por cuent'!I2267</f>
        <v>717</v>
      </c>
    </row>
    <row r="2268" spans="1:6" x14ac:dyDescent="0.35">
      <c r="A2268" t="str">
        <f>+'[2]por cuent'!A2268</f>
        <v>ARS</v>
      </c>
      <c r="B2268" t="str">
        <f>+'[2]por cuent'!B2268</f>
        <v>717060041</v>
      </c>
      <c r="C2268" t="str">
        <f>+'[2]por cuent'!C2268</f>
        <v>CUATRO HOJAS S.A.</v>
      </c>
      <c r="D2268" s="35">
        <f>+'[2]por cuent'!G2268</f>
        <v>639773630.75</v>
      </c>
      <c r="E2268" s="35">
        <f>+'[2]por cuent'!H2268</f>
        <v>639773630.75</v>
      </c>
      <c r="F2268" t="str">
        <f>+'[2]por cuent'!I2268</f>
        <v>717</v>
      </c>
    </row>
    <row r="2269" spans="1:6" x14ac:dyDescent="0.35">
      <c r="A2269" t="str">
        <f>+'[2]por cuent'!A2269</f>
        <v>ARS</v>
      </c>
      <c r="B2269" t="str">
        <f>+'[2]por cuent'!B2269</f>
        <v>717100012</v>
      </c>
      <c r="C2269" t="str">
        <f>+'[2]por cuent'!C2269</f>
        <v>UJOVICH, ILEANA NADINA</v>
      </c>
      <c r="D2269" s="35">
        <f>+'[2]por cuent'!G2269</f>
        <v>182325</v>
      </c>
      <c r="E2269" s="35">
        <f>+'[2]por cuent'!H2269</f>
        <v>182325</v>
      </c>
      <c r="F2269" t="str">
        <f>+'[2]por cuent'!I2269</f>
        <v>717</v>
      </c>
    </row>
    <row r="2270" spans="1:6" x14ac:dyDescent="0.35">
      <c r="A2270" t="str">
        <f>+'[2]por cuent'!A2270</f>
        <v>ARS</v>
      </c>
      <c r="B2270" t="str">
        <f>+'[2]por cuent'!B2270</f>
        <v>717100016</v>
      </c>
      <c r="C2270" t="str">
        <f>+'[2]por cuent'!C2270</f>
        <v>BORRI ALDO JOSE</v>
      </c>
      <c r="D2270" s="35">
        <f>+'[2]por cuent'!G2270</f>
        <v>42305011.600000001</v>
      </c>
      <c r="E2270" s="35">
        <f>+'[2]por cuent'!H2270</f>
        <v>42305011.600000001</v>
      </c>
      <c r="F2270" t="str">
        <f>+'[2]por cuent'!I2270</f>
        <v>717</v>
      </c>
    </row>
    <row r="2271" spans="1:6" x14ac:dyDescent="0.35">
      <c r="A2271" t="str">
        <f>+'[2]por cuent'!A2271</f>
        <v>ARS</v>
      </c>
      <c r="B2271" t="str">
        <f>+'[2]por cuent'!B2271</f>
        <v>717100032</v>
      </c>
      <c r="C2271" t="str">
        <f>+'[2]por cuent'!C2271</f>
        <v>ANDRESITO S.A.</v>
      </c>
      <c r="D2271" s="35">
        <f>+'[2]por cuent'!G2271</f>
        <v>2129107.56</v>
      </c>
      <c r="E2271" s="35">
        <f>+'[2]por cuent'!H2271</f>
        <v>2129107.56</v>
      </c>
      <c r="F2271" t="str">
        <f>+'[2]por cuent'!I2271</f>
        <v>717</v>
      </c>
    </row>
    <row r="2272" spans="1:6" x14ac:dyDescent="0.35">
      <c r="A2272" t="str">
        <f>+'[2]por cuent'!A2272</f>
        <v>ARS</v>
      </c>
      <c r="B2272" t="str">
        <f>+'[2]por cuent'!B2272</f>
        <v>717100036</v>
      </c>
      <c r="C2272" t="str">
        <f>+'[2]por cuent'!C2272</f>
        <v>GONZALEZ, MATIAS</v>
      </c>
      <c r="D2272" s="35">
        <f>+'[2]por cuent'!G2272</f>
        <v>31214905</v>
      </c>
      <c r="E2272" s="35">
        <f>+'[2]por cuent'!H2272</f>
        <v>31214905</v>
      </c>
      <c r="F2272" t="str">
        <f>+'[2]por cuent'!I2272</f>
        <v>717</v>
      </c>
    </row>
    <row r="2273" spans="1:6" x14ac:dyDescent="0.35">
      <c r="A2273" t="str">
        <f>+'[2]por cuent'!A2273</f>
        <v>ARS</v>
      </c>
      <c r="B2273" t="str">
        <f>+'[2]por cuent'!B2273</f>
        <v>717100063</v>
      </c>
      <c r="C2273" t="str">
        <f>+'[2]por cuent'!C2273</f>
        <v>BRASESCO, DANIEL JETRO ELIEZER</v>
      </c>
      <c r="D2273" s="35">
        <f>+'[2]por cuent'!G2273</f>
        <v>17775543</v>
      </c>
      <c r="E2273" s="35">
        <f>+'[2]por cuent'!H2273</f>
        <v>17775543</v>
      </c>
      <c r="F2273" t="str">
        <f>+'[2]por cuent'!I2273</f>
        <v>717</v>
      </c>
    </row>
    <row r="2274" spans="1:6" x14ac:dyDescent="0.35">
      <c r="A2274" t="str">
        <f>+'[2]por cuent'!A2274</f>
        <v>ARS</v>
      </c>
      <c r="B2274" t="str">
        <f>+'[2]por cuent'!B2274</f>
        <v>717100083</v>
      </c>
      <c r="C2274" t="str">
        <f>+'[2]por cuent'!C2274</f>
        <v>CACIORGNA, HECTOR PASCUAL</v>
      </c>
      <c r="D2274" s="35">
        <f>+'[2]por cuent'!G2274</f>
        <v>407689065</v>
      </c>
      <c r="E2274" s="35">
        <f>+'[2]por cuent'!H2274</f>
        <v>407689065</v>
      </c>
      <c r="F2274" t="str">
        <f>+'[2]por cuent'!I2274</f>
        <v>717</v>
      </c>
    </row>
    <row r="2275" spans="1:6" x14ac:dyDescent="0.35">
      <c r="A2275" t="str">
        <f>+'[2]por cuent'!A2275</f>
        <v>ARS</v>
      </c>
      <c r="B2275" t="str">
        <f>+'[2]por cuent'!B2275</f>
        <v>717100091</v>
      </c>
      <c r="C2275" t="str">
        <f>+'[2]por cuent'!C2275</f>
        <v>LA PIRCA SRL</v>
      </c>
      <c r="D2275" s="35">
        <f>+'[2]por cuent'!G2275</f>
        <v>26308568</v>
      </c>
      <c r="E2275" s="35">
        <f>+'[2]por cuent'!H2275</f>
        <v>26308568</v>
      </c>
      <c r="F2275" t="str">
        <f>+'[2]por cuent'!I2275</f>
        <v>717</v>
      </c>
    </row>
    <row r="2276" spans="1:6" x14ac:dyDescent="0.35">
      <c r="A2276" t="str">
        <f>+'[2]por cuent'!A2276</f>
        <v>ARS</v>
      </c>
      <c r="B2276" t="str">
        <f>+'[2]por cuent'!B2276</f>
        <v>717100107</v>
      </c>
      <c r="C2276" t="str">
        <f>+'[2]por cuent'!C2276</f>
        <v>ALGORITMO SA</v>
      </c>
      <c r="D2276" s="35">
        <f>+'[2]por cuent'!G2276</f>
        <v>3403231600.04</v>
      </c>
      <c r="E2276" s="35">
        <f>+'[2]por cuent'!H2276</f>
        <v>3403231600.04</v>
      </c>
      <c r="F2276" t="str">
        <f>+'[2]por cuent'!I2276</f>
        <v>717</v>
      </c>
    </row>
    <row r="2277" spans="1:6" x14ac:dyDescent="0.35">
      <c r="A2277" t="str">
        <f>+'[2]por cuent'!A2277</f>
        <v>ARS</v>
      </c>
      <c r="B2277" t="str">
        <f>+'[2]por cuent'!B2277</f>
        <v>717100108</v>
      </c>
      <c r="C2277" t="str">
        <f>+'[2]por cuent'!C2277</f>
        <v>LATORRE CARIMATTI, GONZALO TOMAS</v>
      </c>
      <c r="D2277" s="35">
        <f>+'[2]por cuent'!G2277</f>
        <v>14833085</v>
      </c>
      <c r="E2277" s="35">
        <f>+'[2]por cuent'!H2277</f>
        <v>14833085</v>
      </c>
      <c r="F2277" t="str">
        <f>+'[2]por cuent'!I2277</f>
        <v>717</v>
      </c>
    </row>
    <row r="2278" spans="1:6" x14ac:dyDescent="0.35">
      <c r="A2278" t="str">
        <f>+'[2]por cuent'!A2278</f>
        <v>ARS</v>
      </c>
      <c r="B2278" t="str">
        <f>+'[2]por cuent'!B2278</f>
        <v>717100110</v>
      </c>
      <c r="C2278" t="str">
        <f>+'[2]por cuent'!C2278</f>
        <v>REY, ENRIQUE LUIS</v>
      </c>
      <c r="D2278" s="35">
        <f>+'[2]por cuent'!G2278</f>
        <v>4822.5</v>
      </c>
      <c r="E2278" s="35">
        <f>+'[2]por cuent'!H2278</f>
        <v>4822.5</v>
      </c>
      <c r="F2278" t="str">
        <f>+'[2]por cuent'!I2278</f>
        <v>717</v>
      </c>
    </row>
    <row r="2279" spans="1:6" x14ac:dyDescent="0.35">
      <c r="A2279" t="str">
        <f>+'[2]por cuent'!A2279</f>
        <v>ARS</v>
      </c>
      <c r="B2279" t="str">
        <f>+'[2]por cuent'!B2279</f>
        <v>717100113</v>
      </c>
      <c r="C2279" t="str">
        <f>+'[2]por cuent'!C2279</f>
        <v>IZQUIERDOZ, CARLOS ROBERTO</v>
      </c>
      <c r="D2279" s="35">
        <f>+'[2]por cuent'!G2279</f>
        <v>192242709.81</v>
      </c>
      <c r="E2279" s="35">
        <f>+'[2]por cuent'!H2279</f>
        <v>192242709.81</v>
      </c>
      <c r="F2279" t="str">
        <f>+'[2]por cuent'!I2279</f>
        <v>717</v>
      </c>
    </row>
    <row r="2280" spans="1:6" x14ac:dyDescent="0.35">
      <c r="A2280" t="str">
        <f>+'[2]por cuent'!A2280</f>
        <v>ARS</v>
      </c>
      <c r="B2280" t="str">
        <f>+'[2]por cuent'!B2280</f>
        <v>717100116</v>
      </c>
      <c r="C2280" t="str">
        <f>+'[2]por cuent'!C2280</f>
        <v>TABARES, ELSA LILIANA</v>
      </c>
      <c r="D2280" s="35">
        <f>+'[2]por cuent'!G2280</f>
        <v>365994</v>
      </c>
      <c r="E2280" s="35">
        <f>+'[2]por cuent'!H2280</f>
        <v>365994</v>
      </c>
      <c r="F2280" t="str">
        <f>+'[2]por cuent'!I2280</f>
        <v>717</v>
      </c>
    </row>
    <row r="2281" spans="1:6" x14ac:dyDescent="0.35">
      <c r="A2281" t="str">
        <f>+'[2]por cuent'!A2281</f>
        <v>ARS</v>
      </c>
      <c r="B2281" t="str">
        <f>+'[2]por cuent'!B2281</f>
        <v>717100122</v>
      </c>
      <c r="C2281" t="str">
        <f>+'[2]por cuent'!C2281</f>
        <v xml:space="preserve">BORTOLUTTI, REMO RICARDO o CASTELAU, MARGARITA </v>
      </c>
      <c r="D2281" s="35">
        <f>+'[2]por cuent'!G2281</f>
        <v>403598945.81999999</v>
      </c>
      <c r="E2281" s="35">
        <f>+'[2]por cuent'!H2281</f>
        <v>403598945.81999999</v>
      </c>
      <c r="F2281" t="str">
        <f>+'[2]por cuent'!I2281</f>
        <v>717</v>
      </c>
    </row>
    <row r="2282" spans="1:6" x14ac:dyDescent="0.35">
      <c r="A2282" t="str">
        <f>+'[2]por cuent'!A2282</f>
        <v>ARS</v>
      </c>
      <c r="B2282" t="str">
        <f>+'[2]por cuent'!B2282</f>
        <v>717100127</v>
      </c>
      <c r="C2282" t="str">
        <f>+'[2]por cuent'!C2282</f>
        <v>BORTOLUTTI, CARLOS</v>
      </c>
      <c r="D2282" s="35">
        <f>+'[2]por cuent'!G2282</f>
        <v>249259089.81999999</v>
      </c>
      <c r="E2282" s="35">
        <f>+'[2]por cuent'!H2282</f>
        <v>249259089.81999999</v>
      </c>
      <c r="F2282" t="str">
        <f>+'[2]por cuent'!I2282</f>
        <v>717</v>
      </c>
    </row>
    <row r="2283" spans="1:6" x14ac:dyDescent="0.35">
      <c r="A2283" t="str">
        <f>+'[2]por cuent'!A2283</f>
        <v>ARS</v>
      </c>
      <c r="B2283" t="str">
        <f>+'[2]por cuent'!B2283</f>
        <v>717100128</v>
      </c>
      <c r="C2283" t="str">
        <f>+'[2]por cuent'!C2283</f>
        <v>CARRIZO, JUAN CARLOS</v>
      </c>
      <c r="D2283" s="35">
        <f>+'[2]por cuent'!G2283</f>
        <v>75818349.730000004</v>
      </c>
      <c r="E2283" s="35">
        <f>+'[2]por cuent'!H2283</f>
        <v>75818349.730000004</v>
      </c>
      <c r="F2283" t="str">
        <f>+'[2]por cuent'!I2283</f>
        <v>717</v>
      </c>
    </row>
    <row r="2284" spans="1:6" x14ac:dyDescent="0.35">
      <c r="A2284" t="str">
        <f>+'[2]por cuent'!A2284</f>
        <v>ARS</v>
      </c>
      <c r="B2284" t="str">
        <f>+'[2]por cuent'!B2284</f>
        <v>717100130</v>
      </c>
      <c r="C2284" t="str">
        <f>+'[2]por cuent'!C2284</f>
        <v>CALANI, PAULA ANDREA</v>
      </c>
      <c r="D2284" s="35">
        <f>+'[2]por cuent'!G2284</f>
        <v>15170331.59</v>
      </c>
      <c r="E2284" s="35">
        <f>+'[2]por cuent'!H2284</f>
        <v>15170331.59</v>
      </c>
      <c r="F2284" t="str">
        <f>+'[2]por cuent'!I2284</f>
        <v>717</v>
      </c>
    </row>
    <row r="2285" spans="1:6" x14ac:dyDescent="0.35">
      <c r="A2285" t="str">
        <f>+'[2]por cuent'!A2285</f>
        <v>ARS</v>
      </c>
      <c r="B2285" t="str">
        <f>+'[2]por cuent'!B2285</f>
        <v>717100135</v>
      </c>
      <c r="C2285" t="str">
        <f>+'[2]por cuent'!C2285</f>
        <v>ALBERICI, GISELLE ANDREA</v>
      </c>
      <c r="D2285" s="35">
        <f>+'[2]por cuent'!G2285</f>
        <v>6318123</v>
      </c>
      <c r="E2285" s="35">
        <f>+'[2]por cuent'!H2285</f>
        <v>6318123</v>
      </c>
      <c r="F2285" t="str">
        <f>+'[2]por cuent'!I2285</f>
        <v>717</v>
      </c>
    </row>
    <row r="2286" spans="1:6" x14ac:dyDescent="0.35">
      <c r="A2286" t="str">
        <f>+'[2]por cuent'!A2286</f>
        <v>ARS</v>
      </c>
      <c r="B2286" t="str">
        <f>+'[2]por cuent'!B2286</f>
        <v>717100137</v>
      </c>
      <c r="C2286" t="str">
        <f>+'[2]por cuent'!C2286</f>
        <v>DIAZ, CARLOS EDUARDO</v>
      </c>
      <c r="D2286" s="35">
        <f>+'[2]por cuent'!G2286</f>
        <v>76687086.099999994</v>
      </c>
      <c r="E2286" s="35">
        <f>+'[2]por cuent'!H2286</f>
        <v>76687086.099999994</v>
      </c>
      <c r="F2286" t="str">
        <f>+'[2]por cuent'!I2286</f>
        <v>717</v>
      </c>
    </row>
    <row r="2287" spans="1:6" x14ac:dyDescent="0.35">
      <c r="A2287" t="str">
        <f>+'[2]por cuent'!A2287</f>
        <v>ARS</v>
      </c>
      <c r="B2287" t="str">
        <f>+'[2]por cuent'!B2287</f>
        <v>717100139</v>
      </c>
      <c r="C2287" t="str">
        <f>+'[2]por cuent'!C2287</f>
        <v>ARENAS ALZUA SRL</v>
      </c>
      <c r="D2287" s="35">
        <f>+'[2]por cuent'!G2287</f>
        <v>100344171.94</v>
      </c>
      <c r="E2287" s="35">
        <f>+'[2]por cuent'!H2287</f>
        <v>100344171.94</v>
      </c>
      <c r="F2287" t="str">
        <f>+'[2]por cuent'!I2287</f>
        <v>717</v>
      </c>
    </row>
    <row r="2288" spans="1:6" x14ac:dyDescent="0.35">
      <c r="A2288" t="str">
        <f>+'[2]por cuent'!A2288</f>
        <v>ARS</v>
      </c>
      <c r="B2288" t="str">
        <f>+'[2]por cuent'!B2288</f>
        <v>717100144</v>
      </c>
      <c r="C2288" t="str">
        <f>+'[2]por cuent'!C2288</f>
        <v>FRAGMA SUR SRL</v>
      </c>
      <c r="D2288" s="35">
        <f>+'[2]por cuent'!G2288</f>
        <v>10180544.210000001</v>
      </c>
      <c r="E2288" s="35">
        <f>+'[2]por cuent'!H2288</f>
        <v>10180544.210000001</v>
      </c>
      <c r="F2288" t="str">
        <f>+'[2]por cuent'!I2288</f>
        <v>717</v>
      </c>
    </row>
    <row r="2289" spans="1:6" x14ac:dyDescent="0.35">
      <c r="A2289" t="str">
        <f>+'[2]por cuent'!A2289</f>
        <v>ARS</v>
      </c>
      <c r="B2289" t="str">
        <f>+'[2]por cuent'!B2289</f>
        <v>717100146</v>
      </c>
      <c r="C2289" t="str">
        <f>+'[2]por cuent'!C2289</f>
        <v>SABENA, MARTIN HUGO</v>
      </c>
      <c r="D2289" s="35">
        <f>+'[2]por cuent'!G2289</f>
        <v>39578700.090000004</v>
      </c>
      <c r="E2289" s="35">
        <f>+'[2]por cuent'!H2289</f>
        <v>39578700.090000004</v>
      </c>
      <c r="F2289" t="str">
        <f>+'[2]por cuent'!I2289</f>
        <v>717</v>
      </c>
    </row>
    <row r="2290" spans="1:6" x14ac:dyDescent="0.35">
      <c r="A2290" t="str">
        <f>+'[2]por cuent'!A2290</f>
        <v>ARS</v>
      </c>
      <c r="B2290" t="str">
        <f>+'[2]por cuent'!B2290</f>
        <v>717100153</v>
      </c>
      <c r="C2290" t="str">
        <f>+'[2]por cuent'!C2290</f>
        <v>BORELLO, MATIAS GERMAN</v>
      </c>
      <c r="D2290" s="35">
        <f>+'[2]por cuent'!G2290</f>
        <v>133071880.28</v>
      </c>
      <c r="E2290" s="35">
        <f>+'[2]por cuent'!H2290</f>
        <v>133071880.28</v>
      </c>
      <c r="F2290" t="str">
        <f>+'[2]por cuent'!I2290</f>
        <v>717</v>
      </c>
    </row>
    <row r="2291" spans="1:6" x14ac:dyDescent="0.35">
      <c r="A2291" t="str">
        <f>+'[2]por cuent'!A2291</f>
        <v>ARS</v>
      </c>
      <c r="B2291" t="str">
        <f>+'[2]por cuent'!B2291</f>
        <v>717100158</v>
      </c>
      <c r="C2291" t="str">
        <f>+'[2]por cuent'!C2291</f>
        <v>CORTESI, MIGUEL ANGEL</v>
      </c>
      <c r="D2291" s="35">
        <f>+'[2]por cuent'!G2291</f>
        <v>183606086.59999999</v>
      </c>
      <c r="E2291" s="35">
        <f>+'[2]por cuent'!H2291</f>
        <v>183606086.59999999</v>
      </c>
      <c r="F2291" t="str">
        <f>+'[2]por cuent'!I2291</f>
        <v>717</v>
      </c>
    </row>
    <row r="2292" spans="1:6" x14ac:dyDescent="0.35">
      <c r="A2292" t="str">
        <f>+'[2]por cuent'!A2292</f>
        <v>ARS</v>
      </c>
      <c r="B2292" t="str">
        <f>+'[2]por cuent'!B2292</f>
        <v>717100161</v>
      </c>
      <c r="C2292" t="str">
        <f>+'[2]por cuent'!C2292</f>
        <v>FUNDACION CIENCIAS AGRARIAS</v>
      </c>
      <c r="D2292" s="35">
        <f>+'[2]por cuent'!G2292</f>
        <v>66597114.5</v>
      </c>
      <c r="E2292" s="35">
        <f>+'[2]por cuent'!H2292</f>
        <v>66597114.5</v>
      </c>
      <c r="F2292" t="str">
        <f>+'[2]por cuent'!I2292</f>
        <v>717</v>
      </c>
    </row>
    <row r="2293" spans="1:6" x14ac:dyDescent="0.35">
      <c r="A2293" t="str">
        <f>+'[2]por cuent'!A2293</f>
        <v>ARS</v>
      </c>
      <c r="B2293" t="str">
        <f>+'[2]por cuent'!B2293</f>
        <v>717100163</v>
      </c>
      <c r="C2293" t="str">
        <f>+'[2]por cuent'!C2293</f>
        <v>TRAPE, DANIEL RUBEN</v>
      </c>
      <c r="D2293" s="35">
        <f>+'[2]por cuent'!G2293</f>
        <v>597451</v>
      </c>
      <c r="E2293" s="35">
        <f>+'[2]por cuent'!H2293</f>
        <v>597451</v>
      </c>
      <c r="F2293" t="str">
        <f>+'[2]por cuent'!I2293</f>
        <v>717</v>
      </c>
    </row>
    <row r="2294" spans="1:6" x14ac:dyDescent="0.35">
      <c r="A2294" t="str">
        <f>+'[2]por cuent'!A2294</f>
        <v>ARS</v>
      </c>
      <c r="B2294" t="str">
        <f>+'[2]por cuent'!B2294</f>
        <v>717100169</v>
      </c>
      <c r="C2294" t="str">
        <f>+'[2]por cuent'!C2294</f>
        <v>ELLECKTRA IMAGEN GLOBAL SA</v>
      </c>
      <c r="D2294" s="35">
        <f>+'[2]por cuent'!G2294</f>
        <v>120652418.45</v>
      </c>
      <c r="E2294" s="35">
        <f>+'[2]por cuent'!H2294</f>
        <v>120652418.45</v>
      </c>
      <c r="F2294" t="str">
        <f>+'[2]por cuent'!I2294</f>
        <v>717</v>
      </c>
    </row>
    <row r="2295" spans="1:6" x14ac:dyDescent="0.35">
      <c r="A2295" t="str">
        <f>+'[2]por cuent'!A2295</f>
        <v>ARS</v>
      </c>
      <c r="B2295" t="str">
        <f>+'[2]por cuent'!B2295</f>
        <v>717100175</v>
      </c>
      <c r="C2295" t="str">
        <f>+'[2]por cuent'!C2295</f>
        <v>DEL BASSO, DARIO DAVID</v>
      </c>
      <c r="D2295" s="35">
        <f>+'[2]por cuent'!G2295</f>
        <v>28473029.66</v>
      </c>
      <c r="E2295" s="35">
        <f>+'[2]por cuent'!H2295</f>
        <v>28473029.66</v>
      </c>
      <c r="F2295" t="str">
        <f>+'[2]por cuent'!I2295</f>
        <v>717</v>
      </c>
    </row>
    <row r="2296" spans="1:6" x14ac:dyDescent="0.35">
      <c r="A2296" t="str">
        <f>+'[2]por cuent'!A2296</f>
        <v>ARS</v>
      </c>
      <c r="B2296" t="str">
        <f>+'[2]por cuent'!B2296</f>
        <v>717100179</v>
      </c>
      <c r="C2296" t="str">
        <f>+'[2]por cuent'!C2296</f>
        <v>SAN EMILIO SOCIEDAD ANONIMA</v>
      </c>
      <c r="D2296" s="35">
        <f>+'[2]por cuent'!G2296</f>
        <v>49470095.5</v>
      </c>
      <c r="E2296" s="35">
        <f>+'[2]por cuent'!H2296</f>
        <v>49470095.5</v>
      </c>
      <c r="F2296" t="str">
        <f>+'[2]por cuent'!I2296</f>
        <v>717</v>
      </c>
    </row>
    <row r="2297" spans="1:6" x14ac:dyDescent="0.35">
      <c r="A2297" t="str">
        <f>+'[2]por cuent'!A2297</f>
        <v>ARS</v>
      </c>
      <c r="B2297" t="str">
        <f>+'[2]por cuent'!B2297</f>
        <v>717100184</v>
      </c>
      <c r="C2297" t="str">
        <f>+'[2]por cuent'!C2297</f>
        <v>MARINO, ANGEL DAVID</v>
      </c>
      <c r="D2297" s="35">
        <f>+'[2]por cuent'!G2297</f>
        <v>187354573.74000001</v>
      </c>
      <c r="E2297" s="35">
        <f>+'[2]por cuent'!H2297</f>
        <v>187354573.74000001</v>
      </c>
      <c r="F2297" t="str">
        <f>+'[2]por cuent'!I2297</f>
        <v>717</v>
      </c>
    </row>
    <row r="2298" spans="1:6" x14ac:dyDescent="0.35">
      <c r="A2298" t="str">
        <f>+'[2]por cuent'!A2298</f>
        <v>ARS</v>
      </c>
      <c r="B2298" t="str">
        <f>+'[2]por cuent'!B2298</f>
        <v>717100185</v>
      </c>
      <c r="C2298" t="str">
        <f>+'[2]por cuent'!C2298</f>
        <v>ZURCHER, DANIEL HORACIO</v>
      </c>
      <c r="D2298" s="35">
        <f>+'[2]por cuent'!G2298</f>
        <v>246306693.41</v>
      </c>
      <c r="E2298" s="35">
        <f>+'[2]por cuent'!H2298</f>
        <v>246306693.41</v>
      </c>
      <c r="F2298" t="str">
        <f>+'[2]por cuent'!I2298</f>
        <v>717</v>
      </c>
    </row>
    <row r="2299" spans="1:6" x14ac:dyDescent="0.35">
      <c r="A2299" t="str">
        <f>+'[2]por cuent'!A2299</f>
        <v>ARS</v>
      </c>
      <c r="B2299" t="str">
        <f>+'[2]por cuent'!B2299</f>
        <v>717100190</v>
      </c>
      <c r="C2299" t="str">
        <f>+'[2]por cuent'!C2299</f>
        <v>J M AGROPECUARIA SA</v>
      </c>
      <c r="D2299" s="35">
        <f>+'[2]por cuent'!G2299</f>
        <v>193970870</v>
      </c>
      <c r="E2299" s="35">
        <f>+'[2]por cuent'!H2299</f>
        <v>193970870</v>
      </c>
      <c r="F2299" t="str">
        <f>+'[2]por cuent'!I2299</f>
        <v>717</v>
      </c>
    </row>
    <row r="2300" spans="1:6" x14ac:dyDescent="0.35">
      <c r="A2300" t="str">
        <f>+'[2]por cuent'!A2300</f>
        <v>ARS</v>
      </c>
      <c r="B2300" t="str">
        <f>+'[2]por cuent'!B2300</f>
        <v>717100195</v>
      </c>
      <c r="C2300" t="str">
        <f>+'[2]por cuent'!C2300</f>
        <v>CARRIZO, SANTIAGO o CALANI, PAULA ANDREA</v>
      </c>
      <c r="D2300" s="35">
        <f>+'[2]por cuent'!G2300</f>
        <v>23550935.57</v>
      </c>
      <c r="E2300" s="35">
        <f>+'[2]por cuent'!H2300</f>
        <v>23550935.57</v>
      </c>
      <c r="F2300" t="str">
        <f>+'[2]por cuent'!I2300</f>
        <v>717</v>
      </c>
    </row>
    <row r="2301" spans="1:6" x14ac:dyDescent="0.35">
      <c r="A2301" t="str">
        <f>+'[2]por cuent'!A2301</f>
        <v>ARS</v>
      </c>
      <c r="B2301" t="str">
        <f>+'[2]por cuent'!B2301</f>
        <v>717100198</v>
      </c>
      <c r="C2301" t="str">
        <f>+'[2]por cuent'!C2301</f>
        <v>BOSCHERO, SEBASTIAN RODRIGO</v>
      </c>
      <c r="D2301" s="35">
        <f>+'[2]por cuent'!G2301</f>
        <v>203618042.08000001</v>
      </c>
      <c r="E2301" s="35">
        <f>+'[2]por cuent'!H2301</f>
        <v>203618042.08000001</v>
      </c>
      <c r="F2301" t="str">
        <f>+'[2]por cuent'!I2301</f>
        <v>717</v>
      </c>
    </row>
    <row r="2302" spans="1:6" x14ac:dyDescent="0.35">
      <c r="A2302" t="str">
        <f>+'[2]por cuent'!A2302</f>
        <v>ARS</v>
      </c>
      <c r="B2302" t="str">
        <f>+'[2]por cuent'!B2302</f>
        <v>717100203</v>
      </c>
      <c r="C2302" t="str">
        <f>+'[2]por cuent'!C2302</f>
        <v>NOVARETTO, DANIEL GUSTAVO</v>
      </c>
      <c r="D2302" s="35">
        <f>+'[2]por cuent'!G2302</f>
        <v>297347424</v>
      </c>
      <c r="E2302" s="35">
        <f>+'[2]por cuent'!H2302</f>
        <v>297347424</v>
      </c>
      <c r="F2302" t="str">
        <f>+'[2]por cuent'!I2302</f>
        <v>717</v>
      </c>
    </row>
    <row r="2303" spans="1:6" x14ac:dyDescent="0.35">
      <c r="A2303" t="str">
        <f>+'[2]por cuent'!A2303</f>
        <v>ARS</v>
      </c>
      <c r="B2303" t="str">
        <f>+'[2]por cuent'!B2303</f>
        <v>717100207</v>
      </c>
      <c r="C2303" t="str">
        <f>+'[2]por cuent'!C2303</f>
        <v>POLANC, CARLOS ALBERTO o CHIODIN, MARIANELA</v>
      </c>
      <c r="D2303" s="35">
        <f>+'[2]por cuent'!G2303</f>
        <v>9456884.3300000001</v>
      </c>
      <c r="E2303" s="35">
        <f>+'[2]por cuent'!H2303</f>
        <v>9456884.3300000001</v>
      </c>
      <c r="F2303" t="str">
        <f>+'[2]por cuent'!I2303</f>
        <v>717</v>
      </c>
    </row>
    <row r="2304" spans="1:6" x14ac:dyDescent="0.35">
      <c r="A2304" t="str">
        <f>+'[2]por cuent'!A2304</f>
        <v>ARS</v>
      </c>
      <c r="B2304" t="str">
        <f>+'[2]por cuent'!B2304</f>
        <v>717100214</v>
      </c>
      <c r="C2304" t="str">
        <f>+'[2]por cuent'!C2304</f>
        <v>TRECCO, DANIEL DOMINGO</v>
      </c>
      <c r="D2304" s="35">
        <f>+'[2]por cuent'!G2304</f>
        <v>374370790.68000001</v>
      </c>
      <c r="E2304" s="35">
        <f>+'[2]por cuent'!H2304</f>
        <v>374370790.68000001</v>
      </c>
      <c r="F2304" t="str">
        <f>+'[2]por cuent'!I2304</f>
        <v>717</v>
      </c>
    </row>
    <row r="2305" spans="1:6" x14ac:dyDescent="0.35">
      <c r="A2305" t="str">
        <f>+'[2]por cuent'!A2305</f>
        <v>ARS</v>
      </c>
      <c r="B2305" t="str">
        <f>+'[2]por cuent'!B2305</f>
        <v>717100216</v>
      </c>
      <c r="C2305" t="str">
        <f>+'[2]por cuent'!C2305</f>
        <v>GRECH, FABIAN JOSE</v>
      </c>
      <c r="D2305" s="35">
        <f>+'[2]por cuent'!G2305</f>
        <v>13050657</v>
      </c>
      <c r="E2305" s="35">
        <f>+'[2]por cuent'!H2305</f>
        <v>13050657</v>
      </c>
      <c r="F2305" t="str">
        <f>+'[2]por cuent'!I2305</f>
        <v>717</v>
      </c>
    </row>
    <row r="2306" spans="1:6" x14ac:dyDescent="0.35">
      <c r="A2306" t="str">
        <f>+'[2]por cuent'!A2306</f>
        <v>ARS</v>
      </c>
      <c r="B2306" t="str">
        <f>+'[2]por cuent'!B2306</f>
        <v>717100226</v>
      </c>
      <c r="C2306" t="str">
        <f>+'[2]por cuent'!C2306</f>
        <v>HABEGGER LUIS ALFREDO Y HABEGGER GABRIEL ALFREDO SOC DE HECHO</v>
      </c>
      <c r="D2306" s="35">
        <f>+'[2]por cuent'!G2306</f>
        <v>745520599.52999997</v>
      </c>
      <c r="E2306" s="35">
        <f>+'[2]por cuent'!H2306</f>
        <v>745520599.52999997</v>
      </c>
      <c r="F2306" t="str">
        <f>+'[2]por cuent'!I2306</f>
        <v>717</v>
      </c>
    </row>
    <row r="2307" spans="1:6" x14ac:dyDescent="0.35">
      <c r="A2307" t="str">
        <f>+'[2]por cuent'!A2307</f>
        <v>ARS</v>
      </c>
      <c r="B2307" t="str">
        <f>+'[2]por cuent'!B2307</f>
        <v>717100227</v>
      </c>
      <c r="C2307" t="str">
        <f>+'[2]por cuent'!C2307</f>
        <v>TABARES, MARIA ISABEL</v>
      </c>
      <c r="D2307" s="35">
        <f>+'[2]por cuent'!G2307</f>
        <v>268302</v>
      </c>
      <c r="E2307" s="35">
        <f>+'[2]por cuent'!H2307</f>
        <v>268302</v>
      </c>
      <c r="F2307" t="str">
        <f>+'[2]por cuent'!I2307</f>
        <v>717</v>
      </c>
    </row>
    <row r="2308" spans="1:6" x14ac:dyDescent="0.35">
      <c r="A2308" t="str">
        <f>+'[2]por cuent'!A2308</f>
        <v>ARS</v>
      </c>
      <c r="B2308" t="str">
        <f>+'[2]por cuent'!B2308</f>
        <v>717100240</v>
      </c>
      <c r="C2308" t="str">
        <f>+'[2]por cuent'!C2308</f>
        <v>IZUCO S.A</v>
      </c>
      <c r="D2308" s="35">
        <f>+'[2]por cuent'!G2308</f>
        <v>461793385.13</v>
      </c>
      <c r="E2308" s="35">
        <f>+'[2]por cuent'!H2308</f>
        <v>461793385.13</v>
      </c>
      <c r="F2308" t="str">
        <f>+'[2]por cuent'!I2308</f>
        <v>717</v>
      </c>
    </row>
    <row r="2309" spans="1:6" x14ac:dyDescent="0.35">
      <c r="A2309" t="str">
        <f>+'[2]por cuent'!A2309</f>
        <v>ARS</v>
      </c>
      <c r="B2309" t="str">
        <f>+'[2]por cuent'!B2309</f>
        <v>717100241</v>
      </c>
      <c r="C2309" t="str">
        <f>+'[2]por cuent'!C2309</f>
        <v>FRANCOVICH, CARINA ANALIA</v>
      </c>
      <c r="D2309" s="35">
        <f>+'[2]por cuent'!G2309</f>
        <v>24518853.68</v>
      </c>
      <c r="E2309" s="35">
        <f>+'[2]por cuent'!H2309</f>
        <v>24518853.68</v>
      </c>
      <c r="F2309" t="str">
        <f>+'[2]por cuent'!I2309</f>
        <v>717</v>
      </c>
    </row>
    <row r="2310" spans="1:6" x14ac:dyDescent="0.35">
      <c r="A2310" t="str">
        <f>+'[2]por cuent'!A2310</f>
        <v>ARS</v>
      </c>
      <c r="B2310" t="str">
        <f>+'[2]por cuent'!B2310</f>
        <v>717100245</v>
      </c>
      <c r="C2310" t="str">
        <f>+'[2]por cuent'!C2310</f>
        <v>GOTLIEB, VERONICA</v>
      </c>
      <c r="D2310" s="35">
        <f>+'[2]por cuent'!G2310</f>
        <v>35003390.450000003</v>
      </c>
      <c r="E2310" s="35">
        <f>+'[2]por cuent'!H2310</f>
        <v>35003390.450000003</v>
      </c>
      <c r="F2310" t="str">
        <f>+'[2]por cuent'!I2310</f>
        <v>717</v>
      </c>
    </row>
    <row r="2311" spans="1:6" x14ac:dyDescent="0.35">
      <c r="A2311" t="str">
        <f>+'[2]por cuent'!A2311</f>
        <v>ARS</v>
      </c>
      <c r="B2311" t="str">
        <f>+'[2]por cuent'!B2311</f>
        <v>717100250</v>
      </c>
      <c r="C2311" t="str">
        <f>+'[2]por cuent'!C2311</f>
        <v>DIEZ, LEONIDAS</v>
      </c>
      <c r="D2311" s="35">
        <f>+'[2]por cuent'!G2311</f>
        <v>25686100</v>
      </c>
      <c r="E2311" s="35">
        <f>+'[2]por cuent'!H2311</f>
        <v>25686100</v>
      </c>
      <c r="F2311" t="str">
        <f>+'[2]por cuent'!I2311</f>
        <v>717</v>
      </c>
    </row>
    <row r="2312" spans="1:6" x14ac:dyDescent="0.35">
      <c r="A2312" t="str">
        <f>+'[2]por cuent'!A2312</f>
        <v>ARS</v>
      </c>
      <c r="B2312" t="str">
        <f>+'[2]por cuent'!B2312</f>
        <v>717100252</v>
      </c>
      <c r="C2312" t="str">
        <f>+'[2]por cuent'!C2312</f>
        <v>BARTOLOME, YANINA ELIANA</v>
      </c>
      <c r="D2312" s="35">
        <f>+'[2]por cuent'!G2312</f>
        <v>5593506</v>
      </c>
      <c r="E2312" s="35">
        <f>+'[2]por cuent'!H2312</f>
        <v>5593506</v>
      </c>
      <c r="F2312" t="str">
        <f>+'[2]por cuent'!I2312</f>
        <v>717</v>
      </c>
    </row>
    <row r="2313" spans="1:6" x14ac:dyDescent="0.35">
      <c r="A2313" t="str">
        <f>+'[2]por cuent'!A2313</f>
        <v>ARS</v>
      </c>
      <c r="B2313" t="str">
        <f>+'[2]por cuent'!B2313</f>
        <v>717100253</v>
      </c>
      <c r="C2313" t="str">
        <f>+'[2]por cuent'!C2313</f>
        <v>SABBATINELLI, DANIEL CRISTIAN</v>
      </c>
      <c r="D2313" s="35">
        <f>+'[2]por cuent'!G2313</f>
        <v>24052081</v>
      </c>
      <c r="E2313" s="35">
        <f>+'[2]por cuent'!H2313</f>
        <v>24052081</v>
      </c>
      <c r="F2313" t="str">
        <f>+'[2]por cuent'!I2313</f>
        <v>717</v>
      </c>
    </row>
    <row r="2314" spans="1:6" x14ac:dyDescent="0.35">
      <c r="A2314" t="str">
        <f>+'[2]por cuent'!A2314</f>
        <v>ARS</v>
      </c>
      <c r="B2314" t="str">
        <f>+'[2]por cuent'!B2314</f>
        <v>717100254</v>
      </c>
      <c r="C2314" t="str">
        <f>+'[2]por cuent'!C2314</f>
        <v>PINATTI MARTIN ALEJANDRO</v>
      </c>
      <c r="D2314" s="35">
        <f>+'[2]por cuent'!G2314</f>
        <v>2220372.35</v>
      </c>
      <c r="E2314" s="35">
        <f>+'[2]por cuent'!H2314</f>
        <v>2220372.35</v>
      </c>
      <c r="F2314" t="str">
        <f>+'[2]por cuent'!I2314</f>
        <v>717</v>
      </c>
    </row>
    <row r="2315" spans="1:6" x14ac:dyDescent="0.35">
      <c r="A2315" t="str">
        <f>+'[2]por cuent'!A2315</f>
        <v>ARS</v>
      </c>
      <c r="B2315" t="str">
        <f>+'[2]por cuent'!B2315</f>
        <v>717100255</v>
      </c>
      <c r="C2315" t="str">
        <f>+'[2]por cuent'!C2315</f>
        <v>FLORES, OSVALDO FABIAN o FLORES, FEDERICO GABRIEL</v>
      </c>
      <c r="D2315" s="35">
        <f>+'[2]por cuent'!G2315</f>
        <v>37658983</v>
      </c>
      <c r="E2315" s="35">
        <f>+'[2]por cuent'!H2315</f>
        <v>37658983</v>
      </c>
      <c r="F2315" t="str">
        <f>+'[2]por cuent'!I2315</f>
        <v>717</v>
      </c>
    </row>
    <row r="2316" spans="1:6" x14ac:dyDescent="0.35">
      <c r="A2316" t="str">
        <f>+'[2]por cuent'!A2316</f>
        <v>ARS</v>
      </c>
      <c r="B2316" t="str">
        <f>+'[2]por cuent'!B2316</f>
        <v>717100259</v>
      </c>
      <c r="C2316" t="str">
        <f>+'[2]por cuent'!C2316</f>
        <v>BRIZIO, MARTA ANGELA</v>
      </c>
      <c r="D2316" s="35">
        <f>+'[2]por cuent'!G2316</f>
        <v>136588.5</v>
      </c>
      <c r="E2316" s="35">
        <f>+'[2]por cuent'!H2316</f>
        <v>136588.5</v>
      </c>
      <c r="F2316" t="str">
        <f>+'[2]por cuent'!I2316</f>
        <v>717</v>
      </c>
    </row>
    <row r="2317" spans="1:6" x14ac:dyDescent="0.35">
      <c r="A2317" t="str">
        <f>+'[2]por cuent'!A2317</f>
        <v>ARS</v>
      </c>
      <c r="B2317" t="str">
        <f>+'[2]por cuent'!B2317</f>
        <v>717100264</v>
      </c>
      <c r="C2317" t="str">
        <f>+'[2]por cuent'!C2317</f>
        <v>FALCIGLIO, JAVIER NORBERTO</v>
      </c>
      <c r="D2317" s="35">
        <f>+'[2]por cuent'!G2317</f>
        <v>332304</v>
      </c>
      <c r="E2317" s="35">
        <f>+'[2]por cuent'!H2317</f>
        <v>332304</v>
      </c>
      <c r="F2317" t="str">
        <f>+'[2]por cuent'!I2317</f>
        <v>717</v>
      </c>
    </row>
    <row r="2318" spans="1:6" x14ac:dyDescent="0.35">
      <c r="A2318" t="str">
        <f>+'[2]por cuent'!A2318</f>
        <v>ARS</v>
      </c>
      <c r="B2318" t="str">
        <f>+'[2]por cuent'!B2318</f>
        <v>717100266</v>
      </c>
      <c r="C2318" t="str">
        <f>+'[2]por cuent'!C2318</f>
        <v>GARNICAS LILIAN</v>
      </c>
      <c r="D2318" s="35">
        <f>+'[2]por cuent'!G2318</f>
        <v>80479040</v>
      </c>
      <c r="E2318" s="35">
        <f>+'[2]por cuent'!H2318</f>
        <v>80479040</v>
      </c>
      <c r="F2318" t="str">
        <f>+'[2]por cuent'!I2318</f>
        <v>717</v>
      </c>
    </row>
    <row r="2319" spans="1:6" x14ac:dyDescent="0.35">
      <c r="A2319" t="str">
        <f>+'[2]por cuent'!A2319</f>
        <v>ARS</v>
      </c>
      <c r="B2319" t="str">
        <f>+'[2]por cuent'!B2319</f>
        <v>717100273</v>
      </c>
      <c r="C2319" t="str">
        <f>+'[2]por cuent'!C2319</f>
        <v>BORTOLUTTI MARGARITA</v>
      </c>
      <c r="D2319" s="35">
        <f>+'[2]por cuent'!G2319</f>
        <v>43816105.530000001</v>
      </c>
      <c r="E2319" s="35">
        <f>+'[2]por cuent'!H2319</f>
        <v>43816105.530000001</v>
      </c>
      <c r="F2319" t="str">
        <f>+'[2]por cuent'!I2319</f>
        <v>717</v>
      </c>
    </row>
    <row r="2320" spans="1:6" x14ac:dyDescent="0.35">
      <c r="A2320" t="str">
        <f>+'[2]por cuent'!A2320</f>
        <v>ARS</v>
      </c>
      <c r="B2320" t="str">
        <f>+'[2]por cuent'!B2320</f>
        <v>717100276</v>
      </c>
      <c r="C2320" t="str">
        <f>+'[2]por cuent'!C2320</f>
        <v>BUCHAILLOT, GISELLE IVANA</v>
      </c>
      <c r="D2320" s="35">
        <f>+'[2]por cuent'!G2320</f>
        <v>235514674.19</v>
      </c>
      <c r="E2320" s="35">
        <f>+'[2]por cuent'!H2320</f>
        <v>235514674.19</v>
      </c>
      <c r="F2320" t="str">
        <f>+'[2]por cuent'!I2320</f>
        <v>717</v>
      </c>
    </row>
    <row r="2321" spans="1:6" x14ac:dyDescent="0.35">
      <c r="A2321" t="str">
        <f>+'[2]por cuent'!A2321</f>
        <v>ARS</v>
      </c>
      <c r="B2321" t="str">
        <f>+'[2]por cuent'!B2321</f>
        <v>717100281</v>
      </c>
      <c r="C2321" t="str">
        <f>+'[2]por cuent'!C2321</f>
        <v>SD MONTAJES SRL</v>
      </c>
      <c r="D2321" s="35">
        <f>+'[2]por cuent'!G2321</f>
        <v>60490807.890000001</v>
      </c>
      <c r="E2321" s="35">
        <f>+'[2]por cuent'!H2321</f>
        <v>60490807.890000001</v>
      </c>
      <c r="F2321" t="str">
        <f>+'[2]por cuent'!I2321</f>
        <v>717</v>
      </c>
    </row>
    <row r="2322" spans="1:6" x14ac:dyDescent="0.35">
      <c r="A2322" t="str">
        <f>+'[2]por cuent'!A2322</f>
        <v>ARS</v>
      </c>
      <c r="B2322" t="str">
        <f>+'[2]por cuent'!B2322</f>
        <v>717100282</v>
      </c>
      <c r="C2322" t="str">
        <f>+'[2]por cuent'!C2322</f>
        <v>MEMELEN SA</v>
      </c>
      <c r="D2322" s="35">
        <f>+'[2]por cuent'!G2322</f>
        <v>246583150.19999999</v>
      </c>
      <c r="E2322" s="35">
        <f>+'[2]por cuent'!H2322</f>
        <v>246583150.19999999</v>
      </c>
      <c r="F2322" t="str">
        <f>+'[2]por cuent'!I2322</f>
        <v>717</v>
      </c>
    </row>
    <row r="2323" spans="1:6" x14ac:dyDescent="0.35">
      <c r="A2323" t="str">
        <f>+'[2]por cuent'!A2323</f>
        <v>ARS</v>
      </c>
      <c r="B2323" t="str">
        <f>+'[2]por cuent'!B2323</f>
        <v>717100283</v>
      </c>
      <c r="C2323" t="str">
        <f>+'[2]por cuent'!C2323</f>
        <v>PELLICCIOTTA, VANINA LILIANA</v>
      </c>
      <c r="D2323" s="35">
        <f>+'[2]por cuent'!G2323</f>
        <v>18884829.050000001</v>
      </c>
      <c r="E2323" s="35">
        <f>+'[2]por cuent'!H2323</f>
        <v>18884829.050000001</v>
      </c>
      <c r="F2323" t="str">
        <f>+'[2]por cuent'!I2323</f>
        <v>717</v>
      </c>
    </row>
    <row r="2324" spans="1:6" x14ac:dyDescent="0.35">
      <c r="A2324" t="str">
        <f>+'[2]por cuent'!A2324</f>
        <v>ARS</v>
      </c>
      <c r="B2324" t="str">
        <f>+'[2]por cuent'!B2324</f>
        <v>717100284</v>
      </c>
      <c r="C2324" t="str">
        <f>+'[2]por cuent'!C2324</f>
        <v>FRANCHI, GERMAN ERNESTO</v>
      </c>
      <c r="D2324" s="35">
        <f>+'[2]por cuent'!G2324</f>
        <v>31122860.199999999</v>
      </c>
      <c r="E2324" s="35">
        <f>+'[2]por cuent'!H2324</f>
        <v>31122860.199999999</v>
      </c>
      <c r="F2324" t="str">
        <f>+'[2]por cuent'!I2324</f>
        <v>717</v>
      </c>
    </row>
    <row r="2325" spans="1:6" x14ac:dyDescent="0.35">
      <c r="A2325" t="str">
        <f>+'[2]por cuent'!A2325</f>
        <v>ARS</v>
      </c>
      <c r="B2325" t="str">
        <f>+'[2]por cuent'!B2325</f>
        <v>717100285</v>
      </c>
      <c r="C2325" t="str">
        <f>+'[2]por cuent'!C2325</f>
        <v>FIRPO, ALESSIO GABRIEL</v>
      </c>
      <c r="D2325" s="35">
        <f>+'[2]por cuent'!G2325</f>
        <v>63538585</v>
      </c>
      <c r="E2325" s="35">
        <f>+'[2]por cuent'!H2325</f>
        <v>63538585</v>
      </c>
      <c r="F2325" t="str">
        <f>+'[2]por cuent'!I2325</f>
        <v>717</v>
      </c>
    </row>
    <row r="2326" spans="1:6" x14ac:dyDescent="0.35">
      <c r="A2326" t="str">
        <f>+'[2]por cuent'!A2326</f>
        <v>ARS</v>
      </c>
      <c r="B2326" t="str">
        <f>+'[2]por cuent'!B2326</f>
        <v>717100287</v>
      </c>
      <c r="C2326" t="str">
        <f>+'[2]por cuent'!C2326</f>
        <v>[C.E.R.A.] BORTOLUTTI, CARLOS</v>
      </c>
      <c r="D2326" s="35">
        <f>+'[2]por cuent'!G2326</f>
        <v>321573417.81</v>
      </c>
      <c r="E2326" s="35">
        <f>+'[2]por cuent'!H2326</f>
        <v>321573417.81</v>
      </c>
      <c r="F2326" t="str">
        <f>+'[2]por cuent'!I2326</f>
        <v>717</v>
      </c>
    </row>
    <row r="2327" spans="1:6" x14ac:dyDescent="0.35">
      <c r="A2327" t="str">
        <f>+'[2]por cuent'!A2327</f>
        <v>ARS</v>
      </c>
      <c r="B2327" t="str">
        <f>+'[2]por cuent'!B2327</f>
        <v>717100288</v>
      </c>
      <c r="C2327" t="str">
        <f>+'[2]por cuent'!C2327</f>
        <v>[C.E.R.A.] PANGEA SOCIEDAD SIMPLE</v>
      </c>
      <c r="D2327" s="35">
        <f>+'[2]por cuent'!G2327</f>
        <v>320116</v>
      </c>
      <c r="E2327" s="35">
        <f>+'[2]por cuent'!H2327</f>
        <v>320116</v>
      </c>
      <c r="F2327" t="str">
        <f>+'[2]por cuent'!I2327</f>
        <v>717</v>
      </c>
    </row>
    <row r="2328" spans="1:6" x14ac:dyDescent="0.35">
      <c r="A2328" t="str">
        <f>+'[2]por cuent'!A2328</f>
        <v>ARS</v>
      </c>
      <c r="B2328" t="str">
        <f>+'[2]por cuent'!B2328</f>
        <v>717100290</v>
      </c>
      <c r="C2328" t="str">
        <f>+'[2]por cuent'!C2328</f>
        <v>[C.E.R.A.] BORTOLUTTI, MARGARITA</v>
      </c>
      <c r="D2328" s="35">
        <f>+'[2]por cuent'!G2328</f>
        <v>751576010.51999998</v>
      </c>
      <c r="E2328" s="35">
        <f>+'[2]por cuent'!H2328</f>
        <v>751576010.51999998</v>
      </c>
      <c r="F2328" t="str">
        <f>+'[2]por cuent'!I2328</f>
        <v>717</v>
      </c>
    </row>
    <row r="2329" spans="1:6" x14ac:dyDescent="0.35">
      <c r="A2329" t="str">
        <f>+'[2]por cuent'!A2329</f>
        <v>ARS</v>
      </c>
      <c r="B2329" t="str">
        <f>+'[2]por cuent'!B2329</f>
        <v>717100291</v>
      </c>
      <c r="C2329" t="str">
        <f>+'[2]por cuent'!C2329</f>
        <v xml:space="preserve">BATTISTINO VALLA , SEBASTIAN </v>
      </c>
      <c r="D2329" s="35">
        <f>+'[2]por cuent'!G2329</f>
        <v>5820710</v>
      </c>
      <c r="E2329" s="35">
        <f>+'[2]por cuent'!H2329</f>
        <v>5820710</v>
      </c>
      <c r="F2329" t="str">
        <f>+'[2]por cuent'!I2329</f>
        <v>717</v>
      </c>
    </row>
    <row r="2330" spans="1:6" x14ac:dyDescent="0.35">
      <c r="A2330" t="str">
        <f>+'[2]por cuent'!A2330</f>
        <v>ARS</v>
      </c>
      <c r="B2330" t="str">
        <f>+'[2]por cuent'!B2330</f>
        <v>717100292</v>
      </c>
      <c r="C2330" t="str">
        <f>+'[2]por cuent'!C2330</f>
        <v>AMERISE, SEBASTIAN ANDRES</v>
      </c>
      <c r="D2330" s="35">
        <f>+'[2]por cuent'!G2330</f>
        <v>50600.25</v>
      </c>
      <c r="E2330" s="35">
        <f>+'[2]por cuent'!H2330</f>
        <v>50600.25</v>
      </c>
      <c r="F2330" t="str">
        <f>+'[2]por cuent'!I2330</f>
        <v>717</v>
      </c>
    </row>
    <row r="2331" spans="1:6" x14ac:dyDescent="0.35">
      <c r="A2331" t="str">
        <f>+'[2]por cuent'!A2331</f>
        <v>ARS</v>
      </c>
      <c r="B2331" t="str">
        <f>+'[2]por cuent'!B2331</f>
        <v>717100293</v>
      </c>
      <c r="C2331" t="str">
        <f>+'[2]por cuent'!C2331</f>
        <v>COZZI , OMAR ARTURO</v>
      </c>
      <c r="D2331" s="35">
        <f>+'[2]por cuent'!G2331</f>
        <v>1276545.93</v>
      </c>
      <c r="E2331" s="35">
        <f>+'[2]por cuent'!H2331</f>
        <v>1276545.93</v>
      </c>
      <c r="F2331" t="str">
        <f>+'[2]por cuent'!I2331</f>
        <v>717</v>
      </c>
    </row>
    <row r="2332" spans="1:6" x14ac:dyDescent="0.35">
      <c r="A2332" t="str">
        <f>+'[2]por cuent'!A2332</f>
        <v>ARS</v>
      </c>
      <c r="B2332" t="str">
        <f>+'[2]por cuent'!B2332</f>
        <v>717100296</v>
      </c>
      <c r="C2332" t="str">
        <f>+'[2]por cuent'!C2332</f>
        <v>SABENA, HUGO RICARDO</v>
      </c>
      <c r="D2332" s="35">
        <f>+'[2]por cuent'!G2332</f>
        <v>1757341.82</v>
      </c>
      <c r="E2332" s="35">
        <f>+'[2]por cuent'!H2332</f>
        <v>1757341.82</v>
      </c>
      <c r="F2332" t="str">
        <f>+'[2]por cuent'!I2332</f>
        <v>717</v>
      </c>
    </row>
    <row r="2333" spans="1:6" x14ac:dyDescent="0.35">
      <c r="A2333" t="str">
        <f>+'[2]por cuent'!A2333</f>
        <v>ARS</v>
      </c>
      <c r="B2333" t="str">
        <f>+'[2]por cuent'!B2333</f>
        <v>717100297</v>
      </c>
      <c r="C2333" t="str">
        <f>+'[2]por cuent'!C2333</f>
        <v>SABENA , NATALIA SOFIA</v>
      </c>
      <c r="D2333" s="35">
        <f>+'[2]por cuent'!G2333</f>
        <v>40090864.579999998</v>
      </c>
      <c r="E2333" s="35">
        <f>+'[2]por cuent'!H2333</f>
        <v>40090864.579999998</v>
      </c>
      <c r="F2333" t="str">
        <f>+'[2]por cuent'!I2333</f>
        <v>717</v>
      </c>
    </row>
    <row r="2334" spans="1:6" x14ac:dyDescent="0.35">
      <c r="A2334" t="str">
        <f>+'[2]por cuent'!A2334</f>
        <v>ARS</v>
      </c>
      <c r="B2334" t="str">
        <f>+'[2]por cuent'!B2334</f>
        <v>717100300</v>
      </c>
      <c r="C2334" t="str">
        <f>+'[2]por cuent'!C2334</f>
        <v>MANSILLA, MARCOS HERNAN</v>
      </c>
      <c r="D2334" s="35">
        <f>+'[2]por cuent'!G2334</f>
        <v>197481751</v>
      </c>
      <c r="E2334" s="35">
        <f>+'[2]por cuent'!H2334</f>
        <v>197481751</v>
      </c>
      <c r="F2334" t="str">
        <f>+'[2]por cuent'!I2334</f>
        <v>717</v>
      </c>
    </row>
    <row r="2335" spans="1:6" x14ac:dyDescent="0.35">
      <c r="A2335" t="str">
        <f>+'[2]por cuent'!A2335</f>
        <v>ARS</v>
      </c>
      <c r="B2335" t="str">
        <f>+'[2]por cuent'!B2335</f>
        <v>717100302</v>
      </c>
      <c r="C2335" t="str">
        <f>+'[2]por cuent'!C2335</f>
        <v>BALDELLOU, NELSON ROBERTO</v>
      </c>
      <c r="D2335" s="35">
        <f>+'[2]por cuent'!G2335</f>
        <v>149233500.63999999</v>
      </c>
      <c r="E2335" s="35">
        <f>+'[2]por cuent'!H2335</f>
        <v>149233500.63999999</v>
      </c>
      <c r="F2335" t="str">
        <f>+'[2]por cuent'!I2335</f>
        <v>717</v>
      </c>
    </row>
    <row r="2336" spans="1:6" x14ac:dyDescent="0.35">
      <c r="A2336" t="str">
        <f>+'[2]por cuent'!A2336</f>
        <v>ARS</v>
      </c>
      <c r="B2336" t="str">
        <f>+'[2]por cuent'!B2336</f>
        <v>717100309</v>
      </c>
      <c r="C2336" t="str">
        <f>+'[2]por cuent'!C2336</f>
        <v>INDUSOIL SERVICIOS S. R. L.</v>
      </c>
      <c r="D2336" s="35">
        <f>+'[2]por cuent'!G2336</f>
        <v>29669675.100000001</v>
      </c>
      <c r="E2336" s="35">
        <f>+'[2]por cuent'!H2336</f>
        <v>29669675.100000001</v>
      </c>
      <c r="F2336" t="str">
        <f>+'[2]por cuent'!I2336</f>
        <v>717</v>
      </c>
    </row>
    <row r="2337" spans="1:6" x14ac:dyDescent="0.35">
      <c r="A2337" t="str">
        <f>+'[2]por cuent'!A2337</f>
        <v>ARS</v>
      </c>
      <c r="B2337" t="str">
        <f>+'[2]por cuent'!B2337</f>
        <v>758001000</v>
      </c>
      <c r="C2337" t="str">
        <f>+'[2]por cuent'!C2337</f>
        <v>Gorostiaga Bursatil S.A.</v>
      </c>
      <c r="D2337" s="35">
        <f>+'[2]por cuent'!G2337</f>
        <v>785591562.5</v>
      </c>
      <c r="E2337" s="35">
        <f>+'[2]por cuent'!H2337</f>
        <v>785591562.5</v>
      </c>
      <c r="F2337" t="str">
        <f>+'[2]por cuent'!I2337</f>
        <v>758</v>
      </c>
    </row>
    <row r="2338" spans="1:6" x14ac:dyDescent="0.35">
      <c r="A2338" t="str">
        <f>+'[2]por cuent'!A2338</f>
        <v>ARS</v>
      </c>
      <c r="B2338" t="str">
        <f>+'[2]por cuent'!B2338</f>
        <v>758001829</v>
      </c>
      <c r="C2338" t="str">
        <f>+'[2]por cuent'!C2338</f>
        <v>Trovato, Nicolas</v>
      </c>
      <c r="D2338" s="35">
        <f>+'[2]por cuent'!G2338</f>
        <v>71888020.069999993</v>
      </c>
      <c r="E2338" s="35">
        <f>+'[2]por cuent'!H2338</f>
        <v>71888020.069999993</v>
      </c>
      <c r="F2338" t="str">
        <f>+'[2]por cuent'!I2338</f>
        <v>758</v>
      </c>
    </row>
    <row r="2339" spans="1:6" x14ac:dyDescent="0.35">
      <c r="A2339" t="str">
        <f>+'[2]por cuent'!A2339</f>
        <v>ARS</v>
      </c>
      <c r="B2339" t="str">
        <f>+'[2]por cuent'!B2339</f>
        <v>758002002</v>
      </c>
      <c r="C2339" t="str">
        <f>+'[2]por cuent'!C2339</f>
        <v>Gilone, Patricia Monica</v>
      </c>
      <c r="D2339" s="35">
        <f>+'[2]por cuent'!G2339</f>
        <v>325192.2</v>
      </c>
      <c r="E2339" s="35">
        <f>+'[2]por cuent'!H2339</f>
        <v>325192.2</v>
      </c>
      <c r="F2339" t="str">
        <f>+'[2]por cuent'!I2339</f>
        <v>758</v>
      </c>
    </row>
    <row r="2340" spans="1:6" x14ac:dyDescent="0.35">
      <c r="A2340" t="str">
        <f>+'[2]por cuent'!A2340</f>
        <v>ARS</v>
      </c>
      <c r="B2340" t="str">
        <f>+'[2]por cuent'!B2340</f>
        <v>758002003</v>
      </c>
      <c r="C2340" t="str">
        <f>+'[2]por cuent'!C2340</f>
        <v>Poggi, Barbara Selene</v>
      </c>
      <c r="D2340" s="35">
        <f>+'[2]por cuent'!G2340</f>
        <v>576253</v>
      </c>
      <c r="E2340" s="35">
        <f>+'[2]por cuent'!H2340</f>
        <v>576253</v>
      </c>
      <c r="F2340" t="str">
        <f>+'[2]por cuent'!I2340</f>
        <v>758</v>
      </c>
    </row>
    <row r="2341" spans="1:6" x14ac:dyDescent="0.35">
      <c r="A2341" t="str">
        <f>+'[2]por cuent'!A2341</f>
        <v>ARS</v>
      </c>
      <c r="B2341" t="str">
        <f>+'[2]por cuent'!B2341</f>
        <v>758002005</v>
      </c>
      <c r="C2341" t="str">
        <f>+'[2]por cuent'!C2341</f>
        <v>Esposito, Sergio Emiliano</v>
      </c>
      <c r="D2341" s="35">
        <f>+'[2]por cuent'!G2341</f>
        <v>431138</v>
      </c>
      <c r="E2341" s="35">
        <f>+'[2]por cuent'!H2341</f>
        <v>431138</v>
      </c>
      <c r="F2341" t="str">
        <f>+'[2]por cuent'!I2341</f>
        <v>758</v>
      </c>
    </row>
    <row r="2342" spans="1:6" x14ac:dyDescent="0.35">
      <c r="A2342" t="str">
        <f>+'[2]por cuent'!A2342</f>
        <v>ARS</v>
      </c>
      <c r="B2342" t="str">
        <f>+'[2]por cuent'!B2342</f>
        <v>758002006</v>
      </c>
      <c r="C2342" t="str">
        <f>+'[2]por cuent'!C2342</f>
        <v>Poggi, Rodrigo Gaston y/o Imbert, Erika Noelia</v>
      </c>
      <c r="D2342" s="35">
        <f>+'[2]por cuent'!G2342</f>
        <v>1049776600.46</v>
      </c>
      <c r="E2342" s="35">
        <f>+'[2]por cuent'!H2342</f>
        <v>1049776600.46</v>
      </c>
      <c r="F2342" t="str">
        <f>+'[2]por cuent'!I2342</f>
        <v>758</v>
      </c>
    </row>
    <row r="2343" spans="1:6" x14ac:dyDescent="0.35">
      <c r="A2343" t="str">
        <f>+'[2]por cuent'!A2343</f>
        <v>ARS</v>
      </c>
      <c r="B2343" t="str">
        <f>+'[2]por cuent'!B2343</f>
        <v>758002010</v>
      </c>
      <c r="C2343" t="str">
        <f>+'[2]por cuent'!C2343</f>
        <v>Poggi, Federico Hernan y/o Carresson, María Belén</v>
      </c>
      <c r="D2343" s="35">
        <f>+'[2]por cuent'!G2343</f>
        <v>2416320234.2600002</v>
      </c>
      <c r="E2343" s="35">
        <f>+'[2]por cuent'!H2343</f>
        <v>2416320234.2600002</v>
      </c>
      <c r="F2343" t="str">
        <f>+'[2]por cuent'!I2343</f>
        <v>758</v>
      </c>
    </row>
    <row r="2344" spans="1:6" x14ac:dyDescent="0.35">
      <c r="A2344" t="str">
        <f>+'[2]por cuent'!A2344</f>
        <v>ARS</v>
      </c>
      <c r="B2344" t="str">
        <f>+'[2]por cuent'!B2344</f>
        <v>758002014</v>
      </c>
      <c r="C2344" t="str">
        <f>+'[2]por cuent'!C2344</f>
        <v>Poggi, Facundo Lionel</v>
      </c>
      <c r="D2344" s="35">
        <f>+'[2]por cuent'!G2344</f>
        <v>5032373.8</v>
      </c>
      <c r="E2344" s="35">
        <f>+'[2]por cuent'!H2344</f>
        <v>5032373.8</v>
      </c>
      <c r="F2344" t="str">
        <f>+'[2]por cuent'!I2344</f>
        <v>758</v>
      </c>
    </row>
    <row r="2345" spans="1:6" x14ac:dyDescent="0.35">
      <c r="A2345" t="str">
        <f>+'[2]por cuent'!A2345</f>
        <v>ARS</v>
      </c>
      <c r="B2345" t="str">
        <f>+'[2]por cuent'!B2345</f>
        <v>758002019</v>
      </c>
      <c r="C2345" t="str">
        <f>+'[2]por cuent'!C2345</f>
        <v>Hermida Graciela Alicia y/o Crawford, Osvaldo Aristobulo y/o Crawford Nadia</v>
      </c>
      <c r="D2345" s="35">
        <f>+'[2]por cuent'!G2345</f>
        <v>3167325</v>
      </c>
      <c r="E2345" s="35">
        <f>+'[2]por cuent'!H2345</f>
        <v>3167325</v>
      </c>
      <c r="F2345" t="str">
        <f>+'[2]por cuent'!I2345</f>
        <v>758</v>
      </c>
    </row>
    <row r="2346" spans="1:6" x14ac:dyDescent="0.35">
      <c r="A2346" t="str">
        <f>+'[2]por cuent'!A2346</f>
        <v>ARS</v>
      </c>
      <c r="B2346" t="str">
        <f>+'[2]por cuent'!B2346</f>
        <v>758002032</v>
      </c>
      <c r="C2346" t="str">
        <f>+'[2]por cuent'!C2346</f>
        <v>Epifanio, Laila Angela</v>
      </c>
      <c r="D2346" s="35">
        <f>+'[2]por cuent'!G2346</f>
        <v>50246893</v>
      </c>
      <c r="E2346" s="35">
        <f>+'[2]por cuent'!H2346</f>
        <v>50246893</v>
      </c>
      <c r="F2346" t="str">
        <f>+'[2]por cuent'!I2346</f>
        <v>758</v>
      </c>
    </row>
    <row r="2347" spans="1:6" x14ac:dyDescent="0.35">
      <c r="A2347" t="str">
        <f>+'[2]por cuent'!A2347</f>
        <v>ARS</v>
      </c>
      <c r="B2347" t="str">
        <f>+'[2]por cuent'!B2347</f>
        <v>758002035</v>
      </c>
      <c r="C2347" t="str">
        <f>+'[2]por cuent'!C2347</f>
        <v>Bortot Gabriela Fernanda</v>
      </c>
      <c r="D2347" s="35">
        <f>+'[2]por cuent'!G2347</f>
        <v>705575</v>
      </c>
      <c r="E2347" s="35">
        <f>+'[2]por cuent'!H2347</f>
        <v>705575</v>
      </c>
      <c r="F2347" t="str">
        <f>+'[2]por cuent'!I2347</f>
        <v>758</v>
      </c>
    </row>
    <row r="2348" spans="1:6" x14ac:dyDescent="0.35">
      <c r="A2348" t="str">
        <f>+'[2]por cuent'!A2348</f>
        <v>ARS</v>
      </c>
      <c r="B2348" t="str">
        <f>+'[2]por cuent'!B2348</f>
        <v>758002038</v>
      </c>
      <c r="C2348" t="str">
        <f>+'[2]por cuent'!C2348</f>
        <v>Cañete Gorosito Alberto Isidoro</v>
      </c>
      <c r="D2348" s="35">
        <f>+'[2]por cuent'!G2348</f>
        <v>496986</v>
      </c>
      <c r="E2348" s="35">
        <f>+'[2]por cuent'!H2348</f>
        <v>496986</v>
      </c>
      <c r="F2348" t="str">
        <f>+'[2]por cuent'!I2348</f>
        <v>758</v>
      </c>
    </row>
    <row r="2349" spans="1:6" x14ac:dyDescent="0.35">
      <c r="A2349" t="str">
        <f>+'[2]por cuent'!A2349</f>
        <v>ARS</v>
      </c>
      <c r="B2349" t="str">
        <f>+'[2]por cuent'!B2349</f>
        <v>758002040</v>
      </c>
      <c r="C2349" t="str">
        <f>+'[2]por cuent'!C2349</f>
        <v>Elosu Jose Maria</v>
      </c>
      <c r="D2349" s="35">
        <f>+'[2]por cuent'!G2349</f>
        <v>7247790</v>
      </c>
      <c r="E2349" s="35">
        <f>+'[2]por cuent'!H2349</f>
        <v>7247790</v>
      </c>
      <c r="F2349" t="str">
        <f>+'[2]por cuent'!I2349</f>
        <v>758</v>
      </c>
    </row>
    <row r="2350" spans="1:6" x14ac:dyDescent="0.35">
      <c r="A2350" t="str">
        <f>+'[2]por cuent'!A2350</f>
        <v>ARS</v>
      </c>
      <c r="B2350" t="str">
        <f>+'[2]por cuent'!B2350</f>
        <v>758002043</v>
      </c>
      <c r="C2350" t="str">
        <f>+'[2]por cuent'!C2350</f>
        <v>PIRANI, JULIO CESAR</v>
      </c>
      <c r="D2350" s="35">
        <f>+'[2]por cuent'!G2350</f>
        <v>1074455.2</v>
      </c>
      <c r="E2350" s="35">
        <f>+'[2]por cuent'!H2350</f>
        <v>1074455.2</v>
      </c>
      <c r="F2350" t="str">
        <f>+'[2]por cuent'!I2350</f>
        <v>758</v>
      </c>
    </row>
    <row r="2351" spans="1:6" x14ac:dyDescent="0.35">
      <c r="A2351" t="str">
        <f>+'[2]por cuent'!A2351</f>
        <v>ARS</v>
      </c>
      <c r="B2351" t="str">
        <f>+'[2]por cuent'!B2351</f>
        <v>758002048</v>
      </c>
      <c r="C2351" t="str">
        <f>+'[2]por cuent'!C2351</f>
        <v>RAJO, GONZALO RAUL</v>
      </c>
      <c r="D2351" s="35">
        <f>+'[2]por cuent'!G2351</f>
        <v>5650</v>
      </c>
      <c r="E2351" s="35">
        <f>+'[2]por cuent'!H2351</f>
        <v>5650</v>
      </c>
      <c r="F2351" t="str">
        <f>+'[2]por cuent'!I2351</f>
        <v>758</v>
      </c>
    </row>
    <row r="2352" spans="1:6" x14ac:dyDescent="0.35">
      <c r="A2352" t="str">
        <f>+'[2]por cuent'!A2352</f>
        <v>ARS</v>
      </c>
      <c r="B2352" t="str">
        <f>+'[2]por cuent'!B2352</f>
        <v>758002049</v>
      </c>
      <c r="C2352" t="str">
        <f>+'[2]por cuent'!C2352</f>
        <v>LADINO, SANTIAGO ANDRES</v>
      </c>
      <c r="D2352" s="35">
        <f>+'[2]por cuent'!G2352</f>
        <v>52268253.539999999</v>
      </c>
      <c r="E2352" s="35">
        <f>+'[2]por cuent'!H2352</f>
        <v>52268253.539999999</v>
      </c>
      <c r="F2352" t="str">
        <f>+'[2]por cuent'!I2352</f>
        <v>758</v>
      </c>
    </row>
    <row r="2353" spans="1:6" x14ac:dyDescent="0.35">
      <c r="A2353" t="str">
        <f>+'[2]por cuent'!A2353</f>
        <v>ARS</v>
      </c>
      <c r="B2353" t="str">
        <f>+'[2]por cuent'!B2353</f>
        <v>758002050</v>
      </c>
      <c r="C2353" t="str">
        <f>+'[2]por cuent'!C2353</f>
        <v>SHERMAN, JOSE IGNACIO</v>
      </c>
      <c r="D2353" s="35">
        <f>+'[2]por cuent'!G2353</f>
        <v>10505154</v>
      </c>
      <c r="E2353" s="35">
        <f>+'[2]por cuent'!H2353</f>
        <v>10505154</v>
      </c>
      <c r="F2353" t="str">
        <f>+'[2]por cuent'!I2353</f>
        <v>758</v>
      </c>
    </row>
    <row r="2354" spans="1:6" x14ac:dyDescent="0.35">
      <c r="A2354" t="str">
        <f>+'[2]por cuent'!A2354</f>
        <v>ARS</v>
      </c>
      <c r="B2354" t="str">
        <f>+'[2]por cuent'!B2354</f>
        <v>758002052</v>
      </c>
      <c r="C2354" t="str">
        <f>+'[2]por cuent'!C2354</f>
        <v>MAZZONI, MAXIMILIANO LEANDRO</v>
      </c>
      <c r="D2354" s="35">
        <f>+'[2]por cuent'!G2354</f>
        <v>8415</v>
      </c>
      <c r="E2354" s="35">
        <f>+'[2]por cuent'!H2354</f>
        <v>8415</v>
      </c>
      <c r="F2354" t="str">
        <f>+'[2]por cuent'!I2354</f>
        <v>758</v>
      </c>
    </row>
    <row r="2355" spans="1:6" x14ac:dyDescent="0.35">
      <c r="A2355" t="str">
        <f>+'[2]por cuent'!A2355</f>
        <v>ARS</v>
      </c>
      <c r="B2355" t="str">
        <f>+'[2]por cuent'!B2355</f>
        <v>758003001</v>
      </c>
      <c r="C2355" t="str">
        <f>+'[2]por cuent'!C2355</f>
        <v>Montagano, María Concepción</v>
      </c>
      <c r="D2355" s="35">
        <f>+'[2]por cuent'!G2355</f>
        <v>115725739.5</v>
      </c>
      <c r="E2355" s="35">
        <f>+'[2]por cuent'!H2355</f>
        <v>115725739.5</v>
      </c>
      <c r="F2355" t="str">
        <f>+'[2]por cuent'!I2355</f>
        <v>758</v>
      </c>
    </row>
    <row r="2356" spans="1:6" x14ac:dyDescent="0.35">
      <c r="A2356" t="str">
        <f>+'[2]por cuent'!A2356</f>
        <v>ARS</v>
      </c>
      <c r="B2356" t="str">
        <f>+'[2]por cuent'!B2356</f>
        <v>758003005</v>
      </c>
      <c r="C2356" t="str">
        <f>+'[2]por cuent'!C2356</f>
        <v>Mainfin S.R.L</v>
      </c>
      <c r="D2356" s="35">
        <f>+'[2]por cuent'!G2356</f>
        <v>3893098</v>
      </c>
      <c r="E2356" s="35">
        <f>+'[2]por cuent'!H2356</f>
        <v>3893098</v>
      </c>
      <c r="F2356" t="str">
        <f>+'[2]por cuent'!I2356</f>
        <v>758</v>
      </c>
    </row>
    <row r="2357" spans="1:6" x14ac:dyDescent="0.35">
      <c r="A2357" t="str">
        <f>+'[2]por cuent'!A2357</f>
        <v>ARS</v>
      </c>
      <c r="B2357" t="str">
        <f>+'[2]por cuent'!B2357</f>
        <v>758003012</v>
      </c>
      <c r="C2357" t="str">
        <f>+'[2]por cuent'!C2357</f>
        <v>Carrera, Diego Fernando</v>
      </c>
      <c r="D2357" s="35">
        <f>+'[2]por cuent'!G2357</f>
        <v>13530395</v>
      </c>
      <c r="E2357" s="35">
        <f>+'[2]por cuent'!H2357</f>
        <v>13530395</v>
      </c>
      <c r="F2357" t="str">
        <f>+'[2]por cuent'!I2357</f>
        <v>758</v>
      </c>
    </row>
    <row r="2358" spans="1:6" x14ac:dyDescent="0.35">
      <c r="A2358" t="str">
        <f>+'[2]por cuent'!A2358</f>
        <v>ARS</v>
      </c>
      <c r="B2358" t="str">
        <f>+'[2]por cuent'!B2358</f>
        <v>758003013</v>
      </c>
      <c r="C2358" t="str">
        <f>+'[2]por cuent'!C2358</f>
        <v>Miglio, Carlos Alberto y/o Miglio, Micaela Florencia</v>
      </c>
      <c r="D2358" s="35">
        <f>+'[2]por cuent'!G2358</f>
        <v>24221175.420000002</v>
      </c>
      <c r="E2358" s="35">
        <f>+'[2]por cuent'!H2358</f>
        <v>24221175.420000002</v>
      </c>
      <c r="F2358" t="str">
        <f>+'[2]por cuent'!I2358</f>
        <v>758</v>
      </c>
    </row>
    <row r="2359" spans="1:6" x14ac:dyDescent="0.35">
      <c r="A2359" t="str">
        <f>+'[2]por cuent'!A2359</f>
        <v>ARS</v>
      </c>
      <c r="B2359" t="str">
        <f>+'[2]por cuent'!B2359</f>
        <v>758003014</v>
      </c>
      <c r="C2359" t="str">
        <f>+'[2]por cuent'!C2359</f>
        <v>Brunel, Irma Olga y/o Vassallo, Daniel</v>
      </c>
      <c r="D2359" s="35">
        <f>+'[2]por cuent'!G2359</f>
        <v>254740</v>
      </c>
      <c r="E2359" s="35">
        <f>+'[2]por cuent'!H2359</f>
        <v>254740</v>
      </c>
      <c r="F2359" t="str">
        <f>+'[2]por cuent'!I2359</f>
        <v>758</v>
      </c>
    </row>
    <row r="2360" spans="1:6" x14ac:dyDescent="0.35">
      <c r="A2360" t="str">
        <f>+'[2]por cuent'!A2360</f>
        <v>ARS</v>
      </c>
      <c r="B2360" t="str">
        <f>+'[2]por cuent'!B2360</f>
        <v>758003017</v>
      </c>
      <c r="C2360" t="str">
        <f>+'[2]por cuent'!C2360</f>
        <v>Tito, Valeria Laura y/o Brandan Miriam Mabel</v>
      </c>
      <c r="D2360" s="35">
        <f>+'[2]por cuent'!G2360</f>
        <v>63112709.509999998</v>
      </c>
      <c r="E2360" s="35">
        <f>+'[2]por cuent'!H2360</f>
        <v>63112709.509999998</v>
      </c>
      <c r="F2360" t="str">
        <f>+'[2]por cuent'!I2360</f>
        <v>758</v>
      </c>
    </row>
    <row r="2361" spans="1:6" x14ac:dyDescent="0.35">
      <c r="A2361" t="str">
        <f>+'[2]por cuent'!A2361</f>
        <v>ARS</v>
      </c>
      <c r="B2361" t="str">
        <f>+'[2]por cuent'!B2361</f>
        <v>758003018</v>
      </c>
      <c r="C2361" t="str">
        <f>+'[2]por cuent'!C2361</f>
        <v>Tito, Valeria Laura y/o Perugini Alejandro Hugo</v>
      </c>
      <c r="D2361" s="35">
        <f>+'[2]por cuent'!G2361</f>
        <v>86414105</v>
      </c>
      <c r="E2361" s="35">
        <f>+'[2]por cuent'!H2361</f>
        <v>86414105</v>
      </c>
      <c r="F2361" t="str">
        <f>+'[2]por cuent'!I2361</f>
        <v>758</v>
      </c>
    </row>
    <row r="2362" spans="1:6" x14ac:dyDescent="0.35">
      <c r="A2362" t="str">
        <f>+'[2]por cuent'!A2362</f>
        <v>ARS</v>
      </c>
      <c r="B2362" t="str">
        <f>+'[2]por cuent'!B2362</f>
        <v>758003019</v>
      </c>
      <c r="C2362" t="str">
        <f>+'[2]por cuent'!C2362</f>
        <v>Linares, Julián</v>
      </c>
      <c r="D2362" s="35">
        <f>+'[2]por cuent'!G2362</f>
        <v>2819650</v>
      </c>
      <c r="E2362" s="35">
        <f>+'[2]por cuent'!H2362</f>
        <v>2819650</v>
      </c>
      <c r="F2362" t="str">
        <f>+'[2]por cuent'!I2362</f>
        <v>758</v>
      </c>
    </row>
    <row r="2363" spans="1:6" x14ac:dyDescent="0.35">
      <c r="A2363" t="str">
        <f>+'[2]por cuent'!A2363</f>
        <v>ARS</v>
      </c>
      <c r="B2363" t="str">
        <f>+'[2]por cuent'!B2363</f>
        <v>758003020</v>
      </c>
      <c r="C2363" t="str">
        <f>+'[2]por cuent'!C2363</f>
        <v>Santucho, Julio Cesar de Jesús</v>
      </c>
      <c r="D2363" s="35">
        <f>+'[2]por cuent'!G2363</f>
        <v>98168452.900000006</v>
      </c>
      <c r="E2363" s="35">
        <f>+'[2]por cuent'!H2363</f>
        <v>98168452.900000006</v>
      </c>
      <c r="F2363" t="str">
        <f>+'[2]por cuent'!I2363</f>
        <v>758</v>
      </c>
    </row>
    <row r="2364" spans="1:6" x14ac:dyDescent="0.35">
      <c r="A2364" t="str">
        <f>+'[2]por cuent'!A2364</f>
        <v>ARS</v>
      </c>
      <c r="B2364" t="str">
        <f>+'[2]por cuent'!B2364</f>
        <v>758003021</v>
      </c>
      <c r="C2364" t="str">
        <f>+'[2]por cuent'!C2364</f>
        <v>Soto, Carlos Alberto y/o Soto, María Laura</v>
      </c>
      <c r="D2364" s="35">
        <f>+'[2]por cuent'!G2364</f>
        <v>417267271</v>
      </c>
      <c r="E2364" s="35">
        <f>+'[2]por cuent'!H2364</f>
        <v>417267271</v>
      </c>
      <c r="F2364" t="str">
        <f>+'[2]por cuent'!I2364</f>
        <v>758</v>
      </c>
    </row>
    <row r="2365" spans="1:6" x14ac:dyDescent="0.35">
      <c r="A2365" t="str">
        <f>+'[2]por cuent'!A2365</f>
        <v>ARS</v>
      </c>
      <c r="B2365" t="str">
        <f>+'[2]por cuent'!B2365</f>
        <v>758003022</v>
      </c>
      <c r="C2365" t="str">
        <f>+'[2]por cuent'!C2365</f>
        <v>Longo, Gladys Patricia y/o Lo Gullo, Franco</v>
      </c>
      <c r="D2365" s="35">
        <f>+'[2]por cuent'!G2365</f>
        <v>618413.73</v>
      </c>
      <c r="E2365" s="35">
        <f>+'[2]por cuent'!H2365</f>
        <v>618413.73</v>
      </c>
      <c r="F2365" t="str">
        <f>+'[2]por cuent'!I2365</f>
        <v>758</v>
      </c>
    </row>
    <row r="2366" spans="1:6" x14ac:dyDescent="0.35">
      <c r="A2366" t="str">
        <f>+'[2]por cuent'!A2366</f>
        <v>ARS</v>
      </c>
      <c r="B2366" t="str">
        <f>+'[2]por cuent'!B2366</f>
        <v>758003023</v>
      </c>
      <c r="C2366" t="str">
        <f>+'[2]por cuent'!C2366</f>
        <v>Lo Gullo, Franco</v>
      </c>
      <c r="D2366" s="35">
        <f>+'[2]por cuent'!G2366</f>
        <v>561008</v>
      </c>
      <c r="E2366" s="35">
        <f>+'[2]por cuent'!H2366</f>
        <v>561008</v>
      </c>
      <c r="F2366" t="str">
        <f>+'[2]por cuent'!I2366</f>
        <v>758</v>
      </c>
    </row>
    <row r="2367" spans="1:6" x14ac:dyDescent="0.35">
      <c r="A2367" t="str">
        <f>+'[2]por cuent'!A2367</f>
        <v>ARS</v>
      </c>
      <c r="B2367" t="str">
        <f>+'[2]por cuent'!B2367</f>
        <v>758003024</v>
      </c>
      <c r="C2367" t="str">
        <f>+'[2]por cuent'!C2367</f>
        <v>Batetta, Susana Beatriz y/o Rosales, Deborah Susana</v>
      </c>
      <c r="D2367" s="35">
        <f>+'[2]por cuent'!G2367</f>
        <v>6158445.0899999999</v>
      </c>
      <c r="E2367" s="35">
        <f>+'[2]por cuent'!H2367</f>
        <v>6158445.0899999999</v>
      </c>
      <c r="F2367" t="str">
        <f>+'[2]por cuent'!I2367</f>
        <v>758</v>
      </c>
    </row>
    <row r="2368" spans="1:6" x14ac:dyDescent="0.35">
      <c r="A2368" t="str">
        <f>+'[2]por cuent'!A2368</f>
        <v>ARS</v>
      </c>
      <c r="B2368" t="str">
        <f>+'[2]por cuent'!B2368</f>
        <v>758003029</v>
      </c>
      <c r="C2368" t="str">
        <f>+'[2]por cuent'!C2368</f>
        <v>Perugini, Eduardo Daniel y/o Degregorio, Iris Elvira Margarita</v>
      </c>
      <c r="D2368" s="35">
        <f>+'[2]por cuent'!G2368</f>
        <v>136975845</v>
      </c>
      <c r="E2368" s="35">
        <f>+'[2]por cuent'!H2368</f>
        <v>136975845</v>
      </c>
      <c r="F2368" t="str">
        <f>+'[2]por cuent'!I2368</f>
        <v>758</v>
      </c>
    </row>
    <row r="2369" spans="1:6" x14ac:dyDescent="0.35">
      <c r="A2369" t="str">
        <f>+'[2]por cuent'!A2369</f>
        <v>ARS</v>
      </c>
      <c r="B2369" t="str">
        <f>+'[2]por cuent'!B2369</f>
        <v>758003030</v>
      </c>
      <c r="C2369" t="str">
        <f>+'[2]por cuent'!C2369</f>
        <v>Perugini, Eduardo Daniel y/o Carra, Nora Angélica</v>
      </c>
      <c r="D2369" s="35">
        <f>+'[2]por cuent'!G2369</f>
        <v>6238018</v>
      </c>
      <c r="E2369" s="35">
        <f>+'[2]por cuent'!H2369</f>
        <v>6238018</v>
      </c>
      <c r="F2369" t="str">
        <f>+'[2]por cuent'!I2369</f>
        <v>758</v>
      </c>
    </row>
    <row r="2370" spans="1:6" x14ac:dyDescent="0.35">
      <c r="A2370" t="str">
        <f>+'[2]por cuent'!A2370</f>
        <v>ARS</v>
      </c>
      <c r="B2370" t="str">
        <f>+'[2]por cuent'!B2370</f>
        <v>758003031</v>
      </c>
      <c r="C2370" t="str">
        <f>+'[2]por cuent'!C2370</f>
        <v>Paolin, Gabriel Antonio y/o Prenollio, Jorgelina Noemi</v>
      </c>
      <c r="D2370" s="35">
        <f>+'[2]por cuent'!G2370</f>
        <v>30955784.609999999</v>
      </c>
      <c r="E2370" s="35">
        <f>+'[2]por cuent'!H2370</f>
        <v>30955784.609999999</v>
      </c>
      <c r="F2370" t="str">
        <f>+'[2]por cuent'!I2370</f>
        <v>758</v>
      </c>
    </row>
    <row r="2371" spans="1:6" x14ac:dyDescent="0.35">
      <c r="A2371" t="str">
        <f>+'[2]por cuent'!A2371</f>
        <v>ARS</v>
      </c>
      <c r="B2371" t="str">
        <f>+'[2]por cuent'!B2371</f>
        <v>758003034</v>
      </c>
      <c r="C2371" t="str">
        <f>+'[2]por cuent'!C2371</f>
        <v>Mundin, Anabella</v>
      </c>
      <c r="D2371" s="35">
        <f>+'[2]por cuent'!G2371</f>
        <v>50368154</v>
      </c>
      <c r="E2371" s="35">
        <f>+'[2]por cuent'!H2371</f>
        <v>50368154</v>
      </c>
      <c r="F2371" t="str">
        <f>+'[2]por cuent'!I2371</f>
        <v>758</v>
      </c>
    </row>
    <row r="2372" spans="1:6" x14ac:dyDescent="0.35">
      <c r="A2372" t="str">
        <f>+'[2]por cuent'!A2372</f>
        <v>ARS</v>
      </c>
      <c r="B2372" t="str">
        <f>+'[2]por cuent'!B2372</f>
        <v>758003038</v>
      </c>
      <c r="C2372" t="str">
        <f>+'[2]por cuent'!C2372</f>
        <v>Vera Mendez, Francisco</v>
      </c>
      <c r="D2372" s="35">
        <f>+'[2]por cuent'!G2372</f>
        <v>9213474</v>
      </c>
      <c r="E2372" s="35">
        <f>+'[2]por cuent'!H2372</f>
        <v>9213474</v>
      </c>
      <c r="F2372" t="str">
        <f>+'[2]por cuent'!I2372</f>
        <v>758</v>
      </c>
    </row>
    <row r="2373" spans="1:6" x14ac:dyDescent="0.35">
      <c r="A2373" t="str">
        <f>+'[2]por cuent'!A2373</f>
        <v>ARS</v>
      </c>
      <c r="B2373" t="str">
        <f>+'[2]por cuent'!B2373</f>
        <v>758003040</v>
      </c>
      <c r="C2373" t="str">
        <f>+'[2]por cuent'!C2373</f>
        <v>Gawlik, Jose Ramon y/o Valdovino, Maria Cristina</v>
      </c>
      <c r="D2373" s="35">
        <f>+'[2]por cuent'!G2373</f>
        <v>1519230</v>
      </c>
      <c r="E2373" s="35">
        <f>+'[2]por cuent'!H2373</f>
        <v>1519230</v>
      </c>
      <c r="F2373" t="str">
        <f>+'[2]por cuent'!I2373</f>
        <v>758</v>
      </c>
    </row>
    <row r="2374" spans="1:6" x14ac:dyDescent="0.35">
      <c r="A2374" t="str">
        <f>+'[2]por cuent'!A2374</f>
        <v>ARS</v>
      </c>
      <c r="B2374" t="str">
        <f>+'[2]por cuent'!B2374</f>
        <v>758003042</v>
      </c>
      <c r="C2374" t="str">
        <f>+'[2]por cuent'!C2374</f>
        <v>Pusineri, Germán Juan y/o Persoglia, Ines Luisa</v>
      </c>
      <c r="D2374" s="35">
        <f>+'[2]por cuent'!G2374</f>
        <v>47220136</v>
      </c>
      <c r="E2374" s="35">
        <f>+'[2]por cuent'!H2374</f>
        <v>47220136</v>
      </c>
      <c r="F2374" t="str">
        <f>+'[2]por cuent'!I2374</f>
        <v>758</v>
      </c>
    </row>
    <row r="2375" spans="1:6" x14ac:dyDescent="0.35">
      <c r="A2375" t="str">
        <f>+'[2]por cuent'!A2375</f>
        <v>ARS</v>
      </c>
      <c r="B2375" t="str">
        <f>+'[2]por cuent'!B2375</f>
        <v>758003044</v>
      </c>
      <c r="C2375" t="str">
        <f>+'[2]por cuent'!C2375</f>
        <v>Ferreiro Lodeiro, Adolfo y/o Ferreiro, German Andres</v>
      </c>
      <c r="D2375" s="35">
        <f>+'[2]por cuent'!G2375</f>
        <v>2616750</v>
      </c>
      <c r="E2375" s="35">
        <f>+'[2]por cuent'!H2375</f>
        <v>2616750</v>
      </c>
      <c r="F2375" t="str">
        <f>+'[2]por cuent'!I2375</f>
        <v>758</v>
      </c>
    </row>
    <row r="2376" spans="1:6" x14ac:dyDescent="0.35">
      <c r="A2376" t="str">
        <f>+'[2]por cuent'!A2376</f>
        <v>ARS</v>
      </c>
      <c r="B2376" t="str">
        <f>+'[2]por cuent'!B2376</f>
        <v>758003047</v>
      </c>
      <c r="C2376" t="str">
        <f>+'[2]por cuent'!C2376</f>
        <v xml:space="preserve">Korell, Mario Ernesto </v>
      </c>
      <c r="D2376" s="35">
        <f>+'[2]por cuent'!G2376</f>
        <v>100586431.5</v>
      </c>
      <c r="E2376" s="35">
        <f>+'[2]por cuent'!H2376</f>
        <v>100586431.5</v>
      </c>
      <c r="F2376" t="str">
        <f>+'[2]por cuent'!I2376</f>
        <v>758</v>
      </c>
    </row>
    <row r="2377" spans="1:6" x14ac:dyDescent="0.35">
      <c r="A2377" t="str">
        <f>+'[2]por cuent'!A2377</f>
        <v>ARS</v>
      </c>
      <c r="B2377" t="str">
        <f>+'[2]por cuent'!B2377</f>
        <v>758003048</v>
      </c>
      <c r="C2377" t="str">
        <f>+'[2]por cuent'!C2377</f>
        <v>Rpg Latam S.R.L.</v>
      </c>
      <c r="D2377" s="35">
        <f>+'[2]por cuent'!G2377</f>
        <v>288522883</v>
      </c>
      <c r="E2377" s="35">
        <f>+'[2]por cuent'!H2377</f>
        <v>288522883</v>
      </c>
      <c r="F2377" t="str">
        <f>+'[2]por cuent'!I2377</f>
        <v>758</v>
      </c>
    </row>
    <row r="2378" spans="1:6" x14ac:dyDescent="0.35">
      <c r="A2378" t="str">
        <f>+'[2]por cuent'!A2378</f>
        <v>ARS</v>
      </c>
      <c r="B2378" t="str">
        <f>+'[2]por cuent'!B2378</f>
        <v>758003051</v>
      </c>
      <c r="C2378" t="str">
        <f>+'[2]por cuent'!C2378</f>
        <v>Perugini, Luciano y/o Perugini, Martina</v>
      </c>
      <c r="D2378" s="35">
        <f>+'[2]por cuent'!G2378</f>
        <v>121894336</v>
      </c>
      <c r="E2378" s="35">
        <f>+'[2]por cuent'!H2378</f>
        <v>121894336</v>
      </c>
      <c r="F2378" t="str">
        <f>+'[2]por cuent'!I2378</f>
        <v>758</v>
      </c>
    </row>
    <row r="2379" spans="1:6" x14ac:dyDescent="0.35">
      <c r="A2379" t="str">
        <f>+'[2]por cuent'!A2379</f>
        <v>ARS</v>
      </c>
      <c r="B2379" t="str">
        <f>+'[2]por cuent'!B2379</f>
        <v>758003061</v>
      </c>
      <c r="C2379" t="str">
        <f>+'[2]por cuent'!C2379</f>
        <v>Psj Global Solution</v>
      </c>
      <c r="D2379" s="35">
        <f>+'[2]por cuent'!G2379</f>
        <v>26302150.600000001</v>
      </c>
      <c r="E2379" s="35">
        <f>+'[2]por cuent'!H2379</f>
        <v>26302150.600000001</v>
      </c>
      <c r="F2379" t="str">
        <f>+'[2]por cuent'!I2379</f>
        <v>758</v>
      </c>
    </row>
    <row r="2380" spans="1:6" x14ac:dyDescent="0.35">
      <c r="A2380" t="str">
        <f>+'[2]por cuent'!A2380</f>
        <v>ARS</v>
      </c>
      <c r="B2380" t="str">
        <f>+'[2]por cuent'!B2380</f>
        <v>758003064</v>
      </c>
      <c r="C2380" t="str">
        <f>+'[2]por cuent'!C2380</f>
        <v>Noroña, Diego Mariano</v>
      </c>
      <c r="D2380" s="35">
        <f>+'[2]por cuent'!G2380</f>
        <v>40700712</v>
      </c>
      <c r="E2380" s="35">
        <f>+'[2]por cuent'!H2380</f>
        <v>40700712</v>
      </c>
      <c r="F2380" t="str">
        <f>+'[2]por cuent'!I2380</f>
        <v>758</v>
      </c>
    </row>
    <row r="2381" spans="1:6" x14ac:dyDescent="0.35">
      <c r="A2381" t="str">
        <f>+'[2]por cuent'!A2381</f>
        <v>ARS</v>
      </c>
      <c r="B2381" t="str">
        <f>+'[2]por cuent'!B2381</f>
        <v>758003071</v>
      </c>
      <c r="C2381" t="str">
        <f>+'[2]por cuent'!C2381</f>
        <v>Altieri, Alvaro Francisco</v>
      </c>
      <c r="D2381" s="35">
        <f>+'[2]por cuent'!G2381</f>
        <v>879713</v>
      </c>
      <c r="E2381" s="35">
        <f>+'[2]por cuent'!H2381</f>
        <v>879713</v>
      </c>
      <c r="F2381" t="str">
        <f>+'[2]por cuent'!I2381</f>
        <v>758</v>
      </c>
    </row>
    <row r="2382" spans="1:6" x14ac:dyDescent="0.35">
      <c r="A2382" t="str">
        <f>+'[2]por cuent'!A2382</f>
        <v>ARS</v>
      </c>
      <c r="B2382" t="str">
        <f>+'[2]por cuent'!B2382</f>
        <v>758003076</v>
      </c>
      <c r="C2382" t="str">
        <f>+'[2]por cuent'!C2382</f>
        <v>Bock, Carlos Walter</v>
      </c>
      <c r="D2382" s="35">
        <f>+'[2]por cuent'!G2382</f>
        <v>60337798.399999999</v>
      </c>
      <c r="E2382" s="35">
        <f>+'[2]por cuent'!H2382</f>
        <v>60337798.399999999</v>
      </c>
      <c r="F2382" t="str">
        <f>+'[2]por cuent'!I2382</f>
        <v>758</v>
      </c>
    </row>
    <row r="2383" spans="1:6" x14ac:dyDescent="0.35">
      <c r="A2383" t="str">
        <f>+'[2]por cuent'!A2383</f>
        <v>ARS</v>
      </c>
      <c r="B2383" t="str">
        <f>+'[2]por cuent'!B2383</f>
        <v>758003080</v>
      </c>
      <c r="C2383" t="str">
        <f>+'[2]por cuent'!C2383</f>
        <v>Mutual de profesionales y tecnicos de la administacion publica y/o Juarez, Matías Ezequiel</v>
      </c>
      <c r="D2383" s="35">
        <f>+'[2]por cuent'!G2383</f>
        <v>22539709.5</v>
      </c>
      <c r="E2383" s="35">
        <f>+'[2]por cuent'!H2383</f>
        <v>22539709.5</v>
      </c>
      <c r="F2383" t="str">
        <f>+'[2]por cuent'!I2383</f>
        <v>758</v>
      </c>
    </row>
    <row r="2384" spans="1:6" x14ac:dyDescent="0.35">
      <c r="A2384" t="str">
        <f>+'[2]por cuent'!A2384</f>
        <v>ARS</v>
      </c>
      <c r="B2384" t="str">
        <f>+'[2]por cuent'!B2384</f>
        <v>758003083</v>
      </c>
      <c r="C2384" t="str">
        <f>+'[2]por cuent'!C2384</f>
        <v>Cominetti, Patricio Luis</v>
      </c>
      <c r="D2384" s="35">
        <f>+'[2]por cuent'!G2384</f>
        <v>43669939</v>
      </c>
      <c r="E2384" s="35">
        <f>+'[2]por cuent'!H2384</f>
        <v>43669939</v>
      </c>
      <c r="F2384" t="str">
        <f>+'[2]por cuent'!I2384</f>
        <v>758</v>
      </c>
    </row>
    <row r="2385" spans="1:6" x14ac:dyDescent="0.35">
      <c r="A2385" t="str">
        <f>+'[2]por cuent'!A2385</f>
        <v>ARS</v>
      </c>
      <c r="B2385" t="str">
        <f>+'[2]por cuent'!B2385</f>
        <v>758003084</v>
      </c>
      <c r="C2385" t="str">
        <f>+'[2]por cuent'!C2385</f>
        <v>Martinez, Gustavo Alejo</v>
      </c>
      <c r="D2385" s="35">
        <f>+'[2]por cuent'!G2385</f>
        <v>287833347.5</v>
      </c>
      <c r="E2385" s="35">
        <f>+'[2]por cuent'!H2385</f>
        <v>287833347.5</v>
      </c>
      <c r="F2385" t="str">
        <f>+'[2]por cuent'!I2385</f>
        <v>758</v>
      </c>
    </row>
    <row r="2386" spans="1:6" x14ac:dyDescent="0.35">
      <c r="A2386" t="str">
        <f>+'[2]por cuent'!A2386</f>
        <v>ARS</v>
      </c>
      <c r="B2386" t="str">
        <f>+'[2]por cuent'!B2386</f>
        <v>758003098</v>
      </c>
      <c r="C2386" t="str">
        <f>+'[2]por cuent'!C2386</f>
        <v>Escalante, Christian Andres</v>
      </c>
      <c r="D2386" s="35">
        <f>+'[2]por cuent'!G2386</f>
        <v>44243583</v>
      </c>
      <c r="E2386" s="35">
        <f>+'[2]por cuent'!H2386</f>
        <v>44243583</v>
      </c>
      <c r="F2386" t="str">
        <f>+'[2]por cuent'!I2386</f>
        <v>758</v>
      </c>
    </row>
    <row r="2387" spans="1:6" x14ac:dyDescent="0.35">
      <c r="A2387" t="str">
        <f>+'[2]por cuent'!A2387</f>
        <v>ARS</v>
      </c>
      <c r="B2387" t="str">
        <f>+'[2]por cuent'!B2387</f>
        <v>758003099</v>
      </c>
      <c r="C2387" t="str">
        <f>+'[2]por cuent'!C2387</f>
        <v>Alonso, Hector Luis y/o Alonso Badano, Javier</v>
      </c>
      <c r="D2387" s="35">
        <f>+'[2]por cuent'!G2387</f>
        <v>67571318.840000004</v>
      </c>
      <c r="E2387" s="35">
        <f>+'[2]por cuent'!H2387</f>
        <v>67571318.840000004</v>
      </c>
      <c r="F2387" t="str">
        <f>+'[2]por cuent'!I2387</f>
        <v>758</v>
      </c>
    </row>
    <row r="2388" spans="1:6" x14ac:dyDescent="0.35">
      <c r="A2388" t="str">
        <f>+'[2]por cuent'!A2388</f>
        <v>ARS</v>
      </c>
      <c r="B2388" t="str">
        <f>+'[2]por cuent'!B2388</f>
        <v>758003104</v>
      </c>
      <c r="C2388" t="str">
        <f>+'[2]por cuent'!C2388</f>
        <v>Gavilan Prodanov Augusto Matias</v>
      </c>
      <c r="D2388" s="35">
        <f>+'[2]por cuent'!G2388</f>
        <v>1125315</v>
      </c>
      <c r="E2388" s="35">
        <f>+'[2]por cuent'!H2388</f>
        <v>1125315</v>
      </c>
      <c r="F2388" t="str">
        <f>+'[2]por cuent'!I2388</f>
        <v>758</v>
      </c>
    </row>
    <row r="2389" spans="1:6" x14ac:dyDescent="0.35">
      <c r="A2389" t="str">
        <f>+'[2]por cuent'!A2389</f>
        <v>ARS</v>
      </c>
      <c r="B2389" t="str">
        <f>+'[2]por cuent'!B2389</f>
        <v>758003105</v>
      </c>
      <c r="C2389" t="str">
        <f>+'[2]por cuent'!C2389</f>
        <v>De Lorenzo Carlos Alberto</v>
      </c>
      <c r="D2389" s="35">
        <f>+'[2]por cuent'!G2389</f>
        <v>1539256</v>
      </c>
      <c r="E2389" s="35">
        <f>+'[2]por cuent'!H2389</f>
        <v>1539256</v>
      </c>
      <c r="F2389" t="str">
        <f>+'[2]por cuent'!I2389</f>
        <v>758</v>
      </c>
    </row>
    <row r="2390" spans="1:6" x14ac:dyDescent="0.35">
      <c r="A2390" t="str">
        <f>+'[2]por cuent'!A2390</f>
        <v>ARS</v>
      </c>
      <c r="B2390" t="str">
        <f>+'[2]por cuent'!B2390</f>
        <v>758003111</v>
      </c>
      <c r="C2390" t="str">
        <f>+'[2]por cuent'!C2390</f>
        <v>Lopez Carlos Javier</v>
      </c>
      <c r="D2390" s="35">
        <f>+'[2]por cuent'!G2390</f>
        <v>5000590</v>
      </c>
      <c r="E2390" s="35">
        <f>+'[2]por cuent'!H2390</f>
        <v>5000590</v>
      </c>
      <c r="F2390" t="str">
        <f>+'[2]por cuent'!I2390</f>
        <v>758</v>
      </c>
    </row>
    <row r="2391" spans="1:6" x14ac:dyDescent="0.35">
      <c r="A2391" t="str">
        <f>+'[2]por cuent'!A2391</f>
        <v>ARS</v>
      </c>
      <c r="B2391" t="str">
        <f>+'[2]por cuent'!B2391</f>
        <v>758003113</v>
      </c>
      <c r="C2391" t="str">
        <f>+'[2]por cuent'!C2391</f>
        <v>Tornello Tamara Lucia</v>
      </c>
      <c r="D2391" s="35">
        <f>+'[2]por cuent'!G2391</f>
        <v>519915</v>
      </c>
      <c r="E2391" s="35">
        <f>+'[2]por cuent'!H2391</f>
        <v>519915</v>
      </c>
      <c r="F2391" t="str">
        <f>+'[2]por cuent'!I2391</f>
        <v>758</v>
      </c>
    </row>
    <row r="2392" spans="1:6" x14ac:dyDescent="0.35">
      <c r="A2392" t="str">
        <f>+'[2]por cuent'!A2392</f>
        <v>ARS</v>
      </c>
      <c r="B2392" t="str">
        <f>+'[2]por cuent'!B2392</f>
        <v>758003132</v>
      </c>
      <c r="C2392" t="str">
        <f>+'[2]por cuent'!C2392</f>
        <v>Pressburger, Damian Gabriel y/o Orlando, Veronica Daniela</v>
      </c>
      <c r="D2392" s="35">
        <f>+'[2]por cuent'!G2392</f>
        <v>308471</v>
      </c>
      <c r="E2392" s="35">
        <f>+'[2]por cuent'!H2392</f>
        <v>308471</v>
      </c>
      <c r="F2392" t="str">
        <f>+'[2]por cuent'!I2392</f>
        <v>758</v>
      </c>
    </row>
    <row r="2393" spans="1:6" x14ac:dyDescent="0.35">
      <c r="A2393" t="str">
        <f>+'[2]por cuent'!A2393</f>
        <v>ARS</v>
      </c>
      <c r="B2393" t="str">
        <f>+'[2]por cuent'!B2393</f>
        <v>758003134</v>
      </c>
      <c r="C2393" t="str">
        <f>+'[2]por cuent'!C2393</f>
        <v>Sanchez Santiago</v>
      </c>
      <c r="D2393" s="35">
        <f>+'[2]por cuent'!G2393</f>
        <v>639070</v>
      </c>
      <c r="E2393" s="35">
        <f>+'[2]por cuent'!H2393</f>
        <v>639070</v>
      </c>
      <c r="F2393" t="str">
        <f>+'[2]por cuent'!I2393</f>
        <v>758</v>
      </c>
    </row>
    <row r="2394" spans="1:6" x14ac:dyDescent="0.35">
      <c r="A2394" t="str">
        <f>+'[2]por cuent'!A2394</f>
        <v>ARS</v>
      </c>
      <c r="B2394" t="str">
        <f>+'[2]por cuent'!B2394</f>
        <v>758003137</v>
      </c>
      <c r="C2394" t="str">
        <f>+'[2]por cuent'!C2394</f>
        <v>Rojas Roberto y/o Rojas Fernando Roberto</v>
      </c>
      <c r="D2394" s="35">
        <f>+'[2]por cuent'!G2394</f>
        <v>55072.5</v>
      </c>
      <c r="E2394" s="35">
        <f>+'[2]por cuent'!H2394</f>
        <v>55072.5</v>
      </c>
      <c r="F2394" t="str">
        <f>+'[2]por cuent'!I2394</f>
        <v>758</v>
      </c>
    </row>
    <row r="2395" spans="1:6" x14ac:dyDescent="0.35">
      <c r="A2395" t="str">
        <f>+'[2]por cuent'!A2395</f>
        <v>ARS</v>
      </c>
      <c r="B2395" t="str">
        <f>+'[2]por cuent'!B2395</f>
        <v>758003142</v>
      </c>
      <c r="C2395" t="str">
        <f>+'[2]por cuent'!C2395</f>
        <v>De Chiara Juan Adrian</v>
      </c>
      <c r="D2395" s="35">
        <f>+'[2]por cuent'!G2395</f>
        <v>2757061</v>
      </c>
      <c r="E2395" s="35">
        <f>+'[2]por cuent'!H2395</f>
        <v>2757061</v>
      </c>
      <c r="F2395" t="str">
        <f>+'[2]por cuent'!I2395</f>
        <v>758</v>
      </c>
    </row>
    <row r="2396" spans="1:6" x14ac:dyDescent="0.35">
      <c r="A2396" t="str">
        <f>+'[2]por cuent'!A2396</f>
        <v>ARS</v>
      </c>
      <c r="B2396" t="str">
        <f>+'[2]por cuent'!B2396</f>
        <v>758003143</v>
      </c>
      <c r="C2396" t="str">
        <f>+'[2]por cuent'!C2396</f>
        <v>Scarpato, Gloria</v>
      </c>
      <c r="D2396" s="35">
        <f>+'[2]por cuent'!G2396</f>
        <v>307624</v>
      </c>
      <c r="E2396" s="35">
        <f>+'[2]por cuent'!H2396</f>
        <v>307624</v>
      </c>
      <c r="F2396" t="str">
        <f>+'[2]por cuent'!I2396</f>
        <v>758</v>
      </c>
    </row>
    <row r="2397" spans="1:6" x14ac:dyDescent="0.35">
      <c r="A2397" t="str">
        <f>+'[2]por cuent'!A2397</f>
        <v>ARS</v>
      </c>
      <c r="B2397" t="str">
        <f>+'[2]por cuent'!B2397</f>
        <v>758003161</v>
      </c>
      <c r="C2397" t="str">
        <f>+'[2]por cuent'!C2397</f>
        <v>Bravo, Roberto Carlos Antonio</v>
      </c>
      <c r="D2397" s="35">
        <f>+'[2]por cuent'!G2397</f>
        <v>72495723</v>
      </c>
      <c r="E2397" s="35">
        <f>+'[2]por cuent'!H2397</f>
        <v>72495723</v>
      </c>
      <c r="F2397" t="str">
        <f>+'[2]por cuent'!I2397</f>
        <v>758</v>
      </c>
    </row>
    <row r="2398" spans="1:6" x14ac:dyDescent="0.35">
      <c r="A2398" t="str">
        <f>+'[2]por cuent'!A2398</f>
        <v>ARS</v>
      </c>
      <c r="B2398" t="str">
        <f>+'[2]por cuent'!B2398</f>
        <v>758003162</v>
      </c>
      <c r="C2398" t="str">
        <f>+'[2]por cuent'!C2398</f>
        <v>Perugini, Eduardo Daniel y/o Perugini, Ana Paula y/o Perugini, Valentina</v>
      </c>
      <c r="D2398" s="35">
        <f>+'[2]por cuent'!G2398</f>
        <v>133098671.59999999</v>
      </c>
      <c r="E2398" s="35">
        <f>+'[2]por cuent'!H2398</f>
        <v>133098671.59999999</v>
      </c>
      <c r="F2398" t="str">
        <f>+'[2]por cuent'!I2398</f>
        <v>758</v>
      </c>
    </row>
    <row r="2399" spans="1:6" x14ac:dyDescent="0.35">
      <c r="A2399" t="str">
        <f>+'[2]por cuent'!A2399</f>
        <v>ARS</v>
      </c>
      <c r="B2399" t="str">
        <f>+'[2]por cuent'!B2399</f>
        <v>758003164</v>
      </c>
      <c r="C2399" t="str">
        <f>+'[2]por cuent'!C2399</f>
        <v>Lira, Marcela Patricia</v>
      </c>
      <c r="D2399" s="35">
        <f>+'[2]por cuent'!G2399</f>
        <v>909207</v>
      </c>
      <c r="E2399" s="35">
        <f>+'[2]por cuent'!H2399</f>
        <v>909207</v>
      </c>
      <c r="F2399" t="str">
        <f>+'[2]por cuent'!I2399</f>
        <v>758</v>
      </c>
    </row>
    <row r="2400" spans="1:6" x14ac:dyDescent="0.35">
      <c r="A2400" t="str">
        <f>+'[2]por cuent'!A2400</f>
        <v>ARS</v>
      </c>
      <c r="B2400" t="str">
        <f>+'[2]por cuent'!B2400</f>
        <v>758003165</v>
      </c>
      <c r="C2400" t="str">
        <f>+'[2]por cuent'!C2400</f>
        <v>Schreck, Diego Alejandro y/o Schreck, Jacqueline Carina</v>
      </c>
      <c r="D2400" s="35">
        <f>+'[2]por cuent'!G2400</f>
        <v>62146491</v>
      </c>
      <c r="E2400" s="35">
        <f>+'[2]por cuent'!H2400</f>
        <v>62146491</v>
      </c>
      <c r="F2400" t="str">
        <f>+'[2]por cuent'!I2400</f>
        <v>758</v>
      </c>
    </row>
    <row r="2401" spans="1:6" x14ac:dyDescent="0.35">
      <c r="A2401" t="str">
        <f>+'[2]por cuent'!A2401</f>
        <v>ARS</v>
      </c>
      <c r="B2401" t="str">
        <f>+'[2]por cuent'!B2401</f>
        <v>758003166</v>
      </c>
      <c r="C2401" t="str">
        <f>+'[2]por cuent'!C2401</f>
        <v>Fretes, Luis Alberto</v>
      </c>
      <c r="D2401" s="35">
        <f>+'[2]por cuent'!G2401</f>
        <v>2120607</v>
      </c>
      <c r="E2401" s="35">
        <f>+'[2]por cuent'!H2401</f>
        <v>2120607</v>
      </c>
      <c r="F2401" t="str">
        <f>+'[2]por cuent'!I2401</f>
        <v>758</v>
      </c>
    </row>
    <row r="2402" spans="1:6" x14ac:dyDescent="0.35">
      <c r="A2402" t="str">
        <f>+'[2]por cuent'!A2402</f>
        <v>ARS</v>
      </c>
      <c r="B2402" t="str">
        <f>+'[2]por cuent'!B2402</f>
        <v>758003172</v>
      </c>
      <c r="C2402" t="str">
        <f>+'[2]por cuent'!C2402</f>
        <v>De Chiara, Ricardo y/o De Chiara, Juan Adrian</v>
      </c>
      <c r="D2402" s="35">
        <f>+'[2]por cuent'!G2402</f>
        <v>923419</v>
      </c>
      <c r="E2402" s="35">
        <f>+'[2]por cuent'!H2402</f>
        <v>923419</v>
      </c>
      <c r="F2402" t="str">
        <f>+'[2]por cuent'!I2402</f>
        <v>758</v>
      </c>
    </row>
    <row r="2403" spans="1:6" x14ac:dyDescent="0.35">
      <c r="A2403" t="str">
        <f>+'[2]por cuent'!A2403</f>
        <v>ARS</v>
      </c>
      <c r="B2403" t="str">
        <f>+'[2]por cuent'!B2403</f>
        <v>758003173</v>
      </c>
      <c r="C2403" t="str">
        <f>+'[2]por cuent'!C2403</f>
        <v>Castillo, Maria Leopoldina y/o Montagano, Maximiliano Gaston</v>
      </c>
      <c r="D2403" s="35">
        <f>+'[2]por cuent'!G2403</f>
        <v>5471365</v>
      </c>
      <c r="E2403" s="35">
        <f>+'[2]por cuent'!H2403</f>
        <v>5471365</v>
      </c>
      <c r="F2403" t="str">
        <f>+'[2]por cuent'!I2403</f>
        <v>758</v>
      </c>
    </row>
    <row r="2404" spans="1:6" x14ac:dyDescent="0.35">
      <c r="A2404" t="str">
        <f>+'[2]por cuent'!A2404</f>
        <v>ARS</v>
      </c>
      <c r="B2404" t="str">
        <f>+'[2]por cuent'!B2404</f>
        <v>758003174</v>
      </c>
      <c r="C2404" t="str">
        <f>+'[2]por cuent'!C2404</f>
        <v>Perugini, Martina y/o Perugini, Luciano</v>
      </c>
      <c r="D2404" s="35">
        <f>+'[2]por cuent'!G2404</f>
        <v>80149105</v>
      </c>
      <c r="E2404" s="35">
        <f>+'[2]por cuent'!H2404</f>
        <v>80149105</v>
      </c>
      <c r="F2404" t="str">
        <f>+'[2]por cuent'!I2404</f>
        <v>758</v>
      </c>
    </row>
    <row r="2405" spans="1:6" x14ac:dyDescent="0.35">
      <c r="A2405" t="str">
        <f>+'[2]por cuent'!A2405</f>
        <v>ARS</v>
      </c>
      <c r="B2405" t="str">
        <f>+'[2]por cuent'!B2405</f>
        <v>758003175</v>
      </c>
      <c r="C2405" t="str">
        <f>+'[2]por cuent'!C2405</f>
        <v>Brandan, Miriam Mabel y/o Bruschini, Norberto Oscar</v>
      </c>
      <c r="D2405" s="35">
        <f>+'[2]por cuent'!G2405</f>
        <v>109925190</v>
      </c>
      <c r="E2405" s="35">
        <f>+'[2]por cuent'!H2405</f>
        <v>109925190</v>
      </c>
      <c r="F2405" t="str">
        <f>+'[2]por cuent'!I2405</f>
        <v>758</v>
      </c>
    </row>
    <row r="2406" spans="1:6" x14ac:dyDescent="0.35">
      <c r="A2406" t="str">
        <f>+'[2]por cuent'!A2406</f>
        <v>ARS</v>
      </c>
      <c r="B2406" t="str">
        <f>+'[2]por cuent'!B2406</f>
        <v>758004006</v>
      </c>
      <c r="C2406" t="str">
        <f>+'[2]por cuent'!C2406</f>
        <v>Escudero, Marly tatiana</v>
      </c>
      <c r="D2406" s="35">
        <f>+'[2]por cuent'!G2406</f>
        <v>1409701</v>
      </c>
      <c r="E2406" s="35">
        <f>+'[2]por cuent'!H2406</f>
        <v>1409701</v>
      </c>
      <c r="F2406" t="str">
        <f>+'[2]por cuent'!I2406</f>
        <v>758</v>
      </c>
    </row>
    <row r="2407" spans="1:6" x14ac:dyDescent="0.35">
      <c r="A2407" t="str">
        <f>+'[2]por cuent'!A2407</f>
        <v>ARS</v>
      </c>
      <c r="B2407" t="str">
        <f>+'[2]por cuent'!B2407</f>
        <v>758004013</v>
      </c>
      <c r="C2407" t="str">
        <f>+'[2]por cuent'!C2407</f>
        <v>Scotto, Sergio Martin</v>
      </c>
      <c r="D2407" s="35">
        <f>+'[2]por cuent'!G2407</f>
        <v>2133148</v>
      </c>
      <c r="E2407" s="35">
        <f>+'[2]por cuent'!H2407</f>
        <v>2133148</v>
      </c>
      <c r="F2407" t="str">
        <f>+'[2]por cuent'!I2407</f>
        <v>758</v>
      </c>
    </row>
    <row r="2408" spans="1:6" x14ac:dyDescent="0.35">
      <c r="A2408" t="str">
        <f>+'[2]por cuent'!A2408</f>
        <v>ARS</v>
      </c>
      <c r="B2408" t="str">
        <f>+'[2]por cuent'!B2408</f>
        <v>758004016</v>
      </c>
      <c r="C2408" t="str">
        <f>+'[2]por cuent'!C2408</f>
        <v>Pons Stella Maris</v>
      </c>
      <c r="D2408" s="35">
        <f>+'[2]por cuent'!G2408</f>
        <v>4149430.13</v>
      </c>
      <c r="E2408" s="35">
        <f>+'[2]por cuent'!H2408</f>
        <v>4149430.13</v>
      </c>
      <c r="F2408" t="str">
        <f>+'[2]por cuent'!I2408</f>
        <v>758</v>
      </c>
    </row>
    <row r="2409" spans="1:6" x14ac:dyDescent="0.35">
      <c r="A2409" t="str">
        <f>+'[2]por cuent'!A2409</f>
        <v>ARS</v>
      </c>
      <c r="B2409" t="str">
        <f>+'[2]por cuent'!B2409</f>
        <v>758005001</v>
      </c>
      <c r="C2409" t="str">
        <f>+'[2]por cuent'!C2409</f>
        <v>Rey Fortes, Glenda</v>
      </c>
      <c r="D2409" s="35">
        <f>+'[2]por cuent'!G2409</f>
        <v>790734</v>
      </c>
      <c r="E2409" s="35">
        <f>+'[2]por cuent'!H2409</f>
        <v>790734</v>
      </c>
      <c r="F2409" t="str">
        <f>+'[2]por cuent'!I2409</f>
        <v>758</v>
      </c>
    </row>
    <row r="2410" spans="1:6" x14ac:dyDescent="0.35">
      <c r="A2410" t="str">
        <f>+'[2]por cuent'!A2410</f>
        <v>ARS</v>
      </c>
      <c r="B2410" t="str">
        <f>+'[2]por cuent'!B2410</f>
        <v>758005017</v>
      </c>
      <c r="C2410" t="str">
        <f>+'[2]por cuent'!C2410</f>
        <v>Raffo, Agustin</v>
      </c>
      <c r="D2410" s="35">
        <f>+'[2]por cuent'!G2410</f>
        <v>855621</v>
      </c>
      <c r="E2410" s="35">
        <f>+'[2]por cuent'!H2410</f>
        <v>855621</v>
      </c>
      <c r="F2410" t="str">
        <f>+'[2]por cuent'!I2410</f>
        <v>758</v>
      </c>
    </row>
    <row r="2411" spans="1:6" x14ac:dyDescent="0.35">
      <c r="A2411" t="str">
        <f>+'[2]por cuent'!A2411</f>
        <v>ARS</v>
      </c>
      <c r="B2411" t="str">
        <f>+'[2]por cuent'!B2411</f>
        <v>758005021</v>
      </c>
      <c r="C2411" t="str">
        <f>+'[2]por cuent'!C2411</f>
        <v>Ghiara, Gaston Roberto</v>
      </c>
      <c r="D2411" s="35">
        <f>+'[2]por cuent'!G2411</f>
        <v>103037</v>
      </c>
      <c r="E2411" s="35">
        <f>+'[2]por cuent'!H2411</f>
        <v>103037</v>
      </c>
      <c r="F2411" t="str">
        <f>+'[2]por cuent'!I2411</f>
        <v>758</v>
      </c>
    </row>
    <row r="2412" spans="1:6" x14ac:dyDescent="0.35">
      <c r="A2412" t="str">
        <f>+'[2]por cuent'!A2412</f>
        <v>ARS</v>
      </c>
      <c r="B2412" t="str">
        <f>+'[2]por cuent'!B2412</f>
        <v>758005028</v>
      </c>
      <c r="C2412" t="str">
        <f>+'[2]por cuent'!C2412</f>
        <v>JPH SA</v>
      </c>
      <c r="D2412" s="35">
        <f>+'[2]por cuent'!G2412</f>
        <v>1296840751.8699999</v>
      </c>
      <c r="E2412" s="35">
        <f>+'[2]por cuent'!H2412</f>
        <v>1296840751.8699999</v>
      </c>
      <c r="F2412" t="str">
        <f>+'[2]por cuent'!I2412</f>
        <v>758</v>
      </c>
    </row>
    <row r="2413" spans="1:6" x14ac:dyDescent="0.35">
      <c r="A2413" t="str">
        <f>+'[2]por cuent'!A2413</f>
        <v>ARS</v>
      </c>
      <c r="B2413" t="str">
        <f>+'[2]por cuent'!B2413</f>
        <v>758005029</v>
      </c>
      <c r="C2413" t="str">
        <f>+'[2]por cuent'!C2413</f>
        <v>SEALS TECNO S.A.</v>
      </c>
      <c r="D2413" s="35">
        <f>+'[2]por cuent'!G2413</f>
        <v>1685027487.5799999</v>
      </c>
      <c r="E2413" s="35">
        <f>+'[2]por cuent'!H2413</f>
        <v>1685027487.5799999</v>
      </c>
      <c r="F2413" t="str">
        <f>+'[2]por cuent'!I2413</f>
        <v>758</v>
      </c>
    </row>
    <row r="2414" spans="1:6" x14ac:dyDescent="0.35">
      <c r="A2414" t="str">
        <f>+'[2]por cuent'!A2414</f>
        <v>ARS</v>
      </c>
      <c r="B2414" t="str">
        <f>+'[2]por cuent'!B2414</f>
        <v>758005030</v>
      </c>
      <c r="C2414" t="str">
        <f>+'[2]por cuent'!C2414</f>
        <v>Spacematic General Services SA</v>
      </c>
      <c r="D2414" s="35">
        <f>+'[2]por cuent'!G2414</f>
        <v>4166126081.8000002</v>
      </c>
      <c r="E2414" s="35">
        <f>+'[2]por cuent'!H2414</f>
        <v>4166126081.8000002</v>
      </c>
      <c r="F2414" t="str">
        <f>+'[2]por cuent'!I2414</f>
        <v>758</v>
      </c>
    </row>
    <row r="2415" spans="1:6" x14ac:dyDescent="0.35">
      <c r="A2415" t="str">
        <f>+'[2]por cuent'!A2415</f>
        <v>ARS</v>
      </c>
      <c r="B2415" t="str">
        <f>+'[2]por cuent'!B2415</f>
        <v>758005034</v>
      </c>
      <c r="C2415" t="str">
        <f>+'[2]por cuent'!C2415</f>
        <v>Jose Nuñez S.R.L.</v>
      </c>
      <c r="D2415" s="35">
        <f>+'[2]por cuent'!G2415</f>
        <v>84445157.629999995</v>
      </c>
      <c r="E2415" s="35">
        <f>+'[2]por cuent'!H2415</f>
        <v>84445157.629999995</v>
      </c>
      <c r="F2415" t="str">
        <f>+'[2]por cuent'!I2415</f>
        <v>758</v>
      </c>
    </row>
    <row r="2416" spans="1:6" x14ac:dyDescent="0.35">
      <c r="A2416" t="str">
        <f>+'[2]por cuent'!A2416</f>
        <v>ARS</v>
      </c>
      <c r="B2416" t="str">
        <f>+'[2]por cuent'!B2416</f>
        <v>758005035</v>
      </c>
      <c r="C2416" t="str">
        <f>+'[2]por cuent'!C2416</f>
        <v>Mendonca, Juan Sebastian</v>
      </c>
      <c r="D2416" s="35">
        <f>+'[2]por cuent'!G2416</f>
        <v>763747</v>
      </c>
      <c r="E2416" s="35">
        <f>+'[2]por cuent'!H2416</f>
        <v>763747</v>
      </c>
      <c r="F2416" t="str">
        <f>+'[2]por cuent'!I2416</f>
        <v>758</v>
      </c>
    </row>
    <row r="2417" spans="1:6" x14ac:dyDescent="0.35">
      <c r="A2417" t="str">
        <f>+'[2]por cuent'!A2417</f>
        <v>ARS</v>
      </c>
      <c r="B2417" t="str">
        <f>+'[2]por cuent'!B2417</f>
        <v>758005040</v>
      </c>
      <c r="C2417" t="str">
        <f>+'[2]por cuent'!C2417</f>
        <v>ARCHIVOS ORAS</v>
      </c>
      <c r="D2417" s="35">
        <f>+'[2]por cuent'!G2417</f>
        <v>183328193.97</v>
      </c>
      <c r="E2417" s="35">
        <f>+'[2]por cuent'!H2417</f>
        <v>183328193.97</v>
      </c>
      <c r="F2417" t="str">
        <f>+'[2]por cuent'!I2417</f>
        <v>758</v>
      </c>
    </row>
    <row r="2418" spans="1:6" x14ac:dyDescent="0.35">
      <c r="A2418" t="str">
        <f>+'[2]por cuent'!A2418</f>
        <v>ARS</v>
      </c>
      <c r="B2418" t="str">
        <f>+'[2]por cuent'!B2418</f>
        <v>758005041</v>
      </c>
      <c r="C2418" t="str">
        <f>+'[2]por cuent'!C2418</f>
        <v>SEALS TECH</v>
      </c>
      <c r="D2418" s="35">
        <f>+'[2]por cuent'!G2418</f>
        <v>2218200500.8699999</v>
      </c>
      <c r="E2418" s="35">
        <f>+'[2]por cuent'!H2418</f>
        <v>2218200500.8699999</v>
      </c>
      <c r="F2418" t="str">
        <f>+'[2]por cuent'!I2418</f>
        <v>758</v>
      </c>
    </row>
    <row r="2419" spans="1:6" x14ac:dyDescent="0.35">
      <c r="A2419" t="str">
        <f>+'[2]por cuent'!A2419</f>
        <v>ARS</v>
      </c>
      <c r="B2419" t="str">
        <f>+'[2]por cuent'!B2419</f>
        <v>758005042</v>
      </c>
      <c r="C2419" t="str">
        <f>+'[2]por cuent'!C2419</f>
        <v>Arpino, Leónidas Pascual</v>
      </c>
      <c r="D2419" s="35">
        <f>+'[2]por cuent'!G2419</f>
        <v>364952980.12</v>
      </c>
      <c r="E2419" s="35">
        <f>+'[2]por cuent'!H2419</f>
        <v>364952980.12</v>
      </c>
      <c r="F2419" t="str">
        <f>+'[2]por cuent'!I2419</f>
        <v>758</v>
      </c>
    </row>
    <row r="2420" spans="1:6" x14ac:dyDescent="0.35">
      <c r="A2420" t="str">
        <f>+'[2]por cuent'!A2420</f>
        <v>ARS</v>
      </c>
      <c r="B2420" t="str">
        <f>+'[2]por cuent'!B2420</f>
        <v>758006001</v>
      </c>
      <c r="C2420" t="str">
        <f>+'[2]por cuent'!C2420</f>
        <v>Vela, Andres Santiago</v>
      </c>
      <c r="D2420" s="35">
        <f>+'[2]por cuent'!G2420</f>
        <v>45367660</v>
      </c>
      <c r="E2420" s="35">
        <f>+'[2]por cuent'!H2420</f>
        <v>45367660</v>
      </c>
      <c r="F2420" t="str">
        <f>+'[2]por cuent'!I2420</f>
        <v>758</v>
      </c>
    </row>
    <row r="2421" spans="1:6" x14ac:dyDescent="0.35">
      <c r="A2421" t="str">
        <f>+'[2]por cuent'!A2421</f>
        <v>ARS</v>
      </c>
      <c r="B2421" t="str">
        <f>+'[2]por cuent'!B2421</f>
        <v>758006006</v>
      </c>
      <c r="C2421" t="str">
        <f>+'[2]por cuent'!C2421</f>
        <v>Salinas Gerardo Daniel</v>
      </c>
      <c r="D2421" s="35">
        <f>+'[2]por cuent'!G2421</f>
        <v>7462856</v>
      </c>
      <c r="E2421" s="35">
        <f>+'[2]por cuent'!H2421</f>
        <v>7462856</v>
      </c>
      <c r="F2421" t="str">
        <f>+'[2]por cuent'!I2421</f>
        <v>758</v>
      </c>
    </row>
    <row r="2422" spans="1:6" x14ac:dyDescent="0.35">
      <c r="A2422" t="str">
        <f>+'[2]por cuent'!A2422</f>
        <v>ARS</v>
      </c>
      <c r="B2422" t="str">
        <f>+'[2]por cuent'!B2422</f>
        <v>758006009</v>
      </c>
      <c r="C2422" t="str">
        <f>+'[2]por cuent'!C2422</f>
        <v>Parra Diego Facundo</v>
      </c>
      <c r="D2422" s="35">
        <f>+'[2]por cuent'!G2422</f>
        <v>967126</v>
      </c>
      <c r="E2422" s="35">
        <f>+'[2]por cuent'!H2422</f>
        <v>967126</v>
      </c>
      <c r="F2422" t="str">
        <f>+'[2]por cuent'!I2422</f>
        <v>758</v>
      </c>
    </row>
    <row r="2423" spans="1:6" x14ac:dyDescent="0.35">
      <c r="A2423" t="str">
        <f>+'[2]por cuent'!A2423</f>
        <v>ARS</v>
      </c>
      <c r="B2423" t="str">
        <f>+'[2]por cuent'!B2423</f>
        <v>758006010</v>
      </c>
      <c r="C2423" t="str">
        <f>+'[2]por cuent'!C2423</f>
        <v>Vera Diego</v>
      </c>
      <c r="D2423" s="35">
        <f>+'[2]por cuent'!G2423</f>
        <v>27949076</v>
      </c>
      <c r="E2423" s="35">
        <f>+'[2]por cuent'!H2423</f>
        <v>27949076</v>
      </c>
      <c r="F2423" t="str">
        <f>+'[2]por cuent'!I2423</f>
        <v>758</v>
      </c>
    </row>
    <row r="2424" spans="1:6" x14ac:dyDescent="0.35">
      <c r="A2424" t="str">
        <f>+'[2]por cuent'!A2424</f>
        <v>ARS</v>
      </c>
      <c r="B2424" t="str">
        <f>+'[2]por cuent'!B2424</f>
        <v>758006013</v>
      </c>
      <c r="C2424" t="str">
        <f>+'[2]por cuent'!C2424</f>
        <v>Martignano Juan Adrian</v>
      </c>
      <c r="D2424" s="35">
        <f>+'[2]por cuent'!G2424</f>
        <v>16744598</v>
      </c>
      <c r="E2424" s="35">
        <f>+'[2]por cuent'!H2424</f>
        <v>16744598</v>
      </c>
      <c r="F2424" t="str">
        <f>+'[2]por cuent'!I2424</f>
        <v>758</v>
      </c>
    </row>
    <row r="2425" spans="1:6" x14ac:dyDescent="0.35">
      <c r="A2425" t="str">
        <f>+'[2]por cuent'!A2425</f>
        <v>ARS</v>
      </c>
      <c r="B2425" t="str">
        <f>+'[2]por cuent'!B2425</f>
        <v>758006014</v>
      </c>
      <c r="C2425" t="str">
        <f>+'[2]por cuent'!C2425</f>
        <v>Sarcuno Andres Sebastian</v>
      </c>
      <c r="D2425" s="35">
        <f>+'[2]por cuent'!G2425</f>
        <v>26436578</v>
      </c>
      <c r="E2425" s="35">
        <f>+'[2]por cuent'!H2425</f>
        <v>26436578</v>
      </c>
      <c r="F2425" t="str">
        <f>+'[2]por cuent'!I2425</f>
        <v>758</v>
      </c>
    </row>
    <row r="2426" spans="1:6" x14ac:dyDescent="0.35">
      <c r="A2426" t="str">
        <f>+'[2]por cuent'!A2426</f>
        <v>ARS</v>
      </c>
      <c r="B2426" t="str">
        <f>+'[2]por cuent'!B2426</f>
        <v>758006016</v>
      </c>
      <c r="C2426" t="str">
        <f>+'[2]por cuent'!C2426</f>
        <v>Giacomini Diego Pablo</v>
      </c>
      <c r="D2426" s="35">
        <f>+'[2]por cuent'!G2426</f>
        <v>32672687</v>
      </c>
      <c r="E2426" s="35">
        <f>+'[2]por cuent'!H2426</f>
        <v>32672687</v>
      </c>
      <c r="F2426" t="str">
        <f>+'[2]por cuent'!I2426</f>
        <v>758</v>
      </c>
    </row>
    <row r="2427" spans="1:6" x14ac:dyDescent="0.35">
      <c r="A2427" t="str">
        <f>+'[2]por cuent'!A2427</f>
        <v>ARS</v>
      </c>
      <c r="B2427" t="str">
        <f>+'[2]por cuent'!B2427</f>
        <v>758006018</v>
      </c>
      <c r="C2427" t="str">
        <f>+'[2]por cuent'!C2427</f>
        <v>Verdun Gaston Haroldo y/o Fermanelli Maria Carolina</v>
      </c>
      <c r="D2427" s="35">
        <f>+'[2]por cuent'!G2427</f>
        <v>40103663</v>
      </c>
      <c r="E2427" s="35">
        <f>+'[2]por cuent'!H2427</f>
        <v>40103663</v>
      </c>
      <c r="F2427" t="str">
        <f>+'[2]por cuent'!I2427</f>
        <v>758</v>
      </c>
    </row>
    <row r="2428" spans="1:6" x14ac:dyDescent="0.35">
      <c r="A2428" t="str">
        <f>+'[2]por cuent'!A2428</f>
        <v>ARS</v>
      </c>
      <c r="B2428" t="str">
        <f>+'[2]por cuent'!B2428</f>
        <v>758006019</v>
      </c>
      <c r="C2428" t="str">
        <f>+'[2]por cuent'!C2428</f>
        <v xml:space="preserve">Elementik SRL </v>
      </c>
      <c r="D2428" s="35">
        <f>+'[2]por cuent'!G2428</f>
        <v>87210251.599999994</v>
      </c>
      <c r="E2428" s="35">
        <f>+'[2]por cuent'!H2428</f>
        <v>87210251.599999994</v>
      </c>
      <c r="F2428" t="str">
        <f>+'[2]por cuent'!I2428</f>
        <v>758</v>
      </c>
    </row>
    <row r="2429" spans="1:6" x14ac:dyDescent="0.35">
      <c r="A2429" t="str">
        <f>+'[2]por cuent'!A2429</f>
        <v>ARS</v>
      </c>
      <c r="B2429" t="str">
        <f>+'[2]por cuent'!B2429</f>
        <v>758006020</v>
      </c>
      <c r="C2429" t="str">
        <f>+'[2]por cuent'!C2429</f>
        <v xml:space="preserve"> Graziani, Nilda Mary y/o Barreiro, Ricardo Oreste y/o Barreiro, Silvio Francisco </v>
      </c>
      <c r="D2429" s="35">
        <f>+'[2]por cuent'!G2429</f>
        <v>1474717</v>
      </c>
      <c r="E2429" s="35">
        <f>+'[2]por cuent'!H2429</f>
        <v>1474717</v>
      </c>
      <c r="F2429" t="str">
        <f>+'[2]por cuent'!I2429</f>
        <v>758</v>
      </c>
    </row>
    <row r="2430" spans="1:6" x14ac:dyDescent="0.35">
      <c r="A2430" t="str">
        <f>+'[2]por cuent'!A2430</f>
        <v>ARS</v>
      </c>
      <c r="B2430" t="str">
        <f>+'[2]por cuent'!B2430</f>
        <v>758006022</v>
      </c>
      <c r="C2430" t="str">
        <f>+'[2]por cuent'!C2430</f>
        <v>Berardini Javier Angel</v>
      </c>
      <c r="D2430" s="35">
        <f>+'[2]por cuent'!G2430</f>
        <v>1105666</v>
      </c>
      <c r="E2430" s="35">
        <f>+'[2]por cuent'!H2430</f>
        <v>1105666</v>
      </c>
      <c r="F2430" t="str">
        <f>+'[2]por cuent'!I2430</f>
        <v>758</v>
      </c>
    </row>
    <row r="2431" spans="1:6" x14ac:dyDescent="0.35">
      <c r="A2431" t="str">
        <f>+'[2]por cuent'!A2431</f>
        <v>ARS</v>
      </c>
      <c r="B2431" t="str">
        <f>+'[2]por cuent'!B2431</f>
        <v>758006023</v>
      </c>
      <c r="C2431" t="str">
        <f>+'[2]por cuent'!C2431</f>
        <v>Gogoodie SRL</v>
      </c>
      <c r="D2431" s="35">
        <f>+'[2]por cuent'!G2431</f>
        <v>74307524.799999997</v>
      </c>
      <c r="E2431" s="35">
        <f>+'[2]por cuent'!H2431</f>
        <v>74307524.799999997</v>
      </c>
      <c r="F2431" t="str">
        <f>+'[2]por cuent'!I2431</f>
        <v>758</v>
      </c>
    </row>
    <row r="2432" spans="1:6" x14ac:dyDescent="0.35">
      <c r="A2432" t="str">
        <f>+'[2]por cuent'!A2432</f>
        <v>ARS</v>
      </c>
      <c r="B2432" t="str">
        <f>+'[2]por cuent'!B2432</f>
        <v>758006026</v>
      </c>
      <c r="C2432" t="str">
        <f>+'[2]por cuent'!C2432</f>
        <v>GAMONDI, HUGO ARIEL</v>
      </c>
      <c r="D2432" s="35">
        <f>+'[2]por cuent'!G2432</f>
        <v>76075139.5</v>
      </c>
      <c r="E2432" s="35">
        <f>+'[2]por cuent'!H2432</f>
        <v>76075139.5</v>
      </c>
      <c r="F2432" t="str">
        <f>+'[2]por cuent'!I2432</f>
        <v>758</v>
      </c>
    </row>
    <row r="2433" spans="1:6" x14ac:dyDescent="0.35">
      <c r="A2433" t="str">
        <f>+'[2]por cuent'!A2433</f>
        <v>ARS</v>
      </c>
      <c r="B2433" t="str">
        <f>+'[2]por cuent'!B2433</f>
        <v>758006029</v>
      </c>
      <c r="C2433" t="str">
        <f>+'[2]por cuent'!C2433</f>
        <v>FERRARI, IVAN AGUSTIN</v>
      </c>
      <c r="D2433" s="35">
        <f>+'[2]por cuent'!G2433</f>
        <v>2261600</v>
      </c>
      <c r="E2433" s="35">
        <f>+'[2]por cuent'!H2433</f>
        <v>2261600</v>
      </c>
      <c r="F2433" t="str">
        <f>+'[2]por cuent'!I2433</f>
        <v>758</v>
      </c>
    </row>
    <row r="2434" spans="1:6" x14ac:dyDescent="0.35">
      <c r="A2434" t="str">
        <f>+'[2]por cuent'!A2434</f>
        <v>ARS</v>
      </c>
      <c r="B2434" t="str">
        <f>+'[2]por cuent'!B2434</f>
        <v>758006030</v>
      </c>
      <c r="C2434" t="str">
        <f>+'[2]por cuent'!C2434</f>
        <v>TROVATO, HÉCTOR NORBERTO Y/O DE FORTIS FELISA ANGELA</v>
      </c>
      <c r="D2434" s="35">
        <f>+'[2]por cuent'!G2434</f>
        <v>5410726</v>
      </c>
      <c r="E2434" s="35">
        <f>+'[2]por cuent'!H2434</f>
        <v>5410726</v>
      </c>
      <c r="F2434" t="str">
        <f>+'[2]por cuent'!I2434</f>
        <v>758</v>
      </c>
    </row>
    <row r="2435" spans="1:6" x14ac:dyDescent="0.35">
      <c r="A2435" t="str">
        <f>+'[2]por cuent'!A2435</f>
        <v>ARS</v>
      </c>
      <c r="B2435" t="str">
        <f>+'[2]por cuent'!B2435</f>
        <v>758006032</v>
      </c>
      <c r="C2435" t="str">
        <f>+'[2]por cuent'!C2435</f>
        <v>MAURE, MARIO DANIEL</v>
      </c>
      <c r="D2435" s="35">
        <f>+'[2]por cuent'!G2435</f>
        <v>1288671</v>
      </c>
      <c r="E2435" s="35">
        <f>+'[2]por cuent'!H2435</f>
        <v>1288671</v>
      </c>
      <c r="F2435" t="str">
        <f>+'[2]por cuent'!I2435</f>
        <v>758</v>
      </c>
    </row>
    <row r="2436" spans="1:6" x14ac:dyDescent="0.35">
      <c r="A2436" t="str">
        <f>+'[2]por cuent'!A2436</f>
        <v>ARS</v>
      </c>
      <c r="B2436" t="str">
        <f>+'[2]por cuent'!B2436</f>
        <v>758006033</v>
      </c>
      <c r="C2436" t="str">
        <f>+'[2]por cuent'!C2436</f>
        <v>Cerdeira, Santiago Enrique y/o Artese, Daiana Gisele</v>
      </c>
      <c r="D2436" s="35">
        <f>+'[2]por cuent'!G2436</f>
        <v>1702553</v>
      </c>
      <c r="E2436" s="35">
        <f>+'[2]por cuent'!H2436</f>
        <v>1702553</v>
      </c>
      <c r="F2436" t="str">
        <f>+'[2]por cuent'!I2436</f>
        <v>758</v>
      </c>
    </row>
    <row r="2437" spans="1:6" x14ac:dyDescent="0.35">
      <c r="A2437" t="str">
        <f>+'[2]por cuent'!A2437</f>
        <v>ARS</v>
      </c>
      <c r="B2437" t="str">
        <f>+'[2]por cuent'!B2437</f>
        <v>758006034</v>
      </c>
      <c r="C2437" t="str">
        <f>+'[2]por cuent'!C2437</f>
        <v xml:space="preserve">Brandon, Alejandro </v>
      </c>
      <c r="D2437" s="35">
        <f>+'[2]por cuent'!G2437</f>
        <v>88487393.5</v>
      </c>
      <c r="E2437" s="35">
        <f>+'[2]por cuent'!H2437</f>
        <v>88487393.5</v>
      </c>
      <c r="F2437" t="str">
        <f>+'[2]por cuent'!I2437</f>
        <v>758</v>
      </c>
    </row>
    <row r="2438" spans="1:6" x14ac:dyDescent="0.35">
      <c r="A2438" t="str">
        <f>+'[2]por cuent'!A2438</f>
        <v>ARS</v>
      </c>
      <c r="B2438" t="str">
        <f>+'[2]por cuent'!B2438</f>
        <v>758006038</v>
      </c>
      <c r="C2438" t="str">
        <f>+'[2]por cuent'!C2438</f>
        <v>LE BAS, ANDRES ROBERTO</v>
      </c>
      <c r="D2438" s="35">
        <f>+'[2]por cuent'!G2438</f>
        <v>5432363</v>
      </c>
      <c r="E2438" s="35">
        <f>+'[2]por cuent'!H2438</f>
        <v>5432363</v>
      </c>
      <c r="F2438" t="str">
        <f>+'[2]por cuent'!I2438</f>
        <v>758</v>
      </c>
    </row>
    <row r="2439" spans="1:6" x14ac:dyDescent="0.35">
      <c r="A2439" t="str">
        <f>+'[2]por cuent'!A2439</f>
        <v>ARS</v>
      </c>
      <c r="B2439" t="str">
        <f>+'[2]por cuent'!B2439</f>
        <v>758006040</v>
      </c>
      <c r="C2439" t="str">
        <f>+'[2]por cuent'!C2439</f>
        <v>Collia Ignacio Jose</v>
      </c>
      <c r="D2439" s="35">
        <f>+'[2]por cuent'!G2439</f>
        <v>1233989.92</v>
      </c>
      <c r="E2439" s="35">
        <f>+'[2]por cuent'!H2439</f>
        <v>1233989.92</v>
      </c>
      <c r="F2439" t="str">
        <f>+'[2]por cuent'!I2439</f>
        <v>758</v>
      </c>
    </row>
    <row r="2440" spans="1:6" x14ac:dyDescent="0.35">
      <c r="A2440" t="str">
        <f>+'[2]por cuent'!A2440</f>
        <v>ARS</v>
      </c>
      <c r="B2440" t="str">
        <f>+'[2]por cuent'!B2440</f>
        <v>758006042</v>
      </c>
      <c r="C2440" t="str">
        <f>+'[2]por cuent'!C2440</f>
        <v>Rossi Antonio y/0 Mucci Angela Dora</v>
      </c>
      <c r="D2440" s="35">
        <f>+'[2]por cuent'!G2440</f>
        <v>716400</v>
      </c>
      <c r="E2440" s="35">
        <f>+'[2]por cuent'!H2440</f>
        <v>716400</v>
      </c>
      <c r="F2440" t="str">
        <f>+'[2]por cuent'!I2440</f>
        <v>758</v>
      </c>
    </row>
    <row r="2441" spans="1:6" x14ac:dyDescent="0.35">
      <c r="A2441" t="str">
        <f>+'[2]por cuent'!A2441</f>
        <v>ARS</v>
      </c>
      <c r="B2441" t="str">
        <f>+'[2]por cuent'!B2441</f>
        <v>758006045</v>
      </c>
      <c r="C2441" t="str">
        <f>+'[2]por cuent'!C2441</f>
        <v>GOMEZ, LUIS SEBASTIAN</v>
      </c>
      <c r="D2441" s="35">
        <f>+'[2]por cuent'!G2441</f>
        <v>3411029</v>
      </c>
      <c r="E2441" s="35">
        <f>+'[2]por cuent'!H2441</f>
        <v>3411029</v>
      </c>
      <c r="F2441" t="str">
        <f>+'[2]por cuent'!I2441</f>
        <v>758</v>
      </c>
    </row>
    <row r="2442" spans="1:6" x14ac:dyDescent="0.35">
      <c r="A2442" t="str">
        <f>+'[2]por cuent'!A2442</f>
        <v>ARS</v>
      </c>
      <c r="B2442" t="str">
        <f>+'[2]por cuent'!B2442</f>
        <v>758006046</v>
      </c>
      <c r="C2442" t="str">
        <f>+'[2]por cuent'!C2442</f>
        <v>FILIPPO, ROMINA</v>
      </c>
      <c r="D2442" s="35">
        <f>+'[2]por cuent'!G2442</f>
        <v>66231202</v>
      </c>
      <c r="E2442" s="35">
        <f>+'[2]por cuent'!H2442</f>
        <v>66231202</v>
      </c>
      <c r="F2442" t="str">
        <f>+'[2]por cuent'!I2442</f>
        <v>758</v>
      </c>
    </row>
    <row r="2443" spans="1:6" x14ac:dyDescent="0.35">
      <c r="A2443" t="str">
        <f>+'[2]por cuent'!A2443</f>
        <v>ARS</v>
      </c>
      <c r="B2443" t="str">
        <f>+'[2]por cuent'!B2443</f>
        <v>758006051</v>
      </c>
      <c r="C2443" t="str">
        <f>+'[2]por cuent'!C2443</f>
        <v>FUENTES, GUSTAVO DANIEL</v>
      </c>
      <c r="D2443" s="35">
        <f>+'[2]por cuent'!G2443</f>
        <v>60508482</v>
      </c>
      <c r="E2443" s="35">
        <f>+'[2]por cuent'!H2443</f>
        <v>60508482</v>
      </c>
      <c r="F2443" t="str">
        <f>+'[2]por cuent'!I2443</f>
        <v>758</v>
      </c>
    </row>
    <row r="2444" spans="1:6" x14ac:dyDescent="0.35">
      <c r="A2444" t="str">
        <f>+'[2]por cuent'!A2444</f>
        <v>ARS</v>
      </c>
      <c r="B2444" t="str">
        <f>+'[2]por cuent'!B2444</f>
        <v>758006054</v>
      </c>
      <c r="C2444" t="str">
        <f>+'[2]por cuent'!C2444</f>
        <v>ARNOLDT, ROBERTO ANTONIO</v>
      </c>
      <c r="D2444" s="35">
        <f>+'[2]por cuent'!G2444</f>
        <v>7988384</v>
      </c>
      <c r="E2444" s="35">
        <f>+'[2]por cuent'!H2444</f>
        <v>7988384</v>
      </c>
      <c r="F2444" t="str">
        <f>+'[2]por cuent'!I2444</f>
        <v>758</v>
      </c>
    </row>
    <row r="2445" spans="1:6" x14ac:dyDescent="0.35">
      <c r="A2445" t="str">
        <f>+'[2]por cuent'!A2445</f>
        <v>ARS</v>
      </c>
      <c r="B2445" t="str">
        <f>+'[2]por cuent'!B2445</f>
        <v>758006055</v>
      </c>
      <c r="C2445" t="str">
        <f>+'[2]por cuent'!C2445</f>
        <v>MAURE REBOREDO, ARIADNA LUCÍA</v>
      </c>
      <c r="D2445" s="35">
        <f>+'[2]por cuent'!G2445</f>
        <v>21717463</v>
      </c>
      <c r="E2445" s="35">
        <f>+'[2]por cuent'!H2445</f>
        <v>21717463</v>
      </c>
      <c r="F2445" t="str">
        <f>+'[2]por cuent'!I2445</f>
        <v>758</v>
      </c>
    </row>
    <row r="2446" spans="1:6" x14ac:dyDescent="0.35">
      <c r="A2446" t="str">
        <f>+'[2]por cuent'!A2446</f>
        <v>ARS</v>
      </c>
      <c r="B2446" t="str">
        <f>+'[2]por cuent'!B2446</f>
        <v>758006056</v>
      </c>
      <c r="C2446" t="str">
        <f>+'[2]por cuent'!C2446</f>
        <v>Graziani Nilda Mary y/o Barreiro Ricardo Oreste y/o Barreiro Silvio Francisco y/o Gianandrea Javier</v>
      </c>
      <c r="D2446" s="35">
        <f>+'[2]por cuent'!G2446</f>
        <v>56434622.799999997</v>
      </c>
      <c r="E2446" s="35">
        <f>+'[2]por cuent'!H2446</f>
        <v>56434622.799999997</v>
      </c>
      <c r="F2446" t="str">
        <f>+'[2]por cuent'!I2446</f>
        <v>758</v>
      </c>
    </row>
    <row r="2447" spans="1:6" x14ac:dyDescent="0.35">
      <c r="A2447" t="str">
        <f>+'[2]por cuent'!A2447</f>
        <v>ARS</v>
      </c>
      <c r="B2447" t="str">
        <f>+'[2]por cuent'!B2447</f>
        <v>758006057</v>
      </c>
      <c r="C2447" t="str">
        <f>+'[2]por cuent'!C2447</f>
        <v>AYALA MAGGI, CÉSAR NAZARENO</v>
      </c>
      <c r="D2447" s="35">
        <f>+'[2]por cuent'!G2447</f>
        <v>129297745.8</v>
      </c>
      <c r="E2447" s="35">
        <f>+'[2]por cuent'!H2447</f>
        <v>129297745.8</v>
      </c>
      <c r="F2447" t="str">
        <f>+'[2]por cuent'!I2447</f>
        <v>758</v>
      </c>
    </row>
    <row r="2448" spans="1:6" x14ac:dyDescent="0.35">
      <c r="A2448" t="str">
        <f>+'[2]por cuent'!A2448</f>
        <v>ARS</v>
      </c>
      <c r="B2448" t="str">
        <f>+'[2]por cuent'!B2448</f>
        <v>758006061</v>
      </c>
      <c r="C2448" t="str">
        <f>+'[2]por cuent'!C2448</f>
        <v>MARTINEZ DI PACE, DIEGO CRUZ</v>
      </c>
      <c r="D2448" s="35">
        <f>+'[2]por cuent'!G2448</f>
        <v>19133684</v>
      </c>
      <c r="E2448" s="35">
        <f>+'[2]por cuent'!H2448</f>
        <v>19133684</v>
      </c>
      <c r="F2448" t="str">
        <f>+'[2]por cuent'!I2448</f>
        <v>758</v>
      </c>
    </row>
    <row r="2449" spans="1:6" x14ac:dyDescent="0.35">
      <c r="A2449" t="str">
        <f>+'[2]por cuent'!A2449</f>
        <v>ARS</v>
      </c>
      <c r="B2449" t="str">
        <f>+'[2]por cuent'!B2449</f>
        <v>758006062</v>
      </c>
      <c r="C2449" t="str">
        <f>+'[2]por cuent'!C2449</f>
        <v>BAQUEDANO, MARTIN</v>
      </c>
      <c r="D2449" s="35">
        <f>+'[2]por cuent'!G2449</f>
        <v>7524751</v>
      </c>
      <c r="E2449" s="35">
        <f>+'[2]por cuent'!H2449</f>
        <v>7524751</v>
      </c>
      <c r="F2449" t="str">
        <f>+'[2]por cuent'!I2449</f>
        <v>758</v>
      </c>
    </row>
    <row r="2450" spans="1:6" x14ac:dyDescent="0.35">
      <c r="A2450" t="str">
        <f>+'[2]por cuent'!A2450</f>
        <v>ARS</v>
      </c>
      <c r="B2450" t="str">
        <f>+'[2]por cuent'!B2450</f>
        <v>758006067</v>
      </c>
      <c r="C2450" t="str">
        <f>+'[2]por cuent'!C2450</f>
        <v>AZAMBUJA, FERNANDO JOSE</v>
      </c>
      <c r="D2450" s="35">
        <f>+'[2]por cuent'!G2450</f>
        <v>17746292</v>
      </c>
      <c r="E2450" s="35">
        <f>+'[2]por cuent'!H2450</f>
        <v>17746292</v>
      </c>
      <c r="F2450" t="str">
        <f>+'[2]por cuent'!I2450</f>
        <v>758</v>
      </c>
    </row>
    <row r="2451" spans="1:6" x14ac:dyDescent="0.35">
      <c r="A2451" t="str">
        <f>+'[2]por cuent'!A2451</f>
        <v>ARS</v>
      </c>
      <c r="B2451" t="str">
        <f>+'[2]por cuent'!B2451</f>
        <v>758006068</v>
      </c>
      <c r="C2451" t="str">
        <f>+'[2]por cuent'!C2451</f>
        <v>SOLANO, CLAUDIO RODOLFO</v>
      </c>
      <c r="D2451" s="35">
        <f>+'[2]por cuent'!G2451</f>
        <v>418233718.80000001</v>
      </c>
      <c r="E2451" s="35">
        <f>+'[2]por cuent'!H2451</f>
        <v>418233718.80000001</v>
      </c>
      <c r="F2451" t="str">
        <f>+'[2]por cuent'!I2451</f>
        <v>758</v>
      </c>
    </row>
    <row r="2452" spans="1:6" x14ac:dyDescent="0.35">
      <c r="A2452" t="str">
        <f>+'[2]por cuent'!A2452</f>
        <v>ARS</v>
      </c>
      <c r="B2452" t="str">
        <f>+'[2]por cuent'!B2452</f>
        <v>758006069</v>
      </c>
      <c r="C2452" t="str">
        <f>+'[2]por cuent'!C2452</f>
        <v>LARROQUE, CARLOS MIGUEL</v>
      </c>
      <c r="D2452" s="35">
        <f>+'[2]por cuent'!G2452</f>
        <v>48871076.100000001</v>
      </c>
      <c r="E2452" s="35">
        <f>+'[2]por cuent'!H2452</f>
        <v>48871076.100000001</v>
      </c>
      <c r="F2452" t="str">
        <f>+'[2]por cuent'!I2452</f>
        <v>758</v>
      </c>
    </row>
    <row r="2453" spans="1:6" x14ac:dyDescent="0.35">
      <c r="A2453" t="str">
        <f>+'[2]por cuent'!A2453</f>
        <v>ARS</v>
      </c>
      <c r="B2453" t="str">
        <f>+'[2]por cuent'!B2453</f>
        <v>758006070</v>
      </c>
      <c r="C2453" t="str">
        <f>+'[2]por cuent'!C2453</f>
        <v>NARDI, JUAN JOSÉ</v>
      </c>
      <c r="D2453" s="35">
        <f>+'[2]por cuent'!G2453</f>
        <v>1014060</v>
      </c>
      <c r="E2453" s="35">
        <f>+'[2]por cuent'!H2453</f>
        <v>1014060</v>
      </c>
      <c r="F2453" t="str">
        <f>+'[2]por cuent'!I2453</f>
        <v>758</v>
      </c>
    </row>
    <row r="2454" spans="1:6" x14ac:dyDescent="0.35">
      <c r="A2454" t="str">
        <f>+'[2]por cuent'!A2454</f>
        <v>ARS</v>
      </c>
      <c r="B2454" t="str">
        <f>+'[2]por cuent'!B2454</f>
        <v>758006071</v>
      </c>
      <c r="C2454" t="str">
        <f>+'[2]por cuent'!C2454</f>
        <v>HINCKELMANN, CARLOS FEDERICO</v>
      </c>
      <c r="D2454" s="35">
        <f>+'[2]por cuent'!G2454</f>
        <v>33911161</v>
      </c>
      <c r="E2454" s="35">
        <f>+'[2]por cuent'!H2454</f>
        <v>33911161</v>
      </c>
      <c r="F2454" t="str">
        <f>+'[2]por cuent'!I2454</f>
        <v>758</v>
      </c>
    </row>
    <row r="2455" spans="1:6" x14ac:dyDescent="0.35">
      <c r="A2455" t="str">
        <f>+'[2]por cuent'!A2455</f>
        <v>ARS</v>
      </c>
      <c r="B2455" t="str">
        <f>+'[2]por cuent'!B2455</f>
        <v>758006072</v>
      </c>
      <c r="C2455" t="str">
        <f>+'[2]por cuent'!C2455</f>
        <v>LOZA BUSTOS EXEQUIEL JESUS</v>
      </c>
      <c r="D2455" s="35">
        <f>+'[2]por cuent'!G2455</f>
        <v>3834118</v>
      </c>
      <c r="E2455" s="35">
        <f>+'[2]por cuent'!H2455</f>
        <v>3834118</v>
      </c>
      <c r="F2455" t="str">
        <f>+'[2]por cuent'!I2455</f>
        <v>758</v>
      </c>
    </row>
    <row r="2456" spans="1:6" x14ac:dyDescent="0.35">
      <c r="A2456" t="str">
        <f>+'[2]por cuent'!A2456</f>
        <v>ARS</v>
      </c>
      <c r="B2456" t="str">
        <f>+'[2]por cuent'!B2456</f>
        <v>758006073</v>
      </c>
      <c r="C2456" t="str">
        <f>+'[2]por cuent'!C2456</f>
        <v>RIVAS, VIVIANI MARIA Y/O CARLOS FEDERICO HINCKELMANN</v>
      </c>
      <c r="D2456" s="35">
        <f>+'[2]por cuent'!G2456</f>
        <v>24129630.050000001</v>
      </c>
      <c r="E2456" s="35">
        <f>+'[2]por cuent'!H2456</f>
        <v>24129630.050000001</v>
      </c>
      <c r="F2456" t="str">
        <f>+'[2]por cuent'!I2456</f>
        <v>758</v>
      </c>
    </row>
    <row r="2457" spans="1:6" x14ac:dyDescent="0.35">
      <c r="A2457" t="str">
        <f>+'[2]por cuent'!A2457</f>
        <v>ARS</v>
      </c>
      <c r="B2457" t="str">
        <f>+'[2]por cuent'!B2457</f>
        <v>758006075</v>
      </c>
      <c r="C2457" t="str">
        <f>+'[2]por cuent'!C2457</f>
        <v>BLANCO LARA, MARTIN FERNANDO o POSITIERI, LAURA MARIELA</v>
      </c>
      <c r="D2457" s="35">
        <f>+'[2]por cuent'!G2457</f>
        <v>153942221.59999999</v>
      </c>
      <c r="E2457" s="35">
        <f>+'[2]por cuent'!H2457</f>
        <v>153942221.59999999</v>
      </c>
      <c r="F2457" t="str">
        <f>+'[2]por cuent'!I2457</f>
        <v>758</v>
      </c>
    </row>
    <row r="2458" spans="1:6" x14ac:dyDescent="0.35">
      <c r="A2458" t="str">
        <f>+'[2]por cuent'!A2458</f>
        <v>ARS</v>
      </c>
      <c r="B2458" t="str">
        <f>+'[2]por cuent'!B2458</f>
        <v>758006078</v>
      </c>
      <c r="C2458" t="str">
        <f>+'[2]por cuent'!C2458</f>
        <v>NIVELA, MARIA MONICA o BOTTINELLI, JORGE</v>
      </c>
      <c r="D2458" s="35">
        <f>+'[2]por cuent'!G2458</f>
        <v>6779145</v>
      </c>
      <c r="E2458" s="35">
        <f>+'[2]por cuent'!H2458</f>
        <v>6779145</v>
      </c>
      <c r="F2458" t="str">
        <f>+'[2]por cuent'!I2458</f>
        <v>758</v>
      </c>
    </row>
    <row r="2459" spans="1:6" x14ac:dyDescent="0.35">
      <c r="A2459" t="str">
        <f>+'[2]por cuent'!A2459</f>
        <v>ARS</v>
      </c>
      <c r="B2459" t="str">
        <f>+'[2]por cuent'!B2459</f>
        <v>758006079</v>
      </c>
      <c r="C2459" t="str">
        <f>+'[2]por cuent'!C2459</f>
        <v>SPIRIT SOLUTION NETWORK SA</v>
      </c>
      <c r="D2459" s="35">
        <f>+'[2]por cuent'!G2459</f>
        <v>71041958</v>
      </c>
      <c r="E2459" s="35">
        <f>+'[2]por cuent'!H2459</f>
        <v>71041958</v>
      </c>
      <c r="F2459" t="str">
        <f>+'[2]por cuent'!I2459</f>
        <v>758</v>
      </c>
    </row>
    <row r="2460" spans="1:6" x14ac:dyDescent="0.35">
      <c r="A2460" t="str">
        <f>+'[2]por cuent'!A2460</f>
        <v>ARS</v>
      </c>
      <c r="B2460" t="str">
        <f>+'[2]por cuent'!B2460</f>
        <v>758006081</v>
      </c>
      <c r="C2460" t="str">
        <f>+'[2]por cuent'!C2460</f>
        <v>VILLALBA PALMIERI, SANTIAGO</v>
      </c>
      <c r="D2460" s="35">
        <f>+'[2]por cuent'!G2460</f>
        <v>3122801</v>
      </c>
      <c r="E2460" s="35">
        <f>+'[2]por cuent'!H2460</f>
        <v>3122801</v>
      </c>
      <c r="F2460" t="str">
        <f>+'[2]por cuent'!I2460</f>
        <v>758</v>
      </c>
    </row>
    <row r="2461" spans="1:6" x14ac:dyDescent="0.35">
      <c r="A2461" t="str">
        <f>+'[2]por cuent'!A2461</f>
        <v>ARS</v>
      </c>
      <c r="B2461" t="str">
        <f>+'[2]por cuent'!B2461</f>
        <v>758006082</v>
      </c>
      <c r="C2461" t="str">
        <f>+'[2]por cuent'!C2461</f>
        <v>Bavec, Margarita Luisa y/o Bartolome, Hector Emilio</v>
      </c>
      <c r="D2461" s="35">
        <f>+'[2]por cuent'!G2461</f>
        <v>4159328</v>
      </c>
      <c r="E2461" s="35">
        <f>+'[2]por cuent'!H2461</f>
        <v>4159328</v>
      </c>
      <c r="F2461" t="str">
        <f>+'[2]por cuent'!I2461</f>
        <v>758</v>
      </c>
    </row>
    <row r="2462" spans="1:6" x14ac:dyDescent="0.35">
      <c r="A2462" t="str">
        <f>+'[2]por cuent'!A2462</f>
        <v>ARS</v>
      </c>
      <c r="B2462" t="str">
        <f>+'[2]por cuent'!B2462</f>
        <v>758006084</v>
      </c>
      <c r="C2462" t="str">
        <f>+'[2]por cuent'!C2462</f>
        <v>GALLO, GASTON JORGE o LÓPEZ, NATACHA VERONICA</v>
      </c>
      <c r="D2462" s="35">
        <f>+'[2]por cuent'!G2462</f>
        <v>22759321</v>
      </c>
      <c r="E2462" s="35">
        <f>+'[2]por cuent'!H2462</f>
        <v>22759321</v>
      </c>
      <c r="F2462" t="str">
        <f>+'[2]por cuent'!I2462</f>
        <v>758</v>
      </c>
    </row>
    <row r="2463" spans="1:6" x14ac:dyDescent="0.35">
      <c r="A2463" t="str">
        <f>+'[2]por cuent'!A2463</f>
        <v>ARS</v>
      </c>
      <c r="B2463" t="str">
        <f>+'[2]por cuent'!B2463</f>
        <v>758006085</v>
      </c>
      <c r="C2463" t="str">
        <f>+'[2]por cuent'!C2463</f>
        <v>SELENER, CARLOS GUILLERMO</v>
      </c>
      <c r="D2463" s="35">
        <f>+'[2]por cuent'!G2463</f>
        <v>3219482</v>
      </c>
      <c r="E2463" s="35">
        <f>+'[2]por cuent'!H2463</f>
        <v>3219482</v>
      </c>
      <c r="F2463" t="str">
        <f>+'[2]por cuent'!I2463</f>
        <v>758</v>
      </c>
    </row>
    <row r="2464" spans="1:6" x14ac:dyDescent="0.35">
      <c r="A2464" t="str">
        <f>+'[2]por cuent'!A2464</f>
        <v>ARS</v>
      </c>
      <c r="B2464" t="str">
        <f>+'[2]por cuent'!B2464</f>
        <v>758006086</v>
      </c>
      <c r="C2464" t="str">
        <f>+'[2]por cuent'!C2464</f>
        <v>LAMBERTUCCI, MARCELO FABIAN</v>
      </c>
      <c r="D2464" s="35">
        <f>+'[2]por cuent'!G2464</f>
        <v>1697596</v>
      </c>
      <c r="E2464" s="35">
        <f>+'[2]por cuent'!H2464</f>
        <v>1697596</v>
      </c>
      <c r="F2464" t="str">
        <f>+'[2]por cuent'!I2464</f>
        <v>758</v>
      </c>
    </row>
    <row r="2465" spans="1:6" x14ac:dyDescent="0.35">
      <c r="A2465" t="str">
        <f>+'[2]por cuent'!A2465</f>
        <v>ARS</v>
      </c>
      <c r="B2465" t="str">
        <f>+'[2]por cuent'!B2465</f>
        <v>758006087</v>
      </c>
      <c r="C2465" t="str">
        <f>+'[2]por cuent'!C2465</f>
        <v>VÁZQUEZ, ANDREA CAROLINA</v>
      </c>
      <c r="D2465" s="35">
        <f>+'[2]por cuent'!G2465</f>
        <v>19675819</v>
      </c>
      <c r="E2465" s="35">
        <f>+'[2]por cuent'!H2465</f>
        <v>19675819</v>
      </c>
      <c r="F2465" t="str">
        <f>+'[2]por cuent'!I2465</f>
        <v>758</v>
      </c>
    </row>
    <row r="2466" spans="1:6" x14ac:dyDescent="0.35">
      <c r="A2466" t="str">
        <f>+'[2]por cuent'!A2466</f>
        <v>ARS</v>
      </c>
      <c r="B2466" t="str">
        <f>+'[2]por cuent'!B2466</f>
        <v>758006088</v>
      </c>
      <c r="C2466" t="str">
        <f>+'[2]por cuent'!C2466</f>
        <v>MARTINEZ, ALFREDO IGNACIO</v>
      </c>
      <c r="D2466" s="35">
        <f>+'[2]por cuent'!G2466</f>
        <v>2148471</v>
      </c>
      <c r="E2466" s="35">
        <f>+'[2]por cuent'!H2466</f>
        <v>2148471</v>
      </c>
      <c r="F2466" t="str">
        <f>+'[2]por cuent'!I2466</f>
        <v>758</v>
      </c>
    </row>
    <row r="2467" spans="1:6" x14ac:dyDescent="0.35">
      <c r="A2467" t="str">
        <f>+'[2]por cuent'!A2467</f>
        <v>ARS</v>
      </c>
      <c r="B2467" t="str">
        <f>+'[2]por cuent'!B2467</f>
        <v>758006089</v>
      </c>
      <c r="C2467" t="str">
        <f>+'[2]por cuent'!C2467</f>
        <v>CARZOGLIO, DIEGO</v>
      </c>
      <c r="D2467" s="35">
        <f>+'[2]por cuent'!G2467</f>
        <v>7017350</v>
      </c>
      <c r="E2467" s="35">
        <f>+'[2]por cuent'!H2467</f>
        <v>7017350</v>
      </c>
      <c r="F2467" t="str">
        <f>+'[2]por cuent'!I2467</f>
        <v>758</v>
      </c>
    </row>
    <row r="2468" spans="1:6" x14ac:dyDescent="0.35">
      <c r="A2468" t="str">
        <f>+'[2]por cuent'!A2468</f>
        <v>ARS</v>
      </c>
      <c r="B2468" t="str">
        <f>+'[2]por cuent'!B2468</f>
        <v>758006095</v>
      </c>
      <c r="C2468" t="str">
        <f>+'[2]por cuent'!C2468</f>
        <v>BUTTAZZONI, MARIO ALEJANDRO o BUTTAZZONI, GABRIELA MARIA</v>
      </c>
      <c r="D2468" s="35">
        <f>+'[2]por cuent'!G2468</f>
        <v>5468806</v>
      </c>
      <c r="E2468" s="35">
        <f>+'[2]por cuent'!H2468</f>
        <v>5468806</v>
      </c>
      <c r="F2468" t="str">
        <f>+'[2]por cuent'!I2468</f>
        <v>758</v>
      </c>
    </row>
    <row r="2469" spans="1:6" x14ac:dyDescent="0.35">
      <c r="A2469" t="str">
        <f>+'[2]por cuent'!A2469</f>
        <v>ARS</v>
      </c>
      <c r="B2469" t="str">
        <f>+'[2]por cuent'!B2469</f>
        <v>758006097</v>
      </c>
      <c r="C2469" t="str">
        <f>+'[2]por cuent'!C2469</f>
        <v>TUCINSKAS, VICTORIA ELENA Y/O FERNANDO MOTTILLO</v>
      </c>
      <c r="D2469" s="35">
        <f>+'[2]por cuent'!G2469</f>
        <v>4054273</v>
      </c>
      <c r="E2469" s="35">
        <f>+'[2]por cuent'!H2469</f>
        <v>4054273</v>
      </c>
      <c r="F2469" t="str">
        <f>+'[2]por cuent'!I2469</f>
        <v>758</v>
      </c>
    </row>
    <row r="2470" spans="1:6" x14ac:dyDescent="0.35">
      <c r="A2470" t="str">
        <f>+'[2]por cuent'!A2470</f>
        <v>ARS</v>
      </c>
      <c r="B2470" t="str">
        <f>+'[2]por cuent'!B2470</f>
        <v>758006098</v>
      </c>
      <c r="C2470" t="str">
        <f>+'[2]por cuent'!C2470</f>
        <v>PAZ, JESICA PAOLA</v>
      </c>
      <c r="D2470" s="35">
        <f>+'[2]por cuent'!G2470</f>
        <v>24270321</v>
      </c>
      <c r="E2470" s="35">
        <f>+'[2]por cuent'!H2470</f>
        <v>24270321</v>
      </c>
      <c r="F2470" t="str">
        <f>+'[2]por cuent'!I2470</f>
        <v>758</v>
      </c>
    </row>
    <row r="2471" spans="1:6" x14ac:dyDescent="0.35">
      <c r="A2471" t="str">
        <f>+'[2]por cuent'!A2471</f>
        <v>ARS</v>
      </c>
      <c r="B2471" t="str">
        <f>+'[2]por cuent'!B2471</f>
        <v>758006099</v>
      </c>
      <c r="C2471" t="str">
        <f>+'[2]por cuent'!C2471</f>
        <v>LEONE, FABIAN</v>
      </c>
      <c r="D2471" s="35">
        <f>+'[2]por cuent'!G2471</f>
        <v>2457082</v>
      </c>
      <c r="E2471" s="35">
        <f>+'[2]por cuent'!H2471</f>
        <v>2457082</v>
      </c>
      <c r="F2471" t="str">
        <f>+'[2]por cuent'!I2471</f>
        <v>758</v>
      </c>
    </row>
    <row r="2472" spans="1:6" x14ac:dyDescent="0.35">
      <c r="A2472" t="str">
        <f>+'[2]por cuent'!A2472</f>
        <v>ARS</v>
      </c>
      <c r="B2472" t="str">
        <f>+'[2]por cuent'!B2472</f>
        <v>758006100</v>
      </c>
      <c r="C2472" t="str">
        <f>+'[2]por cuent'!C2472</f>
        <v>LA MENTA SA</v>
      </c>
      <c r="D2472" s="35">
        <f>+'[2]por cuent'!G2472</f>
        <v>64129467.600000001</v>
      </c>
      <c r="E2472" s="35">
        <f>+'[2]por cuent'!H2472</f>
        <v>64129467.600000001</v>
      </c>
      <c r="F2472" t="str">
        <f>+'[2]por cuent'!I2472</f>
        <v>758</v>
      </c>
    </row>
    <row r="2473" spans="1:6" x14ac:dyDescent="0.35">
      <c r="A2473" t="str">
        <f>+'[2]por cuent'!A2473</f>
        <v>ARS</v>
      </c>
      <c r="B2473" t="str">
        <f>+'[2]por cuent'!B2473</f>
        <v>758006103</v>
      </c>
      <c r="C2473" t="str">
        <f>+'[2]por cuent'!C2473</f>
        <v>CECHINI, GONZALO</v>
      </c>
      <c r="D2473" s="35">
        <f>+'[2]por cuent'!G2473</f>
        <v>10014597</v>
      </c>
      <c r="E2473" s="35">
        <f>+'[2]por cuent'!H2473</f>
        <v>10014597</v>
      </c>
      <c r="F2473" t="str">
        <f>+'[2]por cuent'!I2473</f>
        <v>758</v>
      </c>
    </row>
    <row r="2474" spans="1:6" x14ac:dyDescent="0.35">
      <c r="A2474" t="str">
        <f>+'[2]por cuent'!A2474</f>
        <v>ARS</v>
      </c>
      <c r="B2474" t="str">
        <f>+'[2]por cuent'!B2474</f>
        <v>758006104</v>
      </c>
      <c r="C2474" t="str">
        <f>+'[2]por cuent'!C2474</f>
        <v>LISCIO, RAÚL ESTEBAN o MATSUZAKI, CARINA</v>
      </c>
      <c r="D2474" s="35">
        <f>+'[2]por cuent'!G2474</f>
        <v>12442287</v>
      </c>
      <c r="E2474" s="35">
        <f>+'[2]por cuent'!H2474</f>
        <v>12442287</v>
      </c>
      <c r="F2474" t="str">
        <f>+'[2]por cuent'!I2474</f>
        <v>758</v>
      </c>
    </row>
    <row r="2475" spans="1:6" x14ac:dyDescent="0.35">
      <c r="A2475" t="str">
        <f>+'[2]por cuent'!A2475</f>
        <v>ARS</v>
      </c>
      <c r="B2475" t="str">
        <f>+'[2]por cuent'!B2475</f>
        <v>758006105</v>
      </c>
      <c r="C2475" t="str">
        <f>+'[2]por cuent'!C2475</f>
        <v>LE BAS, ANDRES ROBERTO</v>
      </c>
      <c r="D2475" s="35">
        <f>+'[2]por cuent'!G2475</f>
        <v>9872916.4000000004</v>
      </c>
      <c r="E2475" s="35">
        <f>+'[2]por cuent'!H2475</f>
        <v>9872916.4000000004</v>
      </c>
      <c r="F2475" t="str">
        <f>+'[2]por cuent'!I2475</f>
        <v>758</v>
      </c>
    </row>
    <row r="2476" spans="1:6" x14ac:dyDescent="0.35">
      <c r="A2476" t="str">
        <f>+'[2]por cuent'!A2476</f>
        <v>ARS</v>
      </c>
      <c r="B2476" t="str">
        <f>+'[2]por cuent'!B2476</f>
        <v>758006106</v>
      </c>
      <c r="C2476" t="str">
        <f>+'[2]por cuent'!C2476</f>
        <v>Alvarez Gabriel y/o Alvarez Walter Sebastian</v>
      </c>
      <c r="D2476" s="35">
        <f>+'[2]por cuent'!G2476</f>
        <v>482401374.60000002</v>
      </c>
      <c r="E2476" s="35">
        <f>+'[2]por cuent'!H2476</f>
        <v>482401374.60000002</v>
      </c>
      <c r="F2476" t="str">
        <f>+'[2]por cuent'!I2476</f>
        <v>758</v>
      </c>
    </row>
    <row r="2477" spans="1:6" x14ac:dyDescent="0.35">
      <c r="A2477" t="str">
        <f>+'[2]por cuent'!A2477</f>
        <v>ARS</v>
      </c>
      <c r="B2477" t="str">
        <f>+'[2]por cuent'!B2477</f>
        <v>758006107</v>
      </c>
      <c r="C2477" t="str">
        <f>+'[2]por cuent'!C2477</f>
        <v>Alvarez Walter Sebastian y/o Alvarez Gabriel</v>
      </c>
      <c r="D2477" s="35">
        <f>+'[2]por cuent'!G2477</f>
        <v>141456166.19999999</v>
      </c>
      <c r="E2477" s="35">
        <f>+'[2]por cuent'!H2477</f>
        <v>141456166.19999999</v>
      </c>
      <c r="F2477" t="str">
        <f>+'[2]por cuent'!I2477</f>
        <v>758</v>
      </c>
    </row>
    <row r="2478" spans="1:6" x14ac:dyDescent="0.35">
      <c r="A2478" t="str">
        <f>+'[2]por cuent'!A2478</f>
        <v>ARS</v>
      </c>
      <c r="B2478" t="str">
        <f>+'[2]por cuent'!B2478</f>
        <v>758006108</v>
      </c>
      <c r="C2478" t="str">
        <f>+'[2]por cuent'!C2478</f>
        <v>Trovato, Agostina Claudia</v>
      </c>
      <c r="D2478" s="35">
        <f>+'[2]por cuent'!G2478</f>
        <v>5048340</v>
      </c>
      <c r="E2478" s="35">
        <f>+'[2]por cuent'!H2478</f>
        <v>5048340</v>
      </c>
      <c r="F2478" t="str">
        <f>+'[2]por cuent'!I2478</f>
        <v>758</v>
      </c>
    </row>
    <row r="2479" spans="1:6" x14ac:dyDescent="0.35">
      <c r="A2479" t="str">
        <f>+'[2]por cuent'!A2479</f>
        <v>ARS</v>
      </c>
      <c r="B2479" t="str">
        <f>+'[2]por cuent'!B2479</f>
        <v>758006109</v>
      </c>
      <c r="C2479" t="str">
        <f>+'[2]por cuent'!C2479</f>
        <v>Azambuja, Ariel</v>
      </c>
      <c r="D2479" s="35">
        <f>+'[2]por cuent'!G2479</f>
        <v>255009</v>
      </c>
      <c r="E2479" s="35">
        <f>+'[2]por cuent'!H2479</f>
        <v>255009</v>
      </c>
      <c r="F2479" t="str">
        <f>+'[2]por cuent'!I2479</f>
        <v>758</v>
      </c>
    </row>
    <row r="2480" spans="1:6" x14ac:dyDescent="0.35">
      <c r="A2480" t="str">
        <f>+'[2]por cuent'!A2480</f>
        <v>ARS</v>
      </c>
      <c r="B2480" t="str">
        <f>+'[2]por cuent'!B2480</f>
        <v>758006110</v>
      </c>
      <c r="C2480" t="str">
        <f>+'[2]por cuent'!C2480</f>
        <v>Trovato, Agostina Claudia y/o Rivero, Gabriela Berta</v>
      </c>
      <c r="D2480" s="35">
        <f>+'[2]por cuent'!G2480</f>
        <v>26845942</v>
      </c>
      <c r="E2480" s="35">
        <f>+'[2]por cuent'!H2480</f>
        <v>26845942</v>
      </c>
      <c r="F2480" t="str">
        <f>+'[2]por cuent'!I2480</f>
        <v>758</v>
      </c>
    </row>
    <row r="2481" spans="1:6" x14ac:dyDescent="0.35">
      <c r="A2481" t="str">
        <f>+'[2]por cuent'!A2481</f>
        <v>ARS</v>
      </c>
      <c r="B2481" t="str">
        <f>+'[2]por cuent'!B2481</f>
        <v>758007001</v>
      </c>
      <c r="C2481" t="str">
        <f>+'[2]por cuent'!C2481</f>
        <v>MGL45 SRL</v>
      </c>
      <c r="D2481" s="35">
        <f>+'[2]por cuent'!G2481</f>
        <v>817264400</v>
      </c>
      <c r="E2481" s="35">
        <f>+'[2]por cuent'!H2481</f>
        <v>817264400</v>
      </c>
      <c r="F2481" t="str">
        <f>+'[2]por cuent'!I2481</f>
        <v>758</v>
      </c>
    </row>
    <row r="2482" spans="1:6" x14ac:dyDescent="0.35">
      <c r="A2482" t="str">
        <f>+'[2]por cuent'!A2482</f>
        <v>ARS</v>
      </c>
      <c r="B2482" t="str">
        <f>+'[2]por cuent'!B2482</f>
        <v>758008001</v>
      </c>
      <c r="C2482" t="str">
        <f>+'[2]por cuent'!C2482</f>
        <v>Ceballos Figueroa, Maria Cecilia</v>
      </c>
      <c r="D2482" s="35">
        <f>+'[2]por cuent'!G2482</f>
        <v>44951334</v>
      </c>
      <c r="E2482" s="35">
        <f>+'[2]por cuent'!H2482</f>
        <v>44951334</v>
      </c>
      <c r="F2482" t="str">
        <f>+'[2]por cuent'!I2482</f>
        <v>758</v>
      </c>
    </row>
    <row r="2483" spans="1:6" x14ac:dyDescent="0.35">
      <c r="A2483" t="str">
        <f>+'[2]por cuent'!A2483</f>
        <v>ARS</v>
      </c>
      <c r="B2483" t="str">
        <f>+'[2]por cuent'!B2483</f>
        <v>758009006</v>
      </c>
      <c r="C2483" t="str">
        <f>+'[2]por cuent'!C2483</f>
        <v>Perazzi, Liliana Cristina y/o Pugliese, Agustín María y/o Pugliese, María Victoria</v>
      </c>
      <c r="D2483" s="35">
        <f>+'[2]por cuent'!G2483</f>
        <v>356396787.5</v>
      </c>
      <c r="E2483" s="35">
        <f>+'[2]por cuent'!H2483</f>
        <v>356396787.5</v>
      </c>
      <c r="F2483" t="str">
        <f>+'[2]por cuent'!I2483</f>
        <v>758</v>
      </c>
    </row>
    <row r="2484" spans="1:6" x14ac:dyDescent="0.35">
      <c r="A2484" t="str">
        <f>+'[2]por cuent'!A2484</f>
        <v>ARS</v>
      </c>
      <c r="B2484" t="str">
        <f>+'[2]por cuent'!B2484</f>
        <v>758009009</v>
      </c>
      <c r="C2484" t="str">
        <f>+'[2]por cuent'!C2484</f>
        <v>Maiz, Griselda Antonia y/o Pérez, Luis Daniel</v>
      </c>
      <c r="D2484" s="35">
        <f>+'[2]por cuent'!G2484</f>
        <v>429644849.5</v>
      </c>
      <c r="E2484" s="35">
        <f>+'[2]por cuent'!H2484</f>
        <v>429644849.5</v>
      </c>
      <c r="F2484" t="str">
        <f>+'[2]por cuent'!I2484</f>
        <v>758</v>
      </c>
    </row>
    <row r="2485" spans="1:6" x14ac:dyDescent="0.35">
      <c r="A2485" t="str">
        <f>+'[2]por cuent'!A2485</f>
        <v>ARS</v>
      </c>
      <c r="B2485" t="str">
        <f>+'[2]por cuent'!B2485</f>
        <v>758009012</v>
      </c>
      <c r="C2485" t="str">
        <f>+'[2]por cuent'!C2485</f>
        <v>Gonzalez Chiaramonte, Claudio Gabriel y/o Evangelista, Claudia</v>
      </c>
      <c r="D2485" s="35">
        <f>+'[2]por cuent'!G2485</f>
        <v>400087591.29000002</v>
      </c>
      <c r="E2485" s="35">
        <f>+'[2]por cuent'!H2485</f>
        <v>400087591.29000002</v>
      </c>
      <c r="F2485" t="str">
        <f>+'[2]por cuent'!I2485</f>
        <v>758</v>
      </c>
    </row>
    <row r="2486" spans="1:6" x14ac:dyDescent="0.35">
      <c r="A2486" t="str">
        <f>+'[2]por cuent'!A2486</f>
        <v>ARS</v>
      </c>
      <c r="B2486" t="str">
        <f>+'[2]por cuent'!B2486</f>
        <v>758009019</v>
      </c>
      <c r="C2486" t="str">
        <f>+'[2]por cuent'!C2486</f>
        <v>Asociación Trabajadores Argentinos Mutualizados</v>
      </c>
      <c r="D2486" s="35">
        <f>+'[2]por cuent'!G2486</f>
        <v>1197070</v>
      </c>
      <c r="E2486" s="35">
        <f>+'[2]por cuent'!H2486</f>
        <v>1197070</v>
      </c>
      <c r="F2486" t="str">
        <f>+'[2]por cuent'!I2486</f>
        <v>758</v>
      </c>
    </row>
    <row r="2487" spans="1:6" x14ac:dyDescent="0.35">
      <c r="A2487" t="str">
        <f>+'[2]por cuent'!A2487</f>
        <v>ARS</v>
      </c>
      <c r="B2487" t="str">
        <f>+'[2]por cuent'!B2487</f>
        <v>758009022</v>
      </c>
      <c r="C2487" t="str">
        <f>+'[2]por cuent'!C2487</f>
        <v>Orlando, Ricardo Antonio y/o Brennan, Patricia Teresita y/o Orlando Brennan, Tomás Manuel</v>
      </c>
      <c r="D2487" s="35">
        <f>+'[2]por cuent'!G2487</f>
        <v>14204539023.15</v>
      </c>
      <c r="E2487" s="35">
        <f>+'[2]por cuent'!H2487</f>
        <v>14204539023.15</v>
      </c>
      <c r="F2487" t="str">
        <f>+'[2]por cuent'!I2487</f>
        <v>758</v>
      </c>
    </row>
    <row r="2488" spans="1:6" x14ac:dyDescent="0.35">
      <c r="A2488" t="str">
        <f>+'[2]por cuent'!A2488</f>
        <v>ARS</v>
      </c>
      <c r="B2488" t="str">
        <f>+'[2]por cuent'!B2488</f>
        <v>758009027</v>
      </c>
      <c r="C2488" t="str">
        <f>+'[2]por cuent'!C2488</f>
        <v>Ferraro, Juan Carlos</v>
      </c>
      <c r="D2488" s="35">
        <f>+'[2]por cuent'!G2488</f>
        <v>3794293.2</v>
      </c>
      <c r="E2488" s="35">
        <f>+'[2]por cuent'!H2488</f>
        <v>3794293.2</v>
      </c>
      <c r="F2488" t="str">
        <f>+'[2]por cuent'!I2488</f>
        <v>758</v>
      </c>
    </row>
    <row r="2489" spans="1:6" x14ac:dyDescent="0.35">
      <c r="A2489" t="str">
        <f>+'[2]por cuent'!A2489</f>
        <v>ARS</v>
      </c>
      <c r="B2489" t="str">
        <f>+'[2]por cuent'!B2489</f>
        <v>758009031</v>
      </c>
      <c r="C2489" t="str">
        <f>+'[2]por cuent'!C2489</f>
        <v>Lofiego, Alberto Jorge</v>
      </c>
      <c r="D2489" s="35">
        <f>+'[2]por cuent'!G2489</f>
        <v>29742306</v>
      </c>
      <c r="E2489" s="35">
        <f>+'[2]por cuent'!H2489</f>
        <v>29742306</v>
      </c>
      <c r="F2489" t="str">
        <f>+'[2]por cuent'!I2489</f>
        <v>758</v>
      </c>
    </row>
    <row r="2490" spans="1:6" x14ac:dyDescent="0.35">
      <c r="A2490" t="str">
        <f>+'[2]por cuent'!A2490</f>
        <v>ARS</v>
      </c>
      <c r="B2490" t="str">
        <f>+'[2]por cuent'!B2490</f>
        <v>758009052</v>
      </c>
      <c r="C2490" t="str">
        <f>+'[2]por cuent'!C2490</f>
        <v>Lujan, Mabel Elisa y/o Verdun, Pablo Fabián</v>
      </c>
      <c r="D2490" s="35">
        <f>+'[2]por cuent'!G2490</f>
        <v>10755685</v>
      </c>
      <c r="E2490" s="35">
        <f>+'[2]por cuent'!H2490</f>
        <v>10755685</v>
      </c>
      <c r="F2490" t="str">
        <f>+'[2]por cuent'!I2490</f>
        <v>758</v>
      </c>
    </row>
    <row r="2491" spans="1:6" x14ac:dyDescent="0.35">
      <c r="A2491" t="str">
        <f>+'[2]por cuent'!A2491</f>
        <v>ARS</v>
      </c>
      <c r="B2491" t="str">
        <f>+'[2]por cuent'!B2491</f>
        <v>758009057</v>
      </c>
      <c r="C2491" t="str">
        <f>+'[2]por cuent'!C2491</f>
        <v>Fideicomiso Avellaneda</v>
      </c>
      <c r="D2491" s="35">
        <f>+'[2]por cuent'!G2491</f>
        <v>1403799337.6700001</v>
      </c>
      <c r="E2491" s="35">
        <f>+'[2]por cuent'!H2491</f>
        <v>1403799337.6700001</v>
      </c>
      <c r="F2491" t="str">
        <f>+'[2]por cuent'!I2491</f>
        <v>758</v>
      </c>
    </row>
    <row r="2492" spans="1:6" x14ac:dyDescent="0.35">
      <c r="A2492" t="str">
        <f>+'[2]por cuent'!A2492</f>
        <v>ARS</v>
      </c>
      <c r="B2492" t="str">
        <f>+'[2]por cuent'!B2492</f>
        <v>758009068</v>
      </c>
      <c r="C2492" t="str">
        <f>+'[2]por cuent'!C2492</f>
        <v>Fernandez, Jorge Alberto</v>
      </c>
      <c r="D2492" s="35">
        <f>+'[2]por cuent'!G2492</f>
        <v>35071264</v>
      </c>
      <c r="E2492" s="35">
        <f>+'[2]por cuent'!H2492</f>
        <v>35071264</v>
      </c>
      <c r="F2492" t="str">
        <f>+'[2]por cuent'!I2492</f>
        <v>758</v>
      </c>
    </row>
    <row r="2493" spans="1:6" x14ac:dyDescent="0.35">
      <c r="A2493" t="str">
        <f>+'[2]por cuent'!A2493</f>
        <v>ARS</v>
      </c>
      <c r="B2493" t="str">
        <f>+'[2]por cuent'!B2493</f>
        <v>758009076</v>
      </c>
      <c r="C2493" t="str">
        <f>+'[2]por cuent'!C2493</f>
        <v>Orlando Brennan, Maria Luz</v>
      </c>
      <c r="D2493" s="35">
        <f>+'[2]por cuent'!G2493</f>
        <v>156776449.06</v>
      </c>
      <c r="E2493" s="35">
        <f>+'[2]por cuent'!H2493</f>
        <v>156776449.06</v>
      </c>
      <c r="F2493" t="str">
        <f>+'[2]por cuent'!I2493</f>
        <v>758</v>
      </c>
    </row>
    <row r="2494" spans="1:6" x14ac:dyDescent="0.35">
      <c r="A2494" t="str">
        <f>+'[2]por cuent'!A2494</f>
        <v>ARS</v>
      </c>
      <c r="B2494" t="str">
        <f>+'[2]por cuent'!B2494</f>
        <v>758009077</v>
      </c>
      <c r="C2494" t="str">
        <f>+'[2]por cuent'!C2494</f>
        <v>Cicalese, Emanuel Fernando</v>
      </c>
      <c r="D2494" s="35">
        <f>+'[2]por cuent'!G2494</f>
        <v>60085679.950000003</v>
      </c>
      <c r="E2494" s="35">
        <f>+'[2]por cuent'!H2494</f>
        <v>60085679.950000003</v>
      </c>
      <c r="F2494" t="str">
        <f>+'[2]por cuent'!I2494</f>
        <v>758</v>
      </c>
    </row>
    <row r="2495" spans="1:6" x14ac:dyDescent="0.35">
      <c r="A2495" t="str">
        <f>+'[2]por cuent'!A2495</f>
        <v>ARS</v>
      </c>
      <c r="B2495" t="str">
        <f>+'[2]por cuent'!B2495</f>
        <v>758009082</v>
      </c>
      <c r="C2495" t="str">
        <f>+'[2]por cuent'!C2495</f>
        <v>Abad, Orlando y/o Morganti, María Verónica</v>
      </c>
      <c r="D2495" s="35">
        <f>+'[2]por cuent'!G2495</f>
        <v>1792214</v>
      </c>
      <c r="E2495" s="35">
        <f>+'[2]por cuent'!H2495</f>
        <v>1792214</v>
      </c>
      <c r="F2495" t="str">
        <f>+'[2]por cuent'!I2495</f>
        <v>758</v>
      </c>
    </row>
    <row r="2496" spans="1:6" x14ac:dyDescent="0.35">
      <c r="A2496" t="str">
        <f>+'[2]por cuent'!A2496</f>
        <v>ARS</v>
      </c>
      <c r="B2496" t="str">
        <f>+'[2]por cuent'!B2496</f>
        <v>758009519</v>
      </c>
      <c r="C2496" t="str">
        <f>+'[2]por cuent'!C2496</f>
        <v xml:space="preserve">Castells, Ana Maria </v>
      </c>
      <c r="D2496" s="35">
        <f>+'[2]por cuent'!G2496</f>
        <v>603852564</v>
      </c>
      <c r="E2496" s="35">
        <f>+'[2]por cuent'!H2496</f>
        <v>603852564</v>
      </c>
      <c r="F2496" t="str">
        <f>+'[2]por cuent'!I2496</f>
        <v>758</v>
      </c>
    </row>
    <row r="2497" spans="1:6" x14ac:dyDescent="0.35">
      <c r="A2497" t="str">
        <f>+'[2]por cuent'!A2497</f>
        <v>ARS</v>
      </c>
      <c r="B2497" t="str">
        <f>+'[2]por cuent'!B2497</f>
        <v>758009536</v>
      </c>
      <c r="C2497" t="str">
        <f>+'[2]por cuent'!C2497</f>
        <v>Pugliese, Agustin María y/o Pugliese, Mariana Ines y/o Pugliese Ignacio Luis</v>
      </c>
      <c r="D2497" s="35">
        <f>+'[2]por cuent'!G2497</f>
        <v>47087295</v>
      </c>
      <c r="E2497" s="35">
        <f>+'[2]por cuent'!H2497</f>
        <v>47087295</v>
      </c>
      <c r="F2497" t="str">
        <f>+'[2]por cuent'!I2497</f>
        <v>758</v>
      </c>
    </row>
    <row r="2498" spans="1:6" x14ac:dyDescent="0.35">
      <c r="A2498" t="str">
        <f>+'[2]por cuent'!A2498</f>
        <v>ARS</v>
      </c>
      <c r="B2498" t="str">
        <f>+'[2]por cuent'!B2498</f>
        <v>758009537</v>
      </c>
      <c r="C2498" t="str">
        <f>+'[2]por cuent'!C2498</f>
        <v>FIDALGO, DIEGO MARTIN y/o DE SETA, LORENA ALEJANDRA</v>
      </c>
      <c r="D2498" s="35">
        <f>+'[2]por cuent'!G2498</f>
        <v>1623650</v>
      </c>
      <c r="E2498" s="35">
        <f>+'[2]por cuent'!H2498</f>
        <v>1623650</v>
      </c>
      <c r="F2498" t="str">
        <f>+'[2]por cuent'!I2498</f>
        <v>758</v>
      </c>
    </row>
    <row r="2499" spans="1:6" x14ac:dyDescent="0.35">
      <c r="A2499" t="str">
        <f>+'[2]por cuent'!A2499</f>
        <v>ARS</v>
      </c>
      <c r="B2499" t="str">
        <f>+'[2]por cuent'!B2499</f>
        <v>758009539</v>
      </c>
      <c r="C2499" t="str">
        <f>+'[2]por cuent'!C2499</f>
        <v>CAMACHO MALDONADO, ALEXANDER</v>
      </c>
      <c r="D2499" s="35">
        <f>+'[2]por cuent'!G2499</f>
        <v>756465</v>
      </c>
      <c r="E2499" s="35">
        <f>+'[2]por cuent'!H2499</f>
        <v>756465</v>
      </c>
      <c r="F2499" t="str">
        <f>+'[2]por cuent'!I2499</f>
        <v>758</v>
      </c>
    </row>
    <row r="2500" spans="1:6" x14ac:dyDescent="0.35">
      <c r="A2500" t="str">
        <f>+'[2]por cuent'!A2500</f>
        <v>ARS</v>
      </c>
      <c r="B2500" t="str">
        <f>+'[2]por cuent'!B2500</f>
        <v>758009540</v>
      </c>
      <c r="C2500" t="str">
        <f>+'[2]por cuent'!C2500</f>
        <v>Rodriguez Gabriel Omar y/o Rodriguez Joaquin</v>
      </c>
      <c r="D2500" s="35">
        <f>+'[2]por cuent'!G2500</f>
        <v>2094522</v>
      </c>
      <c r="E2500" s="35">
        <f>+'[2]por cuent'!H2500</f>
        <v>2094522</v>
      </c>
      <c r="F2500" t="str">
        <f>+'[2]por cuent'!I2500</f>
        <v>758</v>
      </c>
    </row>
    <row r="2501" spans="1:6" x14ac:dyDescent="0.35">
      <c r="A2501" t="str">
        <f>+'[2]por cuent'!A2501</f>
        <v>ARS</v>
      </c>
      <c r="B2501" t="str">
        <f>+'[2]por cuent'!B2501</f>
        <v>758009541</v>
      </c>
      <c r="C2501" t="str">
        <f>+'[2]por cuent'!C2501</f>
        <v>ROBLES, DAVID Y/O RAVENNA MARINA INES</v>
      </c>
      <c r="D2501" s="35">
        <f>+'[2]por cuent'!G2501</f>
        <v>814313</v>
      </c>
      <c r="E2501" s="35">
        <f>+'[2]por cuent'!H2501</f>
        <v>814313</v>
      </c>
      <c r="F2501" t="str">
        <f>+'[2]por cuent'!I2501</f>
        <v>758</v>
      </c>
    </row>
    <row r="2502" spans="1:6" x14ac:dyDescent="0.35">
      <c r="A2502" t="str">
        <f>+'[2]por cuent'!A2502</f>
        <v>ARS</v>
      </c>
      <c r="B2502" t="str">
        <f>+'[2]por cuent'!B2502</f>
        <v>758009545</v>
      </c>
      <c r="C2502" t="str">
        <f>+'[2]por cuent'!C2502</f>
        <v>Di Rico, María y/o Casasola, Gabriel y/o Casasola, María Cecilia</v>
      </c>
      <c r="D2502" s="35">
        <f>+'[2]por cuent'!G2502</f>
        <v>67650576.700000003</v>
      </c>
      <c r="E2502" s="35">
        <f>+'[2]por cuent'!H2502</f>
        <v>67650576.700000003</v>
      </c>
      <c r="F2502" t="str">
        <f>+'[2]por cuent'!I2502</f>
        <v>758</v>
      </c>
    </row>
    <row r="2503" spans="1:6" x14ac:dyDescent="0.35">
      <c r="A2503" t="str">
        <f>+'[2]por cuent'!A2503</f>
        <v>ARS</v>
      </c>
      <c r="B2503" t="str">
        <f>+'[2]por cuent'!B2503</f>
        <v>758009548</v>
      </c>
      <c r="C2503" t="str">
        <f>+'[2]por cuent'!C2503</f>
        <v>MARTIN DANIEL BELLO LUTTER</v>
      </c>
      <c r="D2503" s="35">
        <f>+'[2]por cuent'!G2503</f>
        <v>22994131.5</v>
      </c>
      <c r="E2503" s="35">
        <f>+'[2]por cuent'!H2503</f>
        <v>22994131.5</v>
      </c>
      <c r="F2503" t="str">
        <f>+'[2]por cuent'!I2503</f>
        <v>758</v>
      </c>
    </row>
    <row r="2504" spans="1:6" x14ac:dyDescent="0.35">
      <c r="A2504" t="str">
        <f>+'[2]por cuent'!A2504</f>
        <v>ARS</v>
      </c>
      <c r="B2504" t="str">
        <f>+'[2]por cuent'!B2504</f>
        <v>758009549</v>
      </c>
      <c r="C2504" t="str">
        <f>+'[2]por cuent'!C2504</f>
        <v>[C.E.R.A.] Patella, Miguel Pablo</v>
      </c>
      <c r="D2504" s="35">
        <f>+'[2]por cuent'!G2504</f>
        <v>373916367.69999999</v>
      </c>
      <c r="E2504" s="35">
        <f>+'[2]por cuent'!H2504</f>
        <v>373916367.69999999</v>
      </c>
      <c r="F2504" t="str">
        <f>+'[2]por cuent'!I2504</f>
        <v>758</v>
      </c>
    </row>
    <row r="2505" spans="1:6" x14ac:dyDescent="0.35">
      <c r="A2505" t="str">
        <f>+'[2]por cuent'!A2505</f>
        <v>ARS</v>
      </c>
      <c r="B2505" t="str">
        <f>+'[2]por cuent'!B2505</f>
        <v>758009552</v>
      </c>
      <c r="C2505" t="str">
        <f>+'[2]por cuent'!C2505</f>
        <v>Patella, Miguel Pablo</v>
      </c>
      <c r="D2505" s="35">
        <f>+'[2]por cuent'!G2505</f>
        <v>2289020</v>
      </c>
      <c r="E2505" s="35">
        <f>+'[2]por cuent'!H2505</f>
        <v>2289020</v>
      </c>
      <c r="F2505" t="str">
        <f>+'[2]por cuent'!I2505</f>
        <v>758</v>
      </c>
    </row>
    <row r="2506" spans="1:6" x14ac:dyDescent="0.35">
      <c r="A2506" t="str">
        <f>+'[2]por cuent'!A2506</f>
        <v>ARS</v>
      </c>
      <c r="B2506" t="str">
        <f>+'[2]por cuent'!B2506</f>
        <v>758009555</v>
      </c>
      <c r="C2506" t="str">
        <f>+'[2]por cuent'!C2506</f>
        <v>Abad, Osvaldo y/o Abad, Orlando</v>
      </c>
      <c r="D2506" s="35">
        <f>+'[2]por cuent'!G2506</f>
        <v>1851332</v>
      </c>
      <c r="E2506" s="35">
        <f>+'[2]por cuent'!H2506</f>
        <v>1851332</v>
      </c>
      <c r="F2506" t="str">
        <f>+'[2]por cuent'!I2506</f>
        <v>758</v>
      </c>
    </row>
    <row r="2507" spans="1:6" x14ac:dyDescent="0.35">
      <c r="A2507" t="str">
        <f>+'[2]por cuent'!A2507</f>
        <v>ARS</v>
      </c>
      <c r="B2507" t="str">
        <f>+'[2]por cuent'!B2507</f>
        <v>758009558</v>
      </c>
      <c r="C2507" t="str">
        <f>+'[2]por cuent'!C2507</f>
        <v>Matthiesen, Juan Carlos y/o Matthiesen, Gaston Carlos</v>
      </c>
      <c r="D2507" s="35">
        <f>+'[2]por cuent'!G2507</f>
        <v>4358970</v>
      </c>
      <c r="E2507" s="35">
        <f>+'[2]por cuent'!H2507</f>
        <v>4358970</v>
      </c>
      <c r="F2507" t="str">
        <f>+'[2]por cuent'!I2507</f>
        <v>758</v>
      </c>
    </row>
    <row r="2508" spans="1:6" x14ac:dyDescent="0.35">
      <c r="A2508" t="str">
        <f>+'[2]por cuent'!A2508</f>
        <v>ARS</v>
      </c>
      <c r="B2508" t="str">
        <f>+'[2]por cuent'!B2508</f>
        <v>758009559</v>
      </c>
      <c r="C2508" t="str">
        <f>+'[2]por cuent'!C2508</f>
        <v>Perazzi, Liliana Cristina y/o Pugliese, Ignacio Luis y/o Pugliese, Maria Victoria</v>
      </c>
      <c r="D2508" s="35">
        <f>+'[2]por cuent'!G2508</f>
        <v>825274</v>
      </c>
      <c r="E2508" s="35">
        <f>+'[2]por cuent'!H2508</f>
        <v>825274</v>
      </c>
      <c r="F2508" t="str">
        <f>+'[2]por cuent'!I2508</f>
        <v>758</v>
      </c>
    </row>
    <row r="2509" spans="1:6" x14ac:dyDescent="0.35">
      <c r="A2509" t="str">
        <f>+'[2]por cuent'!A2509</f>
        <v>ARS</v>
      </c>
      <c r="B2509" t="str">
        <f>+'[2]por cuent'!B2509</f>
        <v>758009560</v>
      </c>
      <c r="C2509" t="str">
        <f>+'[2]por cuent'!C2509</f>
        <v>Poncia, Daniel y/o Toledo, Veronica</v>
      </c>
      <c r="D2509" s="35">
        <f>+'[2]por cuent'!G2509</f>
        <v>10831.6</v>
      </c>
      <c r="E2509" s="35">
        <f>+'[2]por cuent'!H2509</f>
        <v>10831.6</v>
      </c>
      <c r="F2509" t="str">
        <f>+'[2]por cuent'!I2509</f>
        <v>758</v>
      </c>
    </row>
    <row r="2510" spans="1:6" x14ac:dyDescent="0.35">
      <c r="A2510" t="str">
        <f>+'[2]por cuent'!A2510</f>
        <v>ARS</v>
      </c>
      <c r="B2510" t="str">
        <f>+'[2]por cuent'!B2510</f>
        <v>758009561</v>
      </c>
      <c r="C2510" t="str">
        <f>+'[2]por cuent'!C2510</f>
        <v>Prahl, Nelly y/o Prahl, Pablo y/o Prahl, Tomas y/o Prahl, Ludmila y/o Dulce, Marcela</v>
      </c>
      <c r="D2510" s="35">
        <f>+'[2]por cuent'!G2510</f>
        <v>1239424</v>
      </c>
      <c r="E2510" s="35">
        <f>+'[2]por cuent'!H2510</f>
        <v>1239424</v>
      </c>
      <c r="F2510" t="str">
        <f>+'[2]por cuent'!I2510</f>
        <v>758</v>
      </c>
    </row>
    <row r="2511" spans="1:6" x14ac:dyDescent="0.35">
      <c r="A2511" t="str">
        <f>+'[2]por cuent'!A2511</f>
        <v>ARS</v>
      </c>
      <c r="B2511" t="str">
        <f>+'[2]por cuent'!B2511</f>
        <v>758009562</v>
      </c>
      <c r="C2511" t="str">
        <f>+'[2]por cuent'!C2511</f>
        <v>Gonzalez Chiaramonte, Francisco Ernesto y/o Gonzalez Chiaramonte, Claudio Gabriel</v>
      </c>
      <c r="D2511" s="35">
        <f>+'[2]por cuent'!G2511</f>
        <v>1152250</v>
      </c>
      <c r="E2511" s="35">
        <f>+'[2]por cuent'!H2511</f>
        <v>1152250</v>
      </c>
      <c r="F2511" t="str">
        <f>+'[2]por cuent'!I2511</f>
        <v>758</v>
      </c>
    </row>
    <row r="2512" spans="1:6" x14ac:dyDescent="0.35">
      <c r="A2512" t="str">
        <f>+'[2]por cuent'!A2512</f>
        <v>ARS</v>
      </c>
      <c r="B2512" t="str">
        <f>+'[2]por cuent'!B2512</f>
        <v>758009563</v>
      </c>
      <c r="C2512" t="str">
        <f>+'[2]por cuent'!C2512</f>
        <v>Diaz, Miguel y/o Valdenegro Viviana</v>
      </c>
      <c r="D2512" s="35">
        <f>+'[2]por cuent'!G2512</f>
        <v>1703546</v>
      </c>
      <c r="E2512" s="35">
        <f>+'[2]por cuent'!H2512</f>
        <v>1703546</v>
      </c>
      <c r="F2512" t="str">
        <f>+'[2]por cuent'!I2512</f>
        <v>758</v>
      </c>
    </row>
    <row r="2513" spans="1:6" x14ac:dyDescent="0.35">
      <c r="A2513" t="str">
        <f>+'[2]por cuent'!A2513</f>
        <v>ARS</v>
      </c>
      <c r="B2513" t="str">
        <f>+'[2]por cuent'!B2513</f>
        <v>758009640</v>
      </c>
      <c r="C2513" t="str">
        <f>+'[2]por cuent'!C2513</f>
        <v>Vera, Cecilia Luciana</v>
      </c>
      <c r="D2513" s="35">
        <f>+'[2]por cuent'!G2513</f>
        <v>3773195</v>
      </c>
      <c r="E2513" s="35">
        <f>+'[2]por cuent'!H2513</f>
        <v>3773195</v>
      </c>
      <c r="F2513" t="str">
        <f>+'[2]por cuent'!I2513</f>
        <v>758</v>
      </c>
    </row>
    <row r="2514" spans="1:6" x14ac:dyDescent="0.35">
      <c r="A2514" t="str">
        <f>+'[2]por cuent'!A2514</f>
        <v>ARS</v>
      </c>
      <c r="B2514" t="str">
        <f>+'[2]por cuent'!B2514</f>
        <v>758009641</v>
      </c>
      <c r="C2514" t="str">
        <f>+'[2]por cuent'!C2514</f>
        <v>Matthiesen, Gaston Carlos</v>
      </c>
      <c r="D2514" s="35">
        <f>+'[2]por cuent'!G2514</f>
        <v>3658706</v>
      </c>
      <c r="E2514" s="35">
        <f>+'[2]por cuent'!H2514</f>
        <v>3658706</v>
      </c>
      <c r="F2514" t="str">
        <f>+'[2]por cuent'!I2514</f>
        <v>758</v>
      </c>
    </row>
    <row r="2515" spans="1:6" x14ac:dyDescent="0.35">
      <c r="A2515" t="str">
        <f>+'[2]por cuent'!A2515</f>
        <v>ARS</v>
      </c>
      <c r="B2515" t="str">
        <f>+'[2]por cuent'!B2515</f>
        <v>758009644</v>
      </c>
      <c r="C2515" t="str">
        <f>+'[2]por cuent'!C2515</f>
        <v>Rodriguez, Ariel Gonzalo</v>
      </c>
      <c r="D2515" s="35">
        <f>+'[2]por cuent'!G2515</f>
        <v>915684</v>
      </c>
      <c r="E2515" s="35">
        <f>+'[2]por cuent'!H2515</f>
        <v>915684</v>
      </c>
      <c r="F2515" t="str">
        <f>+'[2]por cuent'!I2515</f>
        <v>758</v>
      </c>
    </row>
    <row r="2516" spans="1:6" x14ac:dyDescent="0.35">
      <c r="A2516" t="str">
        <f>+'[2]por cuent'!A2516</f>
        <v>ARS</v>
      </c>
      <c r="B2516" t="str">
        <f>+'[2]por cuent'!B2516</f>
        <v>758009645</v>
      </c>
      <c r="C2516" t="str">
        <f>+'[2]por cuent'!C2516</f>
        <v>Assi Camilo Norberto</v>
      </c>
      <c r="D2516" s="35">
        <f>+'[2]por cuent'!G2516</f>
        <v>971884</v>
      </c>
      <c r="E2516" s="35">
        <f>+'[2]por cuent'!H2516</f>
        <v>971884</v>
      </c>
      <c r="F2516" t="str">
        <f>+'[2]por cuent'!I2516</f>
        <v>758</v>
      </c>
    </row>
    <row r="2517" spans="1:6" x14ac:dyDescent="0.35">
      <c r="A2517" t="str">
        <f>+'[2]por cuent'!A2517</f>
        <v>ARS</v>
      </c>
      <c r="B2517" t="str">
        <f>+'[2]por cuent'!B2517</f>
        <v>758009647</v>
      </c>
      <c r="C2517" t="str">
        <f>+'[2]por cuent'!C2517</f>
        <v>Perez, Martin Sebastian</v>
      </c>
      <c r="D2517" s="35">
        <f>+'[2]por cuent'!G2517</f>
        <v>391840265</v>
      </c>
      <c r="E2517" s="35">
        <f>+'[2]por cuent'!H2517</f>
        <v>391840265</v>
      </c>
      <c r="F2517" t="str">
        <f>+'[2]por cuent'!I2517</f>
        <v>758</v>
      </c>
    </row>
    <row r="2518" spans="1:6" x14ac:dyDescent="0.35">
      <c r="A2518" t="str">
        <f>+'[2]por cuent'!A2518</f>
        <v>ARS</v>
      </c>
      <c r="B2518" t="str">
        <f>+'[2]por cuent'!B2518</f>
        <v>758009649</v>
      </c>
      <c r="C2518" t="str">
        <f>+'[2]por cuent'!C2518</f>
        <v>Bruzzese, Esteban y/o Bruzzese, Andres Nicolas y/o Bruzzese, Diego Hernan</v>
      </c>
      <c r="D2518" s="35">
        <f>+'[2]por cuent'!G2518</f>
        <v>4101124</v>
      </c>
      <c r="E2518" s="35">
        <f>+'[2]por cuent'!H2518</f>
        <v>4101124</v>
      </c>
      <c r="F2518" t="str">
        <f>+'[2]por cuent'!I2518</f>
        <v>758</v>
      </c>
    </row>
    <row r="2519" spans="1:6" x14ac:dyDescent="0.35">
      <c r="A2519" t="str">
        <f>+'[2]por cuent'!A2519</f>
        <v>ARS</v>
      </c>
      <c r="B2519" t="str">
        <f>+'[2]por cuent'!B2519</f>
        <v>758009650</v>
      </c>
      <c r="C2519" t="str">
        <f>+'[2]por cuent'!C2519</f>
        <v>El Shami Omar Alberto</v>
      </c>
      <c r="D2519" s="35">
        <f>+'[2]por cuent'!G2519</f>
        <v>13030330.4</v>
      </c>
      <c r="E2519" s="35">
        <f>+'[2]por cuent'!H2519</f>
        <v>13030330.4</v>
      </c>
      <c r="F2519" t="str">
        <f>+'[2]por cuent'!I2519</f>
        <v>758</v>
      </c>
    </row>
    <row r="2520" spans="1:6" x14ac:dyDescent="0.35">
      <c r="A2520" t="str">
        <f>+'[2]por cuent'!A2520</f>
        <v>ARS</v>
      </c>
      <c r="B2520" t="str">
        <f>+'[2]por cuent'!B2520</f>
        <v>758009651</v>
      </c>
      <c r="C2520" t="str">
        <f>+'[2]por cuent'!C2520</f>
        <v>Botto Javier Francisco</v>
      </c>
      <c r="D2520" s="35">
        <f>+'[2]por cuent'!G2520</f>
        <v>7764182</v>
      </c>
      <c r="E2520" s="35">
        <f>+'[2]por cuent'!H2520</f>
        <v>7764182</v>
      </c>
      <c r="F2520" t="str">
        <f>+'[2]por cuent'!I2520</f>
        <v>758</v>
      </c>
    </row>
    <row r="2521" spans="1:6" x14ac:dyDescent="0.35">
      <c r="A2521" t="str">
        <f>+'[2]por cuent'!A2521</f>
        <v>ARS</v>
      </c>
      <c r="B2521" t="str">
        <f>+'[2]por cuent'!B2521</f>
        <v>758009655</v>
      </c>
      <c r="C2521" t="str">
        <f>+'[2]por cuent'!C2521</f>
        <v>Cicalese Ezequiel Hernan y/o Cicalese Emanuel Fernando y/o Cicalese Sabrina Natalia</v>
      </c>
      <c r="D2521" s="35">
        <f>+'[2]por cuent'!G2521</f>
        <v>20317883</v>
      </c>
      <c r="E2521" s="35">
        <f>+'[2]por cuent'!H2521</f>
        <v>20317883</v>
      </c>
      <c r="F2521" t="str">
        <f>+'[2]por cuent'!I2521</f>
        <v>758</v>
      </c>
    </row>
    <row r="2522" spans="1:6" x14ac:dyDescent="0.35">
      <c r="A2522" t="str">
        <f>+'[2]por cuent'!A2522</f>
        <v>ARS</v>
      </c>
      <c r="B2522" t="str">
        <f>+'[2]por cuent'!B2522</f>
        <v>758009656</v>
      </c>
      <c r="C2522" t="str">
        <f>+'[2]por cuent'!C2522</f>
        <v>Marino Osvaldo Angel y/o Contarino Nelida Beatriz y/o Marino Noelia Natalia</v>
      </c>
      <c r="D2522" s="35">
        <f>+'[2]por cuent'!G2522</f>
        <v>36576699</v>
      </c>
      <c r="E2522" s="35">
        <f>+'[2]por cuent'!H2522</f>
        <v>36576699</v>
      </c>
      <c r="F2522" t="str">
        <f>+'[2]por cuent'!I2522</f>
        <v>758</v>
      </c>
    </row>
    <row r="2523" spans="1:6" x14ac:dyDescent="0.35">
      <c r="A2523" t="str">
        <f>+'[2]por cuent'!A2523</f>
        <v>ARS</v>
      </c>
      <c r="B2523" t="str">
        <f>+'[2]por cuent'!B2523</f>
        <v>758009658</v>
      </c>
      <c r="C2523" t="str">
        <f>+'[2]por cuent'!C2523</f>
        <v>Cristina Victor Pablo</v>
      </c>
      <c r="D2523" s="35">
        <f>+'[2]por cuent'!G2523</f>
        <v>20057262.5</v>
      </c>
      <c r="E2523" s="35">
        <f>+'[2]por cuent'!H2523</f>
        <v>20057262.5</v>
      </c>
      <c r="F2523" t="str">
        <f>+'[2]por cuent'!I2523</f>
        <v>758</v>
      </c>
    </row>
    <row r="2524" spans="1:6" x14ac:dyDescent="0.35">
      <c r="A2524" t="str">
        <f>+'[2]por cuent'!A2524</f>
        <v>ARS</v>
      </c>
      <c r="B2524" t="str">
        <f>+'[2]por cuent'!B2524</f>
        <v>758009665</v>
      </c>
      <c r="C2524" t="str">
        <f>+'[2]por cuent'!C2524</f>
        <v>Paz, Carlos Alberto y/o Iturrioz Marta Irene</v>
      </c>
      <c r="D2524" s="35">
        <f>+'[2]por cuent'!G2524</f>
        <v>16373821.279999999</v>
      </c>
      <c r="E2524" s="35">
        <f>+'[2]por cuent'!H2524</f>
        <v>16373821.279999999</v>
      </c>
      <c r="F2524" t="str">
        <f>+'[2]por cuent'!I2524</f>
        <v>758</v>
      </c>
    </row>
    <row r="2525" spans="1:6" x14ac:dyDescent="0.35">
      <c r="A2525" t="str">
        <f>+'[2]por cuent'!A2525</f>
        <v>ARS</v>
      </c>
      <c r="B2525" t="str">
        <f>+'[2]por cuent'!B2525</f>
        <v>758009666</v>
      </c>
      <c r="C2525" t="str">
        <f>+'[2]por cuent'!C2525</f>
        <v>MARESCA DANIEL NESTOR Y/O LAURA NELIDA LEVETTI</v>
      </c>
      <c r="D2525" s="35">
        <f>+'[2]por cuent'!G2525</f>
        <v>3649437.5</v>
      </c>
      <c r="E2525" s="35">
        <f>+'[2]por cuent'!H2525</f>
        <v>3649437.5</v>
      </c>
      <c r="F2525" t="str">
        <f>+'[2]por cuent'!I2525</f>
        <v>758</v>
      </c>
    </row>
    <row r="2526" spans="1:6" x14ac:dyDescent="0.35">
      <c r="A2526" t="str">
        <f>+'[2]por cuent'!A2526</f>
        <v>ARS</v>
      </c>
      <c r="B2526" t="str">
        <f>+'[2]por cuent'!B2526</f>
        <v>758009667</v>
      </c>
      <c r="C2526" t="str">
        <f>+'[2]por cuent'!C2526</f>
        <v>Cardozo, Ángel Agustin</v>
      </c>
      <c r="D2526" s="35">
        <f>+'[2]por cuent'!G2526</f>
        <v>7037191</v>
      </c>
      <c r="E2526" s="35">
        <f>+'[2]por cuent'!H2526</f>
        <v>7037191</v>
      </c>
      <c r="F2526" t="str">
        <f>+'[2]por cuent'!I2526</f>
        <v>758</v>
      </c>
    </row>
    <row r="2527" spans="1:6" x14ac:dyDescent="0.35">
      <c r="A2527" t="str">
        <f>+'[2]por cuent'!A2527</f>
        <v>ARS</v>
      </c>
      <c r="B2527" t="str">
        <f>+'[2]por cuent'!B2527</f>
        <v>758010303</v>
      </c>
      <c r="C2527" t="str">
        <f>+'[2]por cuent'!C2527</f>
        <v>Imperiale Martin Sebastian</v>
      </c>
      <c r="D2527" s="35">
        <f>+'[2]por cuent'!G2527</f>
        <v>3993169</v>
      </c>
      <c r="E2527" s="35">
        <f>+'[2]por cuent'!H2527</f>
        <v>3993169</v>
      </c>
      <c r="F2527" t="str">
        <f>+'[2]por cuent'!I2527</f>
        <v>758</v>
      </c>
    </row>
    <row r="2528" spans="1:6" x14ac:dyDescent="0.35">
      <c r="A2528" t="str">
        <f>+'[2]por cuent'!A2528</f>
        <v>ARS</v>
      </c>
      <c r="B2528" t="str">
        <f>+'[2]por cuent'!B2528</f>
        <v>758010314</v>
      </c>
      <c r="C2528" t="str">
        <f>+'[2]por cuent'!C2528</f>
        <v>ROMEO, LETICIA HAYDEE</v>
      </c>
      <c r="D2528" s="35">
        <f>+'[2]por cuent'!G2528</f>
        <v>1589515</v>
      </c>
      <c r="E2528" s="35">
        <f>+'[2]por cuent'!H2528</f>
        <v>1589515</v>
      </c>
      <c r="F2528" t="str">
        <f>+'[2]por cuent'!I2528</f>
        <v>758</v>
      </c>
    </row>
    <row r="2529" spans="1:6" x14ac:dyDescent="0.35">
      <c r="A2529" t="str">
        <f>+'[2]por cuent'!A2529</f>
        <v>ARS</v>
      </c>
      <c r="B2529" t="str">
        <f>+'[2]por cuent'!B2529</f>
        <v>758010318</v>
      </c>
      <c r="C2529" t="str">
        <f>+'[2]por cuent'!C2529</f>
        <v>PEREYRA, EZEQUIEL HECTOR</v>
      </c>
      <c r="D2529" s="35">
        <f>+'[2]por cuent'!G2529</f>
        <v>3436729</v>
      </c>
      <c r="E2529" s="35">
        <f>+'[2]por cuent'!H2529</f>
        <v>3436729</v>
      </c>
      <c r="F2529" t="str">
        <f>+'[2]por cuent'!I2529</f>
        <v>758</v>
      </c>
    </row>
    <row r="2530" spans="1:6" x14ac:dyDescent="0.35">
      <c r="A2530" t="str">
        <f>+'[2]por cuent'!A2530</f>
        <v>ARS</v>
      </c>
      <c r="B2530" t="str">
        <f>+'[2]por cuent'!B2530</f>
        <v>758010319</v>
      </c>
      <c r="C2530" t="str">
        <f>+'[2]por cuent'!C2530</f>
        <v>ELORTEGUI, INES MARIA</v>
      </c>
      <c r="D2530" s="35">
        <f>+'[2]por cuent'!G2530</f>
        <v>1539008</v>
      </c>
      <c r="E2530" s="35">
        <f>+'[2]por cuent'!H2530</f>
        <v>1539008</v>
      </c>
      <c r="F2530" t="str">
        <f>+'[2]por cuent'!I2530</f>
        <v>758</v>
      </c>
    </row>
    <row r="2531" spans="1:6" x14ac:dyDescent="0.35">
      <c r="A2531" t="str">
        <f>+'[2]por cuent'!A2531</f>
        <v>ARS</v>
      </c>
      <c r="B2531" t="str">
        <f>+'[2]por cuent'!B2531</f>
        <v>758010401</v>
      </c>
      <c r="C2531" t="str">
        <f>+'[2]por cuent'!C2531</f>
        <v>Ladino, Geraldine Paola</v>
      </c>
      <c r="D2531" s="35">
        <f>+'[2]por cuent'!G2531</f>
        <v>3140164.39</v>
      </c>
      <c r="E2531" s="35">
        <f>+'[2]por cuent'!H2531</f>
        <v>3140164.39</v>
      </c>
      <c r="F2531" t="str">
        <f>+'[2]por cuent'!I2531</f>
        <v>758</v>
      </c>
    </row>
    <row r="2532" spans="1:6" x14ac:dyDescent="0.35">
      <c r="A2532" t="str">
        <f>+'[2]por cuent'!A2532</f>
        <v>ARS</v>
      </c>
      <c r="B2532" t="str">
        <f>+'[2]por cuent'!B2532</f>
        <v>758010403</v>
      </c>
      <c r="C2532" t="str">
        <f>+'[2]por cuent'!C2532</f>
        <v>VANIGLIA, SUSANA CRISTINA</v>
      </c>
      <c r="D2532" s="35">
        <f>+'[2]por cuent'!G2532</f>
        <v>5882672.5999999996</v>
      </c>
      <c r="E2532" s="35">
        <f>+'[2]por cuent'!H2532</f>
        <v>5882672.5999999996</v>
      </c>
      <c r="F2532" t="str">
        <f>+'[2]por cuent'!I2532</f>
        <v>758</v>
      </c>
    </row>
    <row r="2533" spans="1:6" x14ac:dyDescent="0.35">
      <c r="A2533" t="str">
        <f>+'[2]por cuent'!A2533</f>
        <v>ARS</v>
      </c>
      <c r="B2533" t="str">
        <f>+'[2]por cuent'!B2533</f>
        <v>758010601</v>
      </c>
      <c r="C2533" t="str">
        <f>+'[2]por cuent'!C2533</f>
        <v>GARCIA, PABLO JOSE A o GARCIA SCHICKENDANTZ, PEDRO</v>
      </c>
      <c r="D2533" s="35">
        <f>+'[2]por cuent'!G2533</f>
        <v>36317842.200000003</v>
      </c>
      <c r="E2533" s="35">
        <f>+'[2]por cuent'!H2533</f>
        <v>36317842.200000003</v>
      </c>
      <c r="F2533" t="str">
        <f>+'[2]por cuent'!I2533</f>
        <v>758</v>
      </c>
    </row>
    <row r="2534" spans="1:6" x14ac:dyDescent="0.35">
      <c r="A2534" t="str">
        <f>+'[2]por cuent'!A2534</f>
        <v>ARS</v>
      </c>
      <c r="B2534" t="str">
        <f>+'[2]por cuent'!B2534</f>
        <v>758011002</v>
      </c>
      <c r="C2534" t="str">
        <f>+'[2]por cuent'!C2534</f>
        <v>Orlando Brennan Tomas Manuel</v>
      </c>
      <c r="D2534" s="35">
        <f>+'[2]por cuent'!G2534</f>
        <v>49818.7</v>
      </c>
      <c r="E2534" s="35">
        <f>+'[2]por cuent'!H2534</f>
        <v>49818.7</v>
      </c>
      <c r="F2534" t="str">
        <f>+'[2]por cuent'!I2534</f>
        <v>758</v>
      </c>
    </row>
    <row r="2535" spans="1:6" x14ac:dyDescent="0.35">
      <c r="A2535" t="str">
        <f>+'[2]por cuent'!A2535</f>
        <v>ARS</v>
      </c>
      <c r="B2535" t="str">
        <f>+'[2]por cuent'!B2535</f>
        <v>758011003</v>
      </c>
      <c r="C2535" t="str">
        <f>+'[2]por cuent'!C2535</f>
        <v>Cavallotti Lucia</v>
      </c>
      <c r="D2535" s="35">
        <f>+'[2]por cuent'!G2535</f>
        <v>176637</v>
      </c>
      <c r="E2535" s="35">
        <f>+'[2]por cuent'!H2535</f>
        <v>176637</v>
      </c>
      <c r="F2535" t="str">
        <f>+'[2]por cuent'!I2535</f>
        <v>758</v>
      </c>
    </row>
    <row r="2536" spans="1:6" x14ac:dyDescent="0.35">
      <c r="A2536" t="str">
        <f>+'[2]por cuent'!A2536</f>
        <v>ARS</v>
      </c>
      <c r="B2536" t="str">
        <f>+'[2]por cuent'!B2536</f>
        <v>758011004</v>
      </c>
      <c r="C2536" t="str">
        <f>+'[2]por cuent'!C2536</f>
        <v>Alfa Cooperativa de Crédito, Vivienda y Consumo Limitada</v>
      </c>
      <c r="D2536" s="35">
        <f>+'[2]por cuent'!G2536</f>
        <v>633349689.38</v>
      </c>
      <c r="E2536" s="35">
        <f>+'[2]por cuent'!H2536</f>
        <v>633349689.38</v>
      </c>
      <c r="F2536" t="str">
        <f>+'[2]por cuent'!I2536</f>
        <v>758</v>
      </c>
    </row>
    <row r="2537" spans="1:6" x14ac:dyDescent="0.35">
      <c r="A2537" t="str">
        <f>+'[2]por cuent'!A2537</f>
        <v>ARS</v>
      </c>
      <c r="B2537" t="str">
        <f>+'[2]por cuent'!B2537</f>
        <v>758030006</v>
      </c>
      <c r="C2537" t="str">
        <f>+'[2]por cuent'!C2537</f>
        <v>ROMERO, JOSÉ ALBERTO Y/O  HUERTA, MARIA ELENA</v>
      </c>
      <c r="D2537" s="35">
        <f>+'[2]por cuent'!G2537</f>
        <v>128404305</v>
      </c>
      <c r="E2537" s="35">
        <f>+'[2]por cuent'!H2537</f>
        <v>128404305</v>
      </c>
      <c r="F2537" t="str">
        <f>+'[2]por cuent'!I2537</f>
        <v>758</v>
      </c>
    </row>
    <row r="2538" spans="1:6" x14ac:dyDescent="0.35">
      <c r="A2538" t="str">
        <f>+'[2]por cuent'!A2538</f>
        <v>ARS</v>
      </c>
      <c r="B2538" t="str">
        <f>+'[2]por cuent'!B2538</f>
        <v>761402830</v>
      </c>
      <c r="C2538" t="str">
        <f>+'[2]por cuent'!C2538</f>
        <v>SRAIER ANDREA EDITH</v>
      </c>
      <c r="D2538" s="35">
        <f>+'[2]por cuent'!G2538</f>
        <v>97801.5</v>
      </c>
      <c r="E2538" s="35">
        <f>+'[2]por cuent'!H2538</f>
        <v>97801.5</v>
      </c>
      <c r="F2538" t="str">
        <f>+'[2]por cuent'!I2538</f>
        <v>761</v>
      </c>
    </row>
    <row r="2539" spans="1:6" x14ac:dyDescent="0.35">
      <c r="A2539" t="str">
        <f>+'[2]por cuent'!A2539</f>
        <v>ARS</v>
      </c>
      <c r="B2539" t="str">
        <f>+'[2]por cuent'!B2539</f>
        <v>765000101</v>
      </c>
      <c r="C2539" t="str">
        <f>+'[2]por cuent'!C2539</f>
        <v>Hoss SA</v>
      </c>
      <c r="D2539" s="35">
        <f>+'[2]por cuent'!G2539</f>
        <v>86200305.25</v>
      </c>
      <c r="E2539" s="35">
        <f>+'[2]por cuent'!H2539</f>
        <v>86200305.25</v>
      </c>
      <c r="F2539" t="str">
        <f>+'[2]por cuent'!I2539</f>
        <v>765</v>
      </c>
    </row>
    <row r="2540" spans="1:6" x14ac:dyDescent="0.35">
      <c r="A2540" t="str">
        <f>+'[2]por cuent'!A2540</f>
        <v>ARS</v>
      </c>
      <c r="B2540" t="str">
        <f>+'[2]por cuent'!B2540</f>
        <v>765000102</v>
      </c>
      <c r="C2540" t="str">
        <f>+'[2]por cuent'!C2540</f>
        <v>Ignacio Andres Rodriguez</v>
      </c>
      <c r="D2540" s="35">
        <f>+'[2]por cuent'!G2540</f>
        <v>216294568.19999999</v>
      </c>
      <c r="E2540" s="35">
        <f>+'[2]por cuent'!H2540</f>
        <v>216294568.19999999</v>
      </c>
      <c r="F2540" t="str">
        <f>+'[2]por cuent'!I2540</f>
        <v>765</v>
      </c>
    </row>
    <row r="2541" spans="1:6" x14ac:dyDescent="0.35">
      <c r="A2541" t="str">
        <f>+'[2]por cuent'!A2541</f>
        <v>ARS</v>
      </c>
      <c r="B2541" t="str">
        <f>+'[2]por cuent'!B2541</f>
        <v>765000105</v>
      </c>
      <c r="C2541" t="str">
        <f>+'[2]por cuent'!C2541</f>
        <v>Rodriguez, Ayelen Ana Maria</v>
      </c>
      <c r="D2541" s="35">
        <f>+'[2]por cuent'!G2541</f>
        <v>15310561.890000001</v>
      </c>
      <c r="E2541" s="35">
        <f>+'[2]por cuent'!H2541</f>
        <v>15310561.890000001</v>
      </c>
      <c r="F2541" t="str">
        <f>+'[2]por cuent'!I2541</f>
        <v>765</v>
      </c>
    </row>
    <row r="2542" spans="1:6" x14ac:dyDescent="0.35">
      <c r="A2542" t="str">
        <f>+'[2]por cuent'!A2542</f>
        <v>ARS</v>
      </c>
      <c r="B2542" t="str">
        <f>+'[2]por cuent'!B2542</f>
        <v>765000108</v>
      </c>
      <c r="C2542" t="str">
        <f>+'[2]por cuent'!C2542</f>
        <v>Caballero, Leandro Nicolas</v>
      </c>
      <c r="D2542" s="35">
        <f>+'[2]por cuent'!G2542</f>
        <v>124385730.55</v>
      </c>
      <c r="E2542" s="35">
        <f>+'[2]por cuent'!H2542</f>
        <v>124385730.55</v>
      </c>
      <c r="F2542" t="str">
        <f>+'[2]por cuent'!I2542</f>
        <v>765</v>
      </c>
    </row>
    <row r="2543" spans="1:6" x14ac:dyDescent="0.35">
      <c r="A2543" t="str">
        <f>+'[2]por cuent'!A2543</f>
        <v>ARS</v>
      </c>
      <c r="B2543" t="str">
        <f>+'[2]por cuent'!B2543</f>
        <v>765000109</v>
      </c>
      <c r="C2543" t="str">
        <f>+'[2]por cuent'!C2543</f>
        <v>Juncos, Lucila Maria</v>
      </c>
      <c r="D2543" s="35">
        <f>+'[2]por cuent'!G2543</f>
        <v>60062287.390000001</v>
      </c>
      <c r="E2543" s="35">
        <f>+'[2]por cuent'!H2543</f>
        <v>60062287.390000001</v>
      </c>
      <c r="F2543" t="str">
        <f>+'[2]por cuent'!I2543</f>
        <v>765</v>
      </c>
    </row>
    <row r="2544" spans="1:6" x14ac:dyDescent="0.35">
      <c r="A2544" t="str">
        <f>+'[2]por cuent'!A2544</f>
        <v>ARS</v>
      </c>
      <c r="B2544" t="str">
        <f>+'[2]por cuent'!B2544</f>
        <v>765000111</v>
      </c>
      <c r="C2544" t="str">
        <f>+'[2]por cuent'!C2544</f>
        <v>Radulovich, Marcos Daniel</v>
      </c>
      <c r="D2544" s="35">
        <f>+'[2]por cuent'!G2544</f>
        <v>5375788.8300000001</v>
      </c>
      <c r="E2544" s="35">
        <f>+'[2]por cuent'!H2544</f>
        <v>5375788.8300000001</v>
      </c>
      <c r="F2544" t="str">
        <f>+'[2]por cuent'!I2544</f>
        <v>765</v>
      </c>
    </row>
    <row r="2545" spans="1:6" x14ac:dyDescent="0.35">
      <c r="A2545" t="str">
        <f>+'[2]por cuent'!A2545</f>
        <v>ARS</v>
      </c>
      <c r="B2545" t="str">
        <f>+'[2]por cuent'!B2545</f>
        <v>765000112</v>
      </c>
      <c r="C2545" t="str">
        <f>+'[2]por cuent'!C2545</f>
        <v>Menendez, Patricia Graciela</v>
      </c>
      <c r="D2545" s="35">
        <f>+'[2]por cuent'!G2545</f>
        <v>21981730.579999998</v>
      </c>
      <c r="E2545" s="35">
        <f>+'[2]por cuent'!H2545</f>
        <v>21981730.579999998</v>
      </c>
      <c r="F2545" t="str">
        <f>+'[2]por cuent'!I2545</f>
        <v>765</v>
      </c>
    </row>
    <row r="2546" spans="1:6" x14ac:dyDescent="0.35">
      <c r="A2546" t="str">
        <f>+'[2]por cuent'!A2546</f>
        <v>ARS</v>
      </c>
      <c r="B2546" t="str">
        <f>+'[2]por cuent'!B2546</f>
        <v>765000113</v>
      </c>
      <c r="C2546" t="str">
        <f>+'[2]por cuent'!C2546</f>
        <v>Matias Marinozzi</v>
      </c>
      <c r="D2546" s="35">
        <f>+'[2]por cuent'!G2546</f>
        <v>4380984.22</v>
      </c>
      <c r="E2546" s="35">
        <f>+'[2]por cuent'!H2546</f>
        <v>4380984.22</v>
      </c>
      <c r="F2546" t="str">
        <f>+'[2]por cuent'!I2546</f>
        <v>765</v>
      </c>
    </row>
    <row r="2547" spans="1:6" x14ac:dyDescent="0.35">
      <c r="A2547" t="str">
        <f>+'[2]por cuent'!A2547</f>
        <v>ARS</v>
      </c>
      <c r="B2547" t="str">
        <f>+'[2]por cuent'!B2547</f>
        <v>765000114</v>
      </c>
      <c r="C2547" t="str">
        <f>+'[2]por cuent'!C2547</f>
        <v>Ariel Bozikovich</v>
      </c>
      <c r="D2547" s="35">
        <f>+'[2]por cuent'!G2547</f>
        <v>67455800.5</v>
      </c>
      <c r="E2547" s="35">
        <f>+'[2]por cuent'!H2547</f>
        <v>67455800.5</v>
      </c>
      <c r="F2547" t="str">
        <f>+'[2]por cuent'!I2547</f>
        <v>765</v>
      </c>
    </row>
    <row r="2548" spans="1:6" x14ac:dyDescent="0.35">
      <c r="A2548" t="str">
        <f>+'[2]por cuent'!A2548</f>
        <v>ARS</v>
      </c>
      <c r="B2548" t="str">
        <f>+'[2]por cuent'!B2548</f>
        <v>765000119</v>
      </c>
      <c r="C2548" t="str">
        <f>+'[2]por cuent'!C2548</f>
        <v>Gianluca Torrazza</v>
      </c>
      <c r="D2548" s="35">
        <f>+'[2]por cuent'!G2548</f>
        <v>18030640.52</v>
      </c>
      <c r="E2548" s="35">
        <f>+'[2]por cuent'!H2548</f>
        <v>18030640.52</v>
      </c>
      <c r="F2548" t="str">
        <f>+'[2]por cuent'!I2548</f>
        <v>765</v>
      </c>
    </row>
    <row r="2549" spans="1:6" x14ac:dyDescent="0.35">
      <c r="A2549" t="str">
        <f>+'[2]por cuent'!A2549</f>
        <v>ARS</v>
      </c>
      <c r="B2549" t="str">
        <f>+'[2]por cuent'!B2549</f>
        <v>765000122</v>
      </c>
      <c r="C2549" t="str">
        <f>+'[2]por cuent'!C2549</f>
        <v>Brian Ariel Bertelli</v>
      </c>
      <c r="D2549" s="35">
        <f>+'[2]por cuent'!G2549</f>
        <v>25358339.800000001</v>
      </c>
      <c r="E2549" s="35">
        <f>+'[2]por cuent'!H2549</f>
        <v>25358339.800000001</v>
      </c>
      <c r="F2549" t="str">
        <f>+'[2]por cuent'!I2549</f>
        <v>765</v>
      </c>
    </row>
    <row r="2550" spans="1:6" x14ac:dyDescent="0.35">
      <c r="A2550" t="str">
        <f>+'[2]por cuent'!A2550</f>
        <v>ARS</v>
      </c>
      <c r="B2550" t="str">
        <f>+'[2]por cuent'!B2550</f>
        <v>765000128</v>
      </c>
      <c r="C2550" t="str">
        <f>+'[2]por cuent'!C2550</f>
        <v>Instituto de quemados y cirugía reparadora S.R.L.</v>
      </c>
      <c r="D2550" s="35">
        <f>+'[2]por cuent'!G2550</f>
        <v>1187027.95</v>
      </c>
      <c r="E2550" s="35">
        <f>+'[2]por cuent'!H2550</f>
        <v>1187027.95</v>
      </c>
      <c r="F2550" t="str">
        <f>+'[2]por cuent'!I2550</f>
        <v>765</v>
      </c>
    </row>
    <row r="2551" spans="1:6" x14ac:dyDescent="0.35">
      <c r="A2551" t="str">
        <f>+'[2]por cuent'!A2551</f>
        <v>ARS</v>
      </c>
      <c r="B2551" t="str">
        <f>+'[2]por cuent'!B2551</f>
        <v>765000134</v>
      </c>
      <c r="C2551" t="str">
        <f>+'[2]por cuent'!C2551</f>
        <v>TORTI HERMANOS S.R.L.</v>
      </c>
      <c r="D2551" s="35">
        <f>+'[2]por cuent'!G2551</f>
        <v>86643889.549999997</v>
      </c>
      <c r="E2551" s="35">
        <f>+'[2]por cuent'!H2551</f>
        <v>86643889.549999997</v>
      </c>
      <c r="F2551" t="str">
        <f>+'[2]por cuent'!I2551</f>
        <v>765</v>
      </c>
    </row>
    <row r="2552" spans="1:6" x14ac:dyDescent="0.35">
      <c r="A2552" t="str">
        <f>+'[2]por cuent'!A2552</f>
        <v>ARS</v>
      </c>
      <c r="B2552" t="str">
        <f>+'[2]por cuent'!B2552</f>
        <v>765000135</v>
      </c>
      <c r="C2552" t="str">
        <f>+'[2]por cuent'!C2552</f>
        <v>Monteverde, Horacio</v>
      </c>
      <c r="D2552" s="35">
        <f>+'[2]por cuent'!G2552</f>
        <v>1111716.44</v>
      </c>
      <c r="E2552" s="35">
        <f>+'[2]por cuent'!H2552</f>
        <v>1111716.44</v>
      </c>
      <c r="F2552" t="str">
        <f>+'[2]por cuent'!I2552</f>
        <v>765</v>
      </c>
    </row>
    <row r="2553" spans="1:6" x14ac:dyDescent="0.35">
      <c r="A2553" t="str">
        <f>+'[2]por cuent'!A2553</f>
        <v>ARS</v>
      </c>
      <c r="B2553" t="str">
        <f>+'[2]por cuent'!B2553</f>
        <v>765000141</v>
      </c>
      <c r="C2553" t="str">
        <f>+'[2]por cuent'!C2553</f>
        <v>Tesarik, Francisco René</v>
      </c>
      <c r="D2553" s="35">
        <f>+'[2]por cuent'!G2553</f>
        <v>6660730.1600000001</v>
      </c>
      <c r="E2553" s="35">
        <f>+'[2]por cuent'!H2553</f>
        <v>6660730.1600000001</v>
      </c>
      <c r="F2553" t="str">
        <f>+'[2]por cuent'!I2553</f>
        <v>765</v>
      </c>
    </row>
    <row r="2554" spans="1:6" x14ac:dyDescent="0.35">
      <c r="A2554" t="str">
        <f>+'[2]por cuent'!A2554</f>
        <v>ARS</v>
      </c>
      <c r="B2554" t="str">
        <f>+'[2]por cuent'!B2554</f>
        <v>765000144</v>
      </c>
      <c r="C2554" t="str">
        <f>+'[2]por cuent'!C2554</f>
        <v xml:space="preserve"> Luciano Petrini  Ana Dalila Pigni</v>
      </c>
      <c r="D2554" s="35">
        <f>+'[2]por cuent'!G2554</f>
        <v>38792866.490000002</v>
      </c>
      <c r="E2554" s="35">
        <f>+'[2]por cuent'!H2554</f>
        <v>38792866.490000002</v>
      </c>
      <c r="F2554" t="str">
        <f>+'[2]por cuent'!I2554</f>
        <v>765</v>
      </c>
    </row>
    <row r="2555" spans="1:6" x14ac:dyDescent="0.35">
      <c r="A2555" t="str">
        <f>+'[2]por cuent'!A2555</f>
        <v>ARS</v>
      </c>
      <c r="B2555" t="str">
        <f>+'[2]por cuent'!B2555</f>
        <v>765000153</v>
      </c>
      <c r="C2555" t="str">
        <f>+'[2]por cuent'!C2555</f>
        <v>Juan Pablo Martinez</v>
      </c>
      <c r="D2555" s="35">
        <f>+'[2]por cuent'!G2555</f>
        <v>14221312.92</v>
      </c>
      <c r="E2555" s="35">
        <f>+'[2]por cuent'!H2555</f>
        <v>14221312.92</v>
      </c>
      <c r="F2555" t="str">
        <f>+'[2]por cuent'!I2555</f>
        <v>765</v>
      </c>
    </row>
    <row r="2556" spans="1:6" x14ac:dyDescent="0.35">
      <c r="A2556" t="str">
        <f>+'[2]por cuent'!A2556</f>
        <v>ARS</v>
      </c>
      <c r="B2556" t="str">
        <f>+'[2]por cuent'!B2556</f>
        <v>765000156</v>
      </c>
      <c r="C2556" t="str">
        <f>+'[2]por cuent'!C2556</f>
        <v>María Pamela Tonelli</v>
      </c>
      <c r="D2556" s="35">
        <f>+'[2]por cuent'!G2556</f>
        <v>11467533.27</v>
      </c>
      <c r="E2556" s="35">
        <f>+'[2]por cuent'!H2556</f>
        <v>11467533.27</v>
      </c>
      <c r="F2556" t="str">
        <f>+'[2]por cuent'!I2556</f>
        <v>765</v>
      </c>
    </row>
    <row r="2557" spans="1:6" x14ac:dyDescent="0.35">
      <c r="A2557" t="str">
        <f>+'[2]por cuent'!A2557</f>
        <v>ARS</v>
      </c>
      <c r="B2557" t="str">
        <f>+'[2]por cuent'!B2557</f>
        <v>765000165</v>
      </c>
      <c r="C2557" t="str">
        <f>+'[2]por cuent'!C2557</f>
        <v>Celsa Beatriz Roldan</v>
      </c>
      <c r="D2557" s="35">
        <f>+'[2]por cuent'!G2557</f>
        <v>1470516.16</v>
      </c>
      <c r="E2557" s="35">
        <f>+'[2]por cuent'!H2557</f>
        <v>1470516.16</v>
      </c>
      <c r="F2557" t="str">
        <f>+'[2]por cuent'!I2557</f>
        <v>765</v>
      </c>
    </row>
    <row r="2558" spans="1:6" x14ac:dyDescent="0.35">
      <c r="A2558" t="str">
        <f>+'[2]por cuent'!A2558</f>
        <v>ARS</v>
      </c>
      <c r="B2558" t="str">
        <f>+'[2]por cuent'!B2558</f>
        <v>765000170</v>
      </c>
      <c r="C2558" t="str">
        <f>+'[2]por cuent'!C2558</f>
        <v>ROMA MANAGEMENT S.R.L.</v>
      </c>
      <c r="D2558" s="35">
        <f>+'[2]por cuent'!G2558</f>
        <v>52824721.200000003</v>
      </c>
      <c r="E2558" s="35">
        <f>+'[2]por cuent'!H2558</f>
        <v>52824721.200000003</v>
      </c>
      <c r="F2558" t="str">
        <f>+'[2]por cuent'!I2558</f>
        <v>765</v>
      </c>
    </row>
    <row r="2559" spans="1:6" x14ac:dyDescent="0.35">
      <c r="A2559" t="str">
        <f>+'[2]por cuent'!A2559</f>
        <v>ARS</v>
      </c>
      <c r="B2559" t="str">
        <f>+'[2]por cuent'!B2559</f>
        <v>765000171</v>
      </c>
      <c r="C2559" t="str">
        <f>+'[2]por cuent'!C2559</f>
        <v>FIDEICOMISO DE ADMINISTRACIÓN Y DESARROLLO INMOBILIARIO TIERRA DE AUTORES</v>
      </c>
      <c r="D2559" s="35">
        <f>+'[2]por cuent'!G2559</f>
        <v>10110175</v>
      </c>
      <c r="E2559" s="35">
        <f>+'[2]por cuent'!H2559</f>
        <v>10110175</v>
      </c>
      <c r="F2559" t="str">
        <f>+'[2]por cuent'!I2559</f>
        <v>765</v>
      </c>
    </row>
    <row r="2560" spans="1:6" x14ac:dyDescent="0.35">
      <c r="A2560" t="str">
        <f>+'[2]por cuent'!A2560</f>
        <v>ARS</v>
      </c>
      <c r="B2560" t="str">
        <f>+'[2]por cuent'!B2560</f>
        <v>765000174</v>
      </c>
      <c r="C2560" t="str">
        <f>+'[2]por cuent'!C2560</f>
        <v>FIDEICOMISO COMUNIDAD EVOLUTIVA PUEBLO ESTHER</v>
      </c>
      <c r="D2560" s="35">
        <f>+'[2]por cuent'!G2560</f>
        <v>6328984.6100000003</v>
      </c>
      <c r="E2560" s="35">
        <f>+'[2]por cuent'!H2560</f>
        <v>6328984.6100000003</v>
      </c>
      <c r="F2560" t="str">
        <f>+'[2]por cuent'!I2560</f>
        <v>765</v>
      </c>
    </row>
    <row r="2561" spans="1:6" x14ac:dyDescent="0.35">
      <c r="A2561" t="str">
        <f>+'[2]por cuent'!A2561</f>
        <v>ARS</v>
      </c>
      <c r="B2561" t="str">
        <f>+'[2]por cuent'!B2561</f>
        <v>765000175</v>
      </c>
      <c r="C2561" t="str">
        <f>+'[2]por cuent'!C2561</f>
        <v>FIDEICOMISO DE ADM Y DES INMB BARRIO ABIERTO ORIGENES</v>
      </c>
      <c r="D2561" s="35">
        <f>+'[2]por cuent'!G2561</f>
        <v>25273040.350000001</v>
      </c>
      <c r="E2561" s="35">
        <f>+'[2]por cuent'!H2561</f>
        <v>25273040.350000001</v>
      </c>
      <c r="F2561" t="str">
        <f>+'[2]por cuent'!I2561</f>
        <v>765</v>
      </c>
    </row>
    <row r="2562" spans="1:6" x14ac:dyDescent="0.35">
      <c r="A2562" t="str">
        <f>+'[2]por cuent'!A2562</f>
        <v>ARS</v>
      </c>
      <c r="B2562" t="str">
        <f>+'[2]por cuent'!B2562</f>
        <v>765000181</v>
      </c>
      <c r="C2562" t="str">
        <f>+'[2]por cuent'!C2562</f>
        <v>Rene Osvaldo Ramirez</v>
      </c>
      <c r="D2562" s="35">
        <f>+'[2]por cuent'!G2562</f>
        <v>637821.37</v>
      </c>
      <c r="E2562" s="35">
        <f>+'[2]por cuent'!H2562</f>
        <v>637821.37</v>
      </c>
      <c r="F2562" t="str">
        <f>+'[2]por cuent'!I2562</f>
        <v>765</v>
      </c>
    </row>
    <row r="2563" spans="1:6" x14ac:dyDescent="0.35">
      <c r="A2563" t="str">
        <f>+'[2]por cuent'!A2563</f>
        <v>ARS</v>
      </c>
      <c r="B2563" t="str">
        <f>+'[2]por cuent'!B2563</f>
        <v>765000184</v>
      </c>
      <c r="C2563" t="str">
        <f>+'[2]por cuent'!C2563</f>
        <v>EL NARANJO II FIDEICOMISO</v>
      </c>
      <c r="D2563" s="35">
        <f>+'[2]por cuent'!G2563</f>
        <v>108321393.2</v>
      </c>
      <c r="E2563" s="35">
        <f>+'[2]por cuent'!H2563</f>
        <v>108321393.2</v>
      </c>
      <c r="F2563" t="str">
        <f>+'[2]por cuent'!I2563</f>
        <v>765</v>
      </c>
    </row>
    <row r="2564" spans="1:6" x14ac:dyDescent="0.35">
      <c r="A2564" t="str">
        <f>+'[2]por cuent'!A2564</f>
        <v>ARS</v>
      </c>
      <c r="B2564" t="str">
        <f>+'[2]por cuent'!B2564</f>
        <v>765000186</v>
      </c>
      <c r="C2564" t="str">
        <f>+'[2]por cuent'!C2564</f>
        <v>Suarez, Sixto Axel</v>
      </c>
      <c r="D2564" s="35">
        <f>+'[2]por cuent'!G2564</f>
        <v>5357457.26</v>
      </c>
      <c r="E2564" s="35">
        <f>+'[2]por cuent'!H2564</f>
        <v>5357457.26</v>
      </c>
      <c r="F2564" t="str">
        <f>+'[2]por cuent'!I2564</f>
        <v>765</v>
      </c>
    </row>
    <row r="2565" spans="1:6" x14ac:dyDescent="0.35">
      <c r="A2565" t="str">
        <f>+'[2]por cuent'!A2565</f>
        <v>ARS</v>
      </c>
      <c r="B2565" t="str">
        <f>+'[2]por cuent'!B2565</f>
        <v>765000188</v>
      </c>
      <c r="C2565" t="str">
        <f>+'[2]por cuent'!C2565</f>
        <v>ESTABLECIMIENTO DON AVELINO SRL</v>
      </c>
      <c r="D2565" s="35">
        <f>+'[2]por cuent'!G2565</f>
        <v>590737.35</v>
      </c>
      <c r="E2565" s="35">
        <f>+'[2]por cuent'!H2565</f>
        <v>590737.35</v>
      </c>
      <c r="F2565" t="str">
        <f>+'[2]por cuent'!I2565</f>
        <v>765</v>
      </c>
    </row>
    <row r="2566" spans="1:6" x14ac:dyDescent="0.35">
      <c r="A2566" t="str">
        <f>+'[2]por cuent'!A2566</f>
        <v>ARS</v>
      </c>
      <c r="B2566" t="str">
        <f>+'[2]por cuent'!B2566</f>
        <v>765000192</v>
      </c>
      <c r="C2566" t="str">
        <f>+'[2]por cuent'!C2566</f>
        <v>Osia, Facundo Javier</v>
      </c>
      <c r="D2566" s="35">
        <f>+'[2]por cuent'!G2566</f>
        <v>302862829.41000003</v>
      </c>
      <c r="E2566" s="35">
        <f>+'[2]por cuent'!H2566</f>
        <v>302862829.41000003</v>
      </c>
      <c r="F2566" t="str">
        <f>+'[2]por cuent'!I2566</f>
        <v>765</v>
      </c>
    </row>
    <row r="2567" spans="1:6" x14ac:dyDescent="0.35">
      <c r="A2567" t="str">
        <f>+'[2]por cuent'!A2567</f>
        <v>ARS</v>
      </c>
      <c r="B2567" t="str">
        <f>+'[2]por cuent'!B2567</f>
        <v>765000201</v>
      </c>
      <c r="C2567" t="str">
        <f>+'[2]por cuent'!C2567</f>
        <v>Helguera, María Celeste</v>
      </c>
      <c r="D2567" s="35">
        <f>+'[2]por cuent'!G2567</f>
        <v>6348191.5</v>
      </c>
      <c r="E2567" s="35">
        <f>+'[2]por cuent'!H2567</f>
        <v>6348191.5</v>
      </c>
      <c r="F2567" t="str">
        <f>+'[2]por cuent'!I2567</f>
        <v>765</v>
      </c>
    </row>
    <row r="2568" spans="1:6" x14ac:dyDescent="0.35">
      <c r="A2568" t="str">
        <f>+'[2]por cuent'!A2568</f>
        <v>ARS</v>
      </c>
      <c r="B2568" t="str">
        <f>+'[2]por cuent'!B2568</f>
        <v>765000203</v>
      </c>
      <c r="C2568" t="str">
        <f>+'[2]por cuent'!C2568</f>
        <v>Santilli, Jorge Ignacio</v>
      </c>
      <c r="D2568" s="35">
        <f>+'[2]por cuent'!G2568</f>
        <v>6365384.7800000003</v>
      </c>
      <c r="E2568" s="35">
        <f>+'[2]por cuent'!H2568</f>
        <v>6365384.7800000003</v>
      </c>
      <c r="F2568" t="str">
        <f>+'[2]por cuent'!I2568</f>
        <v>765</v>
      </c>
    </row>
    <row r="2569" spans="1:6" x14ac:dyDescent="0.35">
      <c r="A2569" t="str">
        <f>+'[2]por cuent'!A2569</f>
        <v>ARS</v>
      </c>
      <c r="B2569" t="str">
        <f>+'[2]por cuent'!B2569</f>
        <v>765000204</v>
      </c>
      <c r="C2569" t="str">
        <f>+'[2]por cuent'!C2569</f>
        <v>Festa, Matías Jesús</v>
      </c>
      <c r="D2569" s="35">
        <f>+'[2]por cuent'!G2569</f>
        <v>561242.61</v>
      </c>
      <c r="E2569" s="35">
        <f>+'[2]por cuent'!H2569</f>
        <v>561242.61</v>
      </c>
      <c r="F2569" t="str">
        <f>+'[2]por cuent'!I2569</f>
        <v>765</v>
      </c>
    </row>
    <row r="2570" spans="1:6" x14ac:dyDescent="0.35">
      <c r="A2570" t="str">
        <f>+'[2]por cuent'!A2570</f>
        <v>ARS</v>
      </c>
      <c r="B2570" t="str">
        <f>+'[2]por cuent'!B2570</f>
        <v>765000209</v>
      </c>
      <c r="C2570" t="str">
        <f>+'[2]por cuent'!C2570</f>
        <v>Trivisonno, Marcela Alejandra</v>
      </c>
      <c r="D2570" s="35">
        <f>+'[2]por cuent'!G2570</f>
        <v>39060877.25</v>
      </c>
      <c r="E2570" s="35">
        <f>+'[2]por cuent'!H2570</f>
        <v>39060877.25</v>
      </c>
      <c r="F2570" t="str">
        <f>+'[2]por cuent'!I2570</f>
        <v>765</v>
      </c>
    </row>
    <row r="2571" spans="1:6" x14ac:dyDescent="0.35">
      <c r="A2571" t="str">
        <f>+'[2]por cuent'!A2571</f>
        <v>ARS</v>
      </c>
      <c r="B2571" t="str">
        <f>+'[2]por cuent'!B2571</f>
        <v>765000210</v>
      </c>
      <c r="C2571" t="str">
        <f>+'[2]por cuent'!C2571</f>
        <v>Culasso, Ariel Carlos</v>
      </c>
      <c r="D2571" s="35">
        <f>+'[2]por cuent'!G2571</f>
        <v>127691372.95</v>
      </c>
      <c r="E2571" s="35">
        <f>+'[2]por cuent'!H2571</f>
        <v>127691372.95</v>
      </c>
      <c r="F2571" t="str">
        <f>+'[2]por cuent'!I2571</f>
        <v>765</v>
      </c>
    </row>
    <row r="2572" spans="1:6" x14ac:dyDescent="0.35">
      <c r="A2572" t="str">
        <f>+'[2]por cuent'!A2572</f>
        <v>ARS</v>
      </c>
      <c r="B2572" t="str">
        <f>+'[2]por cuent'!B2572</f>
        <v>765000214</v>
      </c>
      <c r="C2572" t="str">
        <f>+'[2]por cuent'!C2572</f>
        <v>Leon, Daniel</v>
      </c>
      <c r="D2572" s="35">
        <f>+'[2]por cuent'!G2572</f>
        <v>1160368.2</v>
      </c>
      <c r="E2572" s="35">
        <f>+'[2]por cuent'!H2572</f>
        <v>1160368.2</v>
      </c>
      <c r="F2572" t="str">
        <f>+'[2]por cuent'!I2572</f>
        <v>765</v>
      </c>
    </row>
    <row r="2573" spans="1:6" x14ac:dyDescent="0.35">
      <c r="A2573" t="str">
        <f>+'[2]por cuent'!A2573</f>
        <v>ARS</v>
      </c>
      <c r="B2573" t="str">
        <f>+'[2]por cuent'!B2573</f>
        <v>765000215</v>
      </c>
      <c r="C2573" t="str">
        <f>+'[2]por cuent'!C2573</f>
        <v>Lepore, Livio Oscar</v>
      </c>
      <c r="D2573" s="35">
        <f>+'[2]por cuent'!G2573</f>
        <v>69056064.5</v>
      </c>
      <c r="E2573" s="35">
        <f>+'[2]por cuent'!H2573</f>
        <v>69056064.5</v>
      </c>
      <c r="F2573" t="str">
        <f>+'[2]por cuent'!I2573</f>
        <v>765</v>
      </c>
    </row>
    <row r="2574" spans="1:6" x14ac:dyDescent="0.35">
      <c r="A2574" t="str">
        <f>+'[2]por cuent'!A2574</f>
        <v>ARS</v>
      </c>
      <c r="B2574" t="str">
        <f>+'[2]por cuent'!B2574</f>
        <v>765000217</v>
      </c>
      <c r="C2574" t="str">
        <f>+'[2]por cuent'!C2574</f>
        <v>Manasseri, Hernán Gustavo</v>
      </c>
      <c r="D2574" s="35">
        <f>+'[2]por cuent'!G2574</f>
        <v>187027128.41999999</v>
      </c>
      <c r="E2574" s="35">
        <f>+'[2]por cuent'!H2574</f>
        <v>187027128.41999999</v>
      </c>
      <c r="F2574" t="str">
        <f>+'[2]por cuent'!I2574</f>
        <v>765</v>
      </c>
    </row>
    <row r="2575" spans="1:6" x14ac:dyDescent="0.35">
      <c r="A2575" t="str">
        <f>+'[2]por cuent'!A2575</f>
        <v>ARS</v>
      </c>
      <c r="B2575" t="str">
        <f>+'[2]por cuent'!B2575</f>
        <v>765000218</v>
      </c>
      <c r="C2575" t="str">
        <f>+'[2]por cuent'!C2575</f>
        <v>Cingolani, Adrián Alberto</v>
      </c>
      <c r="D2575" s="35">
        <f>+'[2]por cuent'!G2575</f>
        <v>57780433.200000003</v>
      </c>
      <c r="E2575" s="35">
        <f>+'[2]por cuent'!H2575</f>
        <v>57780433.200000003</v>
      </c>
      <c r="F2575" t="str">
        <f>+'[2]por cuent'!I2575</f>
        <v>765</v>
      </c>
    </row>
    <row r="2576" spans="1:6" x14ac:dyDescent="0.35">
      <c r="A2576" t="str">
        <f>+'[2]por cuent'!A2576</f>
        <v>ARS</v>
      </c>
      <c r="B2576" t="str">
        <f>+'[2]por cuent'!B2576</f>
        <v>765000224</v>
      </c>
      <c r="C2576" t="str">
        <f>+'[2]por cuent'!C2576</f>
        <v>Moretti, Marcos Mario</v>
      </c>
      <c r="D2576" s="35">
        <f>+'[2]por cuent'!G2576</f>
        <v>399023.01</v>
      </c>
      <c r="E2576" s="35">
        <f>+'[2]por cuent'!H2576</f>
        <v>399023.01</v>
      </c>
      <c r="F2576" t="str">
        <f>+'[2]por cuent'!I2576</f>
        <v>765</v>
      </c>
    </row>
    <row r="2577" spans="1:6" x14ac:dyDescent="0.35">
      <c r="A2577" t="str">
        <f>+'[2]por cuent'!A2577</f>
        <v>ARS</v>
      </c>
      <c r="B2577" t="str">
        <f>+'[2]por cuent'!B2577</f>
        <v>765000225</v>
      </c>
      <c r="C2577" t="str">
        <f>+'[2]por cuent'!C2577</f>
        <v>Silvana Alejandra Castillejos</v>
      </c>
      <c r="D2577" s="35">
        <f>+'[2]por cuent'!G2577</f>
        <v>1137104717.1600001</v>
      </c>
      <c r="E2577" s="35">
        <f>+'[2]por cuent'!H2577</f>
        <v>1137104717.1600001</v>
      </c>
      <c r="F2577" t="str">
        <f>+'[2]por cuent'!I2577</f>
        <v>765</v>
      </c>
    </row>
    <row r="2578" spans="1:6" x14ac:dyDescent="0.35">
      <c r="A2578" t="str">
        <f>+'[2]por cuent'!A2578</f>
        <v>ARS</v>
      </c>
      <c r="B2578" t="str">
        <f>+'[2]por cuent'!B2578</f>
        <v>765000228</v>
      </c>
      <c r="C2578" t="str">
        <f>+'[2]por cuent'!C2578</f>
        <v>Bruno Jorge Angel</v>
      </c>
      <c r="D2578" s="35">
        <f>+'[2]por cuent'!G2578</f>
        <v>36476468.810000002</v>
      </c>
      <c r="E2578" s="35">
        <f>+'[2]por cuent'!H2578</f>
        <v>36476468.810000002</v>
      </c>
      <c r="F2578" t="str">
        <f>+'[2]por cuent'!I2578</f>
        <v>765</v>
      </c>
    </row>
    <row r="2579" spans="1:6" x14ac:dyDescent="0.35">
      <c r="A2579" t="str">
        <f>+'[2]por cuent'!A2579</f>
        <v>ARS</v>
      </c>
      <c r="B2579" t="str">
        <f>+'[2]por cuent'!B2579</f>
        <v>765000238</v>
      </c>
      <c r="C2579" t="str">
        <f>+'[2]por cuent'!C2579</f>
        <v>Zamarini, Monica Alejandra</v>
      </c>
      <c r="D2579" s="35">
        <f>+'[2]por cuent'!G2579</f>
        <v>10503174.619999999</v>
      </c>
      <c r="E2579" s="35">
        <f>+'[2]por cuent'!H2579</f>
        <v>10503174.619999999</v>
      </c>
      <c r="F2579" t="str">
        <f>+'[2]por cuent'!I2579</f>
        <v>765</v>
      </c>
    </row>
    <row r="2580" spans="1:6" x14ac:dyDescent="0.35">
      <c r="A2580" t="str">
        <f>+'[2]por cuent'!A2580</f>
        <v>ARS</v>
      </c>
      <c r="B2580" t="str">
        <f>+'[2]por cuent'!B2580</f>
        <v>765000250</v>
      </c>
      <c r="C2580" t="str">
        <f>+'[2]por cuent'!C2580</f>
        <v>Borri, Mayra Alejandra</v>
      </c>
      <c r="D2580" s="35">
        <f>+'[2]por cuent'!G2580</f>
        <v>2277694.64</v>
      </c>
      <c r="E2580" s="35">
        <f>+'[2]por cuent'!H2580</f>
        <v>2277694.64</v>
      </c>
      <c r="F2580" t="str">
        <f>+'[2]por cuent'!I2580</f>
        <v>765</v>
      </c>
    </row>
    <row r="2581" spans="1:6" x14ac:dyDescent="0.35">
      <c r="A2581" t="str">
        <f>+'[2]por cuent'!A2581</f>
        <v>ARS</v>
      </c>
      <c r="B2581" t="str">
        <f>+'[2]por cuent'!B2581</f>
        <v>765000254</v>
      </c>
      <c r="C2581" t="str">
        <f>+'[2]por cuent'!C2581</f>
        <v>Mazzini, Rita Marta</v>
      </c>
      <c r="D2581" s="35">
        <f>+'[2]por cuent'!G2581</f>
        <v>761654.85</v>
      </c>
      <c r="E2581" s="35">
        <f>+'[2]por cuent'!H2581</f>
        <v>761654.85</v>
      </c>
      <c r="F2581" t="str">
        <f>+'[2]por cuent'!I2581</f>
        <v>765</v>
      </c>
    </row>
    <row r="2582" spans="1:6" x14ac:dyDescent="0.35">
      <c r="A2582" t="str">
        <f>+'[2]por cuent'!A2582</f>
        <v>ARS</v>
      </c>
      <c r="B2582" t="str">
        <f>+'[2]por cuent'!B2582</f>
        <v>765000260</v>
      </c>
      <c r="C2582" t="str">
        <f>+'[2]por cuent'!C2582</f>
        <v xml:space="preserve"> CAMPO MADERO II FIDEICOMISO</v>
      </c>
      <c r="D2582" s="35">
        <f>+'[2]por cuent'!G2582</f>
        <v>425472</v>
      </c>
      <c r="E2582" s="35">
        <f>+'[2]por cuent'!H2582</f>
        <v>425472</v>
      </c>
      <c r="F2582" t="str">
        <f>+'[2]por cuent'!I2582</f>
        <v>765</v>
      </c>
    </row>
    <row r="2583" spans="1:6" x14ac:dyDescent="0.35">
      <c r="A2583" t="str">
        <f>+'[2]por cuent'!A2583</f>
        <v>ARS</v>
      </c>
      <c r="B2583" t="str">
        <f>+'[2]por cuent'!B2583</f>
        <v>765000261</v>
      </c>
      <c r="C2583" t="str">
        <f>+'[2]por cuent'!C2583</f>
        <v>CLUB ATLETICO TREBOLENSE MUTUAL SOCIAL Y BIBLIOTECA</v>
      </c>
      <c r="D2583" s="35">
        <f>+'[2]por cuent'!G2583</f>
        <v>1476947999.3599999</v>
      </c>
      <c r="E2583" s="35">
        <f>+'[2]por cuent'!H2583</f>
        <v>1476947999.3599999</v>
      </c>
      <c r="F2583" t="str">
        <f>+'[2]por cuent'!I2583</f>
        <v>765</v>
      </c>
    </row>
    <row r="2584" spans="1:6" x14ac:dyDescent="0.35">
      <c r="A2584" t="str">
        <f>+'[2]por cuent'!A2584</f>
        <v>ARS</v>
      </c>
      <c r="B2584" t="str">
        <f>+'[2]por cuent'!B2584</f>
        <v>765000264</v>
      </c>
      <c r="C2584" t="str">
        <f>+'[2]por cuent'!C2584</f>
        <v>Manasseri, Franco</v>
      </c>
      <c r="D2584" s="35">
        <f>+'[2]por cuent'!G2584</f>
        <v>640968613.22000003</v>
      </c>
      <c r="E2584" s="35">
        <f>+'[2]por cuent'!H2584</f>
        <v>640968613.22000003</v>
      </c>
      <c r="F2584" t="str">
        <f>+'[2]por cuent'!I2584</f>
        <v>765</v>
      </c>
    </row>
    <row r="2585" spans="1:6" x14ac:dyDescent="0.35">
      <c r="A2585" t="str">
        <f>+'[2]por cuent'!A2585</f>
        <v>ARS</v>
      </c>
      <c r="B2585" t="str">
        <f>+'[2]por cuent'!B2585</f>
        <v>765000265</v>
      </c>
      <c r="C2585" t="str">
        <f>+'[2]por cuent'!C2585</f>
        <v>Pedraza, Franco Ramon</v>
      </c>
      <c r="D2585" s="35">
        <f>+'[2]por cuent'!G2585</f>
        <v>19586750.449999999</v>
      </c>
      <c r="E2585" s="35">
        <f>+'[2]por cuent'!H2585</f>
        <v>19586750.449999999</v>
      </c>
      <c r="F2585" t="str">
        <f>+'[2]por cuent'!I2585</f>
        <v>765</v>
      </c>
    </row>
    <row r="2586" spans="1:6" x14ac:dyDescent="0.35">
      <c r="A2586" t="str">
        <f>+'[2]por cuent'!A2586</f>
        <v>ARS</v>
      </c>
      <c r="B2586" t="str">
        <f>+'[2]por cuent'!B2586</f>
        <v>765000270</v>
      </c>
      <c r="C2586" t="str">
        <f>+'[2]por cuent'!C2586</f>
        <v>COOPERATIVA AGRICOLA GANADERA DE EL TREBOL LTDA</v>
      </c>
      <c r="D2586" s="35">
        <f>+'[2]por cuent'!G2586</f>
        <v>94763858.799999997</v>
      </c>
      <c r="E2586" s="35">
        <f>+'[2]por cuent'!H2586</f>
        <v>94763858.799999997</v>
      </c>
      <c r="F2586" t="str">
        <f>+'[2]por cuent'!I2586</f>
        <v>765</v>
      </c>
    </row>
    <row r="2587" spans="1:6" x14ac:dyDescent="0.35">
      <c r="A2587" t="str">
        <f>+'[2]por cuent'!A2587</f>
        <v>ARS</v>
      </c>
      <c r="B2587" t="str">
        <f>+'[2]por cuent'!B2587</f>
        <v>765000276</v>
      </c>
      <c r="C2587" t="str">
        <f>+'[2]por cuent'!C2587</f>
        <v>Poire, Raul Jose</v>
      </c>
      <c r="D2587" s="35">
        <f>+'[2]por cuent'!G2587</f>
        <v>132509060.52</v>
      </c>
      <c r="E2587" s="35">
        <f>+'[2]por cuent'!H2587</f>
        <v>132509060.52</v>
      </c>
      <c r="F2587" t="str">
        <f>+'[2]por cuent'!I2587</f>
        <v>765</v>
      </c>
    </row>
    <row r="2588" spans="1:6" x14ac:dyDescent="0.35">
      <c r="A2588" t="str">
        <f>+'[2]por cuent'!A2588</f>
        <v>ARS</v>
      </c>
      <c r="B2588" t="str">
        <f>+'[2]por cuent'!B2588</f>
        <v>765000280</v>
      </c>
      <c r="C2588" t="str">
        <f>+'[2]por cuent'!C2588</f>
        <v>SOCIEDAD ITALIANA DE SOCORROS MUTUOS "ESTRELLA DE ITALIA"</v>
      </c>
      <c r="D2588" s="35">
        <f>+'[2]por cuent'!G2588</f>
        <v>2847620793.3000002</v>
      </c>
      <c r="E2588" s="35">
        <f>+'[2]por cuent'!H2588</f>
        <v>2847620793.3000002</v>
      </c>
      <c r="F2588" t="str">
        <f>+'[2]por cuent'!I2588</f>
        <v>765</v>
      </c>
    </row>
    <row r="2589" spans="1:6" x14ac:dyDescent="0.35">
      <c r="A2589" t="str">
        <f>+'[2]por cuent'!A2589</f>
        <v>ARS</v>
      </c>
      <c r="B2589" t="str">
        <f>+'[2]por cuent'!B2589</f>
        <v>765000282</v>
      </c>
      <c r="C2589" t="str">
        <f>+'[2]por cuent'!C2589</f>
        <v>Jesus Monti.</v>
      </c>
      <c r="D2589" s="35">
        <f>+'[2]por cuent'!G2589</f>
        <v>571616.67000000004</v>
      </c>
      <c r="E2589" s="35">
        <f>+'[2]por cuent'!H2589</f>
        <v>571616.67000000004</v>
      </c>
      <c r="F2589" t="str">
        <f>+'[2]por cuent'!I2589</f>
        <v>765</v>
      </c>
    </row>
    <row r="2590" spans="1:6" x14ac:dyDescent="0.35">
      <c r="A2590" t="str">
        <f>+'[2]por cuent'!A2590</f>
        <v>ARS</v>
      </c>
      <c r="B2590" t="str">
        <f>+'[2]por cuent'!B2590</f>
        <v>765000288</v>
      </c>
      <c r="C2590" t="str">
        <f>+'[2]por cuent'!C2590</f>
        <v>Torti, Mariano Leandro</v>
      </c>
      <c r="D2590" s="35">
        <f>+'[2]por cuent'!G2590</f>
        <v>3971923.99</v>
      </c>
      <c r="E2590" s="35">
        <f>+'[2]por cuent'!H2590</f>
        <v>3971923.99</v>
      </c>
      <c r="F2590" t="str">
        <f>+'[2]por cuent'!I2590</f>
        <v>765</v>
      </c>
    </row>
    <row r="2591" spans="1:6" x14ac:dyDescent="0.35">
      <c r="A2591" t="str">
        <f>+'[2]por cuent'!A2591</f>
        <v>ARS</v>
      </c>
      <c r="B2591" t="str">
        <f>+'[2]por cuent'!B2591</f>
        <v>765000290</v>
      </c>
      <c r="C2591" t="str">
        <f>+'[2]por cuent'!C2591</f>
        <v>Penhalvel, Alvaro</v>
      </c>
      <c r="D2591" s="35">
        <f>+'[2]por cuent'!G2591</f>
        <v>421219.7</v>
      </c>
      <c r="E2591" s="35">
        <f>+'[2]por cuent'!H2591</f>
        <v>421219.7</v>
      </c>
      <c r="F2591" t="str">
        <f>+'[2]por cuent'!I2591</f>
        <v>765</v>
      </c>
    </row>
    <row r="2592" spans="1:6" x14ac:dyDescent="0.35">
      <c r="A2592" t="str">
        <f>+'[2]por cuent'!A2592</f>
        <v>ARS</v>
      </c>
      <c r="B2592" t="str">
        <f>+'[2]por cuent'!B2592</f>
        <v>765000292</v>
      </c>
      <c r="C2592" t="str">
        <f>+'[2]por cuent'!C2592</f>
        <v>Gariboldi Gaspar David</v>
      </c>
      <c r="D2592" s="35">
        <f>+'[2]por cuent'!G2592</f>
        <v>6557929.2199999997</v>
      </c>
      <c r="E2592" s="35">
        <f>+'[2]por cuent'!H2592</f>
        <v>6557929.2199999997</v>
      </c>
      <c r="F2592" t="str">
        <f>+'[2]por cuent'!I2592</f>
        <v>765</v>
      </c>
    </row>
    <row r="2593" spans="1:6" x14ac:dyDescent="0.35">
      <c r="A2593" t="str">
        <f>+'[2]por cuent'!A2593</f>
        <v>ARS</v>
      </c>
      <c r="B2593" t="str">
        <f>+'[2]por cuent'!B2593</f>
        <v>765000294</v>
      </c>
      <c r="C2593" t="str">
        <f>+'[2]por cuent'!C2593</f>
        <v>Raúl Mariano Garitta</v>
      </c>
      <c r="D2593" s="35">
        <f>+'[2]por cuent'!G2593</f>
        <v>406913.2</v>
      </c>
      <c r="E2593" s="35">
        <f>+'[2]por cuent'!H2593</f>
        <v>406913.2</v>
      </c>
      <c r="F2593" t="str">
        <f>+'[2]por cuent'!I2593</f>
        <v>765</v>
      </c>
    </row>
    <row r="2594" spans="1:6" x14ac:dyDescent="0.35">
      <c r="A2594" t="str">
        <f>+'[2]por cuent'!A2594</f>
        <v>ARS</v>
      </c>
      <c r="B2594" t="str">
        <f>+'[2]por cuent'!B2594</f>
        <v>765000295</v>
      </c>
      <c r="C2594" t="str">
        <f>+'[2]por cuent'!C2594</f>
        <v>Sanchez, Damian Alfredo</v>
      </c>
      <c r="D2594" s="35">
        <f>+'[2]por cuent'!G2594</f>
        <v>1751864.87</v>
      </c>
      <c r="E2594" s="35">
        <f>+'[2]por cuent'!H2594</f>
        <v>1751864.87</v>
      </c>
      <c r="F2594" t="str">
        <f>+'[2]por cuent'!I2594</f>
        <v>765</v>
      </c>
    </row>
    <row r="2595" spans="1:6" x14ac:dyDescent="0.35">
      <c r="A2595" t="str">
        <f>+'[2]por cuent'!A2595</f>
        <v>ARS</v>
      </c>
      <c r="B2595" t="str">
        <f>+'[2]por cuent'!B2595</f>
        <v>765000296</v>
      </c>
      <c r="C2595" t="str">
        <f>+'[2]por cuent'!C2595</f>
        <v>Cegna Gerardo Marcelo</v>
      </c>
      <c r="D2595" s="35">
        <f>+'[2]por cuent'!G2595</f>
        <v>128081474.72</v>
      </c>
      <c r="E2595" s="35">
        <f>+'[2]por cuent'!H2595</f>
        <v>128081474.72</v>
      </c>
      <c r="F2595" t="str">
        <f>+'[2]por cuent'!I2595</f>
        <v>765</v>
      </c>
    </row>
    <row r="2596" spans="1:6" x14ac:dyDescent="0.35">
      <c r="A2596" t="str">
        <f>+'[2]por cuent'!A2596</f>
        <v>ARS</v>
      </c>
      <c r="B2596" t="str">
        <f>+'[2]por cuent'!B2596</f>
        <v>765000297</v>
      </c>
      <c r="C2596" t="str">
        <f>+'[2]por cuent'!C2596</f>
        <v>Rolando, Nelvis María</v>
      </c>
      <c r="D2596" s="35">
        <f>+'[2]por cuent'!G2596</f>
        <v>108955964.23</v>
      </c>
      <c r="E2596" s="35">
        <f>+'[2]por cuent'!H2596</f>
        <v>108955964.23</v>
      </c>
      <c r="F2596" t="str">
        <f>+'[2]por cuent'!I2596</f>
        <v>765</v>
      </c>
    </row>
    <row r="2597" spans="1:6" x14ac:dyDescent="0.35">
      <c r="A2597" t="str">
        <f>+'[2]por cuent'!A2597</f>
        <v>ARS</v>
      </c>
      <c r="B2597" t="str">
        <f>+'[2]por cuent'!B2597</f>
        <v>765000299</v>
      </c>
      <c r="C2597" t="str">
        <f>+'[2]por cuent'!C2597</f>
        <v>Astorga, Gonzalo Martin</v>
      </c>
      <c r="D2597" s="35">
        <f>+'[2]por cuent'!G2597</f>
        <v>21861922.710000001</v>
      </c>
      <c r="E2597" s="35">
        <f>+'[2]por cuent'!H2597</f>
        <v>21861922.710000001</v>
      </c>
      <c r="F2597" t="str">
        <f>+'[2]por cuent'!I2597</f>
        <v>765</v>
      </c>
    </row>
    <row r="2598" spans="1:6" x14ac:dyDescent="0.35">
      <c r="A2598" t="str">
        <f>+'[2]por cuent'!A2598</f>
        <v>ARS</v>
      </c>
      <c r="B2598" t="str">
        <f>+'[2]por cuent'!B2598</f>
        <v>765000306</v>
      </c>
      <c r="C2598" t="str">
        <f>+'[2]por cuent'!C2598</f>
        <v>Cappello, Elio Alberto</v>
      </c>
      <c r="D2598" s="35">
        <f>+'[2]por cuent'!G2598</f>
        <v>3287017.22</v>
      </c>
      <c r="E2598" s="35">
        <f>+'[2]por cuent'!H2598</f>
        <v>3287017.22</v>
      </c>
      <c r="F2598" t="str">
        <f>+'[2]por cuent'!I2598</f>
        <v>765</v>
      </c>
    </row>
    <row r="2599" spans="1:6" x14ac:dyDescent="0.35">
      <c r="A2599" t="str">
        <f>+'[2]por cuent'!A2599</f>
        <v>ARS</v>
      </c>
      <c r="B2599" t="str">
        <f>+'[2]por cuent'!B2599</f>
        <v>765000307</v>
      </c>
      <c r="C2599" t="str">
        <f>+'[2]por cuent'!C2599</f>
        <v>Etbul, Fabiana Alejandra</v>
      </c>
      <c r="D2599" s="35">
        <f>+'[2]por cuent'!G2599</f>
        <v>40836058.719999999</v>
      </c>
      <c r="E2599" s="35">
        <f>+'[2]por cuent'!H2599</f>
        <v>40836058.719999999</v>
      </c>
      <c r="F2599" t="str">
        <f>+'[2]por cuent'!I2599</f>
        <v>765</v>
      </c>
    </row>
    <row r="2600" spans="1:6" x14ac:dyDescent="0.35">
      <c r="A2600" t="str">
        <f>+'[2]por cuent'!A2600</f>
        <v>ARS</v>
      </c>
      <c r="B2600" t="str">
        <f>+'[2]por cuent'!B2600</f>
        <v>765000309</v>
      </c>
      <c r="C2600" t="str">
        <f>+'[2]por cuent'!C2600</f>
        <v>Racca-Pistarelli</v>
      </c>
      <c r="D2600" s="35">
        <f>+'[2]por cuent'!G2600</f>
        <v>59368739.630000003</v>
      </c>
      <c r="E2600" s="35">
        <f>+'[2]por cuent'!H2600</f>
        <v>59368739.630000003</v>
      </c>
      <c r="F2600" t="str">
        <f>+'[2]por cuent'!I2600</f>
        <v>765</v>
      </c>
    </row>
    <row r="2601" spans="1:6" x14ac:dyDescent="0.35">
      <c r="A2601" t="str">
        <f>+'[2]por cuent'!A2601</f>
        <v>ARS</v>
      </c>
      <c r="B2601" t="str">
        <f>+'[2]por cuent'!B2601</f>
        <v>765000311</v>
      </c>
      <c r="C2601" t="str">
        <f>+'[2]por cuent'!C2601</f>
        <v>Americano Mutual y Social</v>
      </c>
      <c r="D2601" s="35">
        <f>+'[2]por cuent'!G2601</f>
        <v>85904984.290000007</v>
      </c>
      <c r="E2601" s="35">
        <f>+'[2]por cuent'!H2601</f>
        <v>85904984.290000007</v>
      </c>
      <c r="F2601" t="str">
        <f>+'[2]por cuent'!I2601</f>
        <v>765</v>
      </c>
    </row>
    <row r="2602" spans="1:6" x14ac:dyDescent="0.35">
      <c r="A2602" t="str">
        <f>+'[2]por cuent'!A2602</f>
        <v>ARS</v>
      </c>
      <c r="B2602" t="str">
        <f>+'[2]por cuent'!B2602</f>
        <v>765000312</v>
      </c>
      <c r="C2602" t="str">
        <f>+'[2]por cuent'!C2602</f>
        <v>Pistarelli, Gerardo Mario</v>
      </c>
      <c r="D2602" s="35">
        <f>+'[2]por cuent'!G2602</f>
        <v>29900260.75</v>
      </c>
      <c r="E2602" s="35">
        <f>+'[2]por cuent'!H2602</f>
        <v>29900260.75</v>
      </c>
      <c r="F2602" t="str">
        <f>+'[2]por cuent'!I2602</f>
        <v>765</v>
      </c>
    </row>
    <row r="2603" spans="1:6" x14ac:dyDescent="0.35">
      <c r="A2603" t="str">
        <f>+'[2]por cuent'!A2603</f>
        <v>ARS</v>
      </c>
      <c r="B2603" t="str">
        <f>+'[2]por cuent'!B2603</f>
        <v>765000313</v>
      </c>
      <c r="C2603" t="str">
        <f>+'[2]por cuent'!C2603</f>
        <v xml:space="preserve">Piacentini, Carlos Dante </v>
      </c>
      <c r="D2603" s="35">
        <f>+'[2]por cuent'!G2603</f>
        <v>30524949.620000001</v>
      </c>
      <c r="E2603" s="35">
        <f>+'[2]por cuent'!H2603</f>
        <v>30524949.620000001</v>
      </c>
      <c r="F2603" t="str">
        <f>+'[2]por cuent'!I2603</f>
        <v>765</v>
      </c>
    </row>
    <row r="2604" spans="1:6" x14ac:dyDescent="0.35">
      <c r="A2604" t="str">
        <f>+'[2]por cuent'!A2604</f>
        <v>ARS</v>
      </c>
      <c r="B2604" t="str">
        <f>+'[2]por cuent'!B2604</f>
        <v>765000320</v>
      </c>
      <c r="C2604" t="str">
        <f>+'[2]por cuent'!C2604</f>
        <v>Cooperativa Agropecuaria Federada Argentina Limitada</v>
      </c>
      <c r="D2604" s="35">
        <f>+'[2]por cuent'!G2604</f>
        <v>805031.63</v>
      </c>
      <c r="E2604" s="35">
        <f>+'[2]por cuent'!H2604</f>
        <v>805031.63</v>
      </c>
      <c r="F2604" t="str">
        <f>+'[2]por cuent'!I2604</f>
        <v>765</v>
      </c>
    </row>
    <row r="2605" spans="1:6" x14ac:dyDescent="0.35">
      <c r="A2605" t="str">
        <f>+'[2]por cuent'!A2605</f>
        <v>ARS</v>
      </c>
      <c r="B2605" t="str">
        <f>+'[2]por cuent'!B2605</f>
        <v>765000321</v>
      </c>
      <c r="C2605" t="str">
        <f>+'[2]por cuent'!C2605</f>
        <v>Sociedad Italiana de Socorros Mutuos de Carcarañá</v>
      </c>
      <c r="D2605" s="35">
        <f>+'[2]por cuent'!G2605</f>
        <v>1869196240.9200001</v>
      </c>
      <c r="E2605" s="35">
        <f>+'[2]por cuent'!H2605</f>
        <v>1869196240.9200001</v>
      </c>
      <c r="F2605" t="str">
        <f>+'[2]por cuent'!I2605</f>
        <v>765</v>
      </c>
    </row>
    <row r="2606" spans="1:6" x14ac:dyDescent="0.35">
      <c r="A2606" t="str">
        <f>+'[2]por cuent'!A2606</f>
        <v>ARS</v>
      </c>
      <c r="B2606" t="str">
        <f>+'[2]por cuent'!B2606</f>
        <v>765000324</v>
      </c>
      <c r="C2606" t="str">
        <f>+'[2]por cuent'!C2606</f>
        <v>Libonatti, Andrés</v>
      </c>
      <c r="D2606" s="35">
        <f>+'[2]por cuent'!G2606</f>
        <v>21632941.609999999</v>
      </c>
      <c r="E2606" s="35">
        <f>+'[2]por cuent'!H2606</f>
        <v>21632941.609999999</v>
      </c>
      <c r="F2606" t="str">
        <f>+'[2]por cuent'!I2606</f>
        <v>765</v>
      </c>
    </row>
    <row r="2607" spans="1:6" x14ac:dyDescent="0.35">
      <c r="A2607" t="str">
        <f>+'[2]por cuent'!A2607</f>
        <v>ARS</v>
      </c>
      <c r="B2607" t="str">
        <f>+'[2]por cuent'!B2607</f>
        <v>765000326</v>
      </c>
      <c r="C2607" t="str">
        <f>+'[2]por cuent'!C2607</f>
        <v xml:space="preserve">Díaz, Luciano Fernando </v>
      </c>
      <c r="D2607" s="35">
        <f>+'[2]por cuent'!G2607</f>
        <v>14498602.960000001</v>
      </c>
      <c r="E2607" s="35">
        <f>+'[2]por cuent'!H2607</f>
        <v>14498602.960000001</v>
      </c>
      <c r="F2607" t="str">
        <f>+'[2]por cuent'!I2607</f>
        <v>765</v>
      </c>
    </row>
    <row r="2608" spans="1:6" x14ac:dyDescent="0.35">
      <c r="A2608" t="str">
        <f>+'[2]por cuent'!A2608</f>
        <v>ARS</v>
      </c>
      <c r="B2608" t="str">
        <f>+'[2]por cuent'!B2608</f>
        <v>765000328</v>
      </c>
      <c r="C2608" t="str">
        <f>+'[2]por cuent'!C2608</f>
        <v>Racca, Alicia Mercedes</v>
      </c>
      <c r="D2608" s="35">
        <f>+'[2]por cuent'!G2608</f>
        <v>123420306.42</v>
      </c>
      <c r="E2608" s="35">
        <f>+'[2]por cuent'!H2608</f>
        <v>123420306.42</v>
      </c>
      <c r="F2608" t="str">
        <f>+'[2]por cuent'!I2608</f>
        <v>765</v>
      </c>
    </row>
    <row r="2609" spans="1:6" x14ac:dyDescent="0.35">
      <c r="A2609" t="str">
        <f>+'[2]por cuent'!A2609</f>
        <v>ARS</v>
      </c>
      <c r="B2609" t="str">
        <f>+'[2]por cuent'!B2609</f>
        <v>765000332</v>
      </c>
      <c r="C2609" t="str">
        <f>+'[2]por cuent'!C2609</f>
        <v>Bosio, Mauricio Juan</v>
      </c>
      <c r="D2609" s="35">
        <f>+'[2]por cuent'!G2609</f>
        <v>25707483.649999999</v>
      </c>
      <c r="E2609" s="35">
        <f>+'[2]por cuent'!H2609</f>
        <v>25707483.649999999</v>
      </c>
      <c r="F2609" t="str">
        <f>+'[2]por cuent'!I2609</f>
        <v>765</v>
      </c>
    </row>
    <row r="2610" spans="1:6" x14ac:dyDescent="0.35">
      <c r="A2610" t="str">
        <f>+'[2]por cuent'!A2610</f>
        <v>ARS</v>
      </c>
      <c r="B2610" t="str">
        <f>+'[2]por cuent'!B2610</f>
        <v>765000334</v>
      </c>
      <c r="C2610" t="str">
        <f>+'[2]por cuent'!C2610</f>
        <v>Bestetti, Matías Andrés</v>
      </c>
      <c r="D2610" s="35">
        <f>+'[2]por cuent'!G2610</f>
        <v>3035714.62</v>
      </c>
      <c r="E2610" s="35">
        <f>+'[2]por cuent'!H2610</f>
        <v>3035714.62</v>
      </c>
      <c r="F2610" t="str">
        <f>+'[2]por cuent'!I2610</f>
        <v>765</v>
      </c>
    </row>
    <row r="2611" spans="1:6" x14ac:dyDescent="0.35">
      <c r="A2611" t="str">
        <f>+'[2]por cuent'!A2611</f>
        <v>ARS</v>
      </c>
      <c r="B2611" t="str">
        <f>+'[2]por cuent'!B2611</f>
        <v>765000336</v>
      </c>
      <c r="C2611" t="str">
        <f>+'[2]por cuent'!C2611</f>
        <v>Deluca Martin, Trivisonno Gabriela</v>
      </c>
      <c r="D2611" s="35">
        <f>+'[2]por cuent'!G2611</f>
        <v>49444226.890000001</v>
      </c>
      <c r="E2611" s="35">
        <f>+'[2]por cuent'!H2611</f>
        <v>49444226.890000001</v>
      </c>
      <c r="F2611" t="str">
        <f>+'[2]por cuent'!I2611</f>
        <v>765</v>
      </c>
    </row>
    <row r="2612" spans="1:6" x14ac:dyDescent="0.35">
      <c r="A2612" t="str">
        <f>+'[2]por cuent'!A2612</f>
        <v>ARS</v>
      </c>
      <c r="B2612" t="str">
        <f>+'[2]por cuent'!B2612</f>
        <v>765000337</v>
      </c>
      <c r="C2612" t="str">
        <f>+'[2]por cuent'!C2612</f>
        <v>Manasseri, Oscar Marcos</v>
      </c>
      <c r="D2612" s="35">
        <f>+'[2]por cuent'!G2612</f>
        <v>5851141.0099999998</v>
      </c>
      <c r="E2612" s="35">
        <f>+'[2]por cuent'!H2612</f>
        <v>5851141.0099999998</v>
      </c>
      <c r="F2612" t="str">
        <f>+'[2]por cuent'!I2612</f>
        <v>765</v>
      </c>
    </row>
    <row r="2613" spans="1:6" x14ac:dyDescent="0.35">
      <c r="A2613" t="str">
        <f>+'[2]por cuent'!A2613</f>
        <v>ARS</v>
      </c>
      <c r="B2613" t="str">
        <f>+'[2]por cuent'!B2613</f>
        <v>765000339</v>
      </c>
      <c r="C2613" t="str">
        <f>+'[2]por cuent'!C2613</f>
        <v>Monti, Celina Paula</v>
      </c>
      <c r="D2613" s="35">
        <f>+'[2]por cuent'!G2613</f>
        <v>5976035.75</v>
      </c>
      <c r="E2613" s="35">
        <f>+'[2]por cuent'!H2613</f>
        <v>5976035.75</v>
      </c>
      <c r="F2613" t="str">
        <f>+'[2]por cuent'!I2613</f>
        <v>765</v>
      </c>
    </row>
    <row r="2614" spans="1:6" x14ac:dyDescent="0.35">
      <c r="A2614" t="str">
        <f>+'[2]por cuent'!A2614</f>
        <v>ARS</v>
      </c>
      <c r="B2614" t="str">
        <f>+'[2]por cuent'!B2614</f>
        <v>765000343</v>
      </c>
      <c r="C2614" t="str">
        <f>+'[2]por cuent'!C2614</f>
        <v>Karina Verónica Bernardi</v>
      </c>
      <c r="D2614" s="35">
        <f>+'[2]por cuent'!G2614</f>
        <v>4907520.8600000003</v>
      </c>
      <c r="E2614" s="35">
        <f>+'[2]por cuent'!H2614</f>
        <v>4907520.8600000003</v>
      </c>
      <c r="F2614" t="str">
        <f>+'[2]por cuent'!I2614</f>
        <v>765</v>
      </c>
    </row>
    <row r="2615" spans="1:6" x14ac:dyDescent="0.35">
      <c r="A2615" t="str">
        <f>+'[2]por cuent'!A2615</f>
        <v>ARS</v>
      </c>
      <c r="B2615" t="str">
        <f>+'[2]por cuent'!B2615</f>
        <v>765000345</v>
      </c>
      <c r="C2615" t="str">
        <f>+'[2]por cuent'!C2615</f>
        <v xml:space="preserve">Ciccocioppo, Ramiro </v>
      </c>
      <c r="D2615" s="35">
        <f>+'[2]por cuent'!G2615</f>
        <v>7331538.6900000004</v>
      </c>
      <c r="E2615" s="35">
        <f>+'[2]por cuent'!H2615</f>
        <v>7331538.6900000004</v>
      </c>
      <c r="F2615" t="str">
        <f>+'[2]por cuent'!I2615</f>
        <v>765</v>
      </c>
    </row>
    <row r="2616" spans="1:6" x14ac:dyDescent="0.35">
      <c r="A2616" t="str">
        <f>+'[2]por cuent'!A2616</f>
        <v>ARS</v>
      </c>
      <c r="B2616" t="str">
        <f>+'[2]por cuent'!B2616</f>
        <v>765000353</v>
      </c>
      <c r="C2616" t="str">
        <f>+'[2]por cuent'!C2616</f>
        <v>Illarramendi, Matías Agustín</v>
      </c>
      <c r="D2616" s="35">
        <f>+'[2]por cuent'!G2616</f>
        <v>75588852.579999998</v>
      </c>
      <c r="E2616" s="35">
        <f>+'[2]por cuent'!H2616</f>
        <v>75588852.579999998</v>
      </c>
      <c r="F2616" t="str">
        <f>+'[2]por cuent'!I2616</f>
        <v>765</v>
      </c>
    </row>
    <row r="2617" spans="1:6" x14ac:dyDescent="0.35">
      <c r="A2617" t="str">
        <f>+'[2]por cuent'!A2617</f>
        <v>ARS</v>
      </c>
      <c r="B2617" t="str">
        <f>+'[2]por cuent'!B2617</f>
        <v>765000357</v>
      </c>
      <c r="C2617" t="str">
        <f>+'[2]por cuent'!C2617</f>
        <v>Chiera, Ignacio Agustín</v>
      </c>
      <c r="D2617" s="35">
        <f>+'[2]por cuent'!G2617</f>
        <v>8208187.2999999998</v>
      </c>
      <c r="E2617" s="35">
        <f>+'[2]por cuent'!H2617</f>
        <v>8208187.2999999998</v>
      </c>
      <c r="F2617" t="str">
        <f>+'[2]por cuent'!I2617</f>
        <v>765</v>
      </c>
    </row>
    <row r="2618" spans="1:6" x14ac:dyDescent="0.35">
      <c r="A2618" t="str">
        <f>+'[2]por cuent'!A2618</f>
        <v>ARS</v>
      </c>
      <c r="B2618" t="str">
        <f>+'[2]por cuent'!B2618</f>
        <v>765000358</v>
      </c>
      <c r="C2618" t="str">
        <f>+'[2]por cuent'!C2618</f>
        <v>Heligon SA</v>
      </c>
      <c r="D2618" s="35">
        <f>+'[2]por cuent'!G2618</f>
        <v>6256090.79</v>
      </c>
      <c r="E2618" s="35">
        <f>+'[2]por cuent'!H2618</f>
        <v>6256090.79</v>
      </c>
      <c r="F2618" t="str">
        <f>+'[2]por cuent'!I2618</f>
        <v>765</v>
      </c>
    </row>
    <row r="2619" spans="1:6" x14ac:dyDescent="0.35">
      <c r="A2619" t="str">
        <f>+'[2]por cuent'!A2619</f>
        <v>ARS</v>
      </c>
      <c r="B2619" t="str">
        <f>+'[2]por cuent'!B2619</f>
        <v>765000360</v>
      </c>
      <c r="C2619" t="str">
        <f>+'[2]por cuent'!C2619</f>
        <v>Trossero, Silvia María</v>
      </c>
      <c r="D2619" s="35">
        <f>+'[2]por cuent'!G2619</f>
        <v>16218549.529999999</v>
      </c>
      <c r="E2619" s="35">
        <f>+'[2]por cuent'!H2619</f>
        <v>16218549.529999999</v>
      </c>
      <c r="F2619" t="str">
        <f>+'[2]por cuent'!I2619</f>
        <v>765</v>
      </c>
    </row>
    <row r="2620" spans="1:6" x14ac:dyDescent="0.35">
      <c r="A2620" t="str">
        <f>+'[2]por cuent'!A2620</f>
        <v>ARS</v>
      </c>
      <c r="B2620" t="str">
        <f>+'[2]por cuent'!B2620</f>
        <v>765000361</v>
      </c>
      <c r="C2620" t="str">
        <f>+'[2]por cuent'!C2620</f>
        <v>Asociación de Bioquímicos del Departamento San Martín</v>
      </c>
      <c r="D2620" s="35">
        <f>+'[2]por cuent'!G2620</f>
        <v>16757386.289999999</v>
      </c>
      <c r="E2620" s="35">
        <f>+'[2]por cuent'!H2620</f>
        <v>16757386.289999999</v>
      </c>
      <c r="F2620" t="str">
        <f>+'[2]por cuent'!I2620</f>
        <v>765</v>
      </c>
    </row>
    <row r="2621" spans="1:6" x14ac:dyDescent="0.35">
      <c r="A2621" t="str">
        <f>+'[2]por cuent'!A2621</f>
        <v>ARS</v>
      </c>
      <c r="B2621" t="str">
        <f>+'[2]por cuent'!B2621</f>
        <v>765000365</v>
      </c>
      <c r="C2621" t="str">
        <f>+'[2]por cuent'!C2621</f>
        <v>Peña, Sebastían</v>
      </c>
      <c r="D2621" s="35">
        <f>+'[2]por cuent'!G2621</f>
        <v>215494019.12</v>
      </c>
      <c r="E2621" s="35">
        <f>+'[2]por cuent'!H2621</f>
        <v>215494019.12</v>
      </c>
      <c r="F2621" t="str">
        <f>+'[2]por cuent'!I2621</f>
        <v>765</v>
      </c>
    </row>
    <row r="2622" spans="1:6" x14ac:dyDescent="0.35">
      <c r="A2622" t="str">
        <f>+'[2]por cuent'!A2622</f>
        <v>ARS</v>
      </c>
      <c r="B2622" t="str">
        <f>+'[2]por cuent'!B2622</f>
        <v>765000372</v>
      </c>
      <c r="C2622" t="str">
        <f>+'[2]por cuent'!C2622</f>
        <v>Bonetto, Emanuel Mario</v>
      </c>
      <c r="D2622" s="35">
        <f>+'[2]por cuent'!G2622</f>
        <v>534000</v>
      </c>
      <c r="E2622" s="35">
        <f>+'[2]por cuent'!H2622</f>
        <v>534000</v>
      </c>
      <c r="F2622" t="str">
        <f>+'[2]por cuent'!I2622</f>
        <v>765</v>
      </c>
    </row>
    <row r="2623" spans="1:6" x14ac:dyDescent="0.35">
      <c r="A2623" t="str">
        <f>+'[2]por cuent'!A2623</f>
        <v>ARS</v>
      </c>
      <c r="B2623" t="str">
        <f>+'[2]por cuent'!B2623</f>
        <v>765000376</v>
      </c>
      <c r="C2623" t="str">
        <f>+'[2]por cuent'!C2623</f>
        <v>Deschamps, Sandra Roxana</v>
      </c>
      <c r="D2623" s="35">
        <f>+'[2]por cuent'!G2623</f>
        <v>992106.4</v>
      </c>
      <c r="E2623" s="35">
        <f>+'[2]por cuent'!H2623</f>
        <v>992106.4</v>
      </c>
      <c r="F2623" t="str">
        <f>+'[2]por cuent'!I2623</f>
        <v>765</v>
      </c>
    </row>
    <row r="2624" spans="1:6" x14ac:dyDescent="0.35">
      <c r="A2624" t="str">
        <f>+'[2]por cuent'!A2624</f>
        <v>ARS</v>
      </c>
      <c r="B2624" t="str">
        <f>+'[2]por cuent'!B2624</f>
        <v>765000378</v>
      </c>
      <c r="C2624" t="str">
        <f>+'[2]por cuent'!C2624</f>
        <v>Beltrando, Javier Juan</v>
      </c>
      <c r="D2624" s="35">
        <f>+'[2]por cuent'!G2624</f>
        <v>164738265.31999999</v>
      </c>
      <c r="E2624" s="35">
        <f>+'[2]por cuent'!H2624</f>
        <v>164738265.31999999</v>
      </c>
      <c r="F2624" t="str">
        <f>+'[2]por cuent'!I2624</f>
        <v>765</v>
      </c>
    </row>
    <row r="2625" spans="1:6" x14ac:dyDescent="0.35">
      <c r="A2625" t="str">
        <f>+'[2]por cuent'!A2625</f>
        <v>ARS</v>
      </c>
      <c r="B2625" t="str">
        <f>+'[2]por cuent'!B2625</f>
        <v>765000381</v>
      </c>
      <c r="C2625" t="str">
        <f>+'[2]por cuent'!C2625</f>
        <v>Chiattellino, David Alejandro</v>
      </c>
      <c r="D2625" s="35">
        <f>+'[2]por cuent'!G2625</f>
        <v>10215651.16</v>
      </c>
      <c r="E2625" s="35">
        <f>+'[2]por cuent'!H2625</f>
        <v>10215651.16</v>
      </c>
      <c r="F2625" t="str">
        <f>+'[2]por cuent'!I2625</f>
        <v>765</v>
      </c>
    </row>
    <row r="2626" spans="1:6" x14ac:dyDescent="0.35">
      <c r="A2626" t="str">
        <f>+'[2]por cuent'!A2626</f>
        <v>ARS</v>
      </c>
      <c r="B2626" t="str">
        <f>+'[2]por cuent'!B2626</f>
        <v>765000382</v>
      </c>
      <c r="C2626" t="str">
        <f>+'[2]por cuent'!C2626</f>
        <v xml:space="preserve">Manasseri, Andrea de Pilar </v>
      </c>
      <c r="D2626" s="35">
        <f>+'[2]por cuent'!G2626</f>
        <v>81480639.280000001</v>
      </c>
      <c r="E2626" s="35">
        <f>+'[2]por cuent'!H2626</f>
        <v>81480639.280000001</v>
      </c>
      <c r="F2626" t="str">
        <f>+'[2]por cuent'!I2626</f>
        <v>765</v>
      </c>
    </row>
    <row r="2627" spans="1:6" x14ac:dyDescent="0.35">
      <c r="A2627" t="str">
        <f>+'[2]por cuent'!A2627</f>
        <v>ARS</v>
      </c>
      <c r="B2627" t="str">
        <f>+'[2]por cuent'!B2627</f>
        <v>765000388</v>
      </c>
      <c r="C2627" t="str">
        <f>+'[2]por cuent'!C2627</f>
        <v>Gerstner, Julio Ignacio</v>
      </c>
      <c r="D2627" s="35">
        <f>+'[2]por cuent'!G2627</f>
        <v>1861142.59</v>
      </c>
      <c r="E2627" s="35">
        <f>+'[2]por cuent'!H2627</f>
        <v>1861142.59</v>
      </c>
      <c r="F2627" t="str">
        <f>+'[2]por cuent'!I2627</f>
        <v>765</v>
      </c>
    </row>
    <row r="2628" spans="1:6" x14ac:dyDescent="0.35">
      <c r="A2628" t="str">
        <f>+'[2]por cuent'!A2628</f>
        <v>ARS</v>
      </c>
      <c r="B2628" t="str">
        <f>+'[2]por cuent'!B2628</f>
        <v>765000393</v>
      </c>
      <c r="C2628" t="str">
        <f>+'[2]por cuent'!C2628</f>
        <v xml:space="preserve">Bergia, María Cristina </v>
      </c>
      <c r="D2628" s="35">
        <f>+'[2]por cuent'!G2628</f>
        <v>11237045.6</v>
      </c>
      <c r="E2628" s="35">
        <f>+'[2]por cuent'!H2628</f>
        <v>11237045.6</v>
      </c>
      <c r="F2628" t="str">
        <f>+'[2]por cuent'!I2628</f>
        <v>765</v>
      </c>
    </row>
    <row r="2629" spans="1:6" x14ac:dyDescent="0.35">
      <c r="A2629" t="str">
        <f>+'[2]por cuent'!A2629</f>
        <v>ARS</v>
      </c>
      <c r="B2629" t="str">
        <f>+'[2]por cuent'!B2629</f>
        <v>765000395</v>
      </c>
      <c r="C2629" t="str">
        <f>+'[2]por cuent'!C2629</f>
        <v>IMOBERDORF HNOS. S.A</v>
      </c>
      <c r="D2629" s="35">
        <f>+'[2]por cuent'!G2629</f>
        <v>177781724.41</v>
      </c>
      <c r="E2629" s="35">
        <f>+'[2]por cuent'!H2629</f>
        <v>177781724.41</v>
      </c>
      <c r="F2629" t="str">
        <f>+'[2]por cuent'!I2629</f>
        <v>765</v>
      </c>
    </row>
    <row r="2630" spans="1:6" x14ac:dyDescent="0.35">
      <c r="A2630" t="str">
        <f>+'[2]por cuent'!A2630</f>
        <v>ARS</v>
      </c>
      <c r="B2630" t="str">
        <f>+'[2]por cuent'!B2630</f>
        <v>765000396</v>
      </c>
      <c r="C2630" t="str">
        <f>+'[2]por cuent'!C2630</f>
        <v>Álvarez , Adriana Nelida</v>
      </c>
      <c r="D2630" s="35">
        <f>+'[2]por cuent'!G2630</f>
        <v>18557282.350000001</v>
      </c>
      <c r="E2630" s="35">
        <f>+'[2]por cuent'!H2630</f>
        <v>18557282.350000001</v>
      </c>
      <c r="F2630" t="str">
        <f>+'[2]por cuent'!I2630</f>
        <v>765</v>
      </c>
    </row>
    <row r="2631" spans="1:6" x14ac:dyDescent="0.35">
      <c r="A2631" t="str">
        <f>+'[2]por cuent'!A2631</f>
        <v>ARS</v>
      </c>
      <c r="B2631" t="str">
        <f>+'[2]por cuent'!B2631</f>
        <v>765000398</v>
      </c>
      <c r="C2631" t="str">
        <f>+'[2]por cuent'!C2631</f>
        <v>Vilches, Anabela Diana</v>
      </c>
      <c r="D2631" s="35">
        <f>+'[2]por cuent'!G2631</f>
        <v>1314985.71</v>
      </c>
      <c r="E2631" s="35">
        <f>+'[2]por cuent'!H2631</f>
        <v>1314985.71</v>
      </c>
      <c r="F2631" t="str">
        <f>+'[2]por cuent'!I2631</f>
        <v>765</v>
      </c>
    </row>
    <row r="2632" spans="1:6" x14ac:dyDescent="0.35">
      <c r="A2632" t="str">
        <f>+'[2]por cuent'!A2632</f>
        <v>ARS</v>
      </c>
      <c r="B2632" t="str">
        <f>+'[2]por cuent'!B2632</f>
        <v>765000401</v>
      </c>
      <c r="C2632" t="str">
        <f>+'[2]por cuent'!C2632</f>
        <v>Pietrani, Franco Silverio</v>
      </c>
      <c r="D2632" s="35">
        <f>+'[2]por cuent'!G2632</f>
        <v>514341.19</v>
      </c>
      <c r="E2632" s="35">
        <f>+'[2]por cuent'!H2632</f>
        <v>514341.19</v>
      </c>
      <c r="F2632" t="str">
        <f>+'[2]por cuent'!I2632</f>
        <v>765</v>
      </c>
    </row>
    <row r="2633" spans="1:6" x14ac:dyDescent="0.35">
      <c r="A2633" t="str">
        <f>+'[2]por cuent'!A2633</f>
        <v>ARS</v>
      </c>
      <c r="B2633" t="str">
        <f>+'[2]por cuent'!B2633</f>
        <v>765000404</v>
      </c>
      <c r="C2633" t="str">
        <f>+'[2]por cuent'!C2633</f>
        <v>Aguilar, Sergio Eduardo Alejandro</v>
      </c>
      <c r="D2633" s="35">
        <f>+'[2]por cuent'!G2633</f>
        <v>14014520.49</v>
      </c>
      <c r="E2633" s="35">
        <f>+'[2]por cuent'!H2633</f>
        <v>14014520.49</v>
      </c>
      <c r="F2633" t="str">
        <f>+'[2]por cuent'!I2633</f>
        <v>765</v>
      </c>
    </row>
    <row r="2634" spans="1:6" x14ac:dyDescent="0.35">
      <c r="A2634" t="str">
        <f>+'[2]por cuent'!A2634</f>
        <v>ARS</v>
      </c>
      <c r="B2634" t="str">
        <f>+'[2]por cuent'!B2634</f>
        <v>765000408</v>
      </c>
      <c r="C2634" t="str">
        <f>+'[2]por cuent'!C2634</f>
        <v>Rico, Emilia Beatriz</v>
      </c>
      <c r="D2634" s="35">
        <f>+'[2]por cuent'!G2634</f>
        <v>27227501.079999998</v>
      </c>
      <c r="E2634" s="35">
        <f>+'[2]por cuent'!H2634</f>
        <v>27227501.079999998</v>
      </c>
      <c r="F2634" t="str">
        <f>+'[2]por cuent'!I2634</f>
        <v>765</v>
      </c>
    </row>
    <row r="2635" spans="1:6" x14ac:dyDescent="0.35">
      <c r="A2635" t="str">
        <f>+'[2]por cuent'!A2635</f>
        <v>ARS</v>
      </c>
      <c r="B2635" t="str">
        <f>+'[2]por cuent'!B2635</f>
        <v>765000411</v>
      </c>
      <c r="C2635" t="str">
        <f>+'[2]por cuent'!C2635</f>
        <v>Aguilera, Alejandro</v>
      </c>
      <c r="D2635" s="35">
        <f>+'[2]por cuent'!G2635</f>
        <v>2280845.35</v>
      </c>
      <c r="E2635" s="35">
        <f>+'[2]por cuent'!H2635</f>
        <v>2280845.35</v>
      </c>
      <c r="F2635" t="str">
        <f>+'[2]por cuent'!I2635</f>
        <v>765</v>
      </c>
    </row>
    <row r="2636" spans="1:6" x14ac:dyDescent="0.35">
      <c r="A2636" t="str">
        <f>+'[2]por cuent'!A2636</f>
        <v>ARS</v>
      </c>
      <c r="B2636" t="str">
        <f>+'[2]por cuent'!B2636</f>
        <v>765000414</v>
      </c>
      <c r="C2636" t="str">
        <f>+'[2]por cuent'!C2636</f>
        <v>Babini, Lisiel Berenise</v>
      </c>
      <c r="D2636" s="35">
        <f>+'[2]por cuent'!G2636</f>
        <v>15473408.550000001</v>
      </c>
      <c r="E2636" s="35">
        <f>+'[2]por cuent'!H2636</f>
        <v>15473408.550000001</v>
      </c>
      <c r="F2636" t="str">
        <f>+'[2]por cuent'!I2636</f>
        <v>765</v>
      </c>
    </row>
    <row r="2637" spans="1:6" x14ac:dyDescent="0.35">
      <c r="A2637" t="str">
        <f>+'[2]por cuent'!A2637</f>
        <v>ARS</v>
      </c>
      <c r="B2637" t="str">
        <f>+'[2]por cuent'!B2637</f>
        <v>765000417</v>
      </c>
      <c r="C2637" t="str">
        <f>+'[2]por cuent'!C2637</f>
        <v>Babini, Elian Gabriel</v>
      </c>
      <c r="D2637" s="35">
        <f>+'[2]por cuent'!G2637</f>
        <v>20237173.469999999</v>
      </c>
      <c r="E2637" s="35">
        <f>+'[2]por cuent'!H2637</f>
        <v>20237173.469999999</v>
      </c>
      <c r="F2637" t="str">
        <f>+'[2]por cuent'!I2637</f>
        <v>765</v>
      </c>
    </row>
    <row r="2638" spans="1:6" x14ac:dyDescent="0.35">
      <c r="A2638" t="str">
        <f>+'[2]por cuent'!A2638</f>
        <v>ARS</v>
      </c>
      <c r="B2638" t="str">
        <f>+'[2]por cuent'!B2638</f>
        <v>765000418</v>
      </c>
      <c r="C2638" t="str">
        <f>+'[2]por cuent'!C2638</f>
        <v>Caffaratti, Sofía Andrea</v>
      </c>
      <c r="D2638" s="35">
        <f>+'[2]por cuent'!G2638</f>
        <v>8202843.21</v>
      </c>
      <c r="E2638" s="35">
        <f>+'[2]por cuent'!H2638</f>
        <v>8202843.21</v>
      </c>
      <c r="F2638" t="str">
        <f>+'[2]por cuent'!I2638</f>
        <v>765</v>
      </c>
    </row>
    <row r="2639" spans="1:6" x14ac:dyDescent="0.35">
      <c r="A2639" t="str">
        <f>+'[2]por cuent'!A2639</f>
        <v>ARS</v>
      </c>
      <c r="B2639" t="str">
        <f>+'[2]por cuent'!B2639</f>
        <v>765000419</v>
      </c>
      <c r="C2639" t="str">
        <f>+'[2]por cuent'!C2639</f>
        <v>Caffaratti, Guillermo Cesar</v>
      </c>
      <c r="D2639" s="35">
        <f>+'[2]por cuent'!G2639</f>
        <v>6196804.3099999996</v>
      </c>
      <c r="E2639" s="35">
        <f>+'[2]por cuent'!H2639</f>
        <v>6196804.3099999996</v>
      </c>
      <c r="F2639" t="str">
        <f>+'[2]por cuent'!I2639</f>
        <v>765</v>
      </c>
    </row>
    <row r="2640" spans="1:6" x14ac:dyDescent="0.35">
      <c r="A2640" t="str">
        <f>+'[2]por cuent'!A2640</f>
        <v>ARS</v>
      </c>
      <c r="B2640" t="str">
        <f>+'[2]por cuent'!B2640</f>
        <v>765000424</v>
      </c>
      <c r="C2640" t="str">
        <f>+'[2]por cuent'!C2640</f>
        <v>Cappello, Angelo</v>
      </c>
      <c r="D2640" s="35">
        <f>+'[2]por cuent'!G2640</f>
        <v>1987305.11</v>
      </c>
      <c r="E2640" s="35">
        <f>+'[2]por cuent'!H2640</f>
        <v>1987305.11</v>
      </c>
      <c r="F2640" t="str">
        <f>+'[2]por cuent'!I2640</f>
        <v>765</v>
      </c>
    </row>
    <row r="2641" spans="1:6" x14ac:dyDescent="0.35">
      <c r="A2641" t="str">
        <f>+'[2]por cuent'!A2641</f>
        <v>ARS</v>
      </c>
      <c r="B2641" t="str">
        <f>+'[2]por cuent'!B2641</f>
        <v>765000426</v>
      </c>
      <c r="C2641" t="str">
        <f>+'[2]por cuent'!C2641</f>
        <v xml:space="preserve">Mina, Pedro Manuel </v>
      </c>
      <c r="D2641" s="35">
        <f>+'[2]por cuent'!G2641</f>
        <v>5344409.3899999997</v>
      </c>
      <c r="E2641" s="35">
        <f>+'[2]por cuent'!H2641</f>
        <v>5344409.3899999997</v>
      </c>
      <c r="F2641" t="str">
        <f>+'[2]por cuent'!I2641</f>
        <v>765</v>
      </c>
    </row>
    <row r="2642" spans="1:6" x14ac:dyDescent="0.35">
      <c r="A2642" t="str">
        <f>+'[2]por cuent'!A2642</f>
        <v>ARS</v>
      </c>
      <c r="B2642" t="str">
        <f>+'[2]por cuent'!B2642</f>
        <v>765000427</v>
      </c>
      <c r="C2642" t="str">
        <f>+'[2]por cuent'!C2642</f>
        <v>Carranza, Juan Manuel</v>
      </c>
      <c r="D2642" s="35">
        <f>+'[2]por cuent'!G2642</f>
        <v>2687240.37</v>
      </c>
      <c r="E2642" s="35">
        <f>+'[2]por cuent'!H2642</f>
        <v>2687240.37</v>
      </c>
      <c r="F2642" t="str">
        <f>+'[2]por cuent'!I2642</f>
        <v>765</v>
      </c>
    </row>
    <row r="2643" spans="1:6" x14ac:dyDescent="0.35">
      <c r="A2643" t="str">
        <f>+'[2]por cuent'!A2643</f>
        <v>ARS</v>
      </c>
      <c r="B2643" t="str">
        <f>+'[2]por cuent'!B2643</f>
        <v>765000430</v>
      </c>
      <c r="C2643" t="str">
        <f>+'[2]por cuent'!C2643</f>
        <v xml:space="preserve">Racca, Marcelo Jesús </v>
      </c>
      <c r="D2643" s="35">
        <f>+'[2]por cuent'!G2643</f>
        <v>296044.74</v>
      </c>
      <c r="E2643" s="35">
        <f>+'[2]por cuent'!H2643</f>
        <v>296044.74</v>
      </c>
      <c r="F2643" t="str">
        <f>+'[2]por cuent'!I2643</f>
        <v>765</v>
      </c>
    </row>
    <row r="2644" spans="1:6" x14ac:dyDescent="0.35">
      <c r="A2644" t="str">
        <f>+'[2]por cuent'!A2644</f>
        <v>ARS</v>
      </c>
      <c r="B2644" t="str">
        <f>+'[2]por cuent'!B2644</f>
        <v>765000433</v>
      </c>
      <c r="C2644" t="str">
        <f>+'[2]por cuent'!C2644</f>
        <v>Gudel, Franco Eduardo</v>
      </c>
      <c r="D2644" s="35">
        <f>+'[2]por cuent'!G2644</f>
        <v>1297955491.73</v>
      </c>
      <c r="E2644" s="35">
        <f>+'[2]por cuent'!H2644</f>
        <v>1297955491.73</v>
      </c>
      <c r="F2644" t="str">
        <f>+'[2]por cuent'!I2644</f>
        <v>765</v>
      </c>
    </row>
    <row r="2645" spans="1:6" x14ac:dyDescent="0.35">
      <c r="A2645" t="str">
        <f>+'[2]por cuent'!A2645</f>
        <v>ARS</v>
      </c>
      <c r="B2645" t="str">
        <f>+'[2]por cuent'!B2645</f>
        <v>765000437</v>
      </c>
      <c r="C2645" t="str">
        <f>+'[2]por cuent'!C2645</f>
        <v>Castellino, Marcos Jose</v>
      </c>
      <c r="D2645" s="35">
        <f>+'[2]por cuent'!G2645</f>
        <v>16216806.93</v>
      </c>
      <c r="E2645" s="35">
        <f>+'[2]por cuent'!H2645</f>
        <v>16216806.93</v>
      </c>
      <c r="F2645" t="str">
        <f>+'[2]por cuent'!I2645</f>
        <v>765</v>
      </c>
    </row>
    <row r="2646" spans="1:6" x14ac:dyDescent="0.35">
      <c r="A2646" t="str">
        <f>+'[2]por cuent'!A2646</f>
        <v>ARS</v>
      </c>
      <c r="B2646" t="str">
        <f>+'[2]por cuent'!B2646</f>
        <v>765000438</v>
      </c>
      <c r="C2646" t="str">
        <f>+'[2]por cuent'!C2646</f>
        <v>Acosta, Fernando</v>
      </c>
      <c r="D2646" s="35">
        <f>+'[2]por cuent'!G2646</f>
        <v>4642301.25</v>
      </c>
      <c r="E2646" s="35">
        <f>+'[2]por cuent'!H2646</f>
        <v>4642301.25</v>
      </c>
      <c r="F2646" t="str">
        <f>+'[2]por cuent'!I2646</f>
        <v>765</v>
      </c>
    </row>
    <row r="2647" spans="1:6" x14ac:dyDescent="0.35">
      <c r="A2647" t="str">
        <f>+'[2]por cuent'!A2647</f>
        <v>ARS</v>
      </c>
      <c r="B2647" t="str">
        <f>+'[2]por cuent'!B2647</f>
        <v>765000439</v>
      </c>
      <c r="C2647" t="str">
        <f>+'[2]por cuent'!C2647</f>
        <v>Hansen, Jorge Adrian</v>
      </c>
      <c r="D2647" s="35">
        <f>+'[2]por cuent'!G2647</f>
        <v>2657972.84</v>
      </c>
      <c r="E2647" s="35">
        <f>+'[2]por cuent'!H2647</f>
        <v>2657972.84</v>
      </c>
      <c r="F2647" t="str">
        <f>+'[2]por cuent'!I2647</f>
        <v>765</v>
      </c>
    </row>
    <row r="2648" spans="1:6" x14ac:dyDescent="0.35">
      <c r="A2648" t="str">
        <f>+'[2]por cuent'!A2648</f>
        <v>ARS</v>
      </c>
      <c r="B2648" t="str">
        <f>+'[2]por cuent'!B2648</f>
        <v>765000443</v>
      </c>
      <c r="C2648" t="str">
        <f>+'[2]por cuent'!C2648</f>
        <v xml:space="preserve">Gozzi Pecci, Gaston Matias Jose </v>
      </c>
      <c r="D2648" s="35">
        <f>+'[2]por cuent'!G2648</f>
        <v>205160</v>
      </c>
      <c r="E2648" s="35">
        <f>+'[2]por cuent'!H2648</f>
        <v>205160</v>
      </c>
      <c r="F2648" t="str">
        <f>+'[2]por cuent'!I2648</f>
        <v>765</v>
      </c>
    </row>
    <row r="2649" spans="1:6" x14ac:dyDescent="0.35">
      <c r="A2649" t="str">
        <f>+'[2]por cuent'!A2649</f>
        <v>ARS</v>
      </c>
      <c r="B2649" t="str">
        <f>+'[2]por cuent'!B2649</f>
        <v>765000445</v>
      </c>
      <c r="C2649" t="str">
        <f>+'[2]por cuent'!C2649</f>
        <v>Calcaterra, Hugo Oscar</v>
      </c>
      <c r="D2649" s="35">
        <f>+'[2]por cuent'!G2649</f>
        <v>5848494.1200000001</v>
      </c>
      <c r="E2649" s="35">
        <f>+'[2]por cuent'!H2649</f>
        <v>5848494.1200000001</v>
      </c>
      <c r="F2649" t="str">
        <f>+'[2]por cuent'!I2649</f>
        <v>765</v>
      </c>
    </row>
    <row r="2650" spans="1:6" x14ac:dyDescent="0.35">
      <c r="A2650" t="str">
        <f>+'[2]por cuent'!A2650</f>
        <v>ARS</v>
      </c>
      <c r="B2650" t="str">
        <f>+'[2]por cuent'!B2650</f>
        <v>765000447</v>
      </c>
      <c r="C2650" t="str">
        <f>+'[2]por cuent'!C2650</f>
        <v>Traverso, Juan Marcelo</v>
      </c>
      <c r="D2650" s="35">
        <f>+'[2]por cuent'!G2650</f>
        <v>18595023.739999998</v>
      </c>
      <c r="E2650" s="35">
        <f>+'[2]por cuent'!H2650</f>
        <v>18595023.739999998</v>
      </c>
      <c r="F2650" t="str">
        <f>+'[2]por cuent'!I2650</f>
        <v>765</v>
      </c>
    </row>
    <row r="2651" spans="1:6" x14ac:dyDescent="0.35">
      <c r="A2651" t="str">
        <f>+'[2]por cuent'!A2651</f>
        <v>ARS</v>
      </c>
      <c r="B2651" t="str">
        <f>+'[2]por cuent'!B2651</f>
        <v>765000453</v>
      </c>
      <c r="C2651" t="str">
        <f>+'[2]por cuent'!C2651</f>
        <v>Lepore, Luisina</v>
      </c>
      <c r="D2651" s="35">
        <f>+'[2]por cuent'!G2651</f>
        <v>930371.06</v>
      </c>
      <c r="E2651" s="35">
        <f>+'[2]por cuent'!H2651</f>
        <v>930371.06</v>
      </c>
      <c r="F2651" t="str">
        <f>+'[2]por cuent'!I2651</f>
        <v>765</v>
      </c>
    </row>
    <row r="2652" spans="1:6" x14ac:dyDescent="0.35">
      <c r="A2652" t="str">
        <f>+'[2]por cuent'!A2652</f>
        <v>ARS</v>
      </c>
      <c r="B2652" t="str">
        <f>+'[2]por cuent'!B2652</f>
        <v>765000457</v>
      </c>
      <c r="C2652" t="str">
        <f>+'[2]por cuent'!C2652</f>
        <v>Sibona, Enilda Margarita</v>
      </c>
      <c r="D2652" s="35">
        <f>+'[2]por cuent'!G2652</f>
        <v>18246960.75</v>
      </c>
      <c r="E2652" s="35">
        <f>+'[2]por cuent'!H2652</f>
        <v>18246960.75</v>
      </c>
      <c r="F2652" t="str">
        <f>+'[2]por cuent'!I2652</f>
        <v>765</v>
      </c>
    </row>
    <row r="2653" spans="1:6" x14ac:dyDescent="0.35">
      <c r="A2653" t="str">
        <f>+'[2]por cuent'!A2653</f>
        <v>ARS</v>
      </c>
      <c r="B2653" t="str">
        <f>+'[2]por cuent'!B2653</f>
        <v>765000458</v>
      </c>
      <c r="C2653" t="str">
        <f>+'[2]por cuent'!C2653</f>
        <v>Piumetti, María Alejandra</v>
      </c>
      <c r="D2653" s="35">
        <f>+'[2]por cuent'!G2653</f>
        <v>658341</v>
      </c>
      <c r="E2653" s="35">
        <f>+'[2]por cuent'!H2653</f>
        <v>658341</v>
      </c>
      <c r="F2653" t="str">
        <f>+'[2]por cuent'!I2653</f>
        <v>765</v>
      </c>
    </row>
    <row r="2654" spans="1:6" x14ac:dyDescent="0.35">
      <c r="A2654" t="str">
        <f>+'[2]por cuent'!A2654</f>
        <v>ARS</v>
      </c>
      <c r="B2654" t="str">
        <f>+'[2]por cuent'!B2654</f>
        <v>765000460</v>
      </c>
      <c r="C2654" t="str">
        <f>+'[2]por cuent'!C2654</f>
        <v>Mattalia, Isaac Rafael</v>
      </c>
      <c r="D2654" s="35">
        <f>+'[2]por cuent'!G2654</f>
        <v>582072.41</v>
      </c>
      <c r="E2654" s="35">
        <f>+'[2]por cuent'!H2654</f>
        <v>582072.41</v>
      </c>
      <c r="F2654" t="str">
        <f>+'[2]por cuent'!I2654</f>
        <v>765</v>
      </c>
    </row>
    <row r="2655" spans="1:6" x14ac:dyDescent="0.35">
      <c r="A2655" t="str">
        <f>+'[2]por cuent'!A2655</f>
        <v>ARS</v>
      </c>
      <c r="B2655" t="str">
        <f>+'[2]por cuent'!B2655</f>
        <v>765000467</v>
      </c>
      <c r="C2655" t="str">
        <f>+'[2]por cuent'!C2655</f>
        <v>Alvarez, Diego Matias</v>
      </c>
      <c r="D2655" s="35">
        <f>+'[2]por cuent'!G2655</f>
        <v>9190935.9000000004</v>
      </c>
      <c r="E2655" s="35">
        <f>+'[2]por cuent'!H2655</f>
        <v>9190935.9000000004</v>
      </c>
      <c r="F2655" t="str">
        <f>+'[2]por cuent'!I2655</f>
        <v>765</v>
      </c>
    </row>
    <row r="2656" spans="1:6" x14ac:dyDescent="0.35">
      <c r="A2656" t="str">
        <f>+'[2]por cuent'!A2656</f>
        <v>ARS</v>
      </c>
      <c r="B2656" t="str">
        <f>+'[2]por cuent'!B2656</f>
        <v>765000468</v>
      </c>
      <c r="C2656" t="str">
        <f>+'[2]por cuent'!C2656</f>
        <v xml:space="preserve">Quiroga, Hernán Darío </v>
      </c>
      <c r="D2656" s="35">
        <f>+'[2]por cuent'!G2656</f>
        <v>23964900.199999999</v>
      </c>
      <c r="E2656" s="35">
        <f>+'[2]por cuent'!H2656</f>
        <v>23964900.199999999</v>
      </c>
      <c r="F2656" t="str">
        <f>+'[2]por cuent'!I2656</f>
        <v>765</v>
      </c>
    </row>
    <row r="2657" spans="1:6" x14ac:dyDescent="0.35">
      <c r="A2657" t="str">
        <f>+'[2]por cuent'!A2657</f>
        <v>ARS</v>
      </c>
      <c r="B2657" t="str">
        <f>+'[2]por cuent'!B2657</f>
        <v>765000469</v>
      </c>
      <c r="C2657" t="str">
        <f>+'[2]por cuent'!C2657</f>
        <v>Maccari, Lorena Silvia</v>
      </c>
      <c r="D2657" s="35">
        <f>+'[2]por cuent'!G2657</f>
        <v>30165282.399999999</v>
      </c>
      <c r="E2657" s="35">
        <f>+'[2]por cuent'!H2657</f>
        <v>30165282.399999999</v>
      </c>
      <c r="F2657" t="str">
        <f>+'[2]por cuent'!I2657</f>
        <v>765</v>
      </c>
    </row>
    <row r="2658" spans="1:6" x14ac:dyDescent="0.35">
      <c r="A2658" t="str">
        <f>+'[2]por cuent'!A2658</f>
        <v>ARS</v>
      </c>
      <c r="B2658" t="str">
        <f>+'[2]por cuent'!B2658</f>
        <v>765000470</v>
      </c>
      <c r="C2658" t="str">
        <f>+'[2]por cuent'!C2658</f>
        <v>Chapero Dibiasi, Florencia Constanza</v>
      </c>
      <c r="D2658" s="35">
        <f>+'[2]por cuent'!G2658</f>
        <v>622185.87</v>
      </c>
      <c r="E2658" s="35">
        <f>+'[2]por cuent'!H2658</f>
        <v>622185.87</v>
      </c>
      <c r="F2658" t="str">
        <f>+'[2]por cuent'!I2658</f>
        <v>765</v>
      </c>
    </row>
    <row r="2659" spans="1:6" x14ac:dyDescent="0.35">
      <c r="A2659" t="str">
        <f>+'[2]por cuent'!A2659</f>
        <v>ARS</v>
      </c>
      <c r="B2659" t="str">
        <f>+'[2]por cuent'!B2659</f>
        <v>765000474</v>
      </c>
      <c r="C2659" t="str">
        <f>+'[2]por cuent'!C2659</f>
        <v>Prus, Agostina</v>
      </c>
      <c r="D2659" s="35">
        <f>+'[2]por cuent'!G2659</f>
        <v>13991150.449999999</v>
      </c>
      <c r="E2659" s="35">
        <f>+'[2]por cuent'!H2659</f>
        <v>13991150.449999999</v>
      </c>
      <c r="F2659" t="str">
        <f>+'[2]por cuent'!I2659</f>
        <v>765</v>
      </c>
    </row>
    <row r="2660" spans="1:6" x14ac:dyDescent="0.35">
      <c r="A2660" t="str">
        <f>+'[2]por cuent'!A2660</f>
        <v>ARS</v>
      </c>
      <c r="B2660" t="str">
        <f>+'[2]por cuent'!B2660</f>
        <v>765000477</v>
      </c>
      <c r="C2660" t="str">
        <f>+'[2]por cuent'!C2660</f>
        <v>De la Colina, Milagros Belen</v>
      </c>
      <c r="D2660" s="35">
        <f>+'[2]por cuent'!G2660</f>
        <v>30726814.530000001</v>
      </c>
      <c r="E2660" s="35">
        <f>+'[2]por cuent'!H2660</f>
        <v>30726814.530000001</v>
      </c>
      <c r="F2660" t="str">
        <f>+'[2]por cuent'!I2660</f>
        <v>765</v>
      </c>
    </row>
    <row r="2661" spans="1:6" x14ac:dyDescent="0.35">
      <c r="A2661" t="str">
        <f>+'[2]por cuent'!A2661</f>
        <v>ARS</v>
      </c>
      <c r="B2661" t="str">
        <f>+'[2]por cuent'!B2661</f>
        <v>765000478</v>
      </c>
      <c r="C2661" t="str">
        <f>+'[2]por cuent'!C2661</f>
        <v>Lopez, Gimena Mabel</v>
      </c>
      <c r="D2661" s="35">
        <f>+'[2]por cuent'!G2661</f>
        <v>383573.27</v>
      </c>
      <c r="E2661" s="35">
        <f>+'[2]por cuent'!H2661</f>
        <v>383573.27</v>
      </c>
      <c r="F2661" t="str">
        <f>+'[2]por cuent'!I2661</f>
        <v>765</v>
      </c>
    </row>
    <row r="2662" spans="1:6" x14ac:dyDescent="0.35">
      <c r="A2662" t="str">
        <f>+'[2]por cuent'!A2662</f>
        <v>ARS</v>
      </c>
      <c r="B2662" t="str">
        <f>+'[2]por cuent'!B2662</f>
        <v>765000479</v>
      </c>
      <c r="C2662" t="str">
        <f>+'[2]por cuent'!C2662</f>
        <v>Orozco, Patricio Aldo</v>
      </c>
      <c r="D2662" s="35">
        <f>+'[2]por cuent'!G2662</f>
        <v>5465140.9699999997</v>
      </c>
      <c r="E2662" s="35">
        <f>+'[2]por cuent'!H2662</f>
        <v>5465140.9699999997</v>
      </c>
      <c r="F2662" t="str">
        <f>+'[2]por cuent'!I2662</f>
        <v>765</v>
      </c>
    </row>
    <row r="2663" spans="1:6" x14ac:dyDescent="0.35">
      <c r="A2663" t="str">
        <f>+'[2]por cuent'!A2663</f>
        <v>ARS</v>
      </c>
      <c r="B2663" t="str">
        <f>+'[2]por cuent'!B2663</f>
        <v>765000482</v>
      </c>
      <c r="C2663" t="str">
        <f>+'[2]por cuent'!C2663</f>
        <v>Ceci, Paola</v>
      </c>
      <c r="D2663" s="35">
        <f>+'[2]por cuent'!G2663</f>
        <v>3449680.08</v>
      </c>
      <c r="E2663" s="35">
        <f>+'[2]por cuent'!H2663</f>
        <v>3449680.08</v>
      </c>
      <c r="F2663" t="str">
        <f>+'[2]por cuent'!I2663</f>
        <v>765</v>
      </c>
    </row>
    <row r="2664" spans="1:6" x14ac:dyDescent="0.35">
      <c r="A2664" t="str">
        <f>+'[2]por cuent'!A2664</f>
        <v>ARS</v>
      </c>
      <c r="B2664" t="str">
        <f>+'[2]por cuent'!B2664</f>
        <v>765000483</v>
      </c>
      <c r="C2664" t="str">
        <f>+'[2]por cuent'!C2664</f>
        <v>Perona, Sebastian Mauro</v>
      </c>
      <c r="D2664" s="35">
        <f>+'[2]por cuent'!G2664</f>
        <v>32385128.739999998</v>
      </c>
      <c r="E2664" s="35">
        <f>+'[2]por cuent'!H2664</f>
        <v>32385128.739999998</v>
      </c>
      <c r="F2664" t="str">
        <f>+'[2]por cuent'!I2664</f>
        <v>765</v>
      </c>
    </row>
    <row r="2665" spans="1:6" x14ac:dyDescent="0.35">
      <c r="A2665" t="str">
        <f>+'[2]por cuent'!A2665</f>
        <v>ARS</v>
      </c>
      <c r="B2665" t="str">
        <f>+'[2]por cuent'!B2665</f>
        <v>765000486</v>
      </c>
      <c r="C2665" t="str">
        <f>+'[2]por cuent'!C2665</f>
        <v>Ebani, Emanuel Alejandro</v>
      </c>
      <c r="D2665" s="35">
        <f>+'[2]por cuent'!G2665</f>
        <v>28234035.43</v>
      </c>
      <c r="E2665" s="35">
        <f>+'[2]por cuent'!H2665</f>
        <v>28234035.43</v>
      </c>
      <c r="F2665" t="str">
        <f>+'[2]por cuent'!I2665</f>
        <v>765</v>
      </c>
    </row>
    <row r="2666" spans="1:6" x14ac:dyDescent="0.35">
      <c r="A2666" t="str">
        <f>+'[2]por cuent'!A2666</f>
        <v>ARS</v>
      </c>
      <c r="B2666" t="str">
        <f>+'[2]por cuent'!B2666</f>
        <v>765000488</v>
      </c>
      <c r="C2666" t="str">
        <f>+'[2]por cuent'!C2666</f>
        <v>Franco, Mauro Emmanuel</v>
      </c>
      <c r="D2666" s="35">
        <f>+'[2]por cuent'!G2666</f>
        <v>1922141.92</v>
      </c>
      <c r="E2666" s="35">
        <f>+'[2]por cuent'!H2666</f>
        <v>1922141.92</v>
      </c>
      <c r="F2666" t="str">
        <f>+'[2]por cuent'!I2666</f>
        <v>765</v>
      </c>
    </row>
    <row r="2667" spans="1:6" x14ac:dyDescent="0.35">
      <c r="A2667" t="str">
        <f>+'[2]por cuent'!A2667</f>
        <v>ARS</v>
      </c>
      <c r="B2667" t="str">
        <f>+'[2]por cuent'!B2667</f>
        <v>765000489</v>
      </c>
      <c r="C2667" t="str">
        <f>+'[2]por cuent'!C2667</f>
        <v>Torrazza, Stefano</v>
      </c>
      <c r="D2667" s="35">
        <f>+'[2]por cuent'!G2667</f>
        <v>7098194.4199999999</v>
      </c>
      <c r="E2667" s="35">
        <f>+'[2]por cuent'!H2667</f>
        <v>7098194.4199999999</v>
      </c>
      <c r="F2667" t="str">
        <f>+'[2]por cuent'!I2667</f>
        <v>765</v>
      </c>
    </row>
    <row r="2668" spans="1:6" x14ac:dyDescent="0.35">
      <c r="A2668" t="str">
        <f>+'[2]por cuent'!A2668</f>
        <v>ARS</v>
      </c>
      <c r="B2668" t="str">
        <f>+'[2]por cuent'!B2668</f>
        <v>765000491</v>
      </c>
      <c r="C2668" t="str">
        <f>+'[2]por cuent'!C2668</f>
        <v>Martina, Julian Andres</v>
      </c>
      <c r="D2668" s="35">
        <f>+'[2]por cuent'!G2668</f>
        <v>1094978.94</v>
      </c>
      <c r="E2668" s="35">
        <f>+'[2]por cuent'!H2668</f>
        <v>1094978.94</v>
      </c>
      <c r="F2668" t="str">
        <f>+'[2]por cuent'!I2668</f>
        <v>765</v>
      </c>
    </row>
    <row r="2669" spans="1:6" x14ac:dyDescent="0.35">
      <c r="A2669" t="str">
        <f>+'[2]por cuent'!A2669</f>
        <v>ARS</v>
      </c>
      <c r="B2669" t="str">
        <f>+'[2]por cuent'!B2669</f>
        <v>765000492</v>
      </c>
      <c r="C2669" t="str">
        <f>+'[2]por cuent'!C2669</f>
        <v xml:space="preserve">Perlo, Gino Andres </v>
      </c>
      <c r="D2669" s="35">
        <f>+'[2]por cuent'!G2669</f>
        <v>49914013.43</v>
      </c>
      <c r="E2669" s="35">
        <f>+'[2]por cuent'!H2669</f>
        <v>49914013.43</v>
      </c>
      <c r="F2669" t="str">
        <f>+'[2]por cuent'!I2669</f>
        <v>765</v>
      </c>
    </row>
    <row r="2670" spans="1:6" x14ac:dyDescent="0.35">
      <c r="A2670" t="str">
        <f>+'[2]por cuent'!A2670</f>
        <v>ARS</v>
      </c>
      <c r="B2670" t="str">
        <f>+'[2]por cuent'!B2670</f>
        <v>765000494</v>
      </c>
      <c r="C2670" t="str">
        <f>+'[2]por cuent'!C2670</f>
        <v>Picabea, Juan Manuel</v>
      </c>
      <c r="D2670" s="35">
        <f>+'[2]por cuent'!G2670</f>
        <v>9124468.6699999999</v>
      </c>
      <c r="E2670" s="35">
        <f>+'[2]por cuent'!H2670</f>
        <v>9124468.6699999999</v>
      </c>
      <c r="F2670" t="str">
        <f>+'[2]por cuent'!I2670</f>
        <v>765</v>
      </c>
    </row>
    <row r="2671" spans="1:6" x14ac:dyDescent="0.35">
      <c r="A2671" t="str">
        <f>+'[2]por cuent'!A2671</f>
        <v>ARS</v>
      </c>
      <c r="B2671" t="str">
        <f>+'[2]por cuent'!B2671</f>
        <v>765000496</v>
      </c>
      <c r="C2671" t="str">
        <f>+'[2]por cuent'!C2671</f>
        <v>BOASSO Y CIA SRL</v>
      </c>
      <c r="D2671" s="35">
        <f>+'[2]por cuent'!G2671</f>
        <v>24200349.050000001</v>
      </c>
      <c r="E2671" s="35">
        <f>+'[2]por cuent'!H2671</f>
        <v>24200349.050000001</v>
      </c>
      <c r="F2671" t="str">
        <f>+'[2]por cuent'!I2671</f>
        <v>765</v>
      </c>
    </row>
    <row r="2672" spans="1:6" x14ac:dyDescent="0.35">
      <c r="A2672" t="str">
        <f>+'[2]por cuent'!A2672</f>
        <v>ARS</v>
      </c>
      <c r="B2672" t="str">
        <f>+'[2]por cuent'!B2672</f>
        <v>765000497</v>
      </c>
      <c r="C2672" t="str">
        <f>+'[2]por cuent'!C2672</f>
        <v>Rossi, Mariella Irene</v>
      </c>
      <c r="D2672" s="35">
        <f>+'[2]por cuent'!G2672</f>
        <v>10482547.93</v>
      </c>
      <c r="E2672" s="35">
        <f>+'[2]por cuent'!H2672</f>
        <v>10482547.93</v>
      </c>
      <c r="F2672" t="str">
        <f>+'[2]por cuent'!I2672</f>
        <v>765</v>
      </c>
    </row>
    <row r="2673" spans="1:6" x14ac:dyDescent="0.35">
      <c r="A2673" t="str">
        <f>+'[2]por cuent'!A2673</f>
        <v>ARS</v>
      </c>
      <c r="B2673" t="str">
        <f>+'[2]por cuent'!B2673</f>
        <v>765000498</v>
      </c>
      <c r="C2673" t="str">
        <f>+'[2]por cuent'!C2673</f>
        <v>Celotti, Sofía</v>
      </c>
      <c r="D2673" s="35">
        <f>+'[2]por cuent'!G2673</f>
        <v>2402183.2000000002</v>
      </c>
      <c r="E2673" s="35">
        <f>+'[2]por cuent'!H2673</f>
        <v>2402183.2000000002</v>
      </c>
      <c r="F2673" t="str">
        <f>+'[2]por cuent'!I2673</f>
        <v>765</v>
      </c>
    </row>
    <row r="2674" spans="1:6" x14ac:dyDescent="0.35">
      <c r="A2674" t="str">
        <f>+'[2]por cuent'!A2674</f>
        <v>ARS</v>
      </c>
      <c r="B2674" t="str">
        <f>+'[2]por cuent'!B2674</f>
        <v>765000499</v>
      </c>
      <c r="C2674" t="str">
        <f>+'[2]por cuent'!C2674</f>
        <v>Lapassini, Guillermo Raúl</v>
      </c>
      <c r="D2674" s="35">
        <f>+'[2]por cuent'!G2674</f>
        <v>37437707.640000001</v>
      </c>
      <c r="E2674" s="35">
        <f>+'[2]por cuent'!H2674</f>
        <v>37437707.640000001</v>
      </c>
      <c r="F2674" t="str">
        <f>+'[2]por cuent'!I2674</f>
        <v>765</v>
      </c>
    </row>
    <row r="2675" spans="1:6" x14ac:dyDescent="0.35">
      <c r="A2675" t="str">
        <f>+'[2]por cuent'!A2675</f>
        <v>ARS</v>
      </c>
      <c r="B2675" t="str">
        <f>+'[2]por cuent'!B2675</f>
        <v>765000500</v>
      </c>
      <c r="C2675" t="str">
        <f>+'[2]por cuent'!C2675</f>
        <v>Mac Cormack, Thomas</v>
      </c>
      <c r="D2675" s="35">
        <f>+'[2]por cuent'!G2675</f>
        <v>3118798.73</v>
      </c>
      <c r="E2675" s="35">
        <f>+'[2]por cuent'!H2675</f>
        <v>3118798.73</v>
      </c>
      <c r="F2675" t="str">
        <f>+'[2]por cuent'!I2675</f>
        <v>765</v>
      </c>
    </row>
    <row r="2676" spans="1:6" x14ac:dyDescent="0.35">
      <c r="A2676" t="str">
        <f>+'[2]por cuent'!A2676</f>
        <v>ARS</v>
      </c>
      <c r="B2676" t="str">
        <f>+'[2]por cuent'!B2676</f>
        <v>765000501</v>
      </c>
      <c r="C2676" t="str">
        <f>+'[2]por cuent'!C2676</f>
        <v>Ulla, Facundo</v>
      </c>
      <c r="D2676" s="35">
        <f>+'[2]por cuent'!G2676</f>
        <v>9933425.4499999993</v>
      </c>
      <c r="E2676" s="35">
        <f>+'[2]por cuent'!H2676</f>
        <v>9933425.4499999993</v>
      </c>
      <c r="F2676" t="str">
        <f>+'[2]por cuent'!I2676</f>
        <v>765</v>
      </c>
    </row>
    <row r="2677" spans="1:6" x14ac:dyDescent="0.35">
      <c r="A2677" t="str">
        <f>+'[2]por cuent'!A2677</f>
        <v>ARS</v>
      </c>
      <c r="B2677" t="str">
        <f>+'[2]por cuent'!B2677</f>
        <v>765000502</v>
      </c>
      <c r="C2677" t="str">
        <f>+'[2]por cuent'!C2677</f>
        <v>Delgado, Fabiana Belén</v>
      </c>
      <c r="D2677" s="35">
        <f>+'[2]por cuent'!G2677</f>
        <v>63161665.689999998</v>
      </c>
      <c r="E2677" s="35">
        <f>+'[2]por cuent'!H2677</f>
        <v>63161665.689999998</v>
      </c>
      <c r="F2677" t="str">
        <f>+'[2]por cuent'!I2677</f>
        <v>765</v>
      </c>
    </row>
    <row r="2678" spans="1:6" x14ac:dyDescent="0.35">
      <c r="A2678" t="str">
        <f>+'[2]por cuent'!A2678</f>
        <v>ARS</v>
      </c>
      <c r="B2678" t="str">
        <f>+'[2]por cuent'!B2678</f>
        <v>765000503</v>
      </c>
      <c r="C2678" t="str">
        <f>+'[2]por cuent'!C2678</f>
        <v>Argenti, Patricia Sandra</v>
      </c>
      <c r="D2678" s="35">
        <f>+'[2]por cuent'!G2678</f>
        <v>19539137.899999999</v>
      </c>
      <c r="E2678" s="35">
        <f>+'[2]por cuent'!H2678</f>
        <v>19539137.899999999</v>
      </c>
      <c r="F2678" t="str">
        <f>+'[2]por cuent'!I2678</f>
        <v>765</v>
      </c>
    </row>
    <row r="2679" spans="1:6" x14ac:dyDescent="0.35">
      <c r="A2679" t="str">
        <f>+'[2]por cuent'!A2679</f>
        <v>ARS</v>
      </c>
      <c r="B2679" t="str">
        <f>+'[2]por cuent'!B2679</f>
        <v>765000504</v>
      </c>
      <c r="C2679" t="str">
        <f>+'[2]por cuent'!C2679</f>
        <v>Coppari, Mirta Beatriz</v>
      </c>
      <c r="D2679" s="35">
        <f>+'[2]por cuent'!G2679</f>
        <v>30139919.899999999</v>
      </c>
      <c r="E2679" s="35">
        <f>+'[2]por cuent'!H2679</f>
        <v>30139919.899999999</v>
      </c>
      <c r="F2679" t="str">
        <f>+'[2]por cuent'!I2679</f>
        <v>765</v>
      </c>
    </row>
    <row r="2680" spans="1:6" x14ac:dyDescent="0.35">
      <c r="A2680" t="str">
        <f>+'[2]por cuent'!A2680</f>
        <v>ARS</v>
      </c>
      <c r="B2680" t="str">
        <f>+'[2]por cuent'!B2680</f>
        <v>765000505</v>
      </c>
      <c r="C2680" t="str">
        <f>+'[2]por cuent'!C2680</f>
        <v>Ebani, Julio Cesar</v>
      </c>
      <c r="D2680" s="35">
        <f>+'[2]por cuent'!G2680</f>
        <v>888960</v>
      </c>
      <c r="E2680" s="35">
        <f>+'[2]por cuent'!H2680</f>
        <v>888960</v>
      </c>
      <c r="F2680" t="str">
        <f>+'[2]por cuent'!I2680</f>
        <v>765</v>
      </c>
    </row>
    <row r="2681" spans="1:6" x14ac:dyDescent="0.35">
      <c r="A2681" t="str">
        <f>+'[2]por cuent'!A2681</f>
        <v>ARS</v>
      </c>
      <c r="B2681" t="str">
        <f>+'[2]por cuent'!B2681</f>
        <v>765000509</v>
      </c>
      <c r="C2681" t="str">
        <f>+'[2]por cuent'!C2681</f>
        <v>Aresse, Adriana Raquel</v>
      </c>
      <c r="D2681" s="35">
        <f>+'[2]por cuent'!G2681</f>
        <v>51119727.020000003</v>
      </c>
      <c r="E2681" s="35">
        <f>+'[2]por cuent'!H2681</f>
        <v>51119727.020000003</v>
      </c>
      <c r="F2681" t="str">
        <f>+'[2]por cuent'!I2681</f>
        <v>765</v>
      </c>
    </row>
    <row r="2682" spans="1:6" x14ac:dyDescent="0.35">
      <c r="A2682" t="str">
        <f>+'[2]por cuent'!A2682</f>
        <v>ARS</v>
      </c>
      <c r="B2682" t="str">
        <f>+'[2]por cuent'!B2682</f>
        <v>765000511</v>
      </c>
      <c r="C2682" t="str">
        <f>+'[2]por cuent'!C2682</f>
        <v xml:space="preserve">Lombardo, Roció Belén </v>
      </c>
      <c r="D2682" s="35">
        <f>+'[2]por cuent'!G2682</f>
        <v>978854.76</v>
      </c>
      <c r="E2682" s="35">
        <f>+'[2]por cuent'!H2682</f>
        <v>978854.76</v>
      </c>
      <c r="F2682" t="str">
        <f>+'[2]por cuent'!I2682</f>
        <v>765</v>
      </c>
    </row>
    <row r="2683" spans="1:6" x14ac:dyDescent="0.35">
      <c r="A2683" t="str">
        <f>+'[2]por cuent'!A2683</f>
        <v>ARS</v>
      </c>
      <c r="B2683" t="str">
        <f>+'[2]por cuent'!B2683</f>
        <v>765000513</v>
      </c>
      <c r="C2683" t="str">
        <f>+'[2]por cuent'!C2683</f>
        <v>Avalle, Luciana María</v>
      </c>
      <c r="D2683" s="35">
        <f>+'[2]por cuent'!G2683</f>
        <v>85310697.909999996</v>
      </c>
      <c r="E2683" s="35">
        <f>+'[2]por cuent'!H2683</f>
        <v>85310697.909999996</v>
      </c>
      <c r="F2683" t="str">
        <f>+'[2]por cuent'!I2683</f>
        <v>765</v>
      </c>
    </row>
    <row r="2684" spans="1:6" x14ac:dyDescent="0.35">
      <c r="A2684" t="str">
        <f>+'[2]por cuent'!A2684</f>
        <v>ARS</v>
      </c>
      <c r="B2684" t="str">
        <f>+'[2]por cuent'!B2684</f>
        <v>765000516</v>
      </c>
      <c r="C2684" t="str">
        <f>+'[2]por cuent'!C2684</f>
        <v>Babini, Omar Rene</v>
      </c>
      <c r="D2684" s="35">
        <f>+'[2]por cuent'!G2684</f>
        <v>1403157.78</v>
      </c>
      <c r="E2684" s="35">
        <f>+'[2]por cuent'!H2684</f>
        <v>1403157.78</v>
      </c>
      <c r="F2684" t="str">
        <f>+'[2]por cuent'!I2684</f>
        <v>765</v>
      </c>
    </row>
    <row r="2685" spans="1:6" x14ac:dyDescent="0.35">
      <c r="A2685" t="str">
        <f>+'[2]por cuent'!A2685</f>
        <v>ARS</v>
      </c>
      <c r="B2685" t="str">
        <f>+'[2]por cuent'!B2685</f>
        <v>765000517</v>
      </c>
      <c r="C2685" t="str">
        <f>+'[2]por cuent'!C2685</f>
        <v xml:space="preserve">Celotti, Guillermo Federico </v>
      </c>
      <c r="D2685" s="35">
        <f>+'[2]por cuent'!G2685</f>
        <v>30295338.280000001</v>
      </c>
      <c r="E2685" s="35">
        <f>+'[2]por cuent'!H2685</f>
        <v>30295338.280000001</v>
      </c>
      <c r="F2685" t="str">
        <f>+'[2]por cuent'!I2685</f>
        <v>765</v>
      </c>
    </row>
    <row r="2686" spans="1:6" x14ac:dyDescent="0.35">
      <c r="A2686" t="str">
        <f>+'[2]por cuent'!A2686</f>
        <v>ARS</v>
      </c>
      <c r="B2686" t="str">
        <f>+'[2]por cuent'!B2686</f>
        <v>765000518</v>
      </c>
      <c r="C2686" t="str">
        <f>+'[2]por cuent'!C2686</f>
        <v>Culasso Trivisonno, Blas</v>
      </c>
      <c r="D2686" s="35">
        <f>+'[2]por cuent'!G2686</f>
        <v>2136311.1</v>
      </c>
      <c r="E2686" s="35">
        <f>+'[2]por cuent'!H2686</f>
        <v>2136311.1</v>
      </c>
      <c r="F2686" t="str">
        <f>+'[2]por cuent'!I2686</f>
        <v>765</v>
      </c>
    </row>
    <row r="2687" spans="1:6" x14ac:dyDescent="0.35">
      <c r="A2687" t="str">
        <f>+'[2]por cuent'!A2687</f>
        <v>ARS</v>
      </c>
      <c r="B2687" t="str">
        <f>+'[2]por cuent'!B2687</f>
        <v>765000521</v>
      </c>
      <c r="C2687" t="str">
        <f>+'[2]por cuent'!C2687</f>
        <v>Azeretzky, Gastón</v>
      </c>
      <c r="D2687" s="35">
        <f>+'[2]por cuent'!G2687</f>
        <v>80204400.109999999</v>
      </c>
      <c r="E2687" s="35">
        <f>+'[2]por cuent'!H2687</f>
        <v>80204400.109999999</v>
      </c>
      <c r="F2687" t="str">
        <f>+'[2]por cuent'!I2687</f>
        <v>765</v>
      </c>
    </row>
    <row r="2688" spans="1:6" x14ac:dyDescent="0.35">
      <c r="A2688" t="str">
        <f>+'[2]por cuent'!A2688</f>
        <v>ARS</v>
      </c>
      <c r="B2688" t="str">
        <f>+'[2]por cuent'!B2688</f>
        <v>765000523</v>
      </c>
      <c r="C2688" t="str">
        <f>+'[2]por cuent'!C2688</f>
        <v xml:space="preserve">Mutual de Ayuda Entre Asociados y Adherentes del Club Atlético Def de Centeno </v>
      </c>
      <c r="D2688" s="35">
        <f>+'[2]por cuent'!G2688</f>
        <v>533828714.94</v>
      </c>
      <c r="E2688" s="35">
        <f>+'[2]por cuent'!H2688</f>
        <v>533828714.94</v>
      </c>
      <c r="F2688" t="str">
        <f>+'[2]por cuent'!I2688</f>
        <v>765</v>
      </c>
    </row>
    <row r="2689" spans="1:6" x14ac:dyDescent="0.35">
      <c r="A2689" t="str">
        <f>+'[2]por cuent'!A2689</f>
        <v>ARS</v>
      </c>
      <c r="B2689" t="str">
        <f>+'[2]por cuent'!B2689</f>
        <v>765000524</v>
      </c>
      <c r="C2689" t="str">
        <f>+'[2]por cuent'!C2689</f>
        <v>Bartolelli, Cristian Walter</v>
      </c>
      <c r="D2689" s="35">
        <f>+'[2]por cuent'!G2689</f>
        <v>11589950.33</v>
      </c>
      <c r="E2689" s="35">
        <f>+'[2]por cuent'!H2689</f>
        <v>11589950.33</v>
      </c>
      <c r="F2689" t="str">
        <f>+'[2]por cuent'!I2689</f>
        <v>765</v>
      </c>
    </row>
    <row r="2690" spans="1:6" x14ac:dyDescent="0.35">
      <c r="A2690" t="str">
        <f>+'[2]por cuent'!A2690</f>
        <v>ARS</v>
      </c>
      <c r="B2690" t="str">
        <f>+'[2]por cuent'!B2690</f>
        <v>765000526</v>
      </c>
      <c r="C2690" t="str">
        <f>+'[2]por cuent'!C2690</f>
        <v>Gazzola, Julian</v>
      </c>
      <c r="D2690" s="35">
        <f>+'[2]por cuent'!G2690</f>
        <v>983830.02</v>
      </c>
      <c r="E2690" s="35">
        <f>+'[2]por cuent'!H2690</f>
        <v>983830.02</v>
      </c>
      <c r="F2690" t="str">
        <f>+'[2]por cuent'!I2690</f>
        <v>765</v>
      </c>
    </row>
    <row r="2691" spans="1:6" x14ac:dyDescent="0.35">
      <c r="A2691" t="str">
        <f>+'[2]por cuent'!A2691</f>
        <v>ARS</v>
      </c>
      <c r="B2691" t="str">
        <f>+'[2]por cuent'!B2691</f>
        <v>765000527</v>
      </c>
      <c r="C2691" t="str">
        <f>+'[2]por cuent'!C2691</f>
        <v>Calzada, Ignacio Ariel</v>
      </c>
      <c r="D2691" s="35">
        <f>+'[2]por cuent'!G2691</f>
        <v>6018919.7599999998</v>
      </c>
      <c r="E2691" s="35">
        <f>+'[2]por cuent'!H2691</f>
        <v>6018919.7599999998</v>
      </c>
      <c r="F2691" t="str">
        <f>+'[2]por cuent'!I2691</f>
        <v>765</v>
      </c>
    </row>
    <row r="2692" spans="1:6" x14ac:dyDescent="0.35">
      <c r="A2692" t="str">
        <f>+'[2]por cuent'!A2692</f>
        <v>ARS</v>
      </c>
      <c r="B2692" t="str">
        <f>+'[2]por cuent'!B2692</f>
        <v>765000529</v>
      </c>
      <c r="C2692" t="str">
        <f>+'[2]por cuent'!C2692</f>
        <v>Arias, Gustavo Daniel</v>
      </c>
      <c r="D2692" s="35">
        <f>+'[2]por cuent'!G2692</f>
        <v>17628083.379999999</v>
      </c>
      <c r="E2692" s="35">
        <f>+'[2]por cuent'!H2692</f>
        <v>17628083.379999999</v>
      </c>
      <c r="F2692" t="str">
        <f>+'[2]por cuent'!I2692</f>
        <v>765</v>
      </c>
    </row>
    <row r="2693" spans="1:6" x14ac:dyDescent="0.35">
      <c r="A2693" t="str">
        <f>+'[2]por cuent'!A2693</f>
        <v>ARS</v>
      </c>
      <c r="B2693" t="str">
        <f>+'[2]por cuent'!B2693</f>
        <v>765000531</v>
      </c>
      <c r="C2693" t="str">
        <f>+'[2]por cuent'!C2693</f>
        <v xml:space="preserve">Diciembre, Ariel Adrián </v>
      </c>
      <c r="D2693" s="35">
        <f>+'[2]por cuent'!G2693</f>
        <v>27759695</v>
      </c>
      <c r="E2693" s="35">
        <f>+'[2]por cuent'!H2693</f>
        <v>27759695</v>
      </c>
      <c r="F2693" t="str">
        <f>+'[2]por cuent'!I2693</f>
        <v>765</v>
      </c>
    </row>
    <row r="2694" spans="1:6" x14ac:dyDescent="0.35">
      <c r="A2694" t="str">
        <f>+'[2]por cuent'!A2694</f>
        <v>ARS</v>
      </c>
      <c r="B2694" t="str">
        <f>+'[2]por cuent'!B2694</f>
        <v>765000532</v>
      </c>
      <c r="C2694" t="str">
        <f>+'[2]por cuent'!C2694</f>
        <v>Canepa, Cristian Emilio</v>
      </c>
      <c r="D2694" s="35">
        <f>+'[2]por cuent'!G2694</f>
        <v>103012895.90000001</v>
      </c>
      <c r="E2694" s="35">
        <f>+'[2]por cuent'!H2694</f>
        <v>103012895.90000001</v>
      </c>
      <c r="F2694" t="str">
        <f>+'[2]por cuent'!I2694</f>
        <v>765</v>
      </c>
    </row>
    <row r="2695" spans="1:6" x14ac:dyDescent="0.35">
      <c r="A2695" t="str">
        <f>+'[2]por cuent'!A2695</f>
        <v>ARS</v>
      </c>
      <c r="B2695" t="str">
        <f>+'[2]por cuent'!B2695</f>
        <v>765000535</v>
      </c>
      <c r="C2695" t="str">
        <f>+'[2]por cuent'!C2695</f>
        <v>Soria, Omar Alberto</v>
      </c>
      <c r="D2695" s="35">
        <f>+'[2]por cuent'!G2695</f>
        <v>764664</v>
      </c>
      <c r="E2695" s="35">
        <f>+'[2]por cuent'!H2695</f>
        <v>764664</v>
      </c>
      <c r="F2695" t="str">
        <f>+'[2]por cuent'!I2695</f>
        <v>765</v>
      </c>
    </row>
    <row r="2696" spans="1:6" x14ac:dyDescent="0.35">
      <c r="A2696" t="str">
        <f>+'[2]por cuent'!A2696</f>
        <v>ARS</v>
      </c>
      <c r="B2696" t="str">
        <f>+'[2]por cuent'!B2696</f>
        <v>765000536</v>
      </c>
      <c r="C2696" t="str">
        <f>+'[2]por cuent'!C2696</f>
        <v>RAF EVENTOS SRL</v>
      </c>
      <c r="D2696" s="35">
        <f>+'[2]por cuent'!G2696</f>
        <v>6199450.9699999997</v>
      </c>
      <c r="E2696" s="35">
        <f>+'[2]por cuent'!H2696</f>
        <v>6199450.9699999997</v>
      </c>
      <c r="F2696" t="str">
        <f>+'[2]por cuent'!I2696</f>
        <v>765</v>
      </c>
    </row>
    <row r="2697" spans="1:6" x14ac:dyDescent="0.35">
      <c r="A2697" t="str">
        <f>+'[2]por cuent'!A2697</f>
        <v>ARS</v>
      </c>
      <c r="B2697" t="str">
        <f>+'[2]por cuent'!B2697</f>
        <v>765000537</v>
      </c>
      <c r="C2697" t="str">
        <f>+'[2]por cuent'!C2697</f>
        <v>Perisutti, Diego Daniel</v>
      </c>
      <c r="D2697" s="35">
        <f>+'[2]por cuent'!G2697</f>
        <v>1172748.3</v>
      </c>
      <c r="E2697" s="35">
        <f>+'[2]por cuent'!H2697</f>
        <v>1172748.3</v>
      </c>
      <c r="F2697" t="str">
        <f>+'[2]por cuent'!I2697</f>
        <v>765</v>
      </c>
    </row>
    <row r="2698" spans="1:6" x14ac:dyDescent="0.35">
      <c r="A2698" t="str">
        <f>+'[2]por cuent'!A2698</f>
        <v>ARS</v>
      </c>
      <c r="B2698" t="str">
        <f>+'[2]por cuent'!B2698</f>
        <v>765000539</v>
      </c>
      <c r="C2698" t="str">
        <f>+'[2]por cuent'!C2698</f>
        <v>Morello, Luciano Jesus</v>
      </c>
      <c r="D2698" s="35">
        <f>+'[2]por cuent'!G2698</f>
        <v>6047910.5</v>
      </c>
      <c r="E2698" s="35">
        <f>+'[2]por cuent'!H2698</f>
        <v>6047910.5</v>
      </c>
      <c r="F2698" t="str">
        <f>+'[2]por cuent'!I2698</f>
        <v>765</v>
      </c>
    </row>
    <row r="2699" spans="1:6" x14ac:dyDescent="0.35">
      <c r="A2699" t="str">
        <f>+'[2]por cuent'!A2699</f>
        <v>ARS</v>
      </c>
      <c r="B2699" t="str">
        <f>+'[2]por cuent'!B2699</f>
        <v>765000540</v>
      </c>
      <c r="C2699" t="str">
        <f>+'[2]por cuent'!C2699</f>
        <v xml:space="preserve">Lombardo, Mariano Daniel </v>
      </c>
      <c r="D2699" s="35">
        <f>+'[2]por cuent'!G2699</f>
        <v>6456506.4400000004</v>
      </c>
      <c r="E2699" s="35">
        <f>+'[2]por cuent'!H2699</f>
        <v>6456506.4400000004</v>
      </c>
      <c r="F2699" t="str">
        <f>+'[2]por cuent'!I2699</f>
        <v>765</v>
      </c>
    </row>
    <row r="2700" spans="1:6" x14ac:dyDescent="0.35">
      <c r="A2700" t="str">
        <f>+'[2]por cuent'!A2700</f>
        <v>ARS</v>
      </c>
      <c r="B2700" t="str">
        <f>+'[2]por cuent'!B2700</f>
        <v>765000542</v>
      </c>
      <c r="C2700" t="str">
        <f>+'[2]por cuent'!C2700</f>
        <v>Figueredo, Paul</v>
      </c>
      <c r="D2700" s="35">
        <f>+'[2]por cuent'!G2700</f>
        <v>2682565.7999999998</v>
      </c>
      <c r="E2700" s="35">
        <f>+'[2]por cuent'!H2700</f>
        <v>2682565.7999999998</v>
      </c>
      <c r="F2700" t="str">
        <f>+'[2]por cuent'!I2700</f>
        <v>765</v>
      </c>
    </row>
    <row r="2701" spans="1:6" x14ac:dyDescent="0.35">
      <c r="A2701" t="str">
        <f>+'[2]por cuent'!A2701</f>
        <v>ARS</v>
      </c>
      <c r="B2701" t="str">
        <f>+'[2]por cuent'!B2701</f>
        <v>765000546</v>
      </c>
      <c r="C2701" t="str">
        <f>+'[2]por cuent'!C2701</f>
        <v>Murzyla, Fabian Antonio</v>
      </c>
      <c r="D2701" s="35">
        <f>+'[2]por cuent'!G2701</f>
        <v>55837417.729999997</v>
      </c>
      <c r="E2701" s="35">
        <f>+'[2]por cuent'!H2701</f>
        <v>55837417.729999997</v>
      </c>
      <c r="F2701" t="str">
        <f>+'[2]por cuent'!I2701</f>
        <v>765</v>
      </c>
    </row>
    <row r="2702" spans="1:6" x14ac:dyDescent="0.35">
      <c r="A2702" t="str">
        <f>+'[2]por cuent'!A2702</f>
        <v>ARS</v>
      </c>
      <c r="B2702" t="str">
        <f>+'[2]por cuent'!B2702</f>
        <v>765000549</v>
      </c>
      <c r="C2702" t="str">
        <f>+'[2]por cuent'!C2702</f>
        <v>Surace, Nerina Flavia</v>
      </c>
      <c r="D2702" s="35">
        <f>+'[2]por cuent'!G2702</f>
        <v>3806851.2</v>
      </c>
      <c r="E2702" s="35">
        <f>+'[2]por cuent'!H2702</f>
        <v>3806851.2</v>
      </c>
      <c r="F2702" t="str">
        <f>+'[2]por cuent'!I2702</f>
        <v>765</v>
      </c>
    </row>
    <row r="2703" spans="1:6" x14ac:dyDescent="0.35">
      <c r="A2703" t="str">
        <f>+'[2]por cuent'!A2703</f>
        <v>ARS</v>
      </c>
      <c r="B2703" t="str">
        <f>+'[2]por cuent'!B2703</f>
        <v>765000552</v>
      </c>
      <c r="C2703" t="str">
        <f>+'[2]por cuent'!C2703</f>
        <v>Torres, Pablo Jose</v>
      </c>
      <c r="D2703" s="35">
        <f>+'[2]por cuent'!G2703</f>
        <v>10881646.939999999</v>
      </c>
      <c r="E2703" s="35">
        <f>+'[2]por cuent'!H2703</f>
        <v>10881646.939999999</v>
      </c>
      <c r="F2703" t="str">
        <f>+'[2]por cuent'!I2703</f>
        <v>765</v>
      </c>
    </row>
    <row r="2704" spans="1:6" x14ac:dyDescent="0.35">
      <c r="A2704" t="str">
        <f>+'[2]por cuent'!A2704</f>
        <v>ARS</v>
      </c>
      <c r="B2704" t="str">
        <f>+'[2]por cuent'!B2704</f>
        <v>765000553</v>
      </c>
      <c r="C2704" t="str">
        <f>+'[2]por cuent'!C2704</f>
        <v>Boasso, Maria Victoria</v>
      </c>
      <c r="D2704" s="35">
        <f>+'[2]por cuent'!G2704</f>
        <v>962986.73</v>
      </c>
      <c r="E2704" s="35">
        <f>+'[2]por cuent'!H2704</f>
        <v>962986.73</v>
      </c>
      <c r="F2704" t="str">
        <f>+'[2]por cuent'!I2704</f>
        <v>765</v>
      </c>
    </row>
    <row r="2705" spans="1:6" x14ac:dyDescent="0.35">
      <c r="A2705" t="str">
        <f>+'[2]por cuent'!A2705</f>
        <v>ARS</v>
      </c>
      <c r="B2705" t="str">
        <f>+'[2]por cuent'!B2705</f>
        <v>765000554</v>
      </c>
      <c r="C2705" t="str">
        <f>+'[2]por cuent'!C2705</f>
        <v>Torne, Joaquin Jose</v>
      </c>
      <c r="D2705" s="35">
        <f>+'[2]por cuent'!G2705</f>
        <v>1016419.37</v>
      </c>
      <c r="E2705" s="35">
        <f>+'[2]por cuent'!H2705</f>
        <v>1016419.37</v>
      </c>
      <c r="F2705" t="str">
        <f>+'[2]por cuent'!I2705</f>
        <v>765</v>
      </c>
    </row>
    <row r="2706" spans="1:6" x14ac:dyDescent="0.35">
      <c r="A2706" t="str">
        <f>+'[2]por cuent'!A2706</f>
        <v>ARS</v>
      </c>
      <c r="B2706" t="str">
        <f>+'[2]por cuent'!B2706</f>
        <v>765000555</v>
      </c>
      <c r="C2706" t="str">
        <f>+'[2]por cuent'!C2706</f>
        <v>Viapiano, Eduardo Andres</v>
      </c>
      <c r="D2706" s="35">
        <f>+'[2]por cuent'!G2706</f>
        <v>4122143.38</v>
      </c>
      <c r="E2706" s="35">
        <f>+'[2]por cuent'!H2706</f>
        <v>4122143.38</v>
      </c>
      <c r="F2706" t="str">
        <f>+'[2]por cuent'!I2706</f>
        <v>765</v>
      </c>
    </row>
    <row r="2707" spans="1:6" x14ac:dyDescent="0.35">
      <c r="A2707" t="str">
        <f>+'[2]por cuent'!A2707</f>
        <v>ARS</v>
      </c>
      <c r="B2707" t="str">
        <f>+'[2]por cuent'!B2707</f>
        <v>765000556</v>
      </c>
      <c r="C2707" t="str">
        <f>+'[2]por cuent'!C2707</f>
        <v>Garro, Maria Belen</v>
      </c>
      <c r="D2707" s="35">
        <f>+'[2]por cuent'!G2707</f>
        <v>43401</v>
      </c>
      <c r="E2707" s="35">
        <f>+'[2]por cuent'!H2707</f>
        <v>43401</v>
      </c>
      <c r="F2707" t="str">
        <f>+'[2]por cuent'!I2707</f>
        <v>765</v>
      </c>
    </row>
    <row r="2708" spans="1:6" x14ac:dyDescent="0.35">
      <c r="A2708" t="str">
        <f>+'[2]por cuent'!A2708</f>
        <v>ARS</v>
      </c>
      <c r="B2708" t="str">
        <f>+'[2]por cuent'!B2708</f>
        <v>765000557</v>
      </c>
      <c r="C2708" t="str">
        <f>+'[2]por cuent'!C2708</f>
        <v>Celotti, Ignacio</v>
      </c>
      <c r="D2708" s="35">
        <f>+'[2]por cuent'!G2708</f>
        <v>12363855.279999999</v>
      </c>
      <c r="E2708" s="35">
        <f>+'[2]por cuent'!H2708</f>
        <v>12363855.279999999</v>
      </c>
      <c r="F2708" t="str">
        <f>+'[2]por cuent'!I2708</f>
        <v>765</v>
      </c>
    </row>
    <row r="2709" spans="1:6" x14ac:dyDescent="0.35">
      <c r="A2709" t="str">
        <f>+'[2]por cuent'!A2709</f>
        <v>ARS</v>
      </c>
      <c r="B2709" t="str">
        <f>+'[2]por cuent'!B2709</f>
        <v>765000558</v>
      </c>
      <c r="C2709" t="str">
        <f>+'[2]por cuent'!C2709</f>
        <v>Buttice, Ariel Augusto</v>
      </c>
      <c r="D2709" s="35">
        <f>+'[2]por cuent'!G2709</f>
        <v>20025282.010000002</v>
      </c>
      <c r="E2709" s="35">
        <f>+'[2]por cuent'!H2709</f>
        <v>20025282.010000002</v>
      </c>
      <c r="F2709" t="str">
        <f>+'[2]por cuent'!I2709</f>
        <v>765</v>
      </c>
    </row>
    <row r="2710" spans="1:6" x14ac:dyDescent="0.35">
      <c r="A2710" t="str">
        <f>+'[2]por cuent'!A2710</f>
        <v>ARS</v>
      </c>
      <c r="B2710" t="str">
        <f>+'[2]por cuent'!B2710</f>
        <v>765000561</v>
      </c>
      <c r="C2710" t="str">
        <f>+'[2]por cuent'!C2710</f>
        <v>Nonino, María Guadalupe</v>
      </c>
      <c r="D2710" s="35">
        <f>+'[2]por cuent'!G2710</f>
        <v>57986506.600000001</v>
      </c>
      <c r="E2710" s="35">
        <f>+'[2]por cuent'!H2710</f>
        <v>57986506.600000001</v>
      </c>
      <c r="F2710" t="str">
        <f>+'[2]por cuent'!I2710</f>
        <v>765</v>
      </c>
    </row>
    <row r="2711" spans="1:6" x14ac:dyDescent="0.35">
      <c r="A2711" t="str">
        <f>+'[2]por cuent'!A2711</f>
        <v>ARS</v>
      </c>
      <c r="B2711" t="str">
        <f>+'[2]por cuent'!B2711</f>
        <v>765000563</v>
      </c>
      <c r="C2711" t="str">
        <f>+'[2]por cuent'!C2711</f>
        <v>Farruggio, Cristina Soledad</v>
      </c>
      <c r="D2711" s="35">
        <f>+'[2]por cuent'!G2711</f>
        <v>2031050.5</v>
      </c>
      <c r="E2711" s="35">
        <f>+'[2]por cuent'!H2711</f>
        <v>2031050.5</v>
      </c>
      <c r="F2711" t="str">
        <f>+'[2]por cuent'!I2711</f>
        <v>765</v>
      </c>
    </row>
    <row r="2712" spans="1:6" x14ac:dyDescent="0.35">
      <c r="A2712" t="str">
        <f>+'[2]por cuent'!A2712</f>
        <v>ARS</v>
      </c>
      <c r="B2712" t="str">
        <f>+'[2]por cuent'!B2712</f>
        <v>765000564</v>
      </c>
      <c r="C2712" t="str">
        <f>+'[2]por cuent'!C2712</f>
        <v>Sequeira, Agustin Pablo</v>
      </c>
      <c r="D2712" s="35">
        <f>+'[2]por cuent'!G2712</f>
        <v>7194306.5899999999</v>
      </c>
      <c r="E2712" s="35">
        <f>+'[2]por cuent'!H2712</f>
        <v>7194306.5899999999</v>
      </c>
      <c r="F2712" t="str">
        <f>+'[2]por cuent'!I2712</f>
        <v>765</v>
      </c>
    </row>
    <row r="2713" spans="1:6" x14ac:dyDescent="0.35">
      <c r="A2713" t="str">
        <f>+'[2]por cuent'!A2713</f>
        <v>ARS</v>
      </c>
      <c r="B2713" t="str">
        <f>+'[2]por cuent'!B2713</f>
        <v>765000565</v>
      </c>
      <c r="C2713" t="str">
        <f>+'[2]por cuent'!C2713</f>
        <v>Aguilera, Mariano</v>
      </c>
      <c r="D2713" s="35">
        <f>+'[2]por cuent'!G2713</f>
        <v>1341002.83</v>
      </c>
      <c r="E2713" s="35">
        <f>+'[2]por cuent'!H2713</f>
        <v>1341002.83</v>
      </c>
      <c r="F2713" t="str">
        <f>+'[2]por cuent'!I2713</f>
        <v>765</v>
      </c>
    </row>
    <row r="2714" spans="1:6" x14ac:dyDescent="0.35">
      <c r="A2714" t="str">
        <f>+'[2]por cuent'!A2714</f>
        <v>ARS</v>
      </c>
      <c r="B2714" t="str">
        <f>+'[2]por cuent'!B2714</f>
        <v>765000568</v>
      </c>
      <c r="C2714" t="str">
        <f>+'[2]por cuent'!C2714</f>
        <v>Cruz Joya, Luisina Araceli</v>
      </c>
      <c r="D2714" s="35">
        <f>+'[2]por cuent'!G2714</f>
        <v>961132.92</v>
      </c>
      <c r="E2714" s="35">
        <f>+'[2]por cuent'!H2714</f>
        <v>961132.92</v>
      </c>
      <c r="F2714" t="str">
        <f>+'[2]por cuent'!I2714</f>
        <v>765</v>
      </c>
    </row>
    <row r="2715" spans="1:6" x14ac:dyDescent="0.35">
      <c r="A2715" t="str">
        <f>+'[2]por cuent'!A2715</f>
        <v>ARS</v>
      </c>
      <c r="B2715" t="str">
        <f>+'[2]por cuent'!B2715</f>
        <v>765000570</v>
      </c>
      <c r="C2715" t="str">
        <f>+'[2]por cuent'!C2715</f>
        <v>Gudel, Diego Hernan</v>
      </c>
      <c r="D2715" s="35">
        <f>+'[2]por cuent'!G2715</f>
        <v>1095348.07</v>
      </c>
      <c r="E2715" s="35">
        <f>+'[2]por cuent'!H2715</f>
        <v>1095348.07</v>
      </c>
      <c r="F2715" t="str">
        <f>+'[2]por cuent'!I2715</f>
        <v>765</v>
      </c>
    </row>
    <row r="2716" spans="1:6" x14ac:dyDescent="0.35">
      <c r="A2716" t="str">
        <f>+'[2]por cuent'!A2716</f>
        <v>ARS</v>
      </c>
      <c r="B2716" t="str">
        <f>+'[2]por cuent'!B2716</f>
        <v>765000571</v>
      </c>
      <c r="C2716" t="str">
        <f>+'[2]por cuent'!C2716</f>
        <v>Iglesias, Micaela Maria</v>
      </c>
      <c r="D2716" s="35">
        <f>+'[2]por cuent'!G2716</f>
        <v>417017</v>
      </c>
      <c r="E2716" s="35">
        <f>+'[2]por cuent'!H2716</f>
        <v>417017</v>
      </c>
      <c r="F2716" t="str">
        <f>+'[2]por cuent'!I2716</f>
        <v>765</v>
      </c>
    </row>
    <row r="2717" spans="1:6" x14ac:dyDescent="0.35">
      <c r="A2717" t="str">
        <f>+'[2]por cuent'!A2717</f>
        <v>ARS</v>
      </c>
      <c r="B2717" t="str">
        <f>+'[2]por cuent'!B2717</f>
        <v>765000572</v>
      </c>
      <c r="C2717" t="str">
        <f>+'[2]por cuent'!C2717</f>
        <v>Delorenzi, Martin Hector</v>
      </c>
      <c r="D2717" s="35">
        <f>+'[2]por cuent'!G2717</f>
        <v>2033758.77</v>
      </c>
      <c r="E2717" s="35">
        <f>+'[2]por cuent'!H2717</f>
        <v>2033758.77</v>
      </c>
      <c r="F2717" t="str">
        <f>+'[2]por cuent'!I2717</f>
        <v>765</v>
      </c>
    </row>
    <row r="2718" spans="1:6" x14ac:dyDescent="0.35">
      <c r="A2718" t="str">
        <f>+'[2]por cuent'!A2718</f>
        <v>ARS</v>
      </c>
      <c r="B2718" t="str">
        <f>+'[2]por cuent'!B2718</f>
        <v>765000573</v>
      </c>
      <c r="C2718" t="str">
        <f>+'[2]por cuent'!C2718</f>
        <v xml:space="preserve">Bosio, Adriana </v>
      </c>
      <c r="D2718" s="35">
        <f>+'[2]por cuent'!G2718</f>
        <v>851060.55</v>
      </c>
      <c r="E2718" s="35">
        <f>+'[2]por cuent'!H2718</f>
        <v>851060.55</v>
      </c>
      <c r="F2718" t="str">
        <f>+'[2]por cuent'!I2718</f>
        <v>765</v>
      </c>
    </row>
    <row r="2719" spans="1:6" x14ac:dyDescent="0.35">
      <c r="A2719" t="str">
        <f>+'[2]por cuent'!A2719</f>
        <v>ARS</v>
      </c>
      <c r="B2719" t="str">
        <f>+'[2]por cuent'!B2719</f>
        <v>765000574</v>
      </c>
      <c r="C2719" t="str">
        <f>+'[2]por cuent'!C2719</f>
        <v>Tosetti, Fernando Luis</v>
      </c>
      <c r="D2719" s="35">
        <f>+'[2]por cuent'!G2719</f>
        <v>3525321.37</v>
      </c>
      <c r="E2719" s="35">
        <f>+'[2]por cuent'!H2719</f>
        <v>3525321.37</v>
      </c>
      <c r="F2719" t="str">
        <f>+'[2]por cuent'!I2719</f>
        <v>765</v>
      </c>
    </row>
    <row r="2720" spans="1:6" x14ac:dyDescent="0.35">
      <c r="A2720" t="str">
        <f>+'[2]por cuent'!A2720</f>
        <v>ARS</v>
      </c>
      <c r="B2720" t="str">
        <f>+'[2]por cuent'!B2720</f>
        <v>765000577</v>
      </c>
      <c r="C2720" t="str">
        <f>+'[2]por cuent'!C2720</f>
        <v>Giaime, Santiago Luis</v>
      </c>
      <c r="D2720" s="35">
        <f>+'[2]por cuent'!G2720</f>
        <v>166972.84</v>
      </c>
      <c r="E2720" s="35">
        <f>+'[2]por cuent'!H2720</f>
        <v>166972.84</v>
      </c>
      <c r="F2720" t="str">
        <f>+'[2]por cuent'!I2720</f>
        <v>765</v>
      </c>
    </row>
    <row r="2721" spans="1:6" x14ac:dyDescent="0.35">
      <c r="A2721" t="str">
        <f>+'[2]por cuent'!A2721</f>
        <v>ARS</v>
      </c>
      <c r="B2721" t="str">
        <f>+'[2]por cuent'!B2721</f>
        <v>765000581</v>
      </c>
      <c r="C2721" t="str">
        <f>+'[2]por cuent'!C2721</f>
        <v>Manias, Juan Santiago</v>
      </c>
      <c r="D2721" s="35">
        <f>+'[2]por cuent'!G2721</f>
        <v>521978.44</v>
      </c>
      <c r="E2721" s="35">
        <f>+'[2]por cuent'!H2721</f>
        <v>521978.44</v>
      </c>
      <c r="F2721" t="str">
        <f>+'[2]por cuent'!I2721</f>
        <v>765</v>
      </c>
    </row>
    <row r="2722" spans="1:6" x14ac:dyDescent="0.35">
      <c r="A2722" t="str">
        <f>+'[2]por cuent'!A2722</f>
        <v>ARS</v>
      </c>
      <c r="B2722" t="str">
        <f>+'[2]por cuent'!B2722</f>
        <v>765000582</v>
      </c>
      <c r="C2722" t="str">
        <f>+'[2]por cuent'!C2722</f>
        <v>MARIA BELEN, MANSILLA</v>
      </c>
      <c r="D2722" s="35">
        <f>+'[2]por cuent'!G2722</f>
        <v>64278228.100000001</v>
      </c>
      <c r="E2722" s="35">
        <f>+'[2]por cuent'!H2722</f>
        <v>64278228.100000001</v>
      </c>
      <c r="F2722" t="str">
        <f>+'[2]por cuent'!I2722</f>
        <v>765</v>
      </c>
    </row>
    <row r="2723" spans="1:6" x14ac:dyDescent="0.35">
      <c r="A2723" t="str">
        <f>+'[2]por cuent'!A2723</f>
        <v>ARS</v>
      </c>
      <c r="B2723" t="str">
        <f>+'[2]por cuent'!B2723</f>
        <v>765000588</v>
      </c>
      <c r="C2723" t="str">
        <f>+'[2]por cuent'!C2723</f>
        <v>Bianco, Luciano Andres</v>
      </c>
      <c r="D2723" s="35">
        <f>+'[2]por cuent'!G2723</f>
        <v>58974918.869999997</v>
      </c>
      <c r="E2723" s="35">
        <f>+'[2]por cuent'!H2723</f>
        <v>58974918.869999997</v>
      </c>
      <c r="F2723" t="str">
        <f>+'[2]por cuent'!I2723</f>
        <v>765</v>
      </c>
    </row>
    <row r="2724" spans="1:6" x14ac:dyDescent="0.35">
      <c r="A2724" t="str">
        <f>+'[2]por cuent'!A2724</f>
        <v>ARS</v>
      </c>
      <c r="B2724" t="str">
        <f>+'[2]por cuent'!B2724</f>
        <v>765000589</v>
      </c>
      <c r="C2724" t="str">
        <f>+'[2]por cuent'!C2724</f>
        <v>Celotti, Claudio Jose</v>
      </c>
      <c r="D2724" s="35">
        <f>+'[2]por cuent'!G2724</f>
        <v>14540811.939999999</v>
      </c>
      <c r="E2724" s="35">
        <f>+'[2]por cuent'!H2724</f>
        <v>14540811.939999999</v>
      </c>
      <c r="F2724" t="str">
        <f>+'[2]por cuent'!I2724</f>
        <v>765</v>
      </c>
    </row>
    <row r="2725" spans="1:6" x14ac:dyDescent="0.35">
      <c r="A2725" t="str">
        <f>+'[2]por cuent'!A2725</f>
        <v>ARS</v>
      </c>
      <c r="B2725" t="str">
        <f>+'[2]por cuent'!B2725</f>
        <v>765000590</v>
      </c>
      <c r="C2725" t="str">
        <f>+'[2]por cuent'!C2725</f>
        <v>Demaria, Leonardo Orlando</v>
      </c>
      <c r="D2725" s="35">
        <f>+'[2]por cuent'!G2725</f>
        <v>20933573.059999999</v>
      </c>
      <c r="E2725" s="35">
        <f>+'[2]por cuent'!H2725</f>
        <v>20933573.059999999</v>
      </c>
      <c r="F2725" t="str">
        <f>+'[2]por cuent'!I2725</f>
        <v>765</v>
      </c>
    </row>
    <row r="2726" spans="1:6" x14ac:dyDescent="0.35">
      <c r="A2726" t="str">
        <f>+'[2]por cuent'!A2726</f>
        <v>ARS</v>
      </c>
      <c r="B2726" t="str">
        <f>+'[2]por cuent'!B2726</f>
        <v>765000591</v>
      </c>
      <c r="C2726" t="str">
        <f>+'[2]por cuent'!C2726</f>
        <v>Prus, Maria Ines</v>
      </c>
      <c r="D2726" s="35">
        <f>+'[2]por cuent'!G2726</f>
        <v>22789115.800000001</v>
      </c>
      <c r="E2726" s="35">
        <f>+'[2]por cuent'!H2726</f>
        <v>22789115.800000001</v>
      </c>
      <c r="F2726" t="str">
        <f>+'[2]por cuent'!I2726</f>
        <v>765</v>
      </c>
    </row>
    <row r="2727" spans="1:6" x14ac:dyDescent="0.35">
      <c r="A2727" t="str">
        <f>+'[2]por cuent'!A2727</f>
        <v>ARS</v>
      </c>
      <c r="B2727" t="str">
        <f>+'[2]por cuent'!B2727</f>
        <v>765000593</v>
      </c>
      <c r="C2727" t="str">
        <f>+'[2]por cuent'!C2727</f>
        <v>Melano, Ivan Luis</v>
      </c>
      <c r="D2727" s="35">
        <f>+'[2]por cuent'!G2727</f>
        <v>1155646.44</v>
      </c>
      <c r="E2727" s="35">
        <f>+'[2]por cuent'!H2727</f>
        <v>1155646.44</v>
      </c>
      <c r="F2727" t="str">
        <f>+'[2]por cuent'!I2727</f>
        <v>765</v>
      </c>
    </row>
    <row r="2728" spans="1:6" x14ac:dyDescent="0.35">
      <c r="A2728" t="str">
        <f>+'[2]por cuent'!A2728</f>
        <v>ARS</v>
      </c>
      <c r="B2728" t="str">
        <f>+'[2]por cuent'!B2728</f>
        <v>765000594</v>
      </c>
      <c r="C2728" t="str">
        <f>+'[2]por cuent'!C2728</f>
        <v>Mayolini, Enzo Horacio</v>
      </c>
      <c r="D2728" s="35">
        <f>+'[2]por cuent'!G2728</f>
        <v>3512958.96</v>
      </c>
      <c r="E2728" s="35">
        <f>+'[2]por cuent'!H2728</f>
        <v>3512958.96</v>
      </c>
      <c r="F2728" t="str">
        <f>+'[2]por cuent'!I2728</f>
        <v>765</v>
      </c>
    </row>
    <row r="2729" spans="1:6" x14ac:dyDescent="0.35">
      <c r="A2729" t="str">
        <f>+'[2]por cuent'!A2729</f>
        <v>ARS</v>
      </c>
      <c r="B2729" t="str">
        <f>+'[2]por cuent'!B2729</f>
        <v>765000595</v>
      </c>
      <c r="C2729" t="str">
        <f>+'[2]por cuent'!C2729</f>
        <v>Galletta, Santo Gaudencio</v>
      </c>
      <c r="D2729" s="35">
        <f>+'[2]por cuent'!G2729</f>
        <v>10034280.1</v>
      </c>
      <c r="E2729" s="35">
        <f>+'[2]por cuent'!H2729</f>
        <v>10034280.1</v>
      </c>
      <c r="F2729" t="str">
        <f>+'[2]por cuent'!I2729</f>
        <v>765</v>
      </c>
    </row>
    <row r="2730" spans="1:6" x14ac:dyDescent="0.35">
      <c r="A2730" t="str">
        <f>+'[2]por cuent'!A2730</f>
        <v>ARS</v>
      </c>
      <c r="B2730" t="str">
        <f>+'[2]por cuent'!B2730</f>
        <v>765000596</v>
      </c>
      <c r="C2730" t="str">
        <f>+'[2]por cuent'!C2730</f>
        <v>Ramello, Veronica Gabriela</v>
      </c>
      <c r="D2730" s="35">
        <f>+'[2]por cuent'!G2730</f>
        <v>1799220</v>
      </c>
      <c r="E2730" s="35">
        <f>+'[2]por cuent'!H2730</f>
        <v>1799220</v>
      </c>
      <c r="F2730" t="str">
        <f>+'[2]por cuent'!I2730</f>
        <v>765</v>
      </c>
    </row>
    <row r="2731" spans="1:6" x14ac:dyDescent="0.35">
      <c r="A2731" t="str">
        <f>+'[2]por cuent'!A2731</f>
        <v>ARS</v>
      </c>
      <c r="B2731" t="str">
        <f>+'[2]por cuent'!B2731</f>
        <v>765000597</v>
      </c>
      <c r="C2731" t="str">
        <f>+'[2]por cuent'!C2731</f>
        <v>Loyola Olea, Felipe Ignacio</v>
      </c>
      <c r="D2731" s="35">
        <f>+'[2]por cuent'!G2731</f>
        <v>3543019.24</v>
      </c>
      <c r="E2731" s="35">
        <f>+'[2]por cuent'!H2731</f>
        <v>3543019.24</v>
      </c>
      <c r="F2731" t="str">
        <f>+'[2]por cuent'!I2731</f>
        <v>765</v>
      </c>
    </row>
    <row r="2732" spans="1:6" x14ac:dyDescent="0.35">
      <c r="A2732" t="str">
        <f>+'[2]por cuent'!A2732</f>
        <v>ARS</v>
      </c>
      <c r="B2732" t="str">
        <f>+'[2]por cuent'!B2732</f>
        <v>765000605</v>
      </c>
      <c r="C2732" t="str">
        <f>+'[2]por cuent'!C2732</f>
        <v>Pizarro, Julian</v>
      </c>
      <c r="D2732" s="35">
        <f>+'[2]por cuent'!G2732</f>
        <v>29303712.079999998</v>
      </c>
      <c r="E2732" s="35">
        <f>+'[2]por cuent'!H2732</f>
        <v>29303712.079999998</v>
      </c>
      <c r="F2732" t="str">
        <f>+'[2]por cuent'!I2732</f>
        <v>765</v>
      </c>
    </row>
    <row r="2733" spans="1:6" x14ac:dyDescent="0.35">
      <c r="A2733" t="str">
        <f>+'[2]por cuent'!A2733</f>
        <v>ARS</v>
      </c>
      <c r="B2733" t="str">
        <f>+'[2]por cuent'!B2733</f>
        <v>765000606</v>
      </c>
      <c r="C2733" t="str">
        <f>+'[2]por cuent'!C2733</f>
        <v>[C.E.R.A] Busso Fernando Javier</v>
      </c>
      <c r="D2733" s="35">
        <f>+'[2]por cuent'!G2733</f>
        <v>599653.6</v>
      </c>
      <c r="E2733" s="35">
        <f>+'[2]por cuent'!H2733</f>
        <v>599653.6</v>
      </c>
      <c r="F2733" t="str">
        <f>+'[2]por cuent'!I2733</f>
        <v>765</v>
      </c>
    </row>
    <row r="2734" spans="1:6" x14ac:dyDescent="0.35">
      <c r="A2734" t="str">
        <f>+'[2]por cuent'!A2734</f>
        <v>ARS</v>
      </c>
      <c r="B2734" t="str">
        <f>+'[2]por cuent'!B2734</f>
        <v>765000608</v>
      </c>
      <c r="C2734" t="str">
        <f>+'[2]por cuent'!C2734</f>
        <v>Guerrero, Mariela Paola</v>
      </c>
      <c r="D2734" s="35">
        <f>+'[2]por cuent'!G2734</f>
        <v>133076.67000000001</v>
      </c>
      <c r="E2734" s="35">
        <f>+'[2]por cuent'!H2734</f>
        <v>133076.67000000001</v>
      </c>
      <c r="F2734" t="str">
        <f>+'[2]por cuent'!I2734</f>
        <v>765</v>
      </c>
    </row>
    <row r="2735" spans="1:6" x14ac:dyDescent="0.35">
      <c r="A2735" t="str">
        <f>+'[2]por cuent'!A2735</f>
        <v>ARS</v>
      </c>
      <c r="B2735" t="str">
        <f>+'[2]por cuent'!B2735</f>
        <v>765000609</v>
      </c>
      <c r="C2735" t="str">
        <f>+'[2]por cuent'!C2735</f>
        <v>Quevedo, Fernando Hector</v>
      </c>
      <c r="D2735" s="35">
        <f>+'[2]por cuent'!G2735</f>
        <v>16204.6</v>
      </c>
      <c r="E2735" s="35">
        <f>+'[2]por cuent'!H2735</f>
        <v>16204.6</v>
      </c>
      <c r="F2735" t="str">
        <f>+'[2]por cuent'!I2735</f>
        <v>765</v>
      </c>
    </row>
    <row r="2736" spans="1:6" x14ac:dyDescent="0.35">
      <c r="A2736" t="str">
        <f>+'[2]por cuent'!A2736</f>
        <v>ARS</v>
      </c>
      <c r="B2736" t="str">
        <f>+'[2]por cuent'!B2736</f>
        <v>765000612</v>
      </c>
      <c r="C2736" t="str">
        <f>+'[2]por cuent'!C2736</f>
        <v>Culasso, Andrea Carla</v>
      </c>
      <c r="D2736" s="35">
        <f>+'[2]por cuent'!G2736</f>
        <v>680165.63</v>
      </c>
      <c r="E2736" s="35">
        <f>+'[2]por cuent'!H2736</f>
        <v>680165.63</v>
      </c>
      <c r="F2736" t="str">
        <f>+'[2]por cuent'!I2736</f>
        <v>765</v>
      </c>
    </row>
    <row r="2737" spans="1:6" x14ac:dyDescent="0.35">
      <c r="A2737" t="str">
        <f>+'[2]por cuent'!A2737</f>
        <v>ARS</v>
      </c>
      <c r="B2737" t="str">
        <f>+'[2]por cuent'!B2737</f>
        <v>765000613</v>
      </c>
      <c r="C2737" t="str">
        <f>+'[2]por cuent'!C2737</f>
        <v>Peysere, Nicolas Naiquen</v>
      </c>
      <c r="D2737" s="35">
        <f>+'[2]por cuent'!G2737</f>
        <v>3337938.46</v>
      </c>
      <c r="E2737" s="35">
        <f>+'[2]por cuent'!H2737</f>
        <v>3337938.46</v>
      </c>
      <c r="F2737" t="str">
        <f>+'[2]por cuent'!I2737</f>
        <v>765</v>
      </c>
    </row>
    <row r="2738" spans="1:6" x14ac:dyDescent="0.35">
      <c r="A2738" t="str">
        <f>+'[2]por cuent'!A2738</f>
        <v>ARS</v>
      </c>
      <c r="B2738" t="str">
        <f>+'[2]por cuent'!B2738</f>
        <v>765000614</v>
      </c>
      <c r="C2738" t="str">
        <f>+'[2]por cuent'!C2738</f>
        <v>Prus, Marcelo Carlos</v>
      </c>
      <c r="D2738" s="35">
        <f>+'[2]por cuent'!G2738</f>
        <v>29726263</v>
      </c>
      <c r="E2738" s="35">
        <f>+'[2]por cuent'!H2738</f>
        <v>29726263</v>
      </c>
      <c r="F2738" t="str">
        <f>+'[2]por cuent'!I2738</f>
        <v>765</v>
      </c>
    </row>
    <row r="2739" spans="1:6" x14ac:dyDescent="0.35">
      <c r="A2739" t="str">
        <f>+'[2]por cuent'!A2739</f>
        <v>ARS</v>
      </c>
      <c r="B2739" t="str">
        <f>+'[2]por cuent'!B2739</f>
        <v>765000616</v>
      </c>
      <c r="C2739" t="str">
        <f>+'[2]por cuent'!C2739</f>
        <v>Alcover, Daniel Adolfo</v>
      </c>
      <c r="D2739" s="35">
        <f>+'[2]por cuent'!G2739</f>
        <v>75538905.739999995</v>
      </c>
      <c r="E2739" s="35">
        <f>+'[2]por cuent'!H2739</f>
        <v>75538905.739999995</v>
      </c>
      <c r="F2739" t="str">
        <f>+'[2]por cuent'!I2739</f>
        <v>765</v>
      </c>
    </row>
    <row r="2740" spans="1:6" x14ac:dyDescent="0.35">
      <c r="A2740" t="str">
        <f>+'[2]por cuent'!A2740</f>
        <v>ARS</v>
      </c>
      <c r="B2740" t="str">
        <f>+'[2]por cuent'!B2740</f>
        <v>765000617</v>
      </c>
      <c r="C2740" t="str">
        <f>+'[2]por cuent'!C2740</f>
        <v>Marionsini, Alejo Humberto</v>
      </c>
      <c r="D2740" s="35">
        <f>+'[2]por cuent'!G2740</f>
        <v>34107195.640000001</v>
      </c>
      <c r="E2740" s="35">
        <f>+'[2]por cuent'!H2740</f>
        <v>34107195.640000001</v>
      </c>
      <c r="F2740" t="str">
        <f>+'[2]por cuent'!I2740</f>
        <v>765</v>
      </c>
    </row>
    <row r="2741" spans="1:6" x14ac:dyDescent="0.35">
      <c r="A2741" t="str">
        <f>+'[2]por cuent'!A2741</f>
        <v>ARS</v>
      </c>
      <c r="B2741" t="str">
        <f>+'[2]por cuent'!B2741</f>
        <v>765000620</v>
      </c>
      <c r="C2741" t="str">
        <f>+'[2]por cuent'!C2741</f>
        <v>Vilanova, Camilo Ramon</v>
      </c>
      <c r="D2741" s="35">
        <f>+'[2]por cuent'!G2741</f>
        <v>56258.93</v>
      </c>
      <c r="E2741" s="35">
        <f>+'[2]por cuent'!H2741</f>
        <v>56258.93</v>
      </c>
      <c r="F2741" t="str">
        <f>+'[2]por cuent'!I2741</f>
        <v>765</v>
      </c>
    </row>
    <row r="2742" spans="1:6" x14ac:dyDescent="0.35">
      <c r="A2742" t="str">
        <f>+'[2]por cuent'!A2742</f>
        <v>ARS</v>
      </c>
      <c r="B2742" t="str">
        <f>+'[2]por cuent'!B2742</f>
        <v>765000623</v>
      </c>
      <c r="C2742" t="str">
        <f>+'[2]por cuent'!C2742</f>
        <v>Rodriguez, Anabella Mariana</v>
      </c>
      <c r="D2742" s="35">
        <f>+'[2]por cuent'!G2742</f>
        <v>10089222.220000001</v>
      </c>
      <c r="E2742" s="35">
        <f>+'[2]por cuent'!H2742</f>
        <v>10089222.220000001</v>
      </c>
      <c r="F2742" t="str">
        <f>+'[2]por cuent'!I2742</f>
        <v>765</v>
      </c>
    </row>
    <row r="2743" spans="1:6" x14ac:dyDescent="0.35">
      <c r="A2743" t="str">
        <f>+'[2]por cuent'!A2743</f>
        <v>ARS</v>
      </c>
      <c r="B2743" t="str">
        <f>+'[2]por cuent'!B2743</f>
        <v>765000625</v>
      </c>
      <c r="C2743" t="str">
        <f>+'[2]por cuent'!C2743</f>
        <v>Antelo, Sergio Ruben</v>
      </c>
      <c r="D2743" s="35">
        <f>+'[2]por cuent'!G2743</f>
        <v>94530915.379999995</v>
      </c>
      <c r="E2743" s="35">
        <f>+'[2]por cuent'!H2743</f>
        <v>94530915.379999995</v>
      </c>
      <c r="F2743" t="str">
        <f>+'[2]por cuent'!I2743</f>
        <v>765</v>
      </c>
    </row>
    <row r="2744" spans="1:6" x14ac:dyDescent="0.35">
      <c r="A2744" t="str">
        <f>+'[2]por cuent'!A2744</f>
        <v>ARS</v>
      </c>
      <c r="B2744" t="str">
        <f>+'[2]por cuent'!B2744</f>
        <v>765000626</v>
      </c>
      <c r="C2744" t="str">
        <f>+'[2]por cuent'!C2744</f>
        <v>Marigliano, Analia Veronica</v>
      </c>
      <c r="D2744" s="35">
        <f>+'[2]por cuent'!G2744</f>
        <v>58128814.579999998</v>
      </c>
      <c r="E2744" s="35">
        <f>+'[2]por cuent'!H2744</f>
        <v>58128814.579999998</v>
      </c>
      <c r="F2744" t="str">
        <f>+'[2]por cuent'!I2744</f>
        <v>765</v>
      </c>
    </row>
    <row r="2745" spans="1:6" x14ac:dyDescent="0.35">
      <c r="A2745" t="str">
        <f>+'[2]por cuent'!A2745</f>
        <v>ARS</v>
      </c>
      <c r="B2745" t="str">
        <f>+'[2]por cuent'!B2745</f>
        <v>765000629</v>
      </c>
      <c r="C2745" t="str">
        <f>+'[2]por cuent'!C2745</f>
        <v>Sacovechi, Facundo Jose</v>
      </c>
      <c r="D2745" s="35">
        <f>+'[2]por cuent'!G2745</f>
        <v>58034842.130000003</v>
      </c>
      <c r="E2745" s="35">
        <f>+'[2]por cuent'!H2745</f>
        <v>58034842.130000003</v>
      </c>
      <c r="F2745" t="str">
        <f>+'[2]por cuent'!I2745</f>
        <v>765</v>
      </c>
    </row>
    <row r="2746" spans="1:6" x14ac:dyDescent="0.35">
      <c r="A2746" t="str">
        <f>+'[2]por cuent'!A2746</f>
        <v>ARS</v>
      </c>
      <c r="B2746" t="str">
        <f>+'[2]por cuent'!B2746</f>
        <v>765000630</v>
      </c>
      <c r="C2746" t="str">
        <f>+'[2]por cuent'!C2746</f>
        <v>Bearzotti, Sonia Bibiana</v>
      </c>
      <c r="D2746" s="35">
        <f>+'[2]por cuent'!G2746</f>
        <v>723421.96</v>
      </c>
      <c r="E2746" s="35">
        <f>+'[2]por cuent'!H2746</f>
        <v>723421.96</v>
      </c>
      <c r="F2746" t="str">
        <f>+'[2]por cuent'!I2746</f>
        <v>765</v>
      </c>
    </row>
    <row r="2747" spans="1:6" x14ac:dyDescent="0.35">
      <c r="A2747" t="str">
        <f>+'[2]por cuent'!A2747</f>
        <v>ARS</v>
      </c>
      <c r="B2747" t="str">
        <f>+'[2]por cuent'!B2747</f>
        <v>765000632</v>
      </c>
      <c r="C2747" t="str">
        <f>+'[2]por cuent'!C2747</f>
        <v>Ruppen, Adrian Dario</v>
      </c>
      <c r="D2747" s="35">
        <f>+'[2]por cuent'!G2747</f>
        <v>9746467.9700000007</v>
      </c>
      <c r="E2747" s="35">
        <f>+'[2]por cuent'!H2747</f>
        <v>9746467.9700000007</v>
      </c>
      <c r="F2747" t="str">
        <f>+'[2]por cuent'!I2747</f>
        <v>765</v>
      </c>
    </row>
    <row r="2748" spans="1:6" x14ac:dyDescent="0.35">
      <c r="A2748" t="str">
        <f>+'[2]por cuent'!A2748</f>
        <v>ARS</v>
      </c>
      <c r="B2748" t="str">
        <f>+'[2]por cuent'!B2748</f>
        <v>765000634</v>
      </c>
      <c r="C2748" t="str">
        <f>+'[2]por cuent'!C2748</f>
        <v>DE LORENZI, ESTEBAN IGNACIO</v>
      </c>
      <c r="D2748" s="35">
        <f>+'[2]por cuent'!G2748</f>
        <v>44587271.82</v>
      </c>
      <c r="E2748" s="35">
        <f>+'[2]por cuent'!H2748</f>
        <v>44587271.82</v>
      </c>
      <c r="F2748" t="str">
        <f>+'[2]por cuent'!I2748</f>
        <v>765</v>
      </c>
    </row>
    <row r="2749" spans="1:6" x14ac:dyDescent="0.35">
      <c r="A2749" t="str">
        <f>+'[2]por cuent'!A2749</f>
        <v>ARS</v>
      </c>
      <c r="B2749" t="str">
        <f>+'[2]por cuent'!B2749</f>
        <v>765000635</v>
      </c>
      <c r="C2749" t="str">
        <f>+'[2]por cuent'!C2749</f>
        <v>Chialvo, Alfonsina</v>
      </c>
      <c r="D2749" s="35">
        <f>+'[2]por cuent'!G2749</f>
        <v>2226815.38</v>
      </c>
      <c r="E2749" s="35">
        <f>+'[2]por cuent'!H2749</f>
        <v>2226815.38</v>
      </c>
      <c r="F2749" t="str">
        <f>+'[2]por cuent'!I2749</f>
        <v>765</v>
      </c>
    </row>
    <row r="2750" spans="1:6" x14ac:dyDescent="0.35">
      <c r="A2750" t="str">
        <f>+'[2]por cuent'!A2750</f>
        <v>ARS</v>
      </c>
      <c r="B2750" t="str">
        <f>+'[2]por cuent'!B2750</f>
        <v>765000637</v>
      </c>
      <c r="C2750" t="str">
        <f>+'[2]por cuent'!C2750</f>
        <v>Schuhmacher, Martin Enrique</v>
      </c>
      <c r="D2750" s="35">
        <f>+'[2]por cuent'!G2750</f>
        <v>10973980.48</v>
      </c>
      <c r="E2750" s="35">
        <f>+'[2]por cuent'!H2750</f>
        <v>10973980.48</v>
      </c>
      <c r="F2750" t="str">
        <f>+'[2]por cuent'!I2750</f>
        <v>765</v>
      </c>
    </row>
    <row r="2751" spans="1:6" x14ac:dyDescent="0.35">
      <c r="A2751" t="str">
        <f>+'[2]por cuent'!A2751</f>
        <v>ARS</v>
      </c>
      <c r="B2751" t="str">
        <f>+'[2]por cuent'!B2751</f>
        <v>765000638</v>
      </c>
      <c r="C2751" t="str">
        <f>+'[2]por cuent'!C2751</f>
        <v>Mendez, Joel Ernesto</v>
      </c>
      <c r="D2751" s="35">
        <f>+'[2]por cuent'!G2751</f>
        <v>2162341.0699999998</v>
      </c>
      <c r="E2751" s="35">
        <f>+'[2]por cuent'!H2751</f>
        <v>2162341.0699999998</v>
      </c>
      <c r="F2751" t="str">
        <f>+'[2]por cuent'!I2751</f>
        <v>765</v>
      </c>
    </row>
    <row r="2752" spans="1:6" x14ac:dyDescent="0.35">
      <c r="A2752" t="str">
        <f>+'[2]por cuent'!A2752</f>
        <v>ARS</v>
      </c>
      <c r="B2752" t="str">
        <f>+'[2]por cuent'!B2752</f>
        <v>765000639</v>
      </c>
      <c r="C2752" t="str">
        <f>+'[2]por cuent'!C2752</f>
        <v xml:space="preserve">Della Bruna, Marcos Antonio </v>
      </c>
      <c r="D2752" s="35">
        <f>+'[2]por cuent'!G2752</f>
        <v>1184787.5</v>
      </c>
      <c r="E2752" s="35">
        <f>+'[2]por cuent'!H2752</f>
        <v>1184787.5</v>
      </c>
      <c r="F2752" t="str">
        <f>+'[2]por cuent'!I2752</f>
        <v>765</v>
      </c>
    </row>
    <row r="2753" spans="1:6" x14ac:dyDescent="0.35">
      <c r="A2753" t="str">
        <f>+'[2]por cuent'!A2753</f>
        <v>ARS</v>
      </c>
      <c r="B2753" t="str">
        <f>+'[2]por cuent'!B2753</f>
        <v>765000640</v>
      </c>
      <c r="C2753" t="str">
        <f>+'[2]por cuent'!C2753</f>
        <v>Bergamasco, Javier Jesus</v>
      </c>
      <c r="D2753" s="35">
        <f>+'[2]por cuent'!G2753</f>
        <v>20354608.949999999</v>
      </c>
      <c r="E2753" s="35">
        <f>+'[2]por cuent'!H2753</f>
        <v>20354608.949999999</v>
      </c>
      <c r="F2753" t="str">
        <f>+'[2]por cuent'!I2753</f>
        <v>765</v>
      </c>
    </row>
    <row r="2754" spans="1:6" x14ac:dyDescent="0.35">
      <c r="A2754" t="str">
        <f>+'[2]por cuent'!A2754</f>
        <v>ARS</v>
      </c>
      <c r="B2754" t="str">
        <f>+'[2]por cuent'!B2754</f>
        <v>765000641</v>
      </c>
      <c r="C2754" t="str">
        <f>+'[2]por cuent'!C2754</f>
        <v>Perona, Fabian Marcelo</v>
      </c>
      <c r="D2754" s="35">
        <f>+'[2]por cuent'!G2754</f>
        <v>6001488.04</v>
      </c>
      <c r="E2754" s="35">
        <f>+'[2]por cuent'!H2754</f>
        <v>6001488.04</v>
      </c>
      <c r="F2754" t="str">
        <f>+'[2]por cuent'!I2754</f>
        <v>765</v>
      </c>
    </row>
    <row r="2755" spans="1:6" x14ac:dyDescent="0.35">
      <c r="A2755" t="str">
        <f>+'[2]por cuent'!A2755</f>
        <v>ARS</v>
      </c>
      <c r="B2755" t="str">
        <f>+'[2]por cuent'!B2755</f>
        <v>765000643</v>
      </c>
      <c r="C2755" t="str">
        <f>+'[2]por cuent'!C2755</f>
        <v>Tapia Dubournais, Gonzalo Andres</v>
      </c>
      <c r="D2755" s="35">
        <f>+'[2]por cuent'!G2755</f>
        <v>34347833.950000003</v>
      </c>
      <c r="E2755" s="35">
        <f>+'[2]por cuent'!H2755</f>
        <v>34347833.950000003</v>
      </c>
      <c r="F2755" t="str">
        <f>+'[2]por cuent'!I2755</f>
        <v>765</v>
      </c>
    </row>
    <row r="2756" spans="1:6" x14ac:dyDescent="0.35">
      <c r="A2756" t="str">
        <f>+'[2]por cuent'!A2756</f>
        <v>ARS</v>
      </c>
      <c r="B2756" t="str">
        <f>+'[2]por cuent'!B2756</f>
        <v>765000644</v>
      </c>
      <c r="C2756" t="str">
        <f>+'[2]por cuent'!C2756</f>
        <v>Sergent, Shopie Belen Joelle</v>
      </c>
      <c r="D2756" s="35">
        <f>+'[2]por cuent'!G2756</f>
        <v>2984292.57</v>
      </c>
      <c r="E2756" s="35">
        <f>+'[2]por cuent'!H2756</f>
        <v>2984292.57</v>
      </c>
      <c r="F2756" t="str">
        <f>+'[2]por cuent'!I2756</f>
        <v>765</v>
      </c>
    </row>
    <row r="2757" spans="1:6" x14ac:dyDescent="0.35">
      <c r="A2757" t="str">
        <f>+'[2]por cuent'!A2757</f>
        <v>ARS</v>
      </c>
      <c r="B2757" t="str">
        <f>+'[2]por cuent'!B2757</f>
        <v>765000645</v>
      </c>
      <c r="C2757" t="str">
        <f>+'[2]por cuent'!C2757</f>
        <v>Provinciali, Nelci Lujan</v>
      </c>
      <c r="D2757" s="35">
        <f>+'[2]por cuent'!G2757</f>
        <v>215393289.50999999</v>
      </c>
      <c r="E2757" s="35">
        <f>+'[2]por cuent'!H2757</f>
        <v>215393289.50999999</v>
      </c>
      <c r="F2757" t="str">
        <f>+'[2]por cuent'!I2757</f>
        <v>765</v>
      </c>
    </row>
    <row r="2758" spans="1:6" x14ac:dyDescent="0.35">
      <c r="A2758" t="str">
        <f>+'[2]por cuent'!A2758</f>
        <v>ARS</v>
      </c>
      <c r="B2758" t="str">
        <f>+'[2]por cuent'!B2758</f>
        <v>765000646</v>
      </c>
      <c r="C2758" t="str">
        <f>+'[2]por cuent'!C2758</f>
        <v>Di Feo, Sandra del Valle</v>
      </c>
      <c r="D2758" s="35">
        <f>+'[2]por cuent'!G2758</f>
        <v>5507574.3300000001</v>
      </c>
      <c r="E2758" s="35">
        <f>+'[2]por cuent'!H2758</f>
        <v>5507574.3300000001</v>
      </c>
      <c r="F2758" t="str">
        <f>+'[2]por cuent'!I2758</f>
        <v>765</v>
      </c>
    </row>
    <row r="2759" spans="1:6" x14ac:dyDescent="0.35">
      <c r="A2759" t="str">
        <f>+'[2]por cuent'!A2759</f>
        <v>ARS</v>
      </c>
      <c r="B2759" t="str">
        <f>+'[2]por cuent'!B2759</f>
        <v>765000647</v>
      </c>
      <c r="C2759" t="str">
        <f>+'[2]por cuent'!C2759</f>
        <v xml:space="preserve">Pedrana, Lucrecia </v>
      </c>
      <c r="D2759" s="35">
        <f>+'[2]por cuent'!G2759</f>
        <v>742845.77</v>
      </c>
      <c r="E2759" s="35">
        <f>+'[2]por cuent'!H2759</f>
        <v>742845.77</v>
      </c>
      <c r="F2759" t="str">
        <f>+'[2]por cuent'!I2759</f>
        <v>765</v>
      </c>
    </row>
    <row r="2760" spans="1:6" x14ac:dyDescent="0.35">
      <c r="A2760" t="str">
        <f>+'[2]por cuent'!A2760</f>
        <v>ARS</v>
      </c>
      <c r="B2760" t="str">
        <f>+'[2]por cuent'!B2760</f>
        <v>765000650</v>
      </c>
      <c r="C2760" t="str">
        <f>+'[2]por cuent'!C2760</f>
        <v>Priolo, Ludmila Soledad</v>
      </c>
      <c r="D2760" s="35">
        <f>+'[2]por cuent'!G2760</f>
        <v>26383466.829999998</v>
      </c>
      <c r="E2760" s="35">
        <f>+'[2]por cuent'!H2760</f>
        <v>26383466.829999998</v>
      </c>
      <c r="F2760" t="str">
        <f>+'[2]por cuent'!I2760</f>
        <v>765</v>
      </c>
    </row>
    <row r="2761" spans="1:6" x14ac:dyDescent="0.35">
      <c r="A2761" t="str">
        <f>+'[2]por cuent'!A2761</f>
        <v>ARS</v>
      </c>
      <c r="B2761" t="str">
        <f>+'[2]por cuent'!B2761</f>
        <v>765000652</v>
      </c>
      <c r="C2761" t="str">
        <f>+'[2]por cuent'!C2761</f>
        <v>Bovo,  Jorge Alberto</v>
      </c>
      <c r="D2761" s="35">
        <f>+'[2]por cuent'!G2761</f>
        <v>49539819.390000001</v>
      </c>
      <c r="E2761" s="35">
        <f>+'[2]por cuent'!H2761</f>
        <v>49539819.390000001</v>
      </c>
      <c r="F2761" t="str">
        <f>+'[2]por cuent'!I2761</f>
        <v>765</v>
      </c>
    </row>
    <row r="2762" spans="1:6" x14ac:dyDescent="0.35">
      <c r="A2762" t="str">
        <f>+'[2]por cuent'!A2762</f>
        <v>ARS</v>
      </c>
      <c r="B2762" t="str">
        <f>+'[2]por cuent'!B2762</f>
        <v>765000655</v>
      </c>
      <c r="C2762" t="str">
        <f>+'[2]por cuent'!C2762</f>
        <v>Baeza Baeza, Claudio Andrés</v>
      </c>
      <c r="D2762" s="35">
        <f>+'[2]por cuent'!G2762</f>
        <v>68418157.849999994</v>
      </c>
      <c r="E2762" s="35">
        <f>+'[2]por cuent'!H2762</f>
        <v>68418157.849999994</v>
      </c>
      <c r="F2762" t="str">
        <f>+'[2]por cuent'!I2762</f>
        <v>765</v>
      </c>
    </row>
    <row r="2763" spans="1:6" x14ac:dyDescent="0.35">
      <c r="A2763" t="str">
        <f>+'[2]por cuent'!A2763</f>
        <v>ARS</v>
      </c>
      <c r="B2763" t="str">
        <f>+'[2]por cuent'!B2763</f>
        <v>765000656</v>
      </c>
      <c r="C2763" t="str">
        <f>+'[2]por cuent'!C2763</f>
        <v>Gapesa S.A</v>
      </c>
      <c r="D2763" s="35">
        <f>+'[2]por cuent'!G2763</f>
        <v>141554181.19</v>
      </c>
      <c r="E2763" s="35">
        <f>+'[2]por cuent'!H2763</f>
        <v>141554181.19</v>
      </c>
      <c r="F2763" t="str">
        <f>+'[2]por cuent'!I2763</f>
        <v>765</v>
      </c>
    </row>
    <row r="2764" spans="1:6" x14ac:dyDescent="0.35">
      <c r="A2764" t="str">
        <f>+'[2]por cuent'!A2764</f>
        <v>ARS</v>
      </c>
      <c r="B2764" t="str">
        <f>+'[2]por cuent'!B2764</f>
        <v>765000660</v>
      </c>
      <c r="C2764" t="str">
        <f>+'[2]por cuent'!C2764</f>
        <v>Santos Rosadilla, Michael Nicolas</v>
      </c>
      <c r="D2764" s="35">
        <f>+'[2]por cuent'!G2764</f>
        <v>93164538.079999998</v>
      </c>
      <c r="E2764" s="35">
        <f>+'[2]por cuent'!H2764</f>
        <v>93164538.079999998</v>
      </c>
      <c r="F2764" t="str">
        <f>+'[2]por cuent'!I2764</f>
        <v>765</v>
      </c>
    </row>
    <row r="2765" spans="1:6" x14ac:dyDescent="0.35">
      <c r="A2765" t="str">
        <f>+'[2]por cuent'!A2765</f>
        <v>ARS</v>
      </c>
      <c r="B2765" t="str">
        <f>+'[2]por cuent'!B2765</f>
        <v>765000661</v>
      </c>
      <c r="C2765" t="str">
        <f>+'[2]por cuent'!C2765</f>
        <v>CREARQ SRL</v>
      </c>
      <c r="D2765" s="35">
        <f>+'[2]por cuent'!G2765</f>
        <v>28499490.23</v>
      </c>
      <c r="E2765" s="35">
        <f>+'[2]por cuent'!H2765</f>
        <v>28499490.23</v>
      </c>
      <c r="F2765" t="str">
        <f>+'[2]por cuent'!I2765</f>
        <v>765</v>
      </c>
    </row>
    <row r="2766" spans="1:6" x14ac:dyDescent="0.35">
      <c r="A2766" t="str">
        <f>+'[2]por cuent'!A2766</f>
        <v>ARS</v>
      </c>
      <c r="B2766" t="str">
        <f>+'[2]por cuent'!B2766</f>
        <v>765000662</v>
      </c>
      <c r="C2766" t="str">
        <f>+'[2]por cuent'!C2766</f>
        <v>Martin, Horacio Gabriel</v>
      </c>
      <c r="D2766" s="35">
        <f>+'[2]por cuent'!G2766</f>
        <v>4560</v>
      </c>
      <c r="E2766" s="35">
        <f>+'[2]por cuent'!H2766</f>
        <v>4560</v>
      </c>
      <c r="F2766" t="str">
        <f>+'[2]por cuent'!I2766</f>
        <v>765</v>
      </c>
    </row>
    <row r="2767" spans="1:6" x14ac:dyDescent="0.35">
      <c r="A2767" t="str">
        <f>+'[2]por cuent'!A2767</f>
        <v>ARS</v>
      </c>
      <c r="B2767" t="str">
        <f>+'[2]por cuent'!B2767</f>
        <v>765000665</v>
      </c>
      <c r="C2767" t="str">
        <f>+'[2]por cuent'!C2767</f>
        <v>Peñaloza, Tomas Francisco</v>
      </c>
      <c r="D2767" s="35">
        <f>+'[2]por cuent'!G2767</f>
        <v>219180</v>
      </c>
      <c r="E2767" s="35">
        <f>+'[2]por cuent'!H2767</f>
        <v>219180</v>
      </c>
      <c r="F2767" t="str">
        <f>+'[2]por cuent'!I2767</f>
        <v>765</v>
      </c>
    </row>
    <row r="2768" spans="1:6" x14ac:dyDescent="0.35">
      <c r="A2768" t="str">
        <f>+'[2]por cuent'!A2768</f>
        <v>ARS</v>
      </c>
      <c r="B2768" t="str">
        <f>+'[2]por cuent'!B2768</f>
        <v>765000666</v>
      </c>
      <c r="C2768" t="str">
        <f>+'[2]por cuent'!C2768</f>
        <v>Martinez, Debora Paola</v>
      </c>
      <c r="D2768" s="35">
        <f>+'[2]por cuent'!G2768</f>
        <v>833.1</v>
      </c>
      <c r="E2768" s="35">
        <f>+'[2]por cuent'!H2768</f>
        <v>833.1</v>
      </c>
      <c r="F2768" t="str">
        <f>+'[2]por cuent'!I2768</f>
        <v>765</v>
      </c>
    </row>
    <row r="2769" spans="1:6" x14ac:dyDescent="0.35">
      <c r="A2769" t="str">
        <f>+'[2]por cuent'!A2769</f>
        <v>ARS</v>
      </c>
      <c r="B2769" t="str">
        <f>+'[2]por cuent'!B2769</f>
        <v>765000667</v>
      </c>
      <c r="C2769" t="str">
        <f>+'[2]por cuent'!C2769</f>
        <v>Compagnucci, Luisina Maria Belen</v>
      </c>
      <c r="D2769" s="35">
        <f>+'[2]por cuent'!G2769</f>
        <v>1212180</v>
      </c>
      <c r="E2769" s="35">
        <f>+'[2]por cuent'!H2769</f>
        <v>1212180</v>
      </c>
      <c r="F2769" t="str">
        <f>+'[2]por cuent'!I2769</f>
        <v>765</v>
      </c>
    </row>
    <row r="2770" spans="1:6" x14ac:dyDescent="0.35">
      <c r="A2770" t="str">
        <f>+'[2]por cuent'!A2770</f>
        <v>ARS</v>
      </c>
      <c r="B2770" t="str">
        <f>+'[2]por cuent'!B2770</f>
        <v>765000668</v>
      </c>
      <c r="C2770" t="str">
        <f>+'[2]por cuent'!C2770</f>
        <v>Piumetti, Gabriel Alejandro</v>
      </c>
      <c r="D2770" s="35">
        <f>+'[2]por cuent'!G2770</f>
        <v>32108203</v>
      </c>
      <c r="E2770" s="35">
        <f>+'[2]por cuent'!H2770</f>
        <v>32108203</v>
      </c>
      <c r="F2770" t="str">
        <f>+'[2]por cuent'!I2770</f>
        <v>765</v>
      </c>
    </row>
    <row r="2771" spans="1:6" x14ac:dyDescent="0.35">
      <c r="A2771" t="str">
        <f>+'[2]por cuent'!A2771</f>
        <v>ARS</v>
      </c>
      <c r="B2771" t="str">
        <f>+'[2]por cuent'!B2771</f>
        <v>765000669</v>
      </c>
      <c r="C2771" t="str">
        <f>+'[2]por cuent'!C2771</f>
        <v>Nardin, Santiago Luis</v>
      </c>
      <c r="D2771" s="35">
        <f>+'[2]por cuent'!G2771</f>
        <v>690330.6</v>
      </c>
      <c r="E2771" s="35">
        <f>+'[2]por cuent'!H2771</f>
        <v>690330.6</v>
      </c>
      <c r="F2771" t="str">
        <f>+'[2]por cuent'!I2771</f>
        <v>765</v>
      </c>
    </row>
    <row r="2772" spans="1:6" x14ac:dyDescent="0.35">
      <c r="A2772" t="str">
        <f>+'[2]por cuent'!A2772</f>
        <v>ARS</v>
      </c>
      <c r="B2772" t="str">
        <f>+'[2]por cuent'!B2772</f>
        <v>765000670</v>
      </c>
      <c r="C2772" t="str">
        <f>+'[2]por cuent'!C2772</f>
        <v>Zancocchia, Nelson Jose Luis</v>
      </c>
      <c r="D2772" s="35">
        <f>+'[2]por cuent'!G2772</f>
        <v>4283735.01</v>
      </c>
      <c r="E2772" s="35">
        <f>+'[2]por cuent'!H2772</f>
        <v>4283735.01</v>
      </c>
      <c r="F2772" t="str">
        <f>+'[2]por cuent'!I2772</f>
        <v>765</v>
      </c>
    </row>
    <row r="2773" spans="1:6" x14ac:dyDescent="0.35">
      <c r="A2773" t="str">
        <f>+'[2]por cuent'!A2773</f>
        <v>ARS</v>
      </c>
      <c r="B2773" t="str">
        <f>+'[2]por cuent'!B2773</f>
        <v>765000672</v>
      </c>
      <c r="C2773" t="str">
        <f>+'[2]por cuent'!C2773</f>
        <v>Galletta, Mauricio Gabriel</v>
      </c>
      <c r="D2773" s="35">
        <f>+'[2]por cuent'!G2773</f>
        <v>117513</v>
      </c>
      <c r="E2773" s="35">
        <f>+'[2]por cuent'!H2773</f>
        <v>117513</v>
      </c>
      <c r="F2773" t="str">
        <f>+'[2]por cuent'!I2773</f>
        <v>765</v>
      </c>
    </row>
    <row r="2774" spans="1:6" x14ac:dyDescent="0.35">
      <c r="A2774" t="str">
        <f>+'[2]por cuent'!A2774</f>
        <v>ARS</v>
      </c>
      <c r="B2774" t="str">
        <f>+'[2]por cuent'!B2774</f>
        <v>765000673</v>
      </c>
      <c r="C2774" t="str">
        <f>+'[2]por cuent'!C2774</f>
        <v xml:space="preserve">Racca, Sonia Raquel </v>
      </c>
      <c r="D2774" s="35">
        <f>+'[2]por cuent'!G2774</f>
        <v>11672078.08</v>
      </c>
      <c r="E2774" s="35">
        <f>+'[2]por cuent'!H2774</f>
        <v>11672078.08</v>
      </c>
      <c r="F2774" t="str">
        <f>+'[2]por cuent'!I2774</f>
        <v>765</v>
      </c>
    </row>
    <row r="2775" spans="1:6" x14ac:dyDescent="0.35">
      <c r="A2775" t="str">
        <f>+'[2]por cuent'!A2775</f>
        <v>ARS</v>
      </c>
      <c r="B2775" t="str">
        <f>+'[2]por cuent'!B2775</f>
        <v>765000677</v>
      </c>
      <c r="C2775" t="str">
        <f>+'[2]por cuent'!C2775</f>
        <v>Ponzio, Pablo Jesús</v>
      </c>
      <c r="D2775" s="35">
        <f>+'[2]por cuent'!G2775</f>
        <v>9375842.2300000004</v>
      </c>
      <c r="E2775" s="35">
        <f>+'[2]por cuent'!H2775</f>
        <v>9375842.2300000004</v>
      </c>
      <c r="F2775" t="str">
        <f>+'[2]por cuent'!I2775</f>
        <v>765</v>
      </c>
    </row>
    <row r="2776" spans="1:6" x14ac:dyDescent="0.35">
      <c r="A2776" t="str">
        <f>+'[2]por cuent'!A2776</f>
        <v>ARS</v>
      </c>
      <c r="B2776" t="str">
        <f>+'[2]por cuent'!B2776</f>
        <v>765000679</v>
      </c>
      <c r="C2776" t="str">
        <f>+'[2]por cuent'!C2776</f>
        <v>Pietrani, Silverio Lorenzo</v>
      </c>
      <c r="D2776" s="35">
        <f>+'[2]por cuent'!G2776</f>
        <v>499548.25</v>
      </c>
      <c r="E2776" s="35">
        <f>+'[2]por cuent'!H2776</f>
        <v>499548.25</v>
      </c>
      <c r="F2776" t="str">
        <f>+'[2]por cuent'!I2776</f>
        <v>765</v>
      </c>
    </row>
    <row r="2777" spans="1:6" x14ac:dyDescent="0.35">
      <c r="A2777" t="str">
        <f>+'[2]por cuent'!A2777</f>
        <v>ARS</v>
      </c>
      <c r="B2777" t="str">
        <f>+'[2]por cuent'!B2777</f>
        <v>765000681</v>
      </c>
      <c r="C2777" t="str">
        <f>+'[2]por cuent'!C2777</f>
        <v>Bodini, Egidio Eduardo</v>
      </c>
      <c r="D2777" s="35">
        <f>+'[2]por cuent'!G2777</f>
        <v>6845072.9000000004</v>
      </c>
      <c r="E2777" s="35">
        <f>+'[2]por cuent'!H2777</f>
        <v>6845072.9000000004</v>
      </c>
      <c r="F2777" t="str">
        <f>+'[2]por cuent'!I2777</f>
        <v>765</v>
      </c>
    </row>
    <row r="2778" spans="1:6" x14ac:dyDescent="0.35">
      <c r="A2778" t="str">
        <f>+'[2]por cuent'!A2778</f>
        <v>ARS</v>
      </c>
      <c r="B2778" t="str">
        <f>+'[2]por cuent'!B2778</f>
        <v>765000682</v>
      </c>
      <c r="C2778" t="str">
        <f>+'[2]por cuent'!C2778</f>
        <v>Bodini, Silvia Alicia</v>
      </c>
      <c r="D2778" s="35">
        <f>+'[2]por cuent'!G2778</f>
        <v>12638198.109999999</v>
      </c>
      <c r="E2778" s="35">
        <f>+'[2]por cuent'!H2778</f>
        <v>12638198.109999999</v>
      </c>
      <c r="F2778" t="str">
        <f>+'[2]por cuent'!I2778</f>
        <v>765</v>
      </c>
    </row>
    <row r="2779" spans="1:6" x14ac:dyDescent="0.35">
      <c r="A2779" t="str">
        <f>+'[2]por cuent'!A2779</f>
        <v>ARS</v>
      </c>
      <c r="B2779" t="str">
        <f>+'[2]por cuent'!B2779</f>
        <v>765000686</v>
      </c>
      <c r="C2779" t="str">
        <f>+'[2]por cuent'!C2779</f>
        <v xml:space="preserve">Marcucci, Roberto Hernan </v>
      </c>
      <c r="D2779" s="35">
        <f>+'[2]por cuent'!G2779</f>
        <v>27465714.260000002</v>
      </c>
      <c r="E2779" s="35">
        <f>+'[2]por cuent'!H2779</f>
        <v>27465714.260000002</v>
      </c>
      <c r="F2779" t="str">
        <f>+'[2]por cuent'!I2779</f>
        <v>765</v>
      </c>
    </row>
    <row r="2780" spans="1:6" x14ac:dyDescent="0.35">
      <c r="A2780" t="str">
        <f>+'[2]por cuent'!A2780</f>
        <v>ARS</v>
      </c>
      <c r="B2780" t="str">
        <f>+'[2]por cuent'!B2780</f>
        <v>765000688</v>
      </c>
      <c r="C2780" t="str">
        <f>+'[2]por cuent'!C2780</f>
        <v>Alonso, Fabian Eduardo</v>
      </c>
      <c r="D2780" s="35">
        <f>+'[2]por cuent'!G2780</f>
        <v>62207885.909999996</v>
      </c>
      <c r="E2780" s="35">
        <f>+'[2]por cuent'!H2780</f>
        <v>62207885.909999996</v>
      </c>
      <c r="F2780" t="str">
        <f>+'[2]por cuent'!I2780</f>
        <v>765</v>
      </c>
    </row>
    <row r="2781" spans="1:6" x14ac:dyDescent="0.35">
      <c r="A2781" t="str">
        <f>+'[2]por cuent'!A2781</f>
        <v>ARS</v>
      </c>
      <c r="B2781" t="str">
        <f>+'[2]por cuent'!B2781</f>
        <v>765000689</v>
      </c>
      <c r="C2781" t="str">
        <f>+'[2]por cuent'!C2781</f>
        <v>Kovacevich, Mirko</v>
      </c>
      <c r="D2781" s="35">
        <f>+'[2]por cuent'!G2781</f>
        <v>2680959.3199999998</v>
      </c>
      <c r="E2781" s="35">
        <f>+'[2]por cuent'!H2781</f>
        <v>2680959.3199999998</v>
      </c>
      <c r="F2781" t="str">
        <f>+'[2]por cuent'!I2781</f>
        <v>765</v>
      </c>
    </row>
    <row r="2782" spans="1:6" x14ac:dyDescent="0.35">
      <c r="A2782" t="str">
        <f>+'[2]por cuent'!A2782</f>
        <v>ARS</v>
      </c>
      <c r="B2782" t="str">
        <f>+'[2]por cuent'!B2782</f>
        <v>765000690</v>
      </c>
      <c r="C2782" t="str">
        <f>+'[2]por cuent'!C2782</f>
        <v>Contrino, Lucas Martín</v>
      </c>
      <c r="D2782" s="35">
        <f>+'[2]por cuent'!G2782</f>
        <v>1016246.14</v>
      </c>
      <c r="E2782" s="35">
        <f>+'[2]por cuent'!H2782</f>
        <v>1016246.14</v>
      </c>
      <c r="F2782" t="str">
        <f>+'[2]por cuent'!I2782</f>
        <v>765</v>
      </c>
    </row>
    <row r="2783" spans="1:6" x14ac:dyDescent="0.35">
      <c r="A2783" t="str">
        <f>+'[2]por cuent'!A2783</f>
        <v>ARS</v>
      </c>
      <c r="B2783" t="str">
        <f>+'[2]por cuent'!B2783</f>
        <v>765000691</v>
      </c>
      <c r="C2783" t="str">
        <f>+'[2]por cuent'!C2783</f>
        <v>Peirone Iracelay, Oriana Lucila</v>
      </c>
      <c r="D2783" s="35">
        <f>+'[2]por cuent'!G2783</f>
        <v>610265.96</v>
      </c>
      <c r="E2783" s="35">
        <f>+'[2]por cuent'!H2783</f>
        <v>610265.96</v>
      </c>
      <c r="F2783" t="str">
        <f>+'[2]por cuent'!I2783</f>
        <v>765</v>
      </c>
    </row>
    <row r="2784" spans="1:6" x14ac:dyDescent="0.35">
      <c r="A2784" t="str">
        <f>+'[2]por cuent'!A2784</f>
        <v>ARS</v>
      </c>
      <c r="B2784" t="str">
        <f>+'[2]por cuent'!B2784</f>
        <v>765000694</v>
      </c>
      <c r="C2784" t="str">
        <f>+'[2]por cuent'!C2784</f>
        <v>Crobat, Walter</v>
      </c>
      <c r="D2784" s="35">
        <f>+'[2]por cuent'!G2784</f>
        <v>604656.25</v>
      </c>
      <c r="E2784" s="35">
        <f>+'[2]por cuent'!H2784</f>
        <v>604656.25</v>
      </c>
      <c r="F2784" t="str">
        <f>+'[2]por cuent'!I2784</f>
        <v>765</v>
      </c>
    </row>
    <row r="2785" spans="1:6" x14ac:dyDescent="0.35">
      <c r="A2785" t="str">
        <f>+'[2]por cuent'!A2785</f>
        <v>ARS</v>
      </c>
      <c r="B2785" t="str">
        <f>+'[2]por cuent'!B2785</f>
        <v>765000696</v>
      </c>
      <c r="C2785" t="str">
        <f>+'[2]por cuent'!C2785</f>
        <v>Degano Moretti, Milagros</v>
      </c>
      <c r="D2785" s="35">
        <f>+'[2]por cuent'!G2785</f>
        <v>1643079.17</v>
      </c>
      <c r="E2785" s="35">
        <f>+'[2]por cuent'!H2785</f>
        <v>1643079.17</v>
      </c>
      <c r="F2785" t="str">
        <f>+'[2]por cuent'!I2785</f>
        <v>765</v>
      </c>
    </row>
    <row r="2786" spans="1:6" x14ac:dyDescent="0.35">
      <c r="A2786" t="str">
        <f>+'[2]por cuent'!A2786</f>
        <v>ARS</v>
      </c>
      <c r="B2786" t="str">
        <f>+'[2]por cuent'!B2786</f>
        <v>765000697</v>
      </c>
      <c r="C2786" t="str">
        <f>+'[2]por cuent'!C2786</f>
        <v>Fadigatti, Diego Leonardo</v>
      </c>
      <c r="D2786" s="35">
        <f>+'[2]por cuent'!G2786</f>
        <v>2768206.38</v>
      </c>
      <c r="E2786" s="35">
        <f>+'[2]por cuent'!H2786</f>
        <v>2768206.38</v>
      </c>
      <c r="F2786" t="str">
        <f>+'[2]por cuent'!I2786</f>
        <v>765</v>
      </c>
    </row>
    <row r="2787" spans="1:6" x14ac:dyDescent="0.35">
      <c r="A2787" t="str">
        <f>+'[2]por cuent'!A2787</f>
        <v>ARS</v>
      </c>
      <c r="B2787" t="str">
        <f>+'[2]por cuent'!B2787</f>
        <v>765000698</v>
      </c>
      <c r="C2787" t="str">
        <f>+'[2]por cuent'!C2787</f>
        <v xml:space="preserve">Bosio, Bautista </v>
      </c>
      <c r="D2787" s="35">
        <f>+'[2]por cuent'!G2787</f>
        <v>2600555.15</v>
      </c>
      <c r="E2787" s="35">
        <f>+'[2]por cuent'!H2787</f>
        <v>2600555.15</v>
      </c>
      <c r="F2787" t="str">
        <f>+'[2]por cuent'!I2787</f>
        <v>765</v>
      </c>
    </row>
    <row r="2788" spans="1:6" x14ac:dyDescent="0.35">
      <c r="A2788" t="str">
        <f>+'[2]por cuent'!A2788</f>
        <v>ARS</v>
      </c>
      <c r="B2788" t="str">
        <f>+'[2]por cuent'!B2788</f>
        <v>765000699</v>
      </c>
      <c r="C2788" t="str">
        <f>+'[2]por cuent'!C2788</f>
        <v>Di Santi, Juana</v>
      </c>
      <c r="D2788" s="35">
        <f>+'[2]por cuent'!G2788</f>
        <v>668772.12</v>
      </c>
      <c r="E2788" s="35">
        <f>+'[2]por cuent'!H2788</f>
        <v>668772.12</v>
      </c>
      <c r="F2788" t="str">
        <f>+'[2]por cuent'!I2788</f>
        <v>765</v>
      </c>
    </row>
    <row r="2789" spans="1:6" x14ac:dyDescent="0.35">
      <c r="A2789" t="str">
        <f>+'[2]por cuent'!A2789</f>
        <v>ARS</v>
      </c>
      <c r="B2789" t="str">
        <f>+'[2]por cuent'!B2789</f>
        <v>765000701</v>
      </c>
      <c r="C2789" t="str">
        <f>+'[2]por cuent'!C2789</f>
        <v>Saloj Muia, Julia</v>
      </c>
      <c r="D2789" s="35">
        <f>+'[2]por cuent'!G2789</f>
        <v>1661300.08</v>
      </c>
      <c r="E2789" s="35">
        <f>+'[2]por cuent'!H2789</f>
        <v>1661300.08</v>
      </c>
      <c r="F2789" t="str">
        <f>+'[2]por cuent'!I2789</f>
        <v>765</v>
      </c>
    </row>
    <row r="2790" spans="1:6" x14ac:dyDescent="0.35">
      <c r="A2790" t="str">
        <f>+'[2]por cuent'!A2790</f>
        <v>ARS</v>
      </c>
      <c r="B2790" t="str">
        <f>+'[2]por cuent'!B2790</f>
        <v>765000702</v>
      </c>
      <c r="C2790" t="str">
        <f>+'[2]por cuent'!C2790</f>
        <v>Surra, Martha Noemi</v>
      </c>
      <c r="D2790" s="35">
        <f>+'[2]por cuent'!G2790</f>
        <v>2853970</v>
      </c>
      <c r="E2790" s="35">
        <f>+'[2]por cuent'!H2790</f>
        <v>2853970</v>
      </c>
      <c r="F2790" t="str">
        <f>+'[2]por cuent'!I2790</f>
        <v>765</v>
      </c>
    </row>
    <row r="2791" spans="1:6" x14ac:dyDescent="0.35">
      <c r="A2791" t="str">
        <f>+'[2]por cuent'!A2791</f>
        <v>ARS</v>
      </c>
      <c r="B2791" t="str">
        <f>+'[2]por cuent'!B2791</f>
        <v>765000703</v>
      </c>
      <c r="C2791" t="str">
        <f>+'[2]por cuent'!C2791</f>
        <v>Moretti, Mariela y Claudia</v>
      </c>
      <c r="D2791" s="35">
        <f>+'[2]por cuent'!G2791</f>
        <v>3162518.49</v>
      </c>
      <c r="E2791" s="35">
        <f>+'[2]por cuent'!H2791</f>
        <v>3162518.49</v>
      </c>
      <c r="F2791" t="str">
        <f>+'[2]por cuent'!I2791</f>
        <v>765</v>
      </c>
    </row>
    <row r="2792" spans="1:6" x14ac:dyDescent="0.35">
      <c r="A2792" t="str">
        <f>+'[2]por cuent'!A2792</f>
        <v>ARS</v>
      </c>
      <c r="B2792" t="str">
        <f>+'[2]por cuent'!B2792</f>
        <v>765000704</v>
      </c>
      <c r="C2792" t="str">
        <f>+'[2]por cuent'!C2792</f>
        <v>Monti, Jesús María Santiago</v>
      </c>
      <c r="D2792" s="35">
        <f>+'[2]por cuent'!G2792</f>
        <v>116009210.69</v>
      </c>
      <c r="E2792" s="35">
        <f>+'[2]por cuent'!H2792</f>
        <v>116009210.69</v>
      </c>
      <c r="F2792" t="str">
        <f>+'[2]por cuent'!I2792</f>
        <v>765</v>
      </c>
    </row>
    <row r="2793" spans="1:6" x14ac:dyDescent="0.35">
      <c r="A2793" t="str">
        <f>+'[2]por cuent'!A2793</f>
        <v>ARS</v>
      </c>
      <c r="B2793" t="str">
        <f>+'[2]por cuent'!B2793</f>
        <v>765000706</v>
      </c>
      <c r="C2793" t="str">
        <f>+'[2]por cuent'!C2793</f>
        <v>Marasciuolo, Julia</v>
      </c>
      <c r="D2793" s="35">
        <f>+'[2]por cuent'!G2793</f>
        <v>2064848.46</v>
      </c>
      <c r="E2793" s="35">
        <f>+'[2]por cuent'!H2793</f>
        <v>2064848.46</v>
      </c>
      <c r="F2793" t="str">
        <f>+'[2]por cuent'!I2793</f>
        <v>765</v>
      </c>
    </row>
    <row r="2794" spans="1:6" x14ac:dyDescent="0.35">
      <c r="A2794" t="str">
        <f>+'[2]por cuent'!A2794</f>
        <v>ARS</v>
      </c>
      <c r="B2794" t="str">
        <f>+'[2]por cuent'!B2794</f>
        <v>765000707</v>
      </c>
      <c r="C2794" t="str">
        <f>+'[2]por cuent'!C2794</f>
        <v>Feraboli, Cristian José</v>
      </c>
      <c r="D2794" s="35">
        <f>+'[2]por cuent'!G2794</f>
        <v>18644914.41</v>
      </c>
      <c r="E2794" s="35">
        <f>+'[2]por cuent'!H2794</f>
        <v>18644914.41</v>
      </c>
      <c r="F2794" t="str">
        <f>+'[2]por cuent'!I2794</f>
        <v>765</v>
      </c>
    </row>
    <row r="2795" spans="1:6" x14ac:dyDescent="0.35">
      <c r="A2795" t="str">
        <f>+'[2]por cuent'!A2795</f>
        <v>ARS</v>
      </c>
      <c r="B2795" t="str">
        <f>+'[2]por cuent'!B2795</f>
        <v>765000709</v>
      </c>
      <c r="C2795" t="str">
        <f>+'[2]por cuent'!C2795</f>
        <v>Monti Celina Paula 2</v>
      </c>
      <c r="D2795" s="35">
        <f>+'[2]por cuent'!G2795</f>
        <v>126745.2</v>
      </c>
      <c r="E2795" s="35">
        <f>+'[2]por cuent'!H2795</f>
        <v>126745.2</v>
      </c>
      <c r="F2795" t="str">
        <f>+'[2]por cuent'!I2795</f>
        <v>765</v>
      </c>
    </row>
    <row r="2796" spans="1:6" x14ac:dyDescent="0.35">
      <c r="A2796" t="str">
        <f>+'[2]por cuent'!A2796</f>
        <v>ARS</v>
      </c>
      <c r="B2796" t="str">
        <f>+'[2]por cuent'!B2796</f>
        <v>765000710</v>
      </c>
      <c r="C2796" t="str">
        <f>+'[2]por cuent'!C2796</f>
        <v>Valdes Contreras, Diego Alfonso</v>
      </c>
      <c r="D2796" s="35">
        <f>+'[2]por cuent'!G2796</f>
        <v>111982750.72</v>
      </c>
      <c r="E2796" s="35">
        <f>+'[2]por cuent'!H2796</f>
        <v>111982750.72</v>
      </c>
      <c r="F2796" t="str">
        <f>+'[2]por cuent'!I2796</f>
        <v>765</v>
      </c>
    </row>
    <row r="2797" spans="1:6" x14ac:dyDescent="0.35">
      <c r="A2797" t="str">
        <f>+'[2]por cuent'!A2797</f>
        <v>ARS</v>
      </c>
      <c r="B2797" t="str">
        <f>+'[2]por cuent'!B2797</f>
        <v>765000711</v>
      </c>
      <c r="C2797" t="str">
        <f>+'[2]por cuent'!C2797</f>
        <v>Ascorti, Rut María Catalina</v>
      </c>
      <c r="D2797" s="35">
        <f>+'[2]por cuent'!G2797</f>
        <v>5949460</v>
      </c>
      <c r="E2797" s="35">
        <f>+'[2]por cuent'!H2797</f>
        <v>5949460</v>
      </c>
      <c r="F2797" t="str">
        <f>+'[2]por cuent'!I2797</f>
        <v>765</v>
      </c>
    </row>
    <row r="2798" spans="1:6" x14ac:dyDescent="0.35">
      <c r="A2798" t="str">
        <f>+'[2]por cuent'!A2798</f>
        <v>ARS</v>
      </c>
      <c r="B2798" t="str">
        <f>+'[2]por cuent'!B2798</f>
        <v>765000712</v>
      </c>
      <c r="C2798" t="str">
        <f>+'[2]por cuent'!C2798</f>
        <v>Margiotta, Fernando Gabriel</v>
      </c>
      <c r="D2798" s="35">
        <f>+'[2]por cuent'!G2798</f>
        <v>2842.4</v>
      </c>
      <c r="E2798" s="35">
        <f>+'[2]por cuent'!H2798</f>
        <v>2842.4</v>
      </c>
      <c r="F2798" t="str">
        <f>+'[2]por cuent'!I2798</f>
        <v>765</v>
      </c>
    </row>
    <row r="2799" spans="1:6" x14ac:dyDescent="0.35">
      <c r="A2799" t="str">
        <f>+'[2]por cuent'!A2799</f>
        <v>ARS</v>
      </c>
      <c r="B2799" t="str">
        <f>+'[2]por cuent'!B2799</f>
        <v>765000713</v>
      </c>
      <c r="C2799" t="str">
        <f>+'[2]por cuent'!C2799</f>
        <v>Depetris, Mara Belén</v>
      </c>
      <c r="D2799" s="35">
        <f>+'[2]por cuent'!G2799</f>
        <v>109001.4</v>
      </c>
      <c r="E2799" s="35">
        <f>+'[2]por cuent'!H2799</f>
        <v>109001.4</v>
      </c>
      <c r="F2799" t="str">
        <f>+'[2]por cuent'!I2799</f>
        <v>765</v>
      </c>
    </row>
    <row r="2800" spans="1:6" x14ac:dyDescent="0.35">
      <c r="A2800" t="str">
        <f>+'[2]por cuent'!A2800</f>
        <v>ARS</v>
      </c>
      <c r="B2800" t="str">
        <f>+'[2]por cuent'!B2800</f>
        <v>765000716</v>
      </c>
      <c r="C2800" t="str">
        <f>+'[2]por cuent'!C2800</f>
        <v>Cooperativa de Trabajo El Pueblo Limitada</v>
      </c>
      <c r="D2800" s="35">
        <f>+'[2]por cuent'!G2800</f>
        <v>10237804.869999999</v>
      </c>
      <c r="E2800" s="35">
        <f>+'[2]por cuent'!H2800</f>
        <v>10237804.869999999</v>
      </c>
      <c r="F2800" t="str">
        <f>+'[2]por cuent'!I2800</f>
        <v>765</v>
      </c>
    </row>
    <row r="2801" spans="1:6" x14ac:dyDescent="0.35">
      <c r="A2801" t="str">
        <f>+'[2]por cuent'!A2801</f>
        <v>ARS</v>
      </c>
      <c r="B2801" t="str">
        <f>+'[2]por cuent'!B2801</f>
        <v>766000005</v>
      </c>
      <c r="C2801" t="str">
        <f>+'[2]por cuent'!C2801</f>
        <v>Awa Global S.A. (CARTERA PROPIA)</v>
      </c>
      <c r="D2801" s="35">
        <f>+'[2]por cuent'!G2801</f>
        <v>176988271.40000001</v>
      </c>
      <c r="E2801" s="35">
        <f>+'[2]por cuent'!H2801</f>
        <v>176988271.40000001</v>
      </c>
      <c r="F2801" t="str">
        <f>+'[2]por cuent'!I2801</f>
        <v>766</v>
      </c>
    </row>
    <row r="2802" spans="1:6" x14ac:dyDescent="0.35">
      <c r="A2802" t="str">
        <f>+'[2]por cuent'!A2802</f>
        <v>ARS</v>
      </c>
      <c r="B2802" t="str">
        <f>+'[2]por cuent'!B2802</f>
        <v>766000006</v>
      </c>
      <c r="C2802" t="str">
        <f>+'[2]por cuent'!C2802</f>
        <v>Ersetig Pablo Daniel</v>
      </c>
      <c r="D2802" s="35">
        <f>+'[2]por cuent'!G2802</f>
        <v>7309906545.2600002</v>
      </c>
      <c r="E2802" s="35">
        <f>+'[2]por cuent'!H2802</f>
        <v>7309906545.2600002</v>
      </c>
      <c r="F2802" t="str">
        <f>+'[2]por cuent'!I2802</f>
        <v>766</v>
      </c>
    </row>
    <row r="2803" spans="1:6" x14ac:dyDescent="0.35">
      <c r="A2803" t="str">
        <f>+'[2]por cuent'!A2803</f>
        <v>ARS</v>
      </c>
      <c r="B2803" t="str">
        <f>+'[2]por cuent'!B2803</f>
        <v>766000007</v>
      </c>
      <c r="C2803" t="str">
        <f>+'[2]por cuent'!C2803</f>
        <v>Office Amoblamientos SRL</v>
      </c>
      <c r="D2803" s="35">
        <f>+'[2]por cuent'!G2803</f>
        <v>749099.86</v>
      </c>
      <c r="E2803" s="35">
        <f>+'[2]por cuent'!H2803</f>
        <v>749099.86</v>
      </c>
      <c r="F2803" t="str">
        <f>+'[2]por cuent'!I2803</f>
        <v>766</v>
      </c>
    </row>
    <row r="2804" spans="1:6" x14ac:dyDescent="0.35">
      <c r="A2804" t="str">
        <f>+'[2]por cuent'!A2804</f>
        <v>ARS</v>
      </c>
      <c r="B2804" t="str">
        <f>+'[2]por cuent'!B2804</f>
        <v>766000010</v>
      </c>
      <c r="C2804" t="str">
        <f>+'[2]por cuent'!C2804</f>
        <v>Turnaturi, Yanina o Quagliato, José Ignacio</v>
      </c>
      <c r="D2804" s="35">
        <f>+'[2]por cuent'!G2804</f>
        <v>1957058.93</v>
      </c>
      <c r="E2804" s="35">
        <f>+'[2]por cuent'!H2804</f>
        <v>1957058.93</v>
      </c>
      <c r="F2804" t="str">
        <f>+'[2]por cuent'!I2804</f>
        <v>766</v>
      </c>
    </row>
    <row r="2805" spans="1:6" x14ac:dyDescent="0.35">
      <c r="A2805" t="str">
        <f>+'[2]por cuent'!A2805</f>
        <v>ARS</v>
      </c>
      <c r="B2805" t="str">
        <f>+'[2]por cuent'!B2805</f>
        <v>766000012</v>
      </c>
      <c r="C2805" t="str">
        <f>+'[2]por cuent'!C2805</f>
        <v>Freytes, María Belen</v>
      </c>
      <c r="D2805" s="35">
        <f>+'[2]por cuent'!G2805</f>
        <v>572615.05000000005</v>
      </c>
      <c r="E2805" s="35">
        <f>+'[2]por cuent'!H2805</f>
        <v>572615.05000000005</v>
      </c>
      <c r="F2805" t="str">
        <f>+'[2]por cuent'!I2805</f>
        <v>766</v>
      </c>
    </row>
    <row r="2806" spans="1:6" x14ac:dyDescent="0.35">
      <c r="A2806" t="str">
        <f>+'[2]por cuent'!A2806</f>
        <v>ARS</v>
      </c>
      <c r="B2806" t="str">
        <f>+'[2]por cuent'!B2806</f>
        <v>766000015</v>
      </c>
      <c r="C2806" t="str">
        <f>+'[2]por cuent'!C2806</f>
        <v>Benitez, Daniel Edmundo</v>
      </c>
      <c r="D2806" s="35">
        <f>+'[2]por cuent'!G2806</f>
        <v>96214761.25</v>
      </c>
      <c r="E2806" s="35">
        <f>+'[2]por cuent'!H2806</f>
        <v>96214761.25</v>
      </c>
      <c r="F2806" t="str">
        <f>+'[2]por cuent'!I2806</f>
        <v>766</v>
      </c>
    </row>
    <row r="2807" spans="1:6" x14ac:dyDescent="0.35">
      <c r="A2807" t="str">
        <f>+'[2]por cuent'!A2807</f>
        <v>ARS</v>
      </c>
      <c r="B2807" t="str">
        <f>+'[2]por cuent'!B2807</f>
        <v>766000022</v>
      </c>
      <c r="C2807" t="str">
        <f>+'[2]por cuent'!C2807</f>
        <v>GIER SRL</v>
      </c>
      <c r="D2807" s="35">
        <f>+'[2]por cuent'!G2807</f>
        <v>11227348574.15</v>
      </c>
      <c r="E2807" s="35">
        <f>+'[2]por cuent'!H2807</f>
        <v>11227348574.15</v>
      </c>
      <c r="F2807" t="str">
        <f>+'[2]por cuent'!I2807</f>
        <v>766</v>
      </c>
    </row>
    <row r="2808" spans="1:6" x14ac:dyDescent="0.35">
      <c r="A2808" t="str">
        <f>+'[2]por cuent'!A2808</f>
        <v>ARS</v>
      </c>
      <c r="B2808" t="str">
        <f>+'[2]por cuent'!B2808</f>
        <v>766000023</v>
      </c>
      <c r="C2808" t="str">
        <f>+'[2]por cuent'!C2808</f>
        <v>RISLER SA</v>
      </c>
      <c r="D2808" s="35">
        <f>+'[2]por cuent'!G2808</f>
        <v>9557887.5099999998</v>
      </c>
      <c r="E2808" s="35">
        <f>+'[2]por cuent'!H2808</f>
        <v>9557887.5099999998</v>
      </c>
      <c r="F2808" t="str">
        <f>+'[2]por cuent'!I2808</f>
        <v>766</v>
      </c>
    </row>
    <row r="2809" spans="1:6" x14ac:dyDescent="0.35">
      <c r="A2809" t="str">
        <f>+'[2]por cuent'!A2809</f>
        <v>ARS</v>
      </c>
      <c r="B2809" t="str">
        <f>+'[2]por cuent'!B2809</f>
        <v>766000024</v>
      </c>
      <c r="C2809" t="str">
        <f>+'[2]por cuent'!C2809</f>
        <v>Gianni, Gabriela Paola</v>
      </c>
      <c r="D2809" s="35">
        <f>+'[2]por cuent'!G2809</f>
        <v>16400857.300000001</v>
      </c>
      <c r="E2809" s="35">
        <f>+'[2]por cuent'!H2809</f>
        <v>16400857.300000001</v>
      </c>
      <c r="F2809" t="str">
        <f>+'[2]por cuent'!I2809</f>
        <v>766</v>
      </c>
    </row>
    <row r="2810" spans="1:6" x14ac:dyDescent="0.35">
      <c r="A2810" t="str">
        <f>+'[2]por cuent'!A2810</f>
        <v>ARS</v>
      </c>
      <c r="B2810" t="str">
        <f>+'[2]por cuent'!B2810</f>
        <v>766000026</v>
      </c>
      <c r="C2810" t="str">
        <f>+'[2]por cuent'!C2810</f>
        <v>Cuello Facundo</v>
      </c>
      <c r="D2810" s="35">
        <f>+'[2]por cuent'!G2810</f>
        <v>38364722.939999998</v>
      </c>
      <c r="E2810" s="35">
        <f>+'[2]por cuent'!H2810</f>
        <v>38364722.939999998</v>
      </c>
      <c r="F2810" t="str">
        <f>+'[2]por cuent'!I2810</f>
        <v>766</v>
      </c>
    </row>
    <row r="2811" spans="1:6" x14ac:dyDescent="0.35">
      <c r="A2811" t="str">
        <f>+'[2]por cuent'!A2811</f>
        <v>ARS</v>
      </c>
      <c r="B2811" t="str">
        <f>+'[2]por cuent'!B2811</f>
        <v>766000027</v>
      </c>
      <c r="C2811" t="str">
        <f>+'[2]por cuent'!C2811</f>
        <v>Risler Hernan</v>
      </c>
      <c r="D2811" s="35">
        <f>+'[2]por cuent'!G2811</f>
        <v>957210.18</v>
      </c>
      <c r="E2811" s="35">
        <f>+'[2]por cuent'!H2811</f>
        <v>957210.18</v>
      </c>
      <c r="F2811" t="str">
        <f>+'[2]por cuent'!I2811</f>
        <v>766</v>
      </c>
    </row>
    <row r="2812" spans="1:6" x14ac:dyDescent="0.35">
      <c r="A2812" t="str">
        <f>+'[2]por cuent'!A2812</f>
        <v>ARS</v>
      </c>
      <c r="B2812" t="str">
        <f>+'[2]por cuent'!B2812</f>
        <v>766000032</v>
      </c>
      <c r="C2812" t="str">
        <f>+'[2]por cuent'!C2812</f>
        <v>Gentili, Marco</v>
      </c>
      <c r="D2812" s="35">
        <f>+'[2]por cuent'!G2812</f>
        <v>20783852.539999999</v>
      </c>
      <c r="E2812" s="35">
        <f>+'[2]por cuent'!H2812</f>
        <v>20783852.539999999</v>
      </c>
      <c r="F2812" t="str">
        <f>+'[2]por cuent'!I2812</f>
        <v>766</v>
      </c>
    </row>
    <row r="2813" spans="1:6" x14ac:dyDescent="0.35">
      <c r="A2813" t="str">
        <f>+'[2]por cuent'!A2813</f>
        <v>ARS</v>
      </c>
      <c r="B2813" t="str">
        <f>+'[2]por cuent'!B2813</f>
        <v>766000033</v>
      </c>
      <c r="C2813" t="str">
        <f>+'[2]por cuent'!C2813</f>
        <v>Cuello, Emilio</v>
      </c>
      <c r="D2813" s="35">
        <f>+'[2]por cuent'!G2813</f>
        <v>2619480.2599999998</v>
      </c>
      <c r="E2813" s="35">
        <f>+'[2]por cuent'!H2813</f>
        <v>2619480.2599999998</v>
      </c>
      <c r="F2813" t="str">
        <f>+'[2]por cuent'!I2813</f>
        <v>766</v>
      </c>
    </row>
    <row r="2814" spans="1:6" x14ac:dyDescent="0.35">
      <c r="A2814" t="str">
        <f>+'[2]por cuent'!A2814</f>
        <v>ARS</v>
      </c>
      <c r="B2814" t="str">
        <f>+'[2]por cuent'!B2814</f>
        <v>766000035</v>
      </c>
      <c r="C2814" t="str">
        <f>+'[2]por cuent'!C2814</f>
        <v>Materiales Eléctricos Omar Rodríguez S.R.L.</v>
      </c>
      <c r="D2814" s="35">
        <f>+'[2]por cuent'!G2814</f>
        <v>16164501.67</v>
      </c>
      <c r="E2814" s="35">
        <f>+'[2]por cuent'!H2814</f>
        <v>16164501.67</v>
      </c>
      <c r="F2814" t="str">
        <f>+'[2]por cuent'!I2814</f>
        <v>766</v>
      </c>
    </row>
    <row r="2815" spans="1:6" x14ac:dyDescent="0.35">
      <c r="A2815" t="str">
        <f>+'[2]por cuent'!A2815</f>
        <v>ARS</v>
      </c>
      <c r="B2815" t="str">
        <f>+'[2]por cuent'!B2815</f>
        <v>766000036</v>
      </c>
      <c r="C2815" t="str">
        <f>+'[2]por cuent'!C2815</f>
        <v>Neltec S.A.</v>
      </c>
      <c r="D2815" s="35">
        <f>+'[2]por cuent'!G2815</f>
        <v>275921013.58999997</v>
      </c>
      <c r="E2815" s="35">
        <f>+'[2]por cuent'!H2815</f>
        <v>275921013.58999997</v>
      </c>
      <c r="F2815" t="str">
        <f>+'[2]por cuent'!I2815</f>
        <v>766</v>
      </c>
    </row>
    <row r="2816" spans="1:6" x14ac:dyDescent="0.35">
      <c r="A2816" t="str">
        <f>+'[2]por cuent'!A2816</f>
        <v>ARS</v>
      </c>
      <c r="B2816" t="str">
        <f>+'[2]por cuent'!B2816</f>
        <v>766000037</v>
      </c>
      <c r="C2816" t="str">
        <f>+'[2]por cuent'!C2816</f>
        <v>Barbieri, Facundo Carlos</v>
      </c>
      <c r="D2816" s="35">
        <f>+'[2]por cuent'!G2816</f>
        <v>23275890.329999998</v>
      </c>
      <c r="E2816" s="35">
        <f>+'[2]por cuent'!H2816</f>
        <v>23275890.329999998</v>
      </c>
      <c r="F2816" t="str">
        <f>+'[2]por cuent'!I2816</f>
        <v>766</v>
      </c>
    </row>
    <row r="2817" spans="1:6" x14ac:dyDescent="0.35">
      <c r="A2817" t="str">
        <f>+'[2]por cuent'!A2817</f>
        <v>ARS</v>
      </c>
      <c r="B2817" t="str">
        <f>+'[2]por cuent'!B2817</f>
        <v>766000039</v>
      </c>
      <c r="C2817" t="str">
        <f>+'[2]por cuent'!C2817</f>
        <v>Navarro, Romina Paula</v>
      </c>
      <c r="D2817" s="35">
        <f>+'[2]por cuent'!G2817</f>
        <v>431722541.06999999</v>
      </c>
      <c r="E2817" s="35">
        <f>+'[2]por cuent'!H2817</f>
        <v>431722541.06999999</v>
      </c>
      <c r="F2817" t="str">
        <f>+'[2]por cuent'!I2817</f>
        <v>766</v>
      </c>
    </row>
    <row r="2818" spans="1:6" x14ac:dyDescent="0.35">
      <c r="A2818" t="str">
        <f>+'[2]por cuent'!A2818</f>
        <v>ARS</v>
      </c>
      <c r="B2818" t="str">
        <f>+'[2]por cuent'!B2818</f>
        <v>766000040</v>
      </c>
      <c r="C2818" t="str">
        <f>+'[2]por cuent'!C2818</f>
        <v>Pires, Miryam Susana</v>
      </c>
      <c r="D2818" s="35">
        <f>+'[2]por cuent'!G2818</f>
        <v>58107087.770000003</v>
      </c>
      <c r="E2818" s="35">
        <f>+'[2]por cuent'!H2818</f>
        <v>58107087.770000003</v>
      </c>
      <c r="F2818" t="str">
        <f>+'[2]por cuent'!I2818</f>
        <v>766</v>
      </c>
    </row>
    <row r="2819" spans="1:6" x14ac:dyDescent="0.35">
      <c r="A2819" t="str">
        <f>+'[2]por cuent'!A2819</f>
        <v>ARS</v>
      </c>
      <c r="B2819" t="str">
        <f>+'[2]por cuent'!B2819</f>
        <v>766000041</v>
      </c>
      <c r="C2819" t="str">
        <f>+'[2]por cuent'!C2819</f>
        <v xml:space="preserve"> Chamorro, Oscar Victorino</v>
      </c>
      <c r="D2819" s="35">
        <f>+'[2]por cuent'!G2819</f>
        <v>14611793.85</v>
      </c>
      <c r="E2819" s="35">
        <f>+'[2]por cuent'!H2819</f>
        <v>14611793.85</v>
      </c>
      <c r="F2819" t="str">
        <f>+'[2]por cuent'!I2819</f>
        <v>766</v>
      </c>
    </row>
    <row r="2820" spans="1:6" x14ac:dyDescent="0.35">
      <c r="A2820" t="str">
        <f>+'[2]por cuent'!A2820</f>
        <v>ARS</v>
      </c>
      <c r="B2820" t="str">
        <f>+'[2]por cuent'!B2820</f>
        <v>766000044</v>
      </c>
      <c r="C2820" t="str">
        <f>+'[2]por cuent'!C2820</f>
        <v>Leonardo, Quagliato</v>
      </c>
      <c r="D2820" s="35">
        <f>+'[2]por cuent'!G2820</f>
        <v>1809453.47</v>
      </c>
      <c r="E2820" s="35">
        <f>+'[2]por cuent'!H2820</f>
        <v>1809453.47</v>
      </c>
      <c r="F2820" t="str">
        <f>+'[2]por cuent'!I2820</f>
        <v>766</v>
      </c>
    </row>
    <row r="2821" spans="1:6" x14ac:dyDescent="0.35">
      <c r="A2821" t="str">
        <f>+'[2]por cuent'!A2821</f>
        <v>ARS</v>
      </c>
      <c r="B2821" t="str">
        <f>+'[2]por cuent'!B2821</f>
        <v>766000049</v>
      </c>
      <c r="C2821" t="str">
        <f>+'[2]por cuent'!C2821</f>
        <v>Quagliato, María Celina</v>
      </c>
      <c r="D2821" s="35">
        <f>+'[2]por cuent'!G2821</f>
        <v>6778762.8399999999</v>
      </c>
      <c r="E2821" s="35">
        <f>+'[2]por cuent'!H2821</f>
        <v>6778762.8399999999</v>
      </c>
      <c r="F2821" t="str">
        <f>+'[2]por cuent'!I2821</f>
        <v>766</v>
      </c>
    </row>
    <row r="2822" spans="1:6" x14ac:dyDescent="0.35">
      <c r="A2822" t="str">
        <f>+'[2]por cuent'!A2822</f>
        <v>ARS</v>
      </c>
      <c r="B2822" t="str">
        <f>+'[2]por cuent'!B2822</f>
        <v>766000058</v>
      </c>
      <c r="C2822" t="str">
        <f>+'[2]por cuent'!C2822</f>
        <v>Boschi, Robertino Osvaldo</v>
      </c>
      <c r="D2822" s="35">
        <f>+'[2]por cuent'!G2822</f>
        <v>115874456.09</v>
      </c>
      <c r="E2822" s="35">
        <f>+'[2]por cuent'!H2822</f>
        <v>115874456.09</v>
      </c>
      <c r="F2822" t="str">
        <f>+'[2]por cuent'!I2822</f>
        <v>766</v>
      </c>
    </row>
    <row r="2823" spans="1:6" x14ac:dyDescent="0.35">
      <c r="A2823" t="str">
        <f>+'[2]por cuent'!A2823</f>
        <v>ARS</v>
      </c>
      <c r="B2823" t="str">
        <f>+'[2]por cuent'!B2823</f>
        <v>766000059</v>
      </c>
      <c r="C2823" t="str">
        <f>+'[2]por cuent'!C2823</f>
        <v xml:space="preserve">Primoletti, Jorge Cesar </v>
      </c>
      <c r="D2823" s="35">
        <f>+'[2]por cuent'!G2823</f>
        <v>173100817.58000001</v>
      </c>
      <c r="E2823" s="35">
        <f>+'[2]por cuent'!H2823</f>
        <v>173100817.58000001</v>
      </c>
      <c r="F2823" t="str">
        <f>+'[2]por cuent'!I2823</f>
        <v>766</v>
      </c>
    </row>
    <row r="2824" spans="1:6" x14ac:dyDescent="0.35">
      <c r="A2824" t="str">
        <f>+'[2]por cuent'!A2824</f>
        <v>ARS</v>
      </c>
      <c r="B2824" t="str">
        <f>+'[2]por cuent'!B2824</f>
        <v>766000060</v>
      </c>
      <c r="C2824" t="str">
        <f>+'[2]por cuent'!C2824</f>
        <v>FREYTES, JORGE HORACIO</v>
      </c>
      <c r="D2824" s="35">
        <f>+'[2]por cuent'!G2824</f>
        <v>1856957.91</v>
      </c>
      <c r="E2824" s="35">
        <f>+'[2]por cuent'!H2824</f>
        <v>1856957.91</v>
      </c>
      <c r="F2824" t="str">
        <f>+'[2]por cuent'!I2824</f>
        <v>766</v>
      </c>
    </row>
    <row r="2825" spans="1:6" x14ac:dyDescent="0.35">
      <c r="A2825" t="str">
        <f>+'[2]por cuent'!A2825</f>
        <v>ARS</v>
      </c>
      <c r="B2825" t="str">
        <f>+'[2]por cuent'!B2825</f>
        <v>766000062</v>
      </c>
      <c r="C2825" t="str">
        <f>+'[2]por cuent'!C2825</f>
        <v>Salerno, Graciela Rita</v>
      </c>
      <c r="D2825" s="35">
        <f>+'[2]por cuent'!G2825</f>
        <v>13245165.93</v>
      </c>
      <c r="E2825" s="35">
        <f>+'[2]por cuent'!H2825</f>
        <v>13245165.93</v>
      </c>
      <c r="F2825" t="str">
        <f>+'[2]por cuent'!I2825</f>
        <v>766</v>
      </c>
    </row>
    <row r="2826" spans="1:6" x14ac:dyDescent="0.35">
      <c r="A2826" t="str">
        <f>+'[2]por cuent'!A2826</f>
        <v>ARS</v>
      </c>
      <c r="B2826" t="str">
        <f>+'[2]por cuent'!B2826</f>
        <v>766000065</v>
      </c>
      <c r="C2826" t="str">
        <f>+'[2]por cuent'!C2826</f>
        <v>Cuello, Maria Del Rosario</v>
      </c>
      <c r="D2826" s="35">
        <f>+'[2]por cuent'!G2826</f>
        <v>388530</v>
      </c>
      <c r="E2826" s="35">
        <f>+'[2]por cuent'!H2826</f>
        <v>388530</v>
      </c>
      <c r="F2826" t="str">
        <f>+'[2]por cuent'!I2826</f>
        <v>766</v>
      </c>
    </row>
    <row r="2827" spans="1:6" x14ac:dyDescent="0.35">
      <c r="A2827" t="str">
        <f>+'[2]por cuent'!A2827</f>
        <v>ARS</v>
      </c>
      <c r="B2827" t="str">
        <f>+'[2]por cuent'!B2827</f>
        <v>766000068</v>
      </c>
      <c r="C2827" t="str">
        <f>+'[2]por cuent'!C2827</f>
        <v>Quagliato, Luciana</v>
      </c>
      <c r="D2827" s="35">
        <f>+'[2]por cuent'!G2827</f>
        <v>18367526.649999999</v>
      </c>
      <c r="E2827" s="35">
        <f>+'[2]por cuent'!H2827</f>
        <v>18367526.649999999</v>
      </c>
      <c r="F2827" t="str">
        <f>+'[2]por cuent'!I2827</f>
        <v>766</v>
      </c>
    </row>
    <row r="2828" spans="1:6" x14ac:dyDescent="0.35">
      <c r="A2828" t="str">
        <f>+'[2]por cuent'!A2828</f>
        <v>ARS</v>
      </c>
      <c r="B2828" t="str">
        <f>+'[2]por cuent'!B2828</f>
        <v>766000072</v>
      </c>
      <c r="C2828" t="str">
        <f>+'[2]por cuent'!C2828</f>
        <v>Pelaez, Juan Manuel</v>
      </c>
      <c r="D2828" s="35">
        <f>+'[2]por cuent'!G2828</f>
        <v>3962250.98</v>
      </c>
      <c r="E2828" s="35">
        <f>+'[2]por cuent'!H2828</f>
        <v>3962250.98</v>
      </c>
      <c r="F2828" t="str">
        <f>+'[2]por cuent'!I2828</f>
        <v>766</v>
      </c>
    </row>
    <row r="2829" spans="1:6" x14ac:dyDescent="0.35">
      <c r="A2829" t="str">
        <f>+'[2]por cuent'!A2829</f>
        <v>ARS</v>
      </c>
      <c r="B2829" t="str">
        <f>+'[2]por cuent'!B2829</f>
        <v>766000073</v>
      </c>
      <c r="C2829" t="str">
        <f>+'[2]por cuent'!C2829</f>
        <v xml:space="preserve">Quiles, Marta Beatriz </v>
      </c>
      <c r="D2829" s="35">
        <f>+'[2]por cuent'!G2829</f>
        <v>5221989.3499999996</v>
      </c>
      <c r="E2829" s="35">
        <f>+'[2]por cuent'!H2829</f>
        <v>5221989.3499999996</v>
      </c>
      <c r="F2829" t="str">
        <f>+'[2]por cuent'!I2829</f>
        <v>766</v>
      </c>
    </row>
    <row r="2830" spans="1:6" x14ac:dyDescent="0.35">
      <c r="A2830" t="str">
        <f>+'[2]por cuent'!A2830</f>
        <v>ARS</v>
      </c>
      <c r="B2830" t="str">
        <f>+'[2]por cuent'!B2830</f>
        <v>766000076</v>
      </c>
      <c r="C2830" t="str">
        <f>+'[2]por cuent'!C2830</f>
        <v>Gallo, Laura Nora</v>
      </c>
      <c r="D2830" s="35">
        <f>+'[2]por cuent'!G2830</f>
        <v>1113531.79</v>
      </c>
      <c r="E2830" s="35">
        <f>+'[2]por cuent'!H2830</f>
        <v>1113531.79</v>
      </c>
      <c r="F2830" t="str">
        <f>+'[2]por cuent'!I2830</f>
        <v>766</v>
      </c>
    </row>
    <row r="2831" spans="1:6" x14ac:dyDescent="0.35">
      <c r="A2831" t="str">
        <f>+'[2]por cuent'!A2831</f>
        <v>ARS</v>
      </c>
      <c r="B2831" t="str">
        <f>+'[2]por cuent'!B2831</f>
        <v>766000078</v>
      </c>
      <c r="C2831" t="str">
        <f>+'[2]por cuent'!C2831</f>
        <v>Asociación Civil Agrupación Deportiva Infantil Unión Rosario</v>
      </c>
      <c r="D2831" s="35">
        <f>+'[2]por cuent'!G2831</f>
        <v>16748620.59</v>
      </c>
      <c r="E2831" s="35">
        <f>+'[2]por cuent'!H2831</f>
        <v>16748620.59</v>
      </c>
      <c r="F2831" t="str">
        <f>+'[2]por cuent'!I2831</f>
        <v>766</v>
      </c>
    </row>
    <row r="2832" spans="1:6" x14ac:dyDescent="0.35">
      <c r="A2832" t="str">
        <f>+'[2]por cuent'!A2832</f>
        <v>ARS</v>
      </c>
      <c r="B2832" t="str">
        <f>+'[2]por cuent'!B2832</f>
        <v>766000079</v>
      </c>
      <c r="C2832" t="str">
        <f>+'[2]por cuent'!C2832</f>
        <v>Corbella, Fernando</v>
      </c>
      <c r="D2832" s="35">
        <f>+'[2]por cuent'!G2832</f>
        <v>750132.14</v>
      </c>
      <c r="E2832" s="35">
        <f>+'[2]por cuent'!H2832</f>
        <v>750132.14</v>
      </c>
      <c r="F2832" t="str">
        <f>+'[2]por cuent'!I2832</f>
        <v>766</v>
      </c>
    </row>
    <row r="2833" spans="1:6" x14ac:dyDescent="0.35">
      <c r="A2833" t="str">
        <f>+'[2]por cuent'!A2833</f>
        <v>ARS</v>
      </c>
      <c r="B2833" t="str">
        <f>+'[2]por cuent'!B2833</f>
        <v>766000080</v>
      </c>
      <c r="C2833" t="str">
        <f>+'[2]por cuent'!C2833</f>
        <v>Milano, Luis José</v>
      </c>
      <c r="D2833" s="35">
        <f>+'[2]por cuent'!G2833</f>
        <v>9684660.7799999993</v>
      </c>
      <c r="E2833" s="35">
        <f>+'[2]por cuent'!H2833</f>
        <v>9684660.7799999993</v>
      </c>
      <c r="F2833" t="str">
        <f>+'[2]por cuent'!I2833</f>
        <v>766</v>
      </c>
    </row>
    <row r="2834" spans="1:6" x14ac:dyDescent="0.35">
      <c r="A2834" t="str">
        <f>+'[2]por cuent'!A2834</f>
        <v>ARS</v>
      </c>
      <c r="B2834" t="str">
        <f>+'[2]por cuent'!B2834</f>
        <v>766000083</v>
      </c>
      <c r="C2834" t="str">
        <f>+'[2]por cuent'!C2834</f>
        <v>Azar, Ana Maria o Etcharren, Elena Malvina</v>
      </c>
      <c r="D2834" s="35">
        <f>+'[2]por cuent'!G2834</f>
        <v>664207.77</v>
      </c>
      <c r="E2834" s="35">
        <f>+'[2]por cuent'!H2834</f>
        <v>664207.77</v>
      </c>
      <c r="F2834" t="str">
        <f>+'[2]por cuent'!I2834</f>
        <v>766</v>
      </c>
    </row>
    <row r="2835" spans="1:6" x14ac:dyDescent="0.35">
      <c r="A2835" t="str">
        <f>+'[2]por cuent'!A2835</f>
        <v>ARS</v>
      </c>
      <c r="B2835" t="str">
        <f>+'[2]por cuent'!B2835</f>
        <v>766000084</v>
      </c>
      <c r="C2835" t="str">
        <f>+'[2]por cuent'!C2835</f>
        <v>Falco, Franco Jesus</v>
      </c>
      <c r="D2835" s="35">
        <f>+'[2]por cuent'!G2835</f>
        <v>557817.62</v>
      </c>
      <c r="E2835" s="35">
        <f>+'[2]por cuent'!H2835</f>
        <v>557817.62</v>
      </c>
      <c r="F2835" t="str">
        <f>+'[2]por cuent'!I2835</f>
        <v>766</v>
      </c>
    </row>
    <row r="2836" spans="1:6" x14ac:dyDescent="0.35">
      <c r="A2836" t="str">
        <f>+'[2]por cuent'!A2836</f>
        <v>ARS</v>
      </c>
      <c r="B2836" t="str">
        <f>+'[2]por cuent'!B2836</f>
        <v>766000101</v>
      </c>
      <c r="C2836" t="str">
        <f>+'[2]por cuent'!C2836</f>
        <v>Pegoraro, María Florencia</v>
      </c>
      <c r="D2836" s="35">
        <f>+'[2]por cuent'!G2836</f>
        <v>10622685</v>
      </c>
      <c r="E2836" s="35">
        <f>+'[2]por cuent'!H2836</f>
        <v>10622685</v>
      </c>
      <c r="F2836" t="str">
        <f>+'[2]por cuent'!I2836</f>
        <v>766</v>
      </c>
    </row>
    <row r="2837" spans="1:6" x14ac:dyDescent="0.35">
      <c r="A2837" t="str">
        <f>+'[2]por cuent'!A2837</f>
        <v>ARS</v>
      </c>
      <c r="B2837" t="str">
        <f>+'[2]por cuent'!B2837</f>
        <v>766000104</v>
      </c>
      <c r="C2837" t="str">
        <f>+'[2]por cuent'!C2837</f>
        <v>Alfieri, Jose Maria</v>
      </c>
      <c r="D2837" s="35">
        <f>+'[2]por cuent'!G2837</f>
        <v>2068702.86</v>
      </c>
      <c r="E2837" s="35">
        <f>+'[2]por cuent'!H2837</f>
        <v>2068702.86</v>
      </c>
      <c r="F2837" t="str">
        <f>+'[2]por cuent'!I2837</f>
        <v>766</v>
      </c>
    </row>
    <row r="2838" spans="1:6" x14ac:dyDescent="0.35">
      <c r="A2838" t="str">
        <f>+'[2]por cuent'!A2838</f>
        <v>ARS</v>
      </c>
      <c r="B2838" t="str">
        <f>+'[2]por cuent'!B2838</f>
        <v>766000105</v>
      </c>
      <c r="C2838" t="str">
        <f>+'[2]por cuent'!C2838</f>
        <v>Leonardo, Quagliato o Quagliato, María Celina</v>
      </c>
      <c r="D2838" s="35">
        <f>+'[2]por cuent'!G2838</f>
        <v>459099.27</v>
      </c>
      <c r="E2838" s="35">
        <f>+'[2]por cuent'!H2838</f>
        <v>459099.27</v>
      </c>
      <c r="F2838" t="str">
        <f>+'[2]por cuent'!I2838</f>
        <v>766</v>
      </c>
    </row>
    <row r="2839" spans="1:6" x14ac:dyDescent="0.35">
      <c r="A2839" t="str">
        <f>+'[2]por cuent'!A2839</f>
        <v>ARS</v>
      </c>
      <c r="B2839" t="str">
        <f>+'[2]por cuent'!B2839</f>
        <v>766000106</v>
      </c>
      <c r="C2839" t="str">
        <f>+'[2]por cuent'!C2839</f>
        <v xml:space="preserve">El Macho Ganadero </v>
      </c>
      <c r="D2839" s="35">
        <f>+'[2]por cuent'!G2839</f>
        <v>87033215.129999995</v>
      </c>
      <c r="E2839" s="35">
        <f>+'[2]por cuent'!H2839</f>
        <v>87033215.129999995</v>
      </c>
      <c r="F2839" t="str">
        <f>+'[2]por cuent'!I2839</f>
        <v>766</v>
      </c>
    </row>
    <row r="2840" spans="1:6" x14ac:dyDescent="0.35">
      <c r="A2840" t="str">
        <f>+'[2]por cuent'!A2840</f>
        <v>ARS</v>
      </c>
      <c r="B2840" t="str">
        <f>+'[2]por cuent'!B2840</f>
        <v>766000108</v>
      </c>
      <c r="C2840" t="str">
        <f>+'[2]por cuent'!C2840</f>
        <v>Alfold SA</v>
      </c>
      <c r="D2840" s="35">
        <f>+'[2]por cuent'!G2840</f>
        <v>11950884.970000001</v>
      </c>
      <c r="E2840" s="35">
        <f>+'[2]por cuent'!H2840</f>
        <v>11950884.970000001</v>
      </c>
      <c r="F2840" t="str">
        <f>+'[2]por cuent'!I2840</f>
        <v>766</v>
      </c>
    </row>
    <row r="2841" spans="1:6" x14ac:dyDescent="0.35">
      <c r="A2841" t="str">
        <f>+'[2]por cuent'!A2841</f>
        <v>ARS</v>
      </c>
      <c r="B2841" t="str">
        <f>+'[2]por cuent'!B2841</f>
        <v>766000112</v>
      </c>
      <c r="C2841" t="str">
        <f>+'[2]por cuent'!C2841</f>
        <v>Puerto Linda Vista S.A.</v>
      </c>
      <c r="D2841" s="35">
        <f>+'[2]por cuent'!G2841</f>
        <v>5231976.7300000004</v>
      </c>
      <c r="E2841" s="35">
        <f>+'[2]por cuent'!H2841</f>
        <v>5231976.7300000004</v>
      </c>
      <c r="F2841" t="str">
        <f>+'[2]por cuent'!I2841</f>
        <v>766</v>
      </c>
    </row>
    <row r="2842" spans="1:6" x14ac:dyDescent="0.35">
      <c r="A2842" t="str">
        <f>+'[2]por cuent'!A2842</f>
        <v>ARS</v>
      </c>
      <c r="B2842" t="str">
        <f>+'[2]por cuent'!B2842</f>
        <v>766000114</v>
      </c>
      <c r="C2842" t="str">
        <f>+'[2]por cuent'!C2842</f>
        <v>Speerli, Adrián Alfredo</v>
      </c>
      <c r="D2842" s="35">
        <f>+'[2]por cuent'!G2842</f>
        <v>262025.58</v>
      </c>
      <c r="E2842" s="35">
        <f>+'[2]por cuent'!H2842</f>
        <v>262025.58</v>
      </c>
      <c r="F2842" t="str">
        <f>+'[2]por cuent'!I2842</f>
        <v>766</v>
      </c>
    </row>
    <row r="2843" spans="1:6" x14ac:dyDescent="0.35">
      <c r="A2843" t="str">
        <f>+'[2]por cuent'!A2843</f>
        <v>ARS</v>
      </c>
      <c r="B2843" t="str">
        <f>+'[2]por cuent'!B2843</f>
        <v>766000119</v>
      </c>
      <c r="C2843" t="str">
        <f>+'[2]por cuent'!C2843</f>
        <v>Martinez, Liliana Norma o Tommasi, Javier Alejandro o Tommasi, Gustavo Darío</v>
      </c>
      <c r="D2843" s="35">
        <f>+'[2]por cuent'!G2843</f>
        <v>116547357.44</v>
      </c>
      <c r="E2843" s="35">
        <f>+'[2]por cuent'!H2843</f>
        <v>116547357.44</v>
      </c>
      <c r="F2843" t="str">
        <f>+'[2]por cuent'!I2843</f>
        <v>766</v>
      </c>
    </row>
    <row r="2844" spans="1:6" x14ac:dyDescent="0.35">
      <c r="A2844" t="str">
        <f>+'[2]por cuent'!A2844</f>
        <v>ARS</v>
      </c>
      <c r="B2844" t="str">
        <f>+'[2]por cuent'!B2844</f>
        <v>766000123</v>
      </c>
      <c r="C2844" t="str">
        <f>+'[2]por cuent'!C2844</f>
        <v>Carreras, Miguel</v>
      </c>
      <c r="D2844" s="35">
        <f>+'[2]por cuent'!G2844</f>
        <v>38087934.149999999</v>
      </c>
      <c r="E2844" s="35">
        <f>+'[2]por cuent'!H2844</f>
        <v>38087934.149999999</v>
      </c>
      <c r="F2844" t="str">
        <f>+'[2]por cuent'!I2844</f>
        <v>766</v>
      </c>
    </row>
    <row r="2845" spans="1:6" x14ac:dyDescent="0.35">
      <c r="A2845" t="str">
        <f>+'[2]por cuent'!A2845</f>
        <v>ARS</v>
      </c>
      <c r="B2845" t="str">
        <f>+'[2]por cuent'!B2845</f>
        <v>766000127</v>
      </c>
      <c r="C2845" t="str">
        <f>+'[2]por cuent'!C2845</f>
        <v>DICUNEO S.R.L.</v>
      </c>
      <c r="D2845" s="35">
        <f>+'[2]por cuent'!G2845</f>
        <v>83824533.439999998</v>
      </c>
      <c r="E2845" s="35">
        <f>+'[2]por cuent'!H2845</f>
        <v>83824533.439999998</v>
      </c>
      <c r="F2845" t="str">
        <f>+'[2]por cuent'!I2845</f>
        <v>766</v>
      </c>
    </row>
    <row r="2846" spans="1:6" x14ac:dyDescent="0.35">
      <c r="A2846" t="str">
        <f>+'[2]por cuent'!A2846</f>
        <v>ARS</v>
      </c>
      <c r="B2846" t="str">
        <f>+'[2]por cuent'!B2846</f>
        <v>766000130</v>
      </c>
      <c r="C2846" t="str">
        <f>+'[2]por cuent'!C2846</f>
        <v>Rodríguez, Anabel Elisa</v>
      </c>
      <c r="D2846" s="35">
        <f>+'[2]por cuent'!G2846</f>
        <v>1193600</v>
      </c>
      <c r="E2846" s="35">
        <f>+'[2]por cuent'!H2846</f>
        <v>1193600</v>
      </c>
      <c r="F2846" t="str">
        <f>+'[2]por cuent'!I2846</f>
        <v>766</v>
      </c>
    </row>
    <row r="2847" spans="1:6" x14ac:dyDescent="0.35">
      <c r="A2847" t="str">
        <f>+'[2]por cuent'!A2847</f>
        <v>ARS</v>
      </c>
      <c r="B2847" t="str">
        <f>+'[2]por cuent'!B2847</f>
        <v>766000137</v>
      </c>
      <c r="C2847" t="str">
        <f>+'[2]por cuent'!C2847</f>
        <v>Barrau , Guillermo</v>
      </c>
      <c r="D2847" s="35">
        <f>+'[2]por cuent'!G2847</f>
        <v>59843232.780000001</v>
      </c>
      <c r="E2847" s="35">
        <f>+'[2]por cuent'!H2847</f>
        <v>59843232.780000001</v>
      </c>
      <c r="F2847" t="str">
        <f>+'[2]por cuent'!I2847</f>
        <v>766</v>
      </c>
    </row>
    <row r="2848" spans="1:6" x14ac:dyDescent="0.35">
      <c r="A2848" t="str">
        <f>+'[2]por cuent'!A2848</f>
        <v>ARS</v>
      </c>
      <c r="B2848" t="str">
        <f>+'[2]por cuent'!B2848</f>
        <v>766000142</v>
      </c>
      <c r="C2848" t="str">
        <f>+'[2]por cuent'!C2848</f>
        <v>Mustafa, Gabriela Cecilia</v>
      </c>
      <c r="D2848" s="35">
        <f>+'[2]por cuent'!G2848</f>
        <v>421867462.39999998</v>
      </c>
      <c r="E2848" s="35">
        <f>+'[2]por cuent'!H2848</f>
        <v>421867462.39999998</v>
      </c>
      <c r="F2848" t="str">
        <f>+'[2]por cuent'!I2848</f>
        <v>766</v>
      </c>
    </row>
    <row r="2849" spans="1:6" x14ac:dyDescent="0.35">
      <c r="A2849" t="str">
        <f>+'[2]por cuent'!A2849</f>
        <v>ARS</v>
      </c>
      <c r="B2849" t="str">
        <f>+'[2]por cuent'!B2849</f>
        <v>766000143</v>
      </c>
      <c r="C2849" t="str">
        <f>+'[2]por cuent'!C2849</f>
        <v>Milano, Juan Pablo</v>
      </c>
      <c r="D2849" s="35">
        <f>+'[2]por cuent'!G2849</f>
        <v>52373868.189999998</v>
      </c>
      <c r="E2849" s="35">
        <f>+'[2]por cuent'!H2849</f>
        <v>52373868.189999998</v>
      </c>
      <c r="F2849" t="str">
        <f>+'[2]por cuent'!I2849</f>
        <v>766</v>
      </c>
    </row>
    <row r="2850" spans="1:6" x14ac:dyDescent="0.35">
      <c r="A2850" t="str">
        <f>+'[2]por cuent'!A2850</f>
        <v>ARS</v>
      </c>
      <c r="B2850" t="str">
        <f>+'[2]por cuent'!B2850</f>
        <v>766000144</v>
      </c>
      <c r="C2850" t="str">
        <f>+'[2]por cuent'!C2850</f>
        <v>Alfieri, Valentina</v>
      </c>
      <c r="D2850" s="35">
        <f>+'[2]por cuent'!G2850</f>
        <v>323442.94</v>
      </c>
      <c r="E2850" s="35">
        <f>+'[2]por cuent'!H2850</f>
        <v>323442.94</v>
      </c>
      <c r="F2850" t="str">
        <f>+'[2]por cuent'!I2850</f>
        <v>766</v>
      </c>
    </row>
    <row r="2851" spans="1:6" x14ac:dyDescent="0.35">
      <c r="A2851" t="str">
        <f>+'[2]por cuent'!A2851</f>
        <v>ARS</v>
      </c>
      <c r="B2851" t="str">
        <f>+'[2]por cuent'!B2851</f>
        <v>766000146</v>
      </c>
      <c r="C2851" t="str">
        <f>+'[2]por cuent'!C2851</f>
        <v>Muñoz, Julián Mateo</v>
      </c>
      <c r="D2851" s="35">
        <f>+'[2]por cuent'!G2851</f>
        <v>18641318.579999998</v>
      </c>
      <c r="E2851" s="35">
        <f>+'[2]por cuent'!H2851</f>
        <v>18641318.579999998</v>
      </c>
      <c r="F2851" t="str">
        <f>+'[2]por cuent'!I2851</f>
        <v>766</v>
      </c>
    </row>
    <row r="2852" spans="1:6" x14ac:dyDescent="0.35">
      <c r="A2852" t="str">
        <f>+'[2]por cuent'!A2852</f>
        <v>ARS</v>
      </c>
      <c r="B2852" t="str">
        <f>+'[2]por cuent'!B2852</f>
        <v>766000166</v>
      </c>
      <c r="C2852" t="str">
        <f>+'[2]por cuent'!C2852</f>
        <v>Mattos, Soledad</v>
      </c>
      <c r="D2852" s="35">
        <f>+'[2]por cuent'!G2852</f>
        <v>10688495.640000001</v>
      </c>
      <c r="E2852" s="35">
        <f>+'[2]por cuent'!H2852</f>
        <v>10688495.640000001</v>
      </c>
      <c r="F2852" t="str">
        <f>+'[2]por cuent'!I2852</f>
        <v>766</v>
      </c>
    </row>
    <row r="2853" spans="1:6" x14ac:dyDescent="0.35">
      <c r="A2853" t="str">
        <f>+'[2]por cuent'!A2853</f>
        <v>ARS</v>
      </c>
      <c r="B2853" t="str">
        <f>+'[2]por cuent'!B2853</f>
        <v>766000168</v>
      </c>
      <c r="C2853" t="str">
        <f>+'[2]por cuent'!C2853</f>
        <v>Sabella Garaffa, Jonatan Daniel</v>
      </c>
      <c r="D2853" s="35">
        <f>+'[2]por cuent'!G2853</f>
        <v>2767328.19</v>
      </c>
      <c r="E2853" s="35">
        <f>+'[2]por cuent'!H2853</f>
        <v>2767328.19</v>
      </c>
      <c r="F2853" t="str">
        <f>+'[2]por cuent'!I2853</f>
        <v>766</v>
      </c>
    </row>
    <row r="2854" spans="1:6" x14ac:dyDescent="0.35">
      <c r="A2854" t="str">
        <f>+'[2]por cuent'!A2854</f>
        <v>ARS</v>
      </c>
      <c r="B2854" t="str">
        <f>+'[2]por cuent'!B2854</f>
        <v>766000169</v>
      </c>
      <c r="C2854" t="str">
        <f>+'[2]por cuent'!C2854</f>
        <v>Maida, Víctor Sebastián</v>
      </c>
      <c r="D2854" s="35">
        <f>+'[2]por cuent'!G2854</f>
        <v>3696065.23</v>
      </c>
      <c r="E2854" s="35">
        <f>+'[2]por cuent'!H2854</f>
        <v>3696065.23</v>
      </c>
      <c r="F2854" t="str">
        <f>+'[2]por cuent'!I2854</f>
        <v>766</v>
      </c>
    </row>
    <row r="2855" spans="1:6" x14ac:dyDescent="0.35">
      <c r="A2855" t="str">
        <f>+'[2]por cuent'!A2855</f>
        <v>ARS</v>
      </c>
      <c r="B2855" t="str">
        <f>+'[2]por cuent'!B2855</f>
        <v>766000171</v>
      </c>
      <c r="C2855" t="str">
        <f>+'[2]por cuent'!C2855</f>
        <v>Gentile, Sebastián Gustavo</v>
      </c>
      <c r="D2855" s="35">
        <f>+'[2]por cuent'!G2855</f>
        <v>7328256.0300000003</v>
      </c>
      <c r="E2855" s="35">
        <f>+'[2]por cuent'!H2855</f>
        <v>7328256.0300000003</v>
      </c>
      <c r="F2855" t="str">
        <f>+'[2]por cuent'!I2855</f>
        <v>766</v>
      </c>
    </row>
    <row r="2856" spans="1:6" x14ac:dyDescent="0.35">
      <c r="A2856" t="str">
        <f>+'[2]por cuent'!A2856</f>
        <v>ARS</v>
      </c>
      <c r="B2856" t="str">
        <f>+'[2]por cuent'!B2856</f>
        <v>766000179</v>
      </c>
      <c r="C2856" t="str">
        <f>+'[2]por cuent'!C2856</f>
        <v>Roig, Pablo César</v>
      </c>
      <c r="D2856" s="35">
        <f>+'[2]por cuent'!G2856</f>
        <v>485787.65</v>
      </c>
      <c r="E2856" s="35">
        <f>+'[2]por cuent'!H2856</f>
        <v>485787.65</v>
      </c>
      <c r="F2856" t="str">
        <f>+'[2]por cuent'!I2856</f>
        <v>766</v>
      </c>
    </row>
    <row r="2857" spans="1:6" x14ac:dyDescent="0.35">
      <c r="A2857" t="str">
        <f>+'[2]por cuent'!A2857</f>
        <v>ARS</v>
      </c>
      <c r="B2857" t="str">
        <f>+'[2]por cuent'!B2857</f>
        <v>766000182</v>
      </c>
      <c r="C2857" t="str">
        <f>+'[2]por cuent'!C2857</f>
        <v>Fissore, Tomas Rogelio</v>
      </c>
      <c r="D2857" s="35">
        <f>+'[2]por cuent'!G2857</f>
        <v>28467917.379999999</v>
      </c>
      <c r="E2857" s="35">
        <f>+'[2]por cuent'!H2857</f>
        <v>28467917.379999999</v>
      </c>
      <c r="F2857" t="str">
        <f>+'[2]por cuent'!I2857</f>
        <v>766</v>
      </c>
    </row>
    <row r="2858" spans="1:6" x14ac:dyDescent="0.35">
      <c r="A2858" t="str">
        <f>+'[2]por cuent'!A2858</f>
        <v>ARS</v>
      </c>
      <c r="B2858" t="str">
        <f>+'[2]por cuent'!B2858</f>
        <v>766000183</v>
      </c>
      <c r="C2858" t="str">
        <f>+'[2]por cuent'!C2858</f>
        <v>Garcilazo, Leandro</v>
      </c>
      <c r="D2858" s="35">
        <f>+'[2]por cuent'!G2858</f>
        <v>6108512.6799999997</v>
      </c>
      <c r="E2858" s="35">
        <f>+'[2]por cuent'!H2858</f>
        <v>6108512.6799999997</v>
      </c>
      <c r="F2858" t="str">
        <f>+'[2]por cuent'!I2858</f>
        <v>766</v>
      </c>
    </row>
    <row r="2859" spans="1:6" x14ac:dyDescent="0.35">
      <c r="A2859" t="str">
        <f>+'[2]por cuent'!A2859</f>
        <v>ARS</v>
      </c>
      <c r="B2859" t="str">
        <f>+'[2]por cuent'!B2859</f>
        <v>766000186</v>
      </c>
      <c r="C2859" t="str">
        <f>+'[2]por cuent'!C2859</f>
        <v>Proveedora Química S.A.</v>
      </c>
      <c r="D2859" s="35">
        <f>+'[2]por cuent'!G2859</f>
        <v>298484018.36000001</v>
      </c>
      <c r="E2859" s="35">
        <f>+'[2]por cuent'!H2859</f>
        <v>298484018.36000001</v>
      </c>
      <c r="F2859" t="str">
        <f>+'[2]por cuent'!I2859</f>
        <v>766</v>
      </c>
    </row>
    <row r="2860" spans="1:6" x14ac:dyDescent="0.35">
      <c r="A2860" t="str">
        <f>+'[2]por cuent'!A2860</f>
        <v>ARS</v>
      </c>
      <c r="B2860" t="str">
        <f>+'[2]por cuent'!B2860</f>
        <v>766000189</v>
      </c>
      <c r="C2860" t="str">
        <f>+'[2]por cuent'!C2860</f>
        <v>SENSIFY S.A.S.</v>
      </c>
      <c r="D2860" s="35">
        <f>+'[2]por cuent'!G2860</f>
        <v>2481437685.9899998</v>
      </c>
      <c r="E2860" s="35">
        <f>+'[2]por cuent'!H2860</f>
        <v>2481437685.9899998</v>
      </c>
      <c r="F2860" t="str">
        <f>+'[2]por cuent'!I2860</f>
        <v>766</v>
      </c>
    </row>
    <row r="2861" spans="1:6" x14ac:dyDescent="0.35">
      <c r="A2861" t="str">
        <f>+'[2]por cuent'!A2861</f>
        <v>ARS</v>
      </c>
      <c r="B2861" t="str">
        <f>+'[2]por cuent'!B2861</f>
        <v>766000190</v>
      </c>
      <c r="C2861" t="str">
        <f>+'[2]por cuent'!C2861</f>
        <v>SOLPLAST S.A.</v>
      </c>
      <c r="D2861" s="35">
        <f>+'[2]por cuent'!G2861</f>
        <v>102453655.47</v>
      </c>
      <c r="E2861" s="35">
        <f>+'[2]por cuent'!H2861</f>
        <v>102453655.47</v>
      </c>
      <c r="F2861" t="str">
        <f>+'[2]por cuent'!I2861</f>
        <v>766</v>
      </c>
    </row>
    <row r="2862" spans="1:6" x14ac:dyDescent="0.35">
      <c r="A2862" t="str">
        <f>+'[2]por cuent'!A2862</f>
        <v>ARS</v>
      </c>
      <c r="B2862" t="str">
        <f>+'[2]por cuent'!B2862</f>
        <v>766000193</v>
      </c>
      <c r="C2862" t="str">
        <f>+'[2]por cuent'!C2862</f>
        <v xml:space="preserve">Grivarello, Alexander Denis </v>
      </c>
      <c r="D2862" s="35">
        <f>+'[2]por cuent'!G2862</f>
        <v>21751669.359999999</v>
      </c>
      <c r="E2862" s="35">
        <f>+'[2]por cuent'!H2862</f>
        <v>21751669.359999999</v>
      </c>
      <c r="F2862" t="str">
        <f>+'[2]por cuent'!I2862</f>
        <v>766</v>
      </c>
    </row>
    <row r="2863" spans="1:6" x14ac:dyDescent="0.35">
      <c r="A2863" t="str">
        <f>+'[2]por cuent'!A2863</f>
        <v>ARS</v>
      </c>
      <c r="B2863" t="str">
        <f>+'[2]por cuent'!B2863</f>
        <v>766000195</v>
      </c>
      <c r="C2863" t="str">
        <f>+'[2]por cuent'!C2863</f>
        <v>Froschauer, Daniel Horacio</v>
      </c>
      <c r="D2863" s="35">
        <f>+'[2]por cuent'!G2863</f>
        <v>561518.11</v>
      </c>
      <c r="E2863" s="35">
        <f>+'[2]por cuent'!H2863</f>
        <v>561518.11</v>
      </c>
      <c r="F2863" t="str">
        <f>+'[2]por cuent'!I2863</f>
        <v>766</v>
      </c>
    </row>
    <row r="2864" spans="1:6" x14ac:dyDescent="0.35">
      <c r="A2864" t="str">
        <f>+'[2]por cuent'!A2864</f>
        <v>ARS</v>
      </c>
      <c r="B2864" t="str">
        <f>+'[2]por cuent'!B2864</f>
        <v>766000196</v>
      </c>
      <c r="C2864" t="str">
        <f>+'[2]por cuent'!C2864</f>
        <v>Tobar , Néstor Gabriel</v>
      </c>
      <c r="D2864" s="35">
        <f>+'[2]por cuent'!G2864</f>
        <v>98368704.170000002</v>
      </c>
      <c r="E2864" s="35">
        <f>+'[2]por cuent'!H2864</f>
        <v>98368704.170000002</v>
      </c>
      <c r="F2864" t="str">
        <f>+'[2]por cuent'!I2864</f>
        <v>766</v>
      </c>
    </row>
    <row r="2865" spans="1:6" x14ac:dyDescent="0.35">
      <c r="A2865" t="str">
        <f>+'[2]por cuent'!A2865</f>
        <v>ARS</v>
      </c>
      <c r="B2865" t="str">
        <f>+'[2]por cuent'!B2865</f>
        <v>766000202</v>
      </c>
      <c r="C2865" t="str">
        <f>+'[2]por cuent'!C2865</f>
        <v>Bussi, Sebastián</v>
      </c>
      <c r="D2865" s="35">
        <f>+'[2]por cuent'!G2865</f>
        <v>13859763.939999999</v>
      </c>
      <c r="E2865" s="35">
        <f>+'[2]por cuent'!H2865</f>
        <v>13859763.939999999</v>
      </c>
      <c r="F2865" t="str">
        <f>+'[2]por cuent'!I2865</f>
        <v>766</v>
      </c>
    </row>
    <row r="2866" spans="1:6" x14ac:dyDescent="0.35">
      <c r="A2866" t="str">
        <f>+'[2]por cuent'!A2866</f>
        <v>ARS</v>
      </c>
      <c r="B2866" t="str">
        <f>+'[2]por cuent'!B2866</f>
        <v>766000205</v>
      </c>
      <c r="C2866" t="str">
        <f>+'[2]por cuent'!C2866</f>
        <v xml:space="preserve">Blanch, Martin o Blanco, Lucrecia </v>
      </c>
      <c r="D2866" s="35">
        <f>+'[2]por cuent'!G2866</f>
        <v>1323298.6000000001</v>
      </c>
      <c r="E2866" s="35">
        <f>+'[2]por cuent'!H2866</f>
        <v>1323298.6000000001</v>
      </c>
      <c r="F2866" t="str">
        <f>+'[2]por cuent'!I2866</f>
        <v>766</v>
      </c>
    </row>
    <row r="2867" spans="1:6" x14ac:dyDescent="0.35">
      <c r="A2867" t="str">
        <f>+'[2]por cuent'!A2867</f>
        <v>ARS</v>
      </c>
      <c r="B2867" t="str">
        <f>+'[2]por cuent'!B2867</f>
        <v>766000217</v>
      </c>
      <c r="C2867" t="str">
        <f>+'[2]por cuent'!C2867</f>
        <v xml:space="preserve">Criolani, Nicolás Adrián </v>
      </c>
      <c r="D2867" s="35">
        <f>+'[2]por cuent'!G2867</f>
        <v>675800399.99000001</v>
      </c>
      <c r="E2867" s="35">
        <f>+'[2]por cuent'!H2867</f>
        <v>675800399.99000001</v>
      </c>
      <c r="F2867" t="str">
        <f>+'[2]por cuent'!I2867</f>
        <v>766</v>
      </c>
    </row>
    <row r="2868" spans="1:6" x14ac:dyDescent="0.35">
      <c r="A2868" t="str">
        <f>+'[2]por cuent'!A2868</f>
        <v>ARS</v>
      </c>
      <c r="B2868" t="str">
        <f>+'[2]por cuent'!B2868</f>
        <v>766000218</v>
      </c>
      <c r="C2868" t="str">
        <f>+'[2]por cuent'!C2868</f>
        <v>Rossi, Marcelo José</v>
      </c>
      <c r="D2868" s="35">
        <f>+'[2]por cuent'!G2868</f>
        <v>1273870.1200000001</v>
      </c>
      <c r="E2868" s="35">
        <f>+'[2]por cuent'!H2868</f>
        <v>1273870.1200000001</v>
      </c>
      <c r="F2868" t="str">
        <f>+'[2]por cuent'!I2868</f>
        <v>766</v>
      </c>
    </row>
    <row r="2869" spans="1:6" x14ac:dyDescent="0.35">
      <c r="A2869" t="str">
        <f>+'[2]por cuent'!A2869</f>
        <v>ARS</v>
      </c>
      <c r="B2869" t="str">
        <f>+'[2]por cuent'!B2869</f>
        <v>766000221</v>
      </c>
      <c r="C2869" t="str">
        <f>+'[2]por cuent'!C2869</f>
        <v>Rivas, Alejandro Luis</v>
      </c>
      <c r="D2869" s="35">
        <f>+'[2]por cuent'!G2869</f>
        <v>14989175.65</v>
      </c>
      <c r="E2869" s="35">
        <f>+'[2]por cuent'!H2869</f>
        <v>14989175.65</v>
      </c>
      <c r="F2869" t="str">
        <f>+'[2]por cuent'!I2869</f>
        <v>766</v>
      </c>
    </row>
    <row r="2870" spans="1:6" x14ac:dyDescent="0.35">
      <c r="A2870" t="str">
        <f>+'[2]por cuent'!A2870</f>
        <v>ARS</v>
      </c>
      <c r="B2870" t="str">
        <f>+'[2]por cuent'!B2870</f>
        <v>766000224</v>
      </c>
      <c r="C2870" t="str">
        <f>+'[2]por cuent'!C2870</f>
        <v>Tortora, Juan Manuel</v>
      </c>
      <c r="D2870" s="35">
        <f>+'[2]por cuent'!G2870</f>
        <v>41744402.689999998</v>
      </c>
      <c r="E2870" s="35">
        <f>+'[2]por cuent'!H2870</f>
        <v>41744402.689999998</v>
      </c>
      <c r="F2870" t="str">
        <f>+'[2]por cuent'!I2870</f>
        <v>766</v>
      </c>
    </row>
    <row r="2871" spans="1:6" x14ac:dyDescent="0.35">
      <c r="A2871" t="str">
        <f>+'[2]por cuent'!A2871</f>
        <v>ARS</v>
      </c>
      <c r="B2871" t="str">
        <f>+'[2]por cuent'!B2871</f>
        <v>766000226</v>
      </c>
      <c r="C2871" t="str">
        <f>+'[2]por cuent'!C2871</f>
        <v>Romero, Fernando Nahuel</v>
      </c>
      <c r="D2871" s="35">
        <f>+'[2]por cuent'!G2871</f>
        <v>46186198.049999997</v>
      </c>
      <c r="E2871" s="35">
        <f>+'[2]por cuent'!H2871</f>
        <v>46186198.049999997</v>
      </c>
      <c r="F2871" t="str">
        <f>+'[2]por cuent'!I2871</f>
        <v>766</v>
      </c>
    </row>
    <row r="2872" spans="1:6" x14ac:dyDescent="0.35">
      <c r="A2872" t="str">
        <f>+'[2]por cuent'!A2872</f>
        <v>ARS</v>
      </c>
      <c r="B2872" t="str">
        <f>+'[2]por cuent'!B2872</f>
        <v>766000228</v>
      </c>
      <c r="C2872" t="str">
        <f>+'[2]por cuent'!C2872</f>
        <v>AMOBLAMIENTOS RENO</v>
      </c>
      <c r="D2872" s="35">
        <f>+'[2]por cuent'!G2872</f>
        <v>45568575.409999996</v>
      </c>
      <c r="E2872" s="35">
        <f>+'[2]por cuent'!H2872</f>
        <v>45568575.409999996</v>
      </c>
      <c r="F2872" t="str">
        <f>+'[2]por cuent'!I2872</f>
        <v>766</v>
      </c>
    </row>
    <row r="2873" spans="1:6" x14ac:dyDescent="0.35">
      <c r="A2873" t="str">
        <f>+'[2]por cuent'!A2873</f>
        <v>ARS</v>
      </c>
      <c r="B2873" t="str">
        <f>+'[2]por cuent'!B2873</f>
        <v>766000229</v>
      </c>
      <c r="C2873" t="str">
        <f>+'[2]por cuent'!C2873</f>
        <v>DOMINGO BISIO S.R.L.</v>
      </c>
      <c r="D2873" s="35">
        <f>+'[2]por cuent'!G2873</f>
        <v>5679182.2400000002</v>
      </c>
      <c r="E2873" s="35">
        <f>+'[2]por cuent'!H2873</f>
        <v>5679182.2400000002</v>
      </c>
      <c r="F2873" t="str">
        <f>+'[2]por cuent'!I2873</f>
        <v>766</v>
      </c>
    </row>
    <row r="2874" spans="1:6" x14ac:dyDescent="0.35">
      <c r="A2874" t="str">
        <f>+'[2]por cuent'!A2874</f>
        <v>ARS</v>
      </c>
      <c r="B2874" t="str">
        <f>+'[2]por cuent'!B2874</f>
        <v>766000235</v>
      </c>
      <c r="C2874" t="str">
        <f>+'[2]por cuent'!C2874</f>
        <v>Chiavazza, Federico</v>
      </c>
      <c r="D2874" s="35">
        <f>+'[2]por cuent'!G2874</f>
        <v>2704466.22</v>
      </c>
      <c r="E2874" s="35">
        <f>+'[2]por cuent'!H2874</f>
        <v>2704466.22</v>
      </c>
      <c r="F2874" t="str">
        <f>+'[2]por cuent'!I2874</f>
        <v>766</v>
      </c>
    </row>
    <row r="2875" spans="1:6" x14ac:dyDescent="0.35">
      <c r="A2875" t="str">
        <f>+'[2]por cuent'!A2875</f>
        <v>ARS</v>
      </c>
      <c r="B2875" t="str">
        <f>+'[2]por cuent'!B2875</f>
        <v>766000237</v>
      </c>
      <c r="C2875" t="str">
        <f>+'[2]por cuent'!C2875</f>
        <v>Carrizo, Ramiro Daniel</v>
      </c>
      <c r="D2875" s="35">
        <f>+'[2]por cuent'!G2875</f>
        <v>168530</v>
      </c>
      <c r="E2875" s="35">
        <f>+'[2]por cuent'!H2875</f>
        <v>168530</v>
      </c>
      <c r="F2875" t="str">
        <f>+'[2]por cuent'!I2875</f>
        <v>766</v>
      </c>
    </row>
    <row r="2876" spans="1:6" x14ac:dyDescent="0.35">
      <c r="A2876" t="str">
        <f>+'[2]por cuent'!A2876</f>
        <v>ARS</v>
      </c>
      <c r="B2876" t="str">
        <f>+'[2]por cuent'!B2876</f>
        <v>766000239</v>
      </c>
      <c r="C2876" t="str">
        <f>+'[2]por cuent'!C2876</f>
        <v>Mayoraz, Jorge Alfredo</v>
      </c>
      <c r="D2876" s="35">
        <f>+'[2]por cuent'!G2876</f>
        <v>852133.15</v>
      </c>
      <c r="E2876" s="35">
        <f>+'[2]por cuent'!H2876</f>
        <v>852133.15</v>
      </c>
      <c r="F2876" t="str">
        <f>+'[2]por cuent'!I2876</f>
        <v>766</v>
      </c>
    </row>
    <row r="2877" spans="1:6" x14ac:dyDescent="0.35">
      <c r="A2877" t="str">
        <f>+'[2]por cuent'!A2877</f>
        <v>ARS</v>
      </c>
      <c r="B2877" t="str">
        <f>+'[2]por cuent'!B2877</f>
        <v>766000242</v>
      </c>
      <c r="C2877" t="str">
        <f>+'[2]por cuent'!C2877</f>
        <v>Diaz, Lautaro</v>
      </c>
      <c r="D2877" s="35">
        <f>+'[2]por cuent'!G2877</f>
        <v>8981966.6300000008</v>
      </c>
      <c r="E2877" s="35">
        <f>+'[2]por cuent'!H2877</f>
        <v>8981966.6300000008</v>
      </c>
      <c r="F2877" t="str">
        <f>+'[2]por cuent'!I2877</f>
        <v>766</v>
      </c>
    </row>
    <row r="2878" spans="1:6" x14ac:dyDescent="0.35">
      <c r="A2878" t="str">
        <f>+'[2]por cuent'!A2878</f>
        <v>ARS</v>
      </c>
      <c r="B2878" t="str">
        <f>+'[2]por cuent'!B2878</f>
        <v>766000247</v>
      </c>
      <c r="C2878" t="str">
        <f>+'[2]por cuent'!C2878</f>
        <v xml:space="preserve">Refosco, Juan Ignacio </v>
      </c>
      <c r="D2878" s="35">
        <f>+'[2]por cuent'!G2878</f>
        <v>1408413.18</v>
      </c>
      <c r="E2878" s="35">
        <f>+'[2]por cuent'!H2878</f>
        <v>1408413.18</v>
      </c>
      <c r="F2878" t="str">
        <f>+'[2]por cuent'!I2878</f>
        <v>766</v>
      </c>
    </row>
    <row r="2879" spans="1:6" x14ac:dyDescent="0.35">
      <c r="A2879" t="str">
        <f>+'[2]por cuent'!A2879</f>
        <v>ARS</v>
      </c>
      <c r="B2879" t="str">
        <f>+'[2]por cuent'!B2879</f>
        <v>766000249</v>
      </c>
      <c r="C2879" t="str">
        <f>+'[2]por cuent'!C2879</f>
        <v>TEK S.R.L.</v>
      </c>
      <c r="D2879" s="35">
        <f>+'[2]por cuent'!G2879</f>
        <v>412840515.01999998</v>
      </c>
      <c r="E2879" s="35">
        <f>+'[2]por cuent'!H2879</f>
        <v>412840515.01999998</v>
      </c>
      <c r="F2879" t="str">
        <f>+'[2]por cuent'!I2879</f>
        <v>766</v>
      </c>
    </row>
    <row r="2880" spans="1:6" x14ac:dyDescent="0.35">
      <c r="A2880" t="str">
        <f>+'[2]por cuent'!A2880</f>
        <v>ARS</v>
      </c>
      <c r="B2880" t="str">
        <f>+'[2]por cuent'!B2880</f>
        <v>766000250</v>
      </c>
      <c r="C2880" t="str">
        <f>+'[2]por cuent'!C2880</f>
        <v>CRABSA S.A.</v>
      </c>
      <c r="D2880" s="35">
        <f>+'[2]por cuent'!G2880</f>
        <v>53683316.270000003</v>
      </c>
      <c r="E2880" s="35">
        <f>+'[2]por cuent'!H2880</f>
        <v>53683316.270000003</v>
      </c>
      <c r="F2880" t="str">
        <f>+'[2]por cuent'!I2880</f>
        <v>766</v>
      </c>
    </row>
    <row r="2881" spans="1:6" x14ac:dyDescent="0.35">
      <c r="A2881" t="str">
        <f>+'[2]por cuent'!A2881</f>
        <v>ARS</v>
      </c>
      <c r="B2881" t="str">
        <f>+'[2]por cuent'!B2881</f>
        <v>766000253</v>
      </c>
      <c r="C2881" t="str">
        <f>+'[2]por cuent'!C2881</f>
        <v>Blanch, Pablo Esteban</v>
      </c>
      <c r="D2881" s="35">
        <f>+'[2]por cuent'!G2881</f>
        <v>32878830.780000001</v>
      </c>
      <c r="E2881" s="35">
        <f>+'[2]por cuent'!H2881</f>
        <v>32878830.780000001</v>
      </c>
      <c r="F2881" t="str">
        <f>+'[2]por cuent'!I2881</f>
        <v>766</v>
      </c>
    </row>
    <row r="2882" spans="1:6" x14ac:dyDescent="0.35">
      <c r="A2882" t="str">
        <f>+'[2]por cuent'!A2882</f>
        <v>ARS</v>
      </c>
      <c r="B2882" t="str">
        <f>+'[2]por cuent'!B2882</f>
        <v>766000255</v>
      </c>
      <c r="C2882" t="str">
        <f>+'[2]por cuent'!C2882</f>
        <v>DESARROLLOS GLOBAL S.A.</v>
      </c>
      <c r="D2882" s="35">
        <f>+'[2]por cuent'!G2882</f>
        <v>728869.38</v>
      </c>
      <c r="E2882" s="35">
        <f>+'[2]por cuent'!H2882</f>
        <v>728869.38</v>
      </c>
      <c r="F2882" t="str">
        <f>+'[2]por cuent'!I2882</f>
        <v>766</v>
      </c>
    </row>
    <row r="2883" spans="1:6" x14ac:dyDescent="0.35">
      <c r="A2883" t="str">
        <f>+'[2]por cuent'!A2883</f>
        <v>ARS</v>
      </c>
      <c r="B2883" t="str">
        <f>+'[2]por cuent'!B2883</f>
        <v>766000256</v>
      </c>
      <c r="C2883" t="str">
        <f>+'[2]por cuent'!C2883</f>
        <v>Tortora, Víctor Andrés</v>
      </c>
      <c r="D2883" s="35">
        <f>+'[2]por cuent'!G2883</f>
        <v>41450114.219999999</v>
      </c>
      <c r="E2883" s="35">
        <f>+'[2]por cuent'!H2883</f>
        <v>41450114.219999999</v>
      </c>
      <c r="F2883" t="str">
        <f>+'[2]por cuent'!I2883</f>
        <v>766</v>
      </c>
    </row>
    <row r="2884" spans="1:6" x14ac:dyDescent="0.35">
      <c r="A2884" t="str">
        <f>+'[2]por cuent'!A2884</f>
        <v>ARS</v>
      </c>
      <c r="B2884" t="str">
        <f>+'[2]por cuent'!B2884</f>
        <v>766000260</v>
      </c>
      <c r="C2884" t="str">
        <f>+'[2]por cuent'!C2884</f>
        <v xml:space="preserve">Rodriguez Vidal, Patricio Martín </v>
      </c>
      <c r="D2884" s="35">
        <f>+'[2]por cuent'!G2884</f>
        <v>14833886.109999999</v>
      </c>
      <c r="E2884" s="35">
        <f>+'[2]por cuent'!H2884</f>
        <v>14833886.109999999</v>
      </c>
      <c r="F2884" t="str">
        <f>+'[2]por cuent'!I2884</f>
        <v>766</v>
      </c>
    </row>
    <row r="2885" spans="1:6" x14ac:dyDescent="0.35">
      <c r="A2885" t="str">
        <f>+'[2]por cuent'!A2885</f>
        <v>ARS</v>
      </c>
      <c r="B2885" t="str">
        <f>+'[2]por cuent'!B2885</f>
        <v>766000261</v>
      </c>
      <c r="C2885" t="str">
        <f>+'[2]por cuent'!C2885</f>
        <v>Liljesthrom, Facundo</v>
      </c>
      <c r="D2885" s="35">
        <f>+'[2]por cuent'!G2885</f>
        <v>38256.94</v>
      </c>
      <c r="E2885" s="35">
        <f>+'[2]por cuent'!H2885</f>
        <v>38256.94</v>
      </c>
      <c r="F2885" t="str">
        <f>+'[2]por cuent'!I2885</f>
        <v>766</v>
      </c>
    </row>
    <row r="2886" spans="1:6" x14ac:dyDescent="0.35">
      <c r="A2886" t="str">
        <f>+'[2]por cuent'!A2886</f>
        <v>ARS</v>
      </c>
      <c r="B2886" t="str">
        <f>+'[2]por cuent'!B2886</f>
        <v>766000264</v>
      </c>
      <c r="C2886" t="str">
        <f>+'[2]por cuent'!C2886</f>
        <v>DIOBRAS S.R.L.</v>
      </c>
      <c r="D2886" s="35">
        <f>+'[2]por cuent'!G2886</f>
        <v>11743828.24</v>
      </c>
      <c r="E2886" s="35">
        <f>+'[2]por cuent'!H2886</f>
        <v>11743828.24</v>
      </c>
      <c r="F2886" t="str">
        <f>+'[2]por cuent'!I2886</f>
        <v>766</v>
      </c>
    </row>
    <row r="2887" spans="1:6" x14ac:dyDescent="0.35">
      <c r="A2887" t="str">
        <f>+'[2]por cuent'!A2887</f>
        <v>ARS</v>
      </c>
      <c r="B2887" t="str">
        <f>+'[2]por cuent'!B2887</f>
        <v>766000268</v>
      </c>
      <c r="C2887" t="str">
        <f>+'[2]por cuent'!C2887</f>
        <v xml:space="preserve">Folini, Alesio Nicolás </v>
      </c>
      <c r="D2887" s="35">
        <f>+'[2]por cuent'!G2887</f>
        <v>4974658.13</v>
      </c>
      <c r="E2887" s="35">
        <f>+'[2]por cuent'!H2887</f>
        <v>4974658.13</v>
      </c>
      <c r="F2887" t="str">
        <f>+'[2]por cuent'!I2887</f>
        <v>766</v>
      </c>
    </row>
    <row r="2888" spans="1:6" x14ac:dyDescent="0.35">
      <c r="A2888" t="str">
        <f>+'[2]por cuent'!A2888</f>
        <v>ARS</v>
      </c>
      <c r="B2888" t="str">
        <f>+'[2]por cuent'!B2888</f>
        <v>766000274</v>
      </c>
      <c r="C2888" t="str">
        <f>+'[2]por cuent'!C2888</f>
        <v>Gay Bellmann, Alejandro Sebastian ó Bellmann, Elisa Inés</v>
      </c>
      <c r="D2888" s="35">
        <f>+'[2]por cuent'!G2888</f>
        <v>2178560</v>
      </c>
      <c r="E2888" s="35">
        <f>+'[2]por cuent'!H2888</f>
        <v>2178560</v>
      </c>
      <c r="F2888" t="str">
        <f>+'[2]por cuent'!I2888</f>
        <v>766</v>
      </c>
    </row>
    <row r="2889" spans="1:6" x14ac:dyDescent="0.35">
      <c r="A2889" t="str">
        <f>+'[2]por cuent'!A2889</f>
        <v>ARS</v>
      </c>
      <c r="B2889" t="str">
        <f>+'[2]por cuent'!B2889</f>
        <v>766000277</v>
      </c>
      <c r="C2889" t="str">
        <f>+'[2]por cuent'!C2889</f>
        <v>Gay Bellmann, Alejandro Sebastian</v>
      </c>
      <c r="D2889" s="35">
        <f>+'[2]por cuent'!G2889</f>
        <v>3325992.55</v>
      </c>
      <c r="E2889" s="35">
        <f>+'[2]por cuent'!H2889</f>
        <v>3325992.55</v>
      </c>
      <c r="F2889" t="str">
        <f>+'[2]por cuent'!I2889</f>
        <v>766</v>
      </c>
    </row>
    <row r="2890" spans="1:6" x14ac:dyDescent="0.35">
      <c r="A2890" t="str">
        <f>+'[2]por cuent'!A2890</f>
        <v>ARS</v>
      </c>
      <c r="B2890" t="str">
        <f>+'[2]por cuent'!B2890</f>
        <v>766000279</v>
      </c>
      <c r="C2890" t="str">
        <f>+'[2]por cuent'!C2890</f>
        <v>Melchor, Rodrigo</v>
      </c>
      <c r="D2890" s="35">
        <f>+'[2]por cuent'!G2890</f>
        <v>3502857.37</v>
      </c>
      <c r="E2890" s="35">
        <f>+'[2]por cuent'!H2890</f>
        <v>3502857.37</v>
      </c>
      <c r="F2890" t="str">
        <f>+'[2]por cuent'!I2890</f>
        <v>766</v>
      </c>
    </row>
    <row r="2891" spans="1:6" x14ac:dyDescent="0.35">
      <c r="A2891" t="str">
        <f>+'[2]por cuent'!A2891</f>
        <v>ARS</v>
      </c>
      <c r="B2891" t="str">
        <f>+'[2]por cuent'!B2891</f>
        <v>766000281</v>
      </c>
      <c r="C2891" t="str">
        <f>+'[2]por cuent'!C2891</f>
        <v>Cuello, Gregorio</v>
      </c>
      <c r="D2891" s="35">
        <f>+'[2]por cuent'!G2891</f>
        <v>2575201.59</v>
      </c>
      <c r="E2891" s="35">
        <f>+'[2]por cuent'!H2891</f>
        <v>2575201.59</v>
      </c>
      <c r="F2891" t="str">
        <f>+'[2]por cuent'!I2891</f>
        <v>766</v>
      </c>
    </row>
    <row r="2892" spans="1:6" x14ac:dyDescent="0.35">
      <c r="A2892" t="str">
        <f>+'[2]por cuent'!A2892</f>
        <v>ARS</v>
      </c>
      <c r="B2892" t="str">
        <f>+'[2]por cuent'!B2892</f>
        <v>766000285</v>
      </c>
      <c r="C2892" t="str">
        <f>+'[2]por cuent'!C2892</f>
        <v>Muñoz, Juan Manuel</v>
      </c>
      <c r="D2892" s="35">
        <f>+'[2]por cuent'!G2892</f>
        <v>195994496.84</v>
      </c>
      <c r="E2892" s="35">
        <f>+'[2]por cuent'!H2892</f>
        <v>195994496.84</v>
      </c>
      <c r="F2892" t="str">
        <f>+'[2]por cuent'!I2892</f>
        <v>766</v>
      </c>
    </row>
    <row r="2893" spans="1:6" x14ac:dyDescent="0.35">
      <c r="A2893" t="str">
        <f>+'[2]por cuent'!A2893</f>
        <v>ARS</v>
      </c>
      <c r="B2893" t="str">
        <f>+'[2]por cuent'!B2893</f>
        <v>766000287</v>
      </c>
      <c r="C2893" t="str">
        <f>+'[2]por cuent'!C2893</f>
        <v>Gamulin, Mateo Julián</v>
      </c>
      <c r="D2893" s="35">
        <f>+'[2]por cuent'!G2893</f>
        <v>164183380.16</v>
      </c>
      <c r="E2893" s="35">
        <f>+'[2]por cuent'!H2893</f>
        <v>164183380.16</v>
      </c>
      <c r="F2893" t="str">
        <f>+'[2]por cuent'!I2893</f>
        <v>766</v>
      </c>
    </row>
    <row r="2894" spans="1:6" x14ac:dyDescent="0.35">
      <c r="A2894" t="str">
        <f>+'[2]por cuent'!A2894</f>
        <v>ARS</v>
      </c>
      <c r="B2894" t="str">
        <f>+'[2]por cuent'!B2894</f>
        <v>766000291</v>
      </c>
      <c r="C2894" t="str">
        <f>+'[2]por cuent'!C2894</f>
        <v xml:space="preserve">Yalour, Nicolás </v>
      </c>
      <c r="D2894" s="35">
        <f>+'[2]por cuent'!G2894</f>
        <v>47034713.07</v>
      </c>
      <c r="E2894" s="35">
        <f>+'[2]por cuent'!H2894</f>
        <v>47034713.07</v>
      </c>
      <c r="F2894" t="str">
        <f>+'[2]por cuent'!I2894</f>
        <v>766</v>
      </c>
    </row>
    <row r="2895" spans="1:6" x14ac:dyDescent="0.35">
      <c r="A2895" t="str">
        <f>+'[2]por cuent'!A2895</f>
        <v>ARS</v>
      </c>
      <c r="B2895" t="str">
        <f>+'[2]por cuent'!B2895</f>
        <v>766000292</v>
      </c>
      <c r="C2895" t="str">
        <f>+'[2]por cuent'!C2895</f>
        <v>Carlés, Francisco Jose</v>
      </c>
      <c r="D2895" s="35">
        <f>+'[2]por cuent'!G2895</f>
        <v>6865</v>
      </c>
      <c r="E2895" s="35">
        <f>+'[2]por cuent'!H2895</f>
        <v>6865</v>
      </c>
      <c r="F2895" t="str">
        <f>+'[2]por cuent'!I2895</f>
        <v>766</v>
      </c>
    </row>
    <row r="2896" spans="1:6" x14ac:dyDescent="0.35">
      <c r="A2896" t="str">
        <f>+'[2]por cuent'!A2896</f>
        <v>ARS</v>
      </c>
      <c r="B2896" t="str">
        <f>+'[2]por cuent'!B2896</f>
        <v>766000293</v>
      </c>
      <c r="C2896" t="str">
        <f>+'[2]por cuent'!C2896</f>
        <v>Seleme, Claudio Cesar ó Seleme, Úrsula Jazmín</v>
      </c>
      <c r="D2896" s="35">
        <f>+'[2]por cuent'!G2896</f>
        <v>548321.22</v>
      </c>
      <c r="E2896" s="35">
        <f>+'[2]por cuent'!H2896</f>
        <v>548321.22</v>
      </c>
      <c r="F2896" t="str">
        <f>+'[2]por cuent'!I2896</f>
        <v>766</v>
      </c>
    </row>
    <row r="2897" spans="1:6" x14ac:dyDescent="0.35">
      <c r="A2897" t="str">
        <f>+'[2]por cuent'!A2897</f>
        <v>ARS</v>
      </c>
      <c r="B2897" t="str">
        <f>+'[2]por cuent'!B2897</f>
        <v>766000301</v>
      </c>
      <c r="C2897" t="str">
        <f>+'[2]por cuent'!C2897</f>
        <v>MBS AGROINDUSTRIAS SRL</v>
      </c>
      <c r="D2897" s="35">
        <f>+'[2]por cuent'!G2897</f>
        <v>140496.95000000001</v>
      </c>
      <c r="E2897" s="35">
        <f>+'[2]por cuent'!H2897</f>
        <v>140496.95000000001</v>
      </c>
      <c r="F2897" t="str">
        <f>+'[2]por cuent'!I2897</f>
        <v>766</v>
      </c>
    </row>
    <row r="2898" spans="1:6" x14ac:dyDescent="0.35">
      <c r="A2898" t="str">
        <f>+'[2]por cuent'!A2898</f>
        <v>ARS</v>
      </c>
      <c r="B2898" t="str">
        <f>+'[2]por cuent'!B2898</f>
        <v>766000303</v>
      </c>
      <c r="C2898" t="str">
        <f>+'[2]por cuent'!C2898</f>
        <v xml:space="preserve">Cimolai, Pablo Enzo </v>
      </c>
      <c r="D2898" s="35">
        <f>+'[2]por cuent'!G2898</f>
        <v>46967945.969999999</v>
      </c>
      <c r="E2898" s="35">
        <f>+'[2]por cuent'!H2898</f>
        <v>46967945.969999999</v>
      </c>
      <c r="F2898" t="str">
        <f>+'[2]por cuent'!I2898</f>
        <v>766</v>
      </c>
    </row>
    <row r="2899" spans="1:6" x14ac:dyDescent="0.35">
      <c r="A2899" t="str">
        <f>+'[2]por cuent'!A2899</f>
        <v>ARS</v>
      </c>
      <c r="B2899" t="str">
        <f>+'[2]por cuent'!B2899</f>
        <v>766000305</v>
      </c>
      <c r="C2899" t="str">
        <f>+'[2]por cuent'!C2899</f>
        <v>ALMACENES ALVEAR S.R.L.</v>
      </c>
      <c r="D2899" s="35">
        <f>+'[2]por cuent'!G2899</f>
        <v>4818074.8499999996</v>
      </c>
      <c r="E2899" s="35">
        <f>+'[2]por cuent'!H2899</f>
        <v>4818074.8499999996</v>
      </c>
      <c r="F2899" t="str">
        <f>+'[2]por cuent'!I2899</f>
        <v>766</v>
      </c>
    </row>
    <row r="2900" spans="1:6" x14ac:dyDescent="0.35">
      <c r="A2900" t="str">
        <f>+'[2]por cuent'!A2900</f>
        <v>ARS</v>
      </c>
      <c r="B2900" t="str">
        <f>+'[2]por cuent'!B2900</f>
        <v>766000306</v>
      </c>
      <c r="C2900" t="str">
        <f>+'[2]por cuent'!C2900</f>
        <v>Casadevall, Hernán Ricardo y Marchesini, Isabel Rita</v>
      </c>
      <c r="D2900" s="35">
        <f>+'[2]por cuent'!G2900</f>
        <v>13046615.970000001</v>
      </c>
      <c r="E2900" s="35">
        <f>+'[2]por cuent'!H2900</f>
        <v>13046615.970000001</v>
      </c>
      <c r="F2900" t="str">
        <f>+'[2]por cuent'!I2900</f>
        <v>766</v>
      </c>
    </row>
    <row r="2901" spans="1:6" x14ac:dyDescent="0.35">
      <c r="A2901" t="str">
        <f>+'[2]por cuent'!A2901</f>
        <v>ARS</v>
      </c>
      <c r="B2901" t="str">
        <f>+'[2]por cuent'!B2901</f>
        <v>766000310</v>
      </c>
      <c r="C2901" t="str">
        <f>+'[2]por cuent'!C2901</f>
        <v>Comacchio, Bruno</v>
      </c>
      <c r="D2901" s="35">
        <f>+'[2]por cuent'!G2901</f>
        <v>920069.48</v>
      </c>
      <c r="E2901" s="35">
        <f>+'[2]por cuent'!H2901</f>
        <v>920069.48</v>
      </c>
      <c r="F2901" t="str">
        <f>+'[2]por cuent'!I2901</f>
        <v>766</v>
      </c>
    </row>
    <row r="2902" spans="1:6" x14ac:dyDescent="0.35">
      <c r="A2902" t="str">
        <f>+'[2]por cuent'!A2902</f>
        <v>ARS</v>
      </c>
      <c r="B2902" t="str">
        <f>+'[2]por cuent'!B2902</f>
        <v>766000311</v>
      </c>
      <c r="C2902" t="str">
        <f>+'[2]por cuent'!C2902</f>
        <v>SERGIO CONFALONIERI S.R.L.</v>
      </c>
      <c r="D2902" s="35">
        <f>+'[2]por cuent'!G2902</f>
        <v>11856464.35</v>
      </c>
      <c r="E2902" s="35">
        <f>+'[2]por cuent'!H2902</f>
        <v>11856464.35</v>
      </c>
      <c r="F2902" t="str">
        <f>+'[2]por cuent'!I2902</f>
        <v>766</v>
      </c>
    </row>
    <row r="2903" spans="1:6" x14ac:dyDescent="0.35">
      <c r="A2903" t="str">
        <f>+'[2]por cuent'!A2903</f>
        <v>ARS</v>
      </c>
      <c r="B2903" t="str">
        <f>+'[2]por cuent'!B2903</f>
        <v>766000313</v>
      </c>
      <c r="C2903" t="str">
        <f>+'[2]por cuent'!C2903</f>
        <v>Orlandi, Gisela Laura</v>
      </c>
      <c r="D2903" s="35">
        <f>+'[2]por cuent'!G2903</f>
        <v>5385096.3899999997</v>
      </c>
      <c r="E2903" s="35">
        <f>+'[2]por cuent'!H2903</f>
        <v>5385096.3899999997</v>
      </c>
      <c r="F2903" t="str">
        <f>+'[2]por cuent'!I2903</f>
        <v>766</v>
      </c>
    </row>
    <row r="2904" spans="1:6" x14ac:dyDescent="0.35">
      <c r="A2904" t="str">
        <f>+'[2]por cuent'!A2904</f>
        <v>ARS</v>
      </c>
      <c r="B2904" t="str">
        <f>+'[2]por cuent'!B2904</f>
        <v>766000315</v>
      </c>
      <c r="C2904" t="str">
        <f>+'[2]por cuent'!C2904</f>
        <v>Bruschini, Mauro</v>
      </c>
      <c r="D2904" s="35">
        <f>+'[2]por cuent'!G2904</f>
        <v>2915596.09</v>
      </c>
      <c r="E2904" s="35">
        <f>+'[2]por cuent'!H2904</f>
        <v>2915596.09</v>
      </c>
      <c r="F2904" t="str">
        <f>+'[2]por cuent'!I2904</f>
        <v>766</v>
      </c>
    </row>
    <row r="2905" spans="1:6" x14ac:dyDescent="0.35">
      <c r="A2905" t="str">
        <f>+'[2]por cuent'!A2905</f>
        <v>ARS</v>
      </c>
      <c r="B2905" t="str">
        <f>+'[2]por cuent'!B2905</f>
        <v>766000319</v>
      </c>
      <c r="C2905" t="str">
        <f>+'[2]por cuent'!C2905</f>
        <v>Tommasi, Javier Alejandro</v>
      </c>
      <c r="D2905" s="35">
        <f>+'[2]por cuent'!G2905</f>
        <v>4006780.25</v>
      </c>
      <c r="E2905" s="35">
        <f>+'[2]por cuent'!H2905</f>
        <v>4006780.25</v>
      </c>
      <c r="F2905" t="str">
        <f>+'[2]por cuent'!I2905</f>
        <v>766</v>
      </c>
    </row>
    <row r="2906" spans="1:6" x14ac:dyDescent="0.35">
      <c r="A2906" t="str">
        <f>+'[2]por cuent'!A2906</f>
        <v>ARS</v>
      </c>
      <c r="B2906" t="str">
        <f>+'[2]por cuent'!B2906</f>
        <v>766000323</v>
      </c>
      <c r="C2906" t="str">
        <f>+'[2]por cuent'!C2906</f>
        <v>Villalon, Iván Nicolas</v>
      </c>
      <c r="D2906" s="35">
        <f>+'[2]por cuent'!G2906</f>
        <v>561898.1</v>
      </c>
      <c r="E2906" s="35">
        <f>+'[2]por cuent'!H2906</f>
        <v>561898.1</v>
      </c>
      <c r="F2906" t="str">
        <f>+'[2]por cuent'!I2906</f>
        <v>766</v>
      </c>
    </row>
    <row r="2907" spans="1:6" x14ac:dyDescent="0.35">
      <c r="A2907" t="str">
        <f>+'[2]por cuent'!A2907</f>
        <v>ARS</v>
      </c>
      <c r="B2907" t="str">
        <f>+'[2]por cuent'!B2907</f>
        <v>766000326</v>
      </c>
      <c r="C2907" t="str">
        <f>+'[2]por cuent'!C2907</f>
        <v>Ronco, Fernando Carlos</v>
      </c>
      <c r="D2907" s="35">
        <f>+'[2]por cuent'!G2907</f>
        <v>29950321.32</v>
      </c>
      <c r="E2907" s="35">
        <f>+'[2]por cuent'!H2907</f>
        <v>29950321.32</v>
      </c>
      <c r="F2907" t="str">
        <f>+'[2]por cuent'!I2907</f>
        <v>766</v>
      </c>
    </row>
    <row r="2908" spans="1:6" x14ac:dyDescent="0.35">
      <c r="A2908" t="str">
        <f>+'[2]por cuent'!A2908</f>
        <v>ARS</v>
      </c>
      <c r="B2908" t="str">
        <f>+'[2]por cuent'!B2908</f>
        <v>766000327</v>
      </c>
      <c r="C2908" t="str">
        <f>+'[2]por cuent'!C2908</f>
        <v>ALMAR ROSARIO S.R.L.</v>
      </c>
      <c r="D2908" s="35">
        <f>+'[2]por cuent'!G2908</f>
        <v>1022769112.63</v>
      </c>
      <c r="E2908" s="35">
        <f>+'[2]por cuent'!H2908</f>
        <v>1022769112.63</v>
      </c>
      <c r="F2908" t="str">
        <f>+'[2]por cuent'!I2908</f>
        <v>766</v>
      </c>
    </row>
    <row r="2909" spans="1:6" x14ac:dyDescent="0.35">
      <c r="A2909" t="str">
        <f>+'[2]por cuent'!A2909</f>
        <v>ARS</v>
      </c>
      <c r="B2909" t="str">
        <f>+'[2]por cuent'!B2909</f>
        <v>766000329</v>
      </c>
      <c r="C2909" t="str">
        <f>+'[2]por cuent'!C2909</f>
        <v>Egidi, Luciano</v>
      </c>
      <c r="D2909" s="35">
        <f>+'[2]por cuent'!G2909</f>
        <v>7314776.2599999998</v>
      </c>
      <c r="E2909" s="35">
        <f>+'[2]por cuent'!H2909</f>
        <v>7314776.2599999998</v>
      </c>
      <c r="F2909" t="str">
        <f>+'[2]por cuent'!I2909</f>
        <v>766</v>
      </c>
    </row>
    <row r="2910" spans="1:6" x14ac:dyDescent="0.35">
      <c r="A2910" t="str">
        <f>+'[2]por cuent'!A2910</f>
        <v>ARS</v>
      </c>
      <c r="B2910" t="str">
        <f>+'[2]por cuent'!B2910</f>
        <v>766000330</v>
      </c>
      <c r="C2910" t="str">
        <f>+'[2]por cuent'!C2910</f>
        <v xml:space="preserve">Falco Bravo, Cristian Eduardo </v>
      </c>
      <c r="D2910" s="35">
        <f>+'[2]por cuent'!G2910</f>
        <v>702143.4</v>
      </c>
      <c r="E2910" s="35">
        <f>+'[2]por cuent'!H2910</f>
        <v>702143.4</v>
      </c>
      <c r="F2910" t="str">
        <f>+'[2]por cuent'!I2910</f>
        <v>766</v>
      </c>
    </row>
    <row r="2911" spans="1:6" x14ac:dyDescent="0.35">
      <c r="A2911" t="str">
        <f>+'[2]por cuent'!A2911</f>
        <v>ARS</v>
      </c>
      <c r="B2911" t="str">
        <f>+'[2]por cuent'!B2911</f>
        <v>766000337</v>
      </c>
      <c r="C2911" t="str">
        <f>+'[2]por cuent'!C2911</f>
        <v xml:space="preserve">Taricco, Daniel Rubén / Mogues, Silvia Fabiana </v>
      </c>
      <c r="D2911" s="35">
        <f>+'[2]por cuent'!G2911</f>
        <v>14181147.710000001</v>
      </c>
      <c r="E2911" s="35">
        <f>+'[2]por cuent'!H2911</f>
        <v>14181147.710000001</v>
      </c>
      <c r="F2911" t="str">
        <f>+'[2]por cuent'!I2911</f>
        <v>766</v>
      </c>
    </row>
    <row r="2912" spans="1:6" x14ac:dyDescent="0.35">
      <c r="A2912" t="str">
        <f>+'[2]por cuent'!A2912</f>
        <v>ARS</v>
      </c>
      <c r="B2912" t="str">
        <f>+'[2]por cuent'!B2912</f>
        <v>766000342</v>
      </c>
      <c r="C2912" t="str">
        <f>+'[2]por cuent'!C2912</f>
        <v>Buffetti, Georgina María</v>
      </c>
      <c r="D2912" s="35">
        <f>+'[2]por cuent'!G2912</f>
        <v>1083894.46</v>
      </c>
      <c r="E2912" s="35">
        <f>+'[2]por cuent'!H2912</f>
        <v>1083894.46</v>
      </c>
      <c r="F2912" t="str">
        <f>+'[2]por cuent'!I2912</f>
        <v>766</v>
      </c>
    </row>
    <row r="2913" spans="1:6" x14ac:dyDescent="0.35">
      <c r="A2913" t="str">
        <f>+'[2]por cuent'!A2913</f>
        <v>ARS</v>
      </c>
      <c r="B2913" t="str">
        <f>+'[2]por cuent'!B2913</f>
        <v>766000352</v>
      </c>
      <c r="C2913" t="str">
        <f>+'[2]por cuent'!C2913</f>
        <v>KAMCHATKA S.R.L.</v>
      </c>
      <c r="D2913" s="35">
        <f>+'[2]por cuent'!G2913</f>
        <v>69972870.670000002</v>
      </c>
      <c r="E2913" s="35">
        <f>+'[2]por cuent'!H2913</f>
        <v>69972870.670000002</v>
      </c>
      <c r="F2913" t="str">
        <f>+'[2]por cuent'!I2913</f>
        <v>766</v>
      </c>
    </row>
    <row r="2914" spans="1:6" x14ac:dyDescent="0.35">
      <c r="A2914" t="str">
        <f>+'[2]por cuent'!A2914</f>
        <v>ARS</v>
      </c>
      <c r="B2914" t="str">
        <f>+'[2]por cuent'!B2914</f>
        <v>766000361</v>
      </c>
      <c r="C2914" t="str">
        <f>+'[2]por cuent'!C2914</f>
        <v>Silvestrini, Eugenia Mariana / Klijnjan , Javier</v>
      </c>
      <c r="D2914" s="35">
        <f>+'[2]por cuent'!G2914</f>
        <v>2620619.15</v>
      </c>
      <c r="E2914" s="35">
        <f>+'[2]por cuent'!H2914</f>
        <v>2620619.15</v>
      </c>
      <c r="F2914" t="str">
        <f>+'[2]por cuent'!I2914</f>
        <v>766</v>
      </c>
    </row>
    <row r="2915" spans="1:6" x14ac:dyDescent="0.35">
      <c r="A2915" t="str">
        <f>+'[2]por cuent'!A2915</f>
        <v>ARS</v>
      </c>
      <c r="B2915" t="str">
        <f>+'[2]por cuent'!B2915</f>
        <v>766000362</v>
      </c>
      <c r="C2915" t="str">
        <f>+'[2]por cuent'!C2915</f>
        <v>AMCAI ASOCIACION MUTUAL</v>
      </c>
      <c r="D2915" s="35">
        <f>+'[2]por cuent'!G2915</f>
        <v>50261000</v>
      </c>
      <c r="E2915" s="35">
        <f>+'[2]por cuent'!H2915</f>
        <v>50261000</v>
      </c>
      <c r="F2915" t="str">
        <f>+'[2]por cuent'!I2915</f>
        <v>766</v>
      </c>
    </row>
    <row r="2916" spans="1:6" x14ac:dyDescent="0.35">
      <c r="A2916" t="str">
        <f>+'[2]por cuent'!A2916</f>
        <v>ARS</v>
      </c>
      <c r="B2916" t="str">
        <f>+'[2]por cuent'!B2916</f>
        <v>766000364</v>
      </c>
      <c r="C2916" t="str">
        <f>+'[2]por cuent'!C2916</f>
        <v>Paez , Nelson Wilde</v>
      </c>
      <c r="D2916" s="35">
        <f>+'[2]por cuent'!G2916</f>
        <v>38518691.670000002</v>
      </c>
      <c r="E2916" s="35">
        <f>+'[2]por cuent'!H2916</f>
        <v>38518691.670000002</v>
      </c>
      <c r="F2916" t="str">
        <f>+'[2]por cuent'!I2916</f>
        <v>766</v>
      </c>
    </row>
    <row r="2917" spans="1:6" x14ac:dyDescent="0.35">
      <c r="A2917" t="str">
        <f>+'[2]por cuent'!A2917</f>
        <v>ARS</v>
      </c>
      <c r="B2917" t="str">
        <f>+'[2]por cuent'!B2917</f>
        <v>766000367</v>
      </c>
      <c r="C2917" t="str">
        <f>+'[2]por cuent'!C2917</f>
        <v>Pico, Ramiro José</v>
      </c>
      <c r="D2917" s="35">
        <f>+'[2]por cuent'!G2917</f>
        <v>3592726.57</v>
      </c>
      <c r="E2917" s="35">
        <f>+'[2]por cuent'!H2917</f>
        <v>3592726.57</v>
      </c>
      <c r="F2917" t="str">
        <f>+'[2]por cuent'!I2917</f>
        <v>766</v>
      </c>
    </row>
    <row r="2918" spans="1:6" x14ac:dyDescent="0.35">
      <c r="A2918" t="str">
        <f>+'[2]por cuent'!A2918</f>
        <v>ARS</v>
      </c>
      <c r="B2918" t="str">
        <f>+'[2]por cuent'!B2918</f>
        <v>766000368</v>
      </c>
      <c r="C2918" t="str">
        <f>+'[2]por cuent'!C2918</f>
        <v>Cukar, Gastón Arnaldo</v>
      </c>
      <c r="D2918" s="35">
        <f>+'[2]por cuent'!G2918</f>
        <v>42398</v>
      </c>
      <c r="E2918" s="35">
        <f>+'[2]por cuent'!H2918</f>
        <v>42398</v>
      </c>
      <c r="F2918" t="str">
        <f>+'[2]por cuent'!I2918</f>
        <v>766</v>
      </c>
    </row>
    <row r="2919" spans="1:6" x14ac:dyDescent="0.35">
      <c r="A2919" t="str">
        <f>+'[2]por cuent'!A2919</f>
        <v>ARS</v>
      </c>
      <c r="B2919" t="str">
        <f>+'[2]por cuent'!B2919</f>
        <v>766000377</v>
      </c>
      <c r="C2919" t="str">
        <f>+'[2]por cuent'!C2919</f>
        <v>Robertti, Daniel Oscar y Robertti, Mauro Daniel</v>
      </c>
      <c r="D2919" s="35">
        <f>+'[2]por cuent'!G2919</f>
        <v>83534453.609999999</v>
      </c>
      <c r="E2919" s="35">
        <f>+'[2]por cuent'!H2919</f>
        <v>83534453.609999999</v>
      </c>
      <c r="F2919" t="str">
        <f>+'[2]por cuent'!I2919</f>
        <v>766</v>
      </c>
    </row>
    <row r="2920" spans="1:6" x14ac:dyDescent="0.35">
      <c r="A2920" t="str">
        <f>+'[2]por cuent'!A2920</f>
        <v>ARS</v>
      </c>
      <c r="B2920" t="str">
        <f>+'[2]por cuent'!B2920</f>
        <v>766000378</v>
      </c>
      <c r="C2920" t="str">
        <f>+'[2]por cuent'!C2920</f>
        <v xml:space="preserve">Martínez , Víctor Ezequiel </v>
      </c>
      <c r="D2920" s="35">
        <f>+'[2]por cuent'!G2920</f>
        <v>99764161.540000007</v>
      </c>
      <c r="E2920" s="35">
        <f>+'[2]por cuent'!H2920</f>
        <v>99764161.540000007</v>
      </c>
      <c r="F2920" t="str">
        <f>+'[2]por cuent'!I2920</f>
        <v>766</v>
      </c>
    </row>
    <row r="2921" spans="1:6" x14ac:dyDescent="0.35">
      <c r="A2921" t="str">
        <f>+'[2]por cuent'!A2921</f>
        <v>ARS</v>
      </c>
      <c r="B2921" t="str">
        <f>+'[2]por cuent'!B2921</f>
        <v>766000380</v>
      </c>
      <c r="C2921" t="str">
        <f>+'[2]por cuent'!C2921</f>
        <v>Del Re, Franco</v>
      </c>
      <c r="D2921" s="35">
        <f>+'[2]por cuent'!G2921</f>
        <v>54600204.170000002</v>
      </c>
      <c r="E2921" s="35">
        <f>+'[2]por cuent'!H2921</f>
        <v>54600204.170000002</v>
      </c>
      <c r="F2921" t="str">
        <f>+'[2]por cuent'!I2921</f>
        <v>766</v>
      </c>
    </row>
    <row r="2922" spans="1:6" x14ac:dyDescent="0.35">
      <c r="A2922" t="str">
        <f>+'[2]por cuent'!A2922</f>
        <v>ARS</v>
      </c>
      <c r="B2922" t="str">
        <f>+'[2]por cuent'!B2922</f>
        <v>766000383</v>
      </c>
      <c r="C2922" t="str">
        <f>+'[2]por cuent'!C2922</f>
        <v xml:space="preserve">Farruggia, Nicolas </v>
      </c>
      <c r="D2922" s="35">
        <f>+'[2]por cuent'!G2922</f>
        <v>16134302.43</v>
      </c>
      <c r="E2922" s="35">
        <f>+'[2]por cuent'!H2922</f>
        <v>16134302.43</v>
      </c>
      <c r="F2922" t="str">
        <f>+'[2]por cuent'!I2922</f>
        <v>766</v>
      </c>
    </row>
    <row r="2923" spans="1:6" x14ac:dyDescent="0.35">
      <c r="A2923" t="str">
        <f>+'[2]por cuent'!A2923</f>
        <v>ARS</v>
      </c>
      <c r="B2923" t="str">
        <f>+'[2]por cuent'!B2923</f>
        <v>766000386</v>
      </c>
      <c r="C2923" t="str">
        <f>+'[2]por cuent'!C2923</f>
        <v xml:space="preserve">Vicco, Verónica Antonia </v>
      </c>
      <c r="D2923" s="35">
        <f>+'[2]por cuent'!G2923</f>
        <v>384685384.44999999</v>
      </c>
      <c r="E2923" s="35">
        <f>+'[2]por cuent'!H2923</f>
        <v>384685384.44999999</v>
      </c>
      <c r="F2923" t="str">
        <f>+'[2]por cuent'!I2923</f>
        <v>766</v>
      </c>
    </row>
    <row r="2924" spans="1:6" x14ac:dyDescent="0.35">
      <c r="A2924" t="str">
        <f>+'[2]por cuent'!A2924</f>
        <v>ARS</v>
      </c>
      <c r="B2924" t="str">
        <f>+'[2]por cuent'!B2924</f>
        <v>766000388</v>
      </c>
      <c r="C2924" t="str">
        <f>+'[2]por cuent'!C2924</f>
        <v>Campora, Federico</v>
      </c>
      <c r="D2924" s="35">
        <f>+'[2]por cuent'!G2924</f>
        <v>3567138.27</v>
      </c>
      <c r="E2924" s="35">
        <f>+'[2]por cuent'!H2924</f>
        <v>3567138.27</v>
      </c>
      <c r="F2924" t="str">
        <f>+'[2]por cuent'!I2924</f>
        <v>766</v>
      </c>
    </row>
    <row r="2925" spans="1:6" x14ac:dyDescent="0.35">
      <c r="A2925" t="str">
        <f>+'[2]por cuent'!A2925</f>
        <v>ARS</v>
      </c>
      <c r="B2925" t="str">
        <f>+'[2]por cuent'!B2925</f>
        <v>766000389</v>
      </c>
      <c r="C2925" t="str">
        <f>+'[2]por cuent'!C2925</f>
        <v>Schwarzstein, Damián</v>
      </c>
      <c r="D2925" s="35">
        <f>+'[2]por cuent'!G2925</f>
        <v>109799.28</v>
      </c>
      <c r="E2925" s="35">
        <f>+'[2]por cuent'!H2925</f>
        <v>109799.28</v>
      </c>
      <c r="F2925" t="str">
        <f>+'[2]por cuent'!I2925</f>
        <v>766</v>
      </c>
    </row>
    <row r="2926" spans="1:6" x14ac:dyDescent="0.35">
      <c r="A2926" t="str">
        <f>+'[2]por cuent'!A2926</f>
        <v>ARS</v>
      </c>
      <c r="B2926" t="str">
        <f>+'[2]por cuent'!B2926</f>
        <v>766000391</v>
      </c>
      <c r="C2926" t="str">
        <f>+'[2]por cuent'!C2926</f>
        <v>CLIMATIC S.R.L.</v>
      </c>
      <c r="D2926" s="35">
        <f>+'[2]por cuent'!G2926</f>
        <v>1442524745.8699999</v>
      </c>
      <c r="E2926" s="35">
        <f>+'[2]por cuent'!H2926</f>
        <v>1442524745.8699999</v>
      </c>
      <c r="F2926" t="str">
        <f>+'[2]por cuent'!I2926</f>
        <v>766</v>
      </c>
    </row>
    <row r="2927" spans="1:6" x14ac:dyDescent="0.35">
      <c r="A2927" t="str">
        <f>+'[2]por cuent'!A2927</f>
        <v>ARS</v>
      </c>
      <c r="B2927" t="str">
        <f>+'[2]por cuent'!B2927</f>
        <v>766000392</v>
      </c>
      <c r="C2927" t="str">
        <f>+'[2]por cuent'!C2927</f>
        <v xml:space="preserve">Martínez Fernandez, María Eugenia </v>
      </c>
      <c r="D2927" s="35">
        <f>+'[2]por cuent'!G2927</f>
        <v>12297301.68</v>
      </c>
      <c r="E2927" s="35">
        <f>+'[2]por cuent'!H2927</f>
        <v>12297301.68</v>
      </c>
      <c r="F2927" t="str">
        <f>+'[2]por cuent'!I2927</f>
        <v>766</v>
      </c>
    </row>
    <row r="2928" spans="1:6" x14ac:dyDescent="0.35">
      <c r="A2928" t="str">
        <f>+'[2]por cuent'!A2928</f>
        <v>ARS</v>
      </c>
      <c r="B2928" t="str">
        <f>+'[2]por cuent'!B2928</f>
        <v>766000395</v>
      </c>
      <c r="C2928" t="str">
        <f>+'[2]por cuent'!C2928</f>
        <v>Perini, Luciano Pablo</v>
      </c>
      <c r="D2928" s="35">
        <f>+'[2]por cuent'!G2928</f>
        <v>8652790.6600000001</v>
      </c>
      <c r="E2928" s="35">
        <f>+'[2]por cuent'!H2928</f>
        <v>8652790.6600000001</v>
      </c>
      <c r="F2928" t="str">
        <f>+'[2]por cuent'!I2928</f>
        <v>766</v>
      </c>
    </row>
    <row r="2929" spans="1:6" x14ac:dyDescent="0.35">
      <c r="A2929" t="str">
        <f>+'[2]por cuent'!A2929</f>
        <v>ARS</v>
      </c>
      <c r="B2929" t="str">
        <f>+'[2]por cuent'!B2929</f>
        <v>766000396</v>
      </c>
      <c r="C2929" t="str">
        <f>+'[2]por cuent'!C2929</f>
        <v>Lucci, Federico Roberto</v>
      </c>
      <c r="D2929" s="35">
        <f>+'[2]por cuent'!G2929</f>
        <v>9458537.75</v>
      </c>
      <c r="E2929" s="35">
        <f>+'[2]por cuent'!H2929</f>
        <v>9458537.75</v>
      </c>
      <c r="F2929" t="str">
        <f>+'[2]por cuent'!I2929</f>
        <v>766</v>
      </c>
    </row>
    <row r="2930" spans="1:6" x14ac:dyDescent="0.35">
      <c r="A2930" t="str">
        <f>+'[2]por cuent'!A2930</f>
        <v>ARS</v>
      </c>
      <c r="B2930" t="str">
        <f>+'[2]por cuent'!B2930</f>
        <v>766000401</v>
      </c>
      <c r="C2930" t="str">
        <f>+'[2]por cuent'!C2930</f>
        <v>Gras, Emmanuel</v>
      </c>
      <c r="D2930" s="35">
        <f>+'[2]por cuent'!G2930</f>
        <v>595391.59</v>
      </c>
      <c r="E2930" s="35">
        <f>+'[2]por cuent'!H2930</f>
        <v>595391.59</v>
      </c>
      <c r="F2930" t="str">
        <f>+'[2]por cuent'!I2930</f>
        <v>766</v>
      </c>
    </row>
    <row r="2931" spans="1:6" x14ac:dyDescent="0.35">
      <c r="A2931" t="str">
        <f>+'[2]por cuent'!A2931</f>
        <v>ARS</v>
      </c>
      <c r="B2931" t="str">
        <f>+'[2]por cuent'!B2931</f>
        <v>766000402</v>
      </c>
      <c r="C2931" t="str">
        <f>+'[2]por cuent'!C2931</f>
        <v>Primoletti, Bruno Eduardo y Aguado, Florencia</v>
      </c>
      <c r="D2931" s="35">
        <f>+'[2]por cuent'!G2931</f>
        <v>6506414.6799999997</v>
      </c>
      <c r="E2931" s="35">
        <f>+'[2]por cuent'!H2931</f>
        <v>6506414.6799999997</v>
      </c>
      <c r="F2931" t="str">
        <f>+'[2]por cuent'!I2931</f>
        <v>766</v>
      </c>
    </row>
    <row r="2932" spans="1:6" x14ac:dyDescent="0.35">
      <c r="A2932" t="str">
        <f>+'[2]por cuent'!A2932</f>
        <v>ARS</v>
      </c>
      <c r="B2932" t="str">
        <f>+'[2]por cuent'!B2932</f>
        <v>766000404</v>
      </c>
      <c r="C2932" t="str">
        <f>+'[2]por cuent'!C2932</f>
        <v>Marcón, Maria Victoria y Bürki, Germán Guido</v>
      </c>
      <c r="D2932" s="35">
        <f>+'[2]por cuent'!G2932</f>
        <v>537278</v>
      </c>
      <c r="E2932" s="35">
        <f>+'[2]por cuent'!H2932</f>
        <v>537278</v>
      </c>
      <c r="F2932" t="str">
        <f>+'[2]por cuent'!I2932</f>
        <v>766</v>
      </c>
    </row>
    <row r="2933" spans="1:6" x14ac:dyDescent="0.35">
      <c r="A2933" t="str">
        <f>+'[2]por cuent'!A2933</f>
        <v>ARS</v>
      </c>
      <c r="B2933" t="str">
        <f>+'[2]por cuent'!B2933</f>
        <v>766000406</v>
      </c>
      <c r="C2933" t="str">
        <f>+'[2]por cuent'!C2933</f>
        <v>Ciccarelli, Maximiliano</v>
      </c>
      <c r="D2933" s="35">
        <f>+'[2]por cuent'!G2933</f>
        <v>10195733.369999999</v>
      </c>
      <c r="E2933" s="35">
        <f>+'[2]por cuent'!H2933</f>
        <v>10195733.369999999</v>
      </c>
      <c r="F2933" t="str">
        <f>+'[2]por cuent'!I2933</f>
        <v>766</v>
      </c>
    </row>
    <row r="2934" spans="1:6" x14ac:dyDescent="0.35">
      <c r="A2934" t="str">
        <f>+'[2]por cuent'!A2934</f>
        <v>ARS</v>
      </c>
      <c r="B2934" t="str">
        <f>+'[2]por cuent'!B2934</f>
        <v>766000408</v>
      </c>
      <c r="C2934" t="str">
        <f>+'[2]por cuent'!C2934</f>
        <v>Kahale Couzo, Jorge Eduardo y Sueldo, Natalia Verónica</v>
      </c>
      <c r="D2934" s="35">
        <f>+'[2]por cuent'!G2934</f>
        <v>66588523.82</v>
      </c>
      <c r="E2934" s="35">
        <f>+'[2]por cuent'!H2934</f>
        <v>66588523.82</v>
      </c>
      <c r="F2934" t="str">
        <f>+'[2]por cuent'!I2934</f>
        <v>766</v>
      </c>
    </row>
    <row r="2935" spans="1:6" x14ac:dyDescent="0.35">
      <c r="A2935" t="str">
        <f>+'[2]por cuent'!A2935</f>
        <v>ARS</v>
      </c>
      <c r="B2935" t="str">
        <f>+'[2]por cuent'!B2935</f>
        <v>766000409</v>
      </c>
      <c r="C2935" t="str">
        <f>+'[2]por cuent'!C2935</f>
        <v>Martínez Fernandez , Jorge</v>
      </c>
      <c r="D2935" s="35">
        <f>+'[2]por cuent'!G2935</f>
        <v>89181380.450000003</v>
      </c>
      <c r="E2935" s="35">
        <f>+'[2]por cuent'!H2935</f>
        <v>89181380.450000003</v>
      </c>
      <c r="F2935" t="str">
        <f>+'[2]por cuent'!I2935</f>
        <v>766</v>
      </c>
    </row>
    <row r="2936" spans="1:6" x14ac:dyDescent="0.35">
      <c r="A2936" t="str">
        <f>+'[2]por cuent'!A2936</f>
        <v>ARS</v>
      </c>
      <c r="B2936" t="str">
        <f>+'[2]por cuent'!B2936</f>
        <v>766000410</v>
      </c>
      <c r="C2936" t="str">
        <f>+'[2]por cuent'!C2936</f>
        <v>Bernabeu Hernández, Juan Martín y Nemirovsky, Tamara</v>
      </c>
      <c r="D2936" s="35">
        <f>+'[2]por cuent'!G2936</f>
        <v>517006.26</v>
      </c>
      <c r="E2936" s="35">
        <f>+'[2]por cuent'!H2936</f>
        <v>517006.26</v>
      </c>
      <c r="F2936" t="str">
        <f>+'[2]por cuent'!I2936</f>
        <v>766</v>
      </c>
    </row>
    <row r="2937" spans="1:6" x14ac:dyDescent="0.35">
      <c r="A2937" t="str">
        <f>+'[2]por cuent'!A2937</f>
        <v>ARS</v>
      </c>
      <c r="B2937" t="str">
        <f>+'[2]por cuent'!B2937</f>
        <v>766000414</v>
      </c>
      <c r="C2937" t="str">
        <f>+'[2]por cuent'!C2937</f>
        <v>Zabalza, Margarita Elsa o Rivas, Alejandro Luis</v>
      </c>
      <c r="D2937" s="35">
        <f>+'[2]por cuent'!G2937</f>
        <v>10510149.460000001</v>
      </c>
      <c r="E2937" s="35">
        <f>+'[2]por cuent'!H2937</f>
        <v>10510149.460000001</v>
      </c>
      <c r="F2937" t="str">
        <f>+'[2]por cuent'!I2937</f>
        <v>766</v>
      </c>
    </row>
    <row r="2938" spans="1:6" x14ac:dyDescent="0.35">
      <c r="A2938" t="str">
        <f>+'[2]por cuent'!A2938</f>
        <v>ARS</v>
      </c>
      <c r="B2938" t="str">
        <f>+'[2]por cuent'!B2938</f>
        <v>766000416</v>
      </c>
      <c r="C2938" t="str">
        <f>+'[2]por cuent'!C2938</f>
        <v>D.ME.D. S.R.L.</v>
      </c>
      <c r="D2938" s="35">
        <f>+'[2]por cuent'!G2938</f>
        <v>469815067.23000002</v>
      </c>
      <c r="E2938" s="35">
        <f>+'[2]por cuent'!H2938</f>
        <v>469815067.23000002</v>
      </c>
      <c r="F2938" t="str">
        <f>+'[2]por cuent'!I2938</f>
        <v>766</v>
      </c>
    </row>
    <row r="2939" spans="1:6" x14ac:dyDescent="0.35">
      <c r="A2939" t="str">
        <f>+'[2]por cuent'!A2939</f>
        <v>ARS</v>
      </c>
      <c r="B2939" t="str">
        <f>+'[2]por cuent'!B2939</f>
        <v>766000417</v>
      </c>
      <c r="C2939" t="str">
        <f>+'[2]por cuent'!C2939</f>
        <v xml:space="preserve">Peralta, Juan Carlos o Pollo, Eleonora María </v>
      </c>
      <c r="D2939" s="35">
        <f>+'[2]por cuent'!G2939</f>
        <v>135260625.58000001</v>
      </c>
      <c r="E2939" s="35">
        <f>+'[2]por cuent'!H2939</f>
        <v>135260625.58000001</v>
      </c>
      <c r="F2939" t="str">
        <f>+'[2]por cuent'!I2939</f>
        <v>766</v>
      </c>
    </row>
    <row r="2940" spans="1:6" x14ac:dyDescent="0.35">
      <c r="A2940" t="str">
        <f>+'[2]por cuent'!A2940</f>
        <v>ARS</v>
      </c>
      <c r="B2940" t="str">
        <f>+'[2]por cuent'!B2940</f>
        <v>766000419</v>
      </c>
      <c r="C2940" t="str">
        <f>+'[2]por cuent'!C2940</f>
        <v>Pary, Ezequiel</v>
      </c>
      <c r="D2940" s="35">
        <f>+'[2]por cuent'!G2940</f>
        <v>14989293.560000001</v>
      </c>
      <c r="E2940" s="35">
        <f>+'[2]por cuent'!H2940</f>
        <v>14989293.560000001</v>
      </c>
      <c r="F2940" t="str">
        <f>+'[2]por cuent'!I2940</f>
        <v>766</v>
      </c>
    </row>
    <row r="2941" spans="1:6" x14ac:dyDescent="0.35">
      <c r="A2941" t="str">
        <f>+'[2]por cuent'!A2941</f>
        <v>ARS</v>
      </c>
      <c r="B2941" t="str">
        <f>+'[2]por cuent'!B2941</f>
        <v>766000422</v>
      </c>
      <c r="C2941" t="str">
        <f>+'[2]por cuent'!C2941</f>
        <v>Muñoz Atahualpa, Edgar Aníbal o Bonamigo, Verónica Andrea</v>
      </c>
      <c r="D2941" s="35">
        <f>+'[2]por cuent'!G2941</f>
        <v>530665.72</v>
      </c>
      <c r="E2941" s="35">
        <f>+'[2]por cuent'!H2941</f>
        <v>530665.72</v>
      </c>
      <c r="F2941" t="str">
        <f>+'[2]por cuent'!I2941</f>
        <v>766</v>
      </c>
    </row>
    <row r="2942" spans="1:6" x14ac:dyDescent="0.35">
      <c r="A2942" t="str">
        <f>+'[2]por cuent'!A2942</f>
        <v>ARS</v>
      </c>
      <c r="B2942" t="str">
        <f>+'[2]por cuent'!B2942</f>
        <v>766000425</v>
      </c>
      <c r="C2942" t="str">
        <f>+'[2]por cuent'!C2942</f>
        <v>Guspi, Luis Alejandro</v>
      </c>
      <c r="D2942" s="35">
        <f>+'[2]por cuent'!G2942</f>
        <v>60560.94</v>
      </c>
      <c r="E2942" s="35">
        <f>+'[2]por cuent'!H2942</f>
        <v>60560.94</v>
      </c>
      <c r="F2942" t="str">
        <f>+'[2]por cuent'!I2942</f>
        <v>766</v>
      </c>
    </row>
    <row r="2943" spans="1:6" x14ac:dyDescent="0.35">
      <c r="A2943" t="str">
        <f>+'[2]por cuent'!A2943</f>
        <v>ARS</v>
      </c>
      <c r="B2943" t="str">
        <f>+'[2]por cuent'!B2943</f>
        <v>766000426</v>
      </c>
      <c r="C2943" t="str">
        <f>+'[2]por cuent'!C2943</f>
        <v>Pollux S.A.S</v>
      </c>
      <c r="D2943" s="35">
        <f>+'[2]por cuent'!G2943</f>
        <v>29570212.850000001</v>
      </c>
      <c r="E2943" s="35">
        <f>+'[2]por cuent'!H2943</f>
        <v>29570212.850000001</v>
      </c>
      <c r="F2943" t="str">
        <f>+'[2]por cuent'!I2943</f>
        <v>766</v>
      </c>
    </row>
    <row r="2944" spans="1:6" x14ac:dyDescent="0.35">
      <c r="A2944" t="str">
        <f>+'[2]por cuent'!A2944</f>
        <v>ARS</v>
      </c>
      <c r="B2944" t="str">
        <f>+'[2]por cuent'!B2944</f>
        <v>766000427</v>
      </c>
      <c r="C2944" t="str">
        <f>+'[2]por cuent'!C2944</f>
        <v xml:space="preserve">Delbono, Pablo Martin </v>
      </c>
      <c r="D2944" s="35">
        <f>+'[2]por cuent'!G2944</f>
        <v>491709783.42000002</v>
      </c>
      <c r="E2944" s="35">
        <f>+'[2]por cuent'!H2944</f>
        <v>491709783.42000002</v>
      </c>
      <c r="F2944" t="str">
        <f>+'[2]por cuent'!I2944</f>
        <v>766</v>
      </c>
    </row>
    <row r="2945" spans="1:6" x14ac:dyDescent="0.35">
      <c r="A2945" t="str">
        <f>+'[2]por cuent'!A2945</f>
        <v>ARS</v>
      </c>
      <c r="B2945" t="str">
        <f>+'[2]por cuent'!B2945</f>
        <v>766000431</v>
      </c>
      <c r="C2945" t="str">
        <f>+'[2]por cuent'!C2945</f>
        <v>Quagliato, José Ignacio</v>
      </c>
      <c r="D2945" s="35">
        <f>+'[2]por cuent'!G2945</f>
        <v>641524.01</v>
      </c>
      <c r="E2945" s="35">
        <f>+'[2]por cuent'!H2945</f>
        <v>641524.01</v>
      </c>
      <c r="F2945" t="str">
        <f>+'[2]por cuent'!I2945</f>
        <v>766</v>
      </c>
    </row>
    <row r="2946" spans="1:6" x14ac:dyDescent="0.35">
      <c r="A2946" t="str">
        <f>+'[2]por cuent'!A2946</f>
        <v>ARS</v>
      </c>
      <c r="B2946" t="str">
        <f>+'[2]por cuent'!B2946</f>
        <v>766000432</v>
      </c>
      <c r="C2946" t="str">
        <f>+'[2]por cuent'!C2946</f>
        <v>Mariño, Raúl Eduardo</v>
      </c>
      <c r="D2946" s="35">
        <f>+'[2]por cuent'!G2946</f>
        <v>3599220.1</v>
      </c>
      <c r="E2946" s="35">
        <f>+'[2]por cuent'!H2946</f>
        <v>3599220.1</v>
      </c>
      <c r="F2946" t="str">
        <f>+'[2]por cuent'!I2946</f>
        <v>766</v>
      </c>
    </row>
    <row r="2947" spans="1:6" x14ac:dyDescent="0.35">
      <c r="A2947" t="str">
        <f>+'[2]por cuent'!A2947</f>
        <v>ARS</v>
      </c>
      <c r="B2947" t="str">
        <f>+'[2]por cuent'!B2947</f>
        <v>766000433</v>
      </c>
      <c r="C2947" t="str">
        <f>+'[2]por cuent'!C2947</f>
        <v>Tartarelli, Martin</v>
      </c>
      <c r="D2947" s="35">
        <f>+'[2]por cuent'!G2947</f>
        <v>28171301.329999998</v>
      </c>
      <c r="E2947" s="35">
        <f>+'[2]por cuent'!H2947</f>
        <v>28171301.329999998</v>
      </c>
      <c r="F2947" t="str">
        <f>+'[2]por cuent'!I2947</f>
        <v>766</v>
      </c>
    </row>
    <row r="2948" spans="1:6" x14ac:dyDescent="0.35">
      <c r="A2948" t="str">
        <f>+'[2]por cuent'!A2948</f>
        <v>ARS</v>
      </c>
      <c r="B2948" t="str">
        <f>+'[2]por cuent'!B2948</f>
        <v>766000434</v>
      </c>
      <c r="C2948" t="str">
        <f>+'[2]por cuent'!C2948</f>
        <v>DASOLAB INVESTIGACION Y DESARROLLO EN NEUROCIENCIAS S.R.L.</v>
      </c>
      <c r="D2948" s="35">
        <f>+'[2]por cuent'!G2948</f>
        <v>1198335.4099999999</v>
      </c>
      <c r="E2948" s="35">
        <f>+'[2]por cuent'!H2948</f>
        <v>1198335.4099999999</v>
      </c>
      <c r="F2948" t="str">
        <f>+'[2]por cuent'!I2948</f>
        <v>766</v>
      </c>
    </row>
    <row r="2949" spans="1:6" x14ac:dyDescent="0.35">
      <c r="A2949" t="str">
        <f>+'[2]por cuent'!A2949</f>
        <v>ARS</v>
      </c>
      <c r="B2949" t="str">
        <f>+'[2]por cuent'!B2949</f>
        <v>766000435</v>
      </c>
      <c r="C2949" t="str">
        <f>+'[2]por cuent'!C2949</f>
        <v>Mendoza, Cristian Fernando</v>
      </c>
      <c r="D2949" s="35">
        <f>+'[2]por cuent'!G2949</f>
        <v>6879619.2599999998</v>
      </c>
      <c r="E2949" s="35">
        <f>+'[2]por cuent'!H2949</f>
        <v>6879619.2599999998</v>
      </c>
      <c r="F2949" t="str">
        <f>+'[2]por cuent'!I2949</f>
        <v>766</v>
      </c>
    </row>
    <row r="2950" spans="1:6" x14ac:dyDescent="0.35">
      <c r="A2950" t="str">
        <f>+'[2]por cuent'!A2950</f>
        <v>ARS</v>
      </c>
      <c r="B2950" t="str">
        <f>+'[2]por cuent'!B2950</f>
        <v>766000441</v>
      </c>
      <c r="C2950" t="str">
        <f>+'[2]por cuent'!C2950</f>
        <v>Mayoraz, Gonzalo Javier</v>
      </c>
      <c r="D2950" s="35">
        <f>+'[2]por cuent'!G2950</f>
        <v>73059595.959999993</v>
      </c>
      <c r="E2950" s="35">
        <f>+'[2]por cuent'!H2950</f>
        <v>73059595.959999993</v>
      </c>
      <c r="F2950" t="str">
        <f>+'[2]por cuent'!I2950</f>
        <v>766</v>
      </c>
    </row>
    <row r="2951" spans="1:6" x14ac:dyDescent="0.35">
      <c r="A2951" t="str">
        <f>+'[2]por cuent'!A2951</f>
        <v>ARS</v>
      </c>
      <c r="B2951" t="str">
        <f>+'[2]por cuent'!B2951</f>
        <v>766000442</v>
      </c>
      <c r="C2951" t="str">
        <f>+'[2]por cuent'!C2951</f>
        <v>Nikel, Juan Ignacio</v>
      </c>
      <c r="D2951" s="35">
        <f>+'[2]por cuent'!G2951</f>
        <v>37998898.890000001</v>
      </c>
      <c r="E2951" s="35">
        <f>+'[2]por cuent'!H2951</f>
        <v>37998898.890000001</v>
      </c>
      <c r="F2951" t="str">
        <f>+'[2]por cuent'!I2951</f>
        <v>766</v>
      </c>
    </row>
    <row r="2952" spans="1:6" x14ac:dyDescent="0.35">
      <c r="A2952" t="str">
        <f>+'[2]por cuent'!A2952</f>
        <v>ARS</v>
      </c>
      <c r="B2952" t="str">
        <f>+'[2]por cuent'!B2952</f>
        <v>766000443</v>
      </c>
      <c r="C2952" t="str">
        <f>+'[2]por cuent'!C2952</f>
        <v>Solanes, Jorge Pablo</v>
      </c>
      <c r="D2952" s="35">
        <f>+'[2]por cuent'!G2952</f>
        <v>21185251.43</v>
      </c>
      <c r="E2952" s="35">
        <f>+'[2]por cuent'!H2952</f>
        <v>21185251.43</v>
      </c>
      <c r="F2952" t="str">
        <f>+'[2]por cuent'!I2952</f>
        <v>766</v>
      </c>
    </row>
    <row r="2953" spans="1:6" x14ac:dyDescent="0.35">
      <c r="A2953" t="str">
        <f>+'[2]por cuent'!A2953</f>
        <v>ARS</v>
      </c>
      <c r="B2953" t="str">
        <f>+'[2]por cuent'!B2953</f>
        <v>766000444</v>
      </c>
      <c r="C2953" t="str">
        <f>+'[2]por cuent'!C2953</f>
        <v>Guirin , Martin Ignacio</v>
      </c>
      <c r="D2953" s="35">
        <f>+'[2]por cuent'!G2953</f>
        <v>4056072.75</v>
      </c>
      <c r="E2953" s="35">
        <f>+'[2]por cuent'!H2953</f>
        <v>4056072.75</v>
      </c>
      <c r="F2953" t="str">
        <f>+'[2]por cuent'!I2953</f>
        <v>766</v>
      </c>
    </row>
    <row r="2954" spans="1:6" x14ac:dyDescent="0.35">
      <c r="A2954" t="str">
        <f>+'[2]por cuent'!A2954</f>
        <v>ARS</v>
      </c>
      <c r="B2954" t="str">
        <f>+'[2]por cuent'!B2954</f>
        <v>766000445</v>
      </c>
      <c r="C2954" t="str">
        <f>+'[2]por cuent'!C2954</f>
        <v>2 M CONSTRUCCIONES SRL</v>
      </c>
      <c r="D2954" s="35">
        <f>+'[2]por cuent'!G2954</f>
        <v>60103008.240000002</v>
      </c>
      <c r="E2954" s="35">
        <f>+'[2]por cuent'!H2954</f>
        <v>60103008.240000002</v>
      </c>
      <c r="F2954" t="str">
        <f>+'[2]por cuent'!I2954</f>
        <v>766</v>
      </c>
    </row>
    <row r="2955" spans="1:6" x14ac:dyDescent="0.35">
      <c r="A2955" t="str">
        <f>+'[2]por cuent'!A2955</f>
        <v>ARS</v>
      </c>
      <c r="B2955" t="str">
        <f>+'[2]por cuent'!B2955</f>
        <v>766000448</v>
      </c>
      <c r="C2955" t="str">
        <f>+'[2]por cuent'!C2955</f>
        <v>Livieri, Carlos Ruben o Ruiz, Maria Eugenia o Livieri, Maria Florencia</v>
      </c>
      <c r="D2955" s="35">
        <f>+'[2]por cuent'!G2955</f>
        <v>28359182.949999999</v>
      </c>
      <c r="E2955" s="35">
        <f>+'[2]por cuent'!H2955</f>
        <v>28359182.949999999</v>
      </c>
      <c r="F2955" t="str">
        <f>+'[2]por cuent'!I2955</f>
        <v>766</v>
      </c>
    </row>
    <row r="2956" spans="1:6" x14ac:dyDescent="0.35">
      <c r="A2956" t="str">
        <f>+'[2]por cuent'!A2956</f>
        <v>ARS</v>
      </c>
      <c r="B2956" t="str">
        <f>+'[2]por cuent'!B2956</f>
        <v>766000449</v>
      </c>
      <c r="C2956" t="str">
        <f>+'[2]por cuent'!C2956</f>
        <v>PESCIA S.A.</v>
      </c>
      <c r="D2956" s="35">
        <f>+'[2]por cuent'!G2956</f>
        <v>592459.76</v>
      </c>
      <c r="E2956" s="35">
        <f>+'[2]por cuent'!H2956</f>
        <v>592459.76</v>
      </c>
      <c r="F2956" t="str">
        <f>+'[2]por cuent'!I2956</f>
        <v>766</v>
      </c>
    </row>
    <row r="2957" spans="1:6" x14ac:dyDescent="0.35">
      <c r="A2957" t="str">
        <f>+'[2]por cuent'!A2957</f>
        <v>ARS</v>
      </c>
      <c r="B2957" t="str">
        <f>+'[2]por cuent'!B2957</f>
        <v>766000450</v>
      </c>
      <c r="C2957" t="str">
        <f>+'[2]por cuent'!C2957</f>
        <v>Tommasi, Gustavo Darío o Aguilar, Sonia Georgina</v>
      </c>
      <c r="D2957" s="35">
        <f>+'[2]por cuent'!G2957</f>
        <v>284098847.05000001</v>
      </c>
      <c r="E2957" s="35">
        <f>+'[2]por cuent'!H2957</f>
        <v>284098847.05000001</v>
      </c>
      <c r="F2957" t="str">
        <f>+'[2]por cuent'!I2957</f>
        <v>766</v>
      </c>
    </row>
    <row r="2958" spans="1:6" x14ac:dyDescent="0.35">
      <c r="A2958" t="str">
        <f>+'[2]por cuent'!A2958</f>
        <v>ARS</v>
      </c>
      <c r="B2958" t="str">
        <f>+'[2]por cuent'!B2958</f>
        <v>766000451</v>
      </c>
      <c r="C2958" t="str">
        <f>+'[2]por cuent'!C2958</f>
        <v>Gallo, María Laura o Estelles, Juan Pablo</v>
      </c>
      <c r="D2958" s="35">
        <f>+'[2]por cuent'!G2958</f>
        <v>26180</v>
      </c>
      <c r="E2958" s="35">
        <f>+'[2]por cuent'!H2958</f>
        <v>26180</v>
      </c>
      <c r="F2958" t="str">
        <f>+'[2]por cuent'!I2958</f>
        <v>766</v>
      </c>
    </row>
    <row r="2959" spans="1:6" x14ac:dyDescent="0.35">
      <c r="A2959" t="str">
        <f>+'[2]por cuent'!A2959</f>
        <v>ARS</v>
      </c>
      <c r="B2959" t="str">
        <f>+'[2]por cuent'!B2959</f>
        <v>766000453</v>
      </c>
      <c r="C2959" t="str">
        <f>+'[2]por cuent'!C2959</f>
        <v>Astori, Sebastian Eduardo</v>
      </c>
      <c r="D2959" s="35">
        <f>+'[2]por cuent'!G2959</f>
        <v>19238110.260000002</v>
      </c>
      <c r="E2959" s="35">
        <f>+'[2]por cuent'!H2959</f>
        <v>19238110.260000002</v>
      </c>
      <c r="F2959" t="str">
        <f>+'[2]por cuent'!I2959</f>
        <v>766</v>
      </c>
    </row>
    <row r="2960" spans="1:6" x14ac:dyDescent="0.35">
      <c r="A2960" t="str">
        <f>+'[2]por cuent'!A2960</f>
        <v>ARS</v>
      </c>
      <c r="B2960" t="str">
        <f>+'[2]por cuent'!B2960</f>
        <v>766000457</v>
      </c>
      <c r="C2960" t="str">
        <f>+'[2]por cuent'!C2960</f>
        <v>EL HIPER SRL</v>
      </c>
      <c r="D2960" s="35">
        <f>+'[2]por cuent'!G2960</f>
        <v>6322309.2400000002</v>
      </c>
      <c r="E2960" s="35">
        <f>+'[2]por cuent'!H2960</f>
        <v>6322309.2400000002</v>
      </c>
      <c r="F2960" t="str">
        <f>+'[2]por cuent'!I2960</f>
        <v>766</v>
      </c>
    </row>
    <row r="2961" spans="1:6" x14ac:dyDescent="0.35">
      <c r="A2961" t="str">
        <f>+'[2]por cuent'!A2961</f>
        <v>ARS</v>
      </c>
      <c r="B2961" t="str">
        <f>+'[2]por cuent'!B2961</f>
        <v>766000458</v>
      </c>
      <c r="C2961" t="str">
        <f>+'[2]por cuent'!C2961</f>
        <v>Fernandez Hernando De Larramendi, Inaki</v>
      </c>
      <c r="D2961" s="35">
        <f>+'[2]por cuent'!G2961</f>
        <v>4625445.9800000004</v>
      </c>
      <c r="E2961" s="35">
        <f>+'[2]por cuent'!H2961</f>
        <v>4625445.9800000004</v>
      </c>
      <c r="F2961" t="str">
        <f>+'[2]por cuent'!I2961</f>
        <v>766</v>
      </c>
    </row>
    <row r="2962" spans="1:6" x14ac:dyDescent="0.35">
      <c r="A2962" t="str">
        <f>+'[2]por cuent'!A2962</f>
        <v>ARS</v>
      </c>
      <c r="B2962" t="str">
        <f>+'[2]por cuent'!B2962</f>
        <v>766000459</v>
      </c>
      <c r="C2962" t="str">
        <f>+'[2]por cuent'!C2962</f>
        <v>REDTECH INGENIERIA SRL</v>
      </c>
      <c r="D2962" s="35">
        <f>+'[2]por cuent'!G2962</f>
        <v>35042833.359999999</v>
      </c>
      <c r="E2962" s="35">
        <f>+'[2]por cuent'!H2962</f>
        <v>35042833.359999999</v>
      </c>
      <c r="F2962" t="str">
        <f>+'[2]por cuent'!I2962</f>
        <v>766</v>
      </c>
    </row>
    <row r="2963" spans="1:6" x14ac:dyDescent="0.35">
      <c r="A2963" t="str">
        <f>+'[2]por cuent'!A2963</f>
        <v>ARS</v>
      </c>
      <c r="B2963" t="str">
        <f>+'[2]por cuent'!B2963</f>
        <v>766000463</v>
      </c>
      <c r="C2963" t="str">
        <f>+'[2]por cuent'!C2963</f>
        <v>Ambrogi, Vilma Amanda</v>
      </c>
      <c r="D2963" s="35">
        <f>+'[2]por cuent'!G2963</f>
        <v>193903345.09</v>
      </c>
      <c r="E2963" s="35">
        <f>+'[2]por cuent'!H2963</f>
        <v>193903345.09</v>
      </c>
      <c r="F2963" t="str">
        <f>+'[2]por cuent'!I2963</f>
        <v>766</v>
      </c>
    </row>
    <row r="2964" spans="1:6" x14ac:dyDescent="0.35">
      <c r="A2964" t="str">
        <f>+'[2]por cuent'!A2964</f>
        <v>ARS</v>
      </c>
      <c r="B2964" t="str">
        <f>+'[2]por cuent'!B2964</f>
        <v>766000464</v>
      </c>
      <c r="C2964" t="str">
        <f>+'[2]por cuent'!C2964</f>
        <v>Martins, Cintia Beatriz</v>
      </c>
      <c r="D2964" s="35">
        <f>+'[2]por cuent'!G2964</f>
        <v>244100870.91999999</v>
      </c>
      <c r="E2964" s="35">
        <f>+'[2]por cuent'!H2964</f>
        <v>244100870.91999999</v>
      </c>
      <c r="F2964" t="str">
        <f>+'[2]por cuent'!I2964</f>
        <v>766</v>
      </c>
    </row>
    <row r="2965" spans="1:6" x14ac:dyDescent="0.35">
      <c r="A2965" t="str">
        <f>+'[2]por cuent'!A2965</f>
        <v>ARS</v>
      </c>
      <c r="B2965" t="str">
        <f>+'[2]por cuent'!B2965</f>
        <v>766000465</v>
      </c>
      <c r="C2965" t="str">
        <f>+'[2]por cuent'!C2965</f>
        <v xml:space="preserve">Osta, Julieta Maria o Rodriguez Vidal, Patricio Martín </v>
      </c>
      <c r="D2965" s="35">
        <f>+'[2]por cuent'!G2965</f>
        <v>24814049.16</v>
      </c>
      <c r="E2965" s="35">
        <f>+'[2]por cuent'!H2965</f>
        <v>24814049.16</v>
      </c>
      <c r="F2965" t="str">
        <f>+'[2]por cuent'!I2965</f>
        <v>766</v>
      </c>
    </row>
    <row r="2966" spans="1:6" x14ac:dyDescent="0.35">
      <c r="A2966" t="str">
        <f>+'[2]por cuent'!A2966</f>
        <v>ARS</v>
      </c>
      <c r="B2966" t="str">
        <f>+'[2]por cuent'!B2966</f>
        <v>766000466</v>
      </c>
      <c r="C2966" t="str">
        <f>+'[2]por cuent'!C2966</f>
        <v>Fernandez , Lyonnel</v>
      </c>
      <c r="D2966" s="35">
        <f>+'[2]por cuent'!G2966</f>
        <v>12851119.539999999</v>
      </c>
      <c r="E2966" s="35">
        <f>+'[2]por cuent'!H2966</f>
        <v>12851119.539999999</v>
      </c>
      <c r="F2966" t="str">
        <f>+'[2]por cuent'!I2966</f>
        <v>766</v>
      </c>
    </row>
    <row r="2967" spans="1:6" x14ac:dyDescent="0.35">
      <c r="A2967" t="str">
        <f>+'[2]por cuent'!A2967</f>
        <v>ARS</v>
      </c>
      <c r="B2967" t="str">
        <f>+'[2]por cuent'!B2967</f>
        <v>766000467</v>
      </c>
      <c r="C2967" t="str">
        <f>+'[2]por cuent'!C2967</f>
        <v>Robledo, Melani Florencia o Nota, Joaquín Ignacio</v>
      </c>
      <c r="D2967" s="35">
        <f>+'[2]por cuent'!G2967</f>
        <v>634502.13</v>
      </c>
      <c r="E2967" s="35">
        <f>+'[2]por cuent'!H2967</f>
        <v>634502.13</v>
      </c>
      <c r="F2967" t="str">
        <f>+'[2]por cuent'!I2967</f>
        <v>766</v>
      </c>
    </row>
    <row r="2968" spans="1:6" x14ac:dyDescent="0.35">
      <c r="A2968" t="str">
        <f>+'[2]por cuent'!A2968</f>
        <v>ARS</v>
      </c>
      <c r="B2968" t="str">
        <f>+'[2]por cuent'!B2968</f>
        <v>766000468</v>
      </c>
      <c r="C2968" t="str">
        <f>+'[2]por cuent'!C2968</f>
        <v>Comacchio, Miguel Angel o Comacchio, Bruno</v>
      </c>
      <c r="D2968" s="35">
        <f>+'[2]por cuent'!G2968</f>
        <v>10283064.560000001</v>
      </c>
      <c r="E2968" s="35">
        <f>+'[2]por cuent'!H2968</f>
        <v>10283064.560000001</v>
      </c>
      <c r="F2968" t="str">
        <f>+'[2]por cuent'!I2968</f>
        <v>766</v>
      </c>
    </row>
    <row r="2969" spans="1:6" x14ac:dyDescent="0.35">
      <c r="A2969" t="str">
        <f>+'[2]por cuent'!A2969</f>
        <v>ARS</v>
      </c>
      <c r="B2969" t="str">
        <f>+'[2]por cuent'!B2969</f>
        <v>766000469</v>
      </c>
      <c r="C2969" t="str">
        <f>+'[2]por cuent'!C2969</f>
        <v>Mendez Amadei, Lisandro o Mendez Amadei, Guillermo</v>
      </c>
      <c r="D2969" s="35">
        <f>+'[2]por cuent'!G2969</f>
        <v>37086445.939999998</v>
      </c>
      <c r="E2969" s="35">
        <f>+'[2]por cuent'!H2969</f>
        <v>37086445.939999998</v>
      </c>
      <c r="F2969" t="str">
        <f>+'[2]por cuent'!I2969</f>
        <v>766</v>
      </c>
    </row>
    <row r="2970" spans="1:6" x14ac:dyDescent="0.35">
      <c r="A2970" t="str">
        <f>+'[2]por cuent'!A2970</f>
        <v>ARS</v>
      </c>
      <c r="B2970" t="str">
        <f>+'[2]por cuent'!B2970</f>
        <v>766000471</v>
      </c>
      <c r="C2970" t="str">
        <f>+'[2]por cuent'!C2970</f>
        <v>Valente, Ezequiel Franco</v>
      </c>
      <c r="D2970" s="35">
        <f>+'[2]por cuent'!G2970</f>
        <v>10028996.5</v>
      </c>
      <c r="E2970" s="35">
        <f>+'[2]por cuent'!H2970</f>
        <v>10028996.5</v>
      </c>
      <c r="F2970" t="str">
        <f>+'[2]por cuent'!I2970</f>
        <v>766</v>
      </c>
    </row>
    <row r="2971" spans="1:6" x14ac:dyDescent="0.35">
      <c r="A2971" t="str">
        <f>+'[2]por cuent'!A2971</f>
        <v>ARS</v>
      </c>
      <c r="B2971" t="str">
        <f>+'[2]por cuent'!B2971</f>
        <v>766000472</v>
      </c>
      <c r="C2971" t="str">
        <f>+'[2]por cuent'!C2971</f>
        <v>Aguilar, Sonia Georgina o Tommasi, Gustavo Darío</v>
      </c>
      <c r="D2971" s="35">
        <f>+'[2]por cuent'!G2971</f>
        <v>6623079.9800000004</v>
      </c>
      <c r="E2971" s="35">
        <f>+'[2]por cuent'!H2971</f>
        <v>6623079.9800000004</v>
      </c>
      <c r="F2971" t="str">
        <f>+'[2]por cuent'!I2971</f>
        <v>766</v>
      </c>
    </row>
    <row r="2972" spans="1:6" x14ac:dyDescent="0.35">
      <c r="A2972" t="str">
        <f>+'[2]por cuent'!A2972</f>
        <v>ARS</v>
      </c>
      <c r="B2972" t="str">
        <f>+'[2]por cuent'!B2972</f>
        <v>766000473</v>
      </c>
      <c r="C2972" t="str">
        <f>+'[2]por cuent'!C2972</f>
        <v>Bianchini, Ana Maria</v>
      </c>
      <c r="D2972" s="35">
        <f>+'[2]por cuent'!G2972</f>
        <v>6874017.0800000001</v>
      </c>
      <c r="E2972" s="35">
        <f>+'[2]por cuent'!H2972</f>
        <v>6874017.0800000001</v>
      </c>
      <c r="F2972" t="str">
        <f>+'[2]por cuent'!I2972</f>
        <v>766</v>
      </c>
    </row>
    <row r="2973" spans="1:6" x14ac:dyDescent="0.35">
      <c r="A2973" t="str">
        <f>+'[2]por cuent'!A2973</f>
        <v>ARS</v>
      </c>
      <c r="B2973" t="str">
        <f>+'[2]por cuent'!B2973</f>
        <v>766000474</v>
      </c>
      <c r="C2973" t="str">
        <f>+'[2]por cuent'!C2973</f>
        <v>Bravo, Lisandro Daniel</v>
      </c>
      <c r="D2973" s="35">
        <f>+'[2]por cuent'!G2973</f>
        <v>10601097.529999999</v>
      </c>
      <c r="E2973" s="35">
        <f>+'[2]por cuent'!H2973</f>
        <v>10601097.529999999</v>
      </c>
      <c r="F2973" t="str">
        <f>+'[2]por cuent'!I2973</f>
        <v>766</v>
      </c>
    </row>
    <row r="2974" spans="1:6" x14ac:dyDescent="0.35">
      <c r="A2974" t="str">
        <f>+'[2]por cuent'!A2974</f>
        <v>ARS</v>
      </c>
      <c r="B2974" t="str">
        <f>+'[2]por cuent'!B2974</f>
        <v>766000477</v>
      </c>
      <c r="C2974" t="str">
        <f>+'[2]por cuent'!C2974</f>
        <v>Forcen, Javier Jesús</v>
      </c>
      <c r="D2974" s="35">
        <f>+'[2]por cuent'!G2974</f>
        <v>3837713.72</v>
      </c>
      <c r="E2974" s="35">
        <f>+'[2]por cuent'!H2974</f>
        <v>3837713.72</v>
      </c>
      <c r="F2974" t="str">
        <f>+'[2]por cuent'!I2974</f>
        <v>766</v>
      </c>
    </row>
    <row r="2975" spans="1:6" x14ac:dyDescent="0.35">
      <c r="A2975" t="str">
        <f>+'[2]por cuent'!A2975</f>
        <v>ARS</v>
      </c>
      <c r="B2975" t="str">
        <f>+'[2]por cuent'!B2975</f>
        <v>766000479</v>
      </c>
      <c r="C2975" t="str">
        <f>+'[2]por cuent'!C2975</f>
        <v>Serra, Esteban Carlos</v>
      </c>
      <c r="D2975" s="35">
        <f>+'[2]por cuent'!G2975</f>
        <v>2305860.0299999998</v>
      </c>
      <c r="E2975" s="35">
        <f>+'[2]por cuent'!H2975</f>
        <v>2305860.0299999998</v>
      </c>
      <c r="F2975" t="str">
        <f>+'[2]por cuent'!I2975</f>
        <v>766</v>
      </c>
    </row>
    <row r="2976" spans="1:6" x14ac:dyDescent="0.35">
      <c r="A2976" t="str">
        <f>+'[2]por cuent'!A2976</f>
        <v>ARS</v>
      </c>
      <c r="B2976" t="str">
        <f>+'[2]por cuent'!B2976</f>
        <v>766000488</v>
      </c>
      <c r="C2976" t="str">
        <f>+'[2]por cuent'!C2976</f>
        <v>Cervellini, Gabriel Fabian o Mauri, Adriana Noemi</v>
      </c>
      <c r="D2976" s="35">
        <f>+'[2]por cuent'!G2976</f>
        <v>128119165.97</v>
      </c>
      <c r="E2976" s="35">
        <f>+'[2]por cuent'!H2976</f>
        <v>128119165.97</v>
      </c>
      <c r="F2976" t="str">
        <f>+'[2]por cuent'!I2976</f>
        <v>766</v>
      </c>
    </row>
    <row r="2977" spans="1:6" x14ac:dyDescent="0.35">
      <c r="A2977" t="str">
        <f>+'[2]por cuent'!A2977</f>
        <v>ARS</v>
      </c>
      <c r="B2977" t="str">
        <f>+'[2]por cuent'!B2977</f>
        <v>766000489</v>
      </c>
      <c r="C2977" t="str">
        <f>+'[2]por cuent'!C2977</f>
        <v>Trevizan, Silvia Matilde</v>
      </c>
      <c r="D2977" s="35">
        <f>+'[2]por cuent'!G2977</f>
        <v>27584587.870000001</v>
      </c>
      <c r="E2977" s="35">
        <f>+'[2]por cuent'!H2977</f>
        <v>27584587.870000001</v>
      </c>
      <c r="F2977" t="str">
        <f>+'[2]por cuent'!I2977</f>
        <v>766</v>
      </c>
    </row>
    <row r="2978" spans="1:6" x14ac:dyDescent="0.35">
      <c r="A2978" t="str">
        <f>+'[2]por cuent'!A2978</f>
        <v>ARS</v>
      </c>
      <c r="B2978" t="str">
        <f>+'[2]por cuent'!B2978</f>
        <v>766000490</v>
      </c>
      <c r="C2978" t="str">
        <f>+'[2]por cuent'!C2978</f>
        <v>Tortora, Juan Manuel</v>
      </c>
      <c r="D2978" s="35">
        <f>+'[2]por cuent'!G2978</f>
        <v>245299107.78</v>
      </c>
      <c r="E2978" s="35">
        <f>+'[2]por cuent'!H2978</f>
        <v>245299107.78</v>
      </c>
      <c r="F2978" t="str">
        <f>+'[2]por cuent'!I2978</f>
        <v>766</v>
      </c>
    </row>
    <row r="2979" spans="1:6" x14ac:dyDescent="0.35">
      <c r="A2979" t="str">
        <f>+'[2]por cuent'!A2979</f>
        <v>ARS</v>
      </c>
      <c r="B2979" t="str">
        <f>+'[2]por cuent'!B2979</f>
        <v>766000491</v>
      </c>
      <c r="C2979" t="str">
        <f>+'[2]por cuent'!C2979</f>
        <v>Trumper, Martin</v>
      </c>
      <c r="D2979" s="35">
        <f>+'[2]por cuent'!G2979</f>
        <v>9714700.6099999994</v>
      </c>
      <c r="E2979" s="35">
        <f>+'[2]por cuent'!H2979</f>
        <v>9714700.6099999994</v>
      </c>
      <c r="F2979" t="str">
        <f>+'[2]por cuent'!I2979</f>
        <v>766</v>
      </c>
    </row>
    <row r="2980" spans="1:6" x14ac:dyDescent="0.35">
      <c r="A2980" t="str">
        <f>+'[2]por cuent'!A2980</f>
        <v>ARS</v>
      </c>
      <c r="B2980" t="str">
        <f>+'[2]por cuent'!B2980</f>
        <v>766000494</v>
      </c>
      <c r="C2980" t="str">
        <f>+'[2]por cuent'!C2980</f>
        <v>HACER SA</v>
      </c>
      <c r="D2980" s="35">
        <f>+'[2]por cuent'!G2980</f>
        <v>10043747.25</v>
      </c>
      <c r="E2980" s="35">
        <f>+'[2]por cuent'!H2980</f>
        <v>10043747.25</v>
      </c>
      <c r="F2980" t="str">
        <f>+'[2]por cuent'!I2980</f>
        <v>766</v>
      </c>
    </row>
    <row r="2981" spans="1:6" x14ac:dyDescent="0.35">
      <c r="A2981" t="str">
        <f>+'[2]por cuent'!A2981</f>
        <v>ARS</v>
      </c>
      <c r="B2981" t="str">
        <f>+'[2]por cuent'!B2981</f>
        <v>766000495</v>
      </c>
      <c r="C2981" t="str">
        <f>+'[2]por cuent'!C2981</f>
        <v>SUMATRA VIAJES Y TURISMO SAS</v>
      </c>
      <c r="D2981" s="35">
        <f>+'[2]por cuent'!G2981</f>
        <v>3251812.29</v>
      </c>
      <c r="E2981" s="35">
        <f>+'[2]por cuent'!H2981</f>
        <v>3251812.29</v>
      </c>
      <c r="F2981" t="str">
        <f>+'[2]por cuent'!I2981</f>
        <v>766</v>
      </c>
    </row>
    <row r="2982" spans="1:6" x14ac:dyDescent="0.35">
      <c r="A2982" t="str">
        <f>+'[2]por cuent'!A2982</f>
        <v>ARS</v>
      </c>
      <c r="B2982" t="str">
        <f>+'[2]por cuent'!B2982</f>
        <v>766000496</v>
      </c>
      <c r="C2982" t="str">
        <f>+'[2]por cuent'!C2982</f>
        <v>Coniglio, Pablo Luis o Antoine, Violeta</v>
      </c>
      <c r="D2982" s="35">
        <f>+'[2]por cuent'!G2982</f>
        <v>8676045.2599999998</v>
      </c>
      <c r="E2982" s="35">
        <f>+'[2]por cuent'!H2982</f>
        <v>8676045.2599999998</v>
      </c>
      <c r="F2982" t="str">
        <f>+'[2]por cuent'!I2982</f>
        <v>766</v>
      </c>
    </row>
    <row r="2983" spans="1:6" x14ac:dyDescent="0.35">
      <c r="A2983" t="str">
        <f>+'[2]por cuent'!A2983</f>
        <v>ARS</v>
      </c>
      <c r="B2983" t="str">
        <f>+'[2]por cuent'!B2983</f>
        <v>766000499</v>
      </c>
      <c r="C2983" t="str">
        <f>+'[2]por cuent'!C2983</f>
        <v>Vittori, Sebastian Horacio</v>
      </c>
      <c r="D2983" s="35">
        <f>+'[2]por cuent'!G2983</f>
        <v>16263855.109999999</v>
      </c>
      <c r="E2983" s="35">
        <f>+'[2]por cuent'!H2983</f>
        <v>16263855.109999999</v>
      </c>
      <c r="F2983" t="str">
        <f>+'[2]por cuent'!I2983</f>
        <v>766</v>
      </c>
    </row>
    <row r="2984" spans="1:6" x14ac:dyDescent="0.35">
      <c r="A2984" t="str">
        <f>+'[2]por cuent'!A2984</f>
        <v>ARS</v>
      </c>
      <c r="B2984" t="str">
        <f>+'[2]por cuent'!B2984</f>
        <v>766000501</v>
      </c>
      <c r="C2984" t="str">
        <f>+'[2]por cuent'!C2984</f>
        <v>Costanza, Ruben Marcelo o Pessoni, Marcela Viviana</v>
      </c>
      <c r="D2984" s="35">
        <f>+'[2]por cuent'!G2984</f>
        <v>13193013.09</v>
      </c>
      <c r="E2984" s="35">
        <f>+'[2]por cuent'!H2984</f>
        <v>13193013.09</v>
      </c>
      <c r="F2984" t="str">
        <f>+'[2]por cuent'!I2984</f>
        <v>766</v>
      </c>
    </row>
    <row r="2985" spans="1:6" x14ac:dyDescent="0.35">
      <c r="A2985" t="str">
        <f>+'[2]por cuent'!A2985</f>
        <v>ARS</v>
      </c>
      <c r="B2985" t="str">
        <f>+'[2]por cuent'!B2985</f>
        <v>766000502</v>
      </c>
      <c r="C2985" t="str">
        <f>+'[2]por cuent'!C2985</f>
        <v>Battaglia, Emilse Teresa o Emmi, Noelia Belen</v>
      </c>
      <c r="D2985" s="35">
        <f>+'[2]por cuent'!G2985</f>
        <v>26119463.82</v>
      </c>
      <c r="E2985" s="35">
        <f>+'[2]por cuent'!H2985</f>
        <v>26119463.82</v>
      </c>
      <c r="F2985" t="str">
        <f>+'[2]por cuent'!I2985</f>
        <v>766</v>
      </c>
    </row>
    <row r="2986" spans="1:6" x14ac:dyDescent="0.35">
      <c r="A2986" t="str">
        <f>+'[2]por cuent'!A2986</f>
        <v>ARS</v>
      </c>
      <c r="B2986" t="str">
        <f>+'[2]por cuent'!B2986</f>
        <v>766000503</v>
      </c>
      <c r="C2986" t="str">
        <f>+'[2]por cuent'!C2986</f>
        <v>Strano, Fiorella Anabel</v>
      </c>
      <c r="D2986" s="35">
        <f>+'[2]por cuent'!G2986</f>
        <v>2490827.92</v>
      </c>
      <c r="E2986" s="35">
        <f>+'[2]por cuent'!H2986</f>
        <v>2490827.92</v>
      </c>
      <c r="F2986" t="str">
        <f>+'[2]por cuent'!I2986</f>
        <v>766</v>
      </c>
    </row>
    <row r="2987" spans="1:6" x14ac:dyDescent="0.35">
      <c r="A2987" t="str">
        <f>+'[2]por cuent'!A2987</f>
        <v>ARS</v>
      </c>
      <c r="B2987" t="str">
        <f>+'[2]por cuent'!B2987</f>
        <v>766000504</v>
      </c>
      <c r="C2987" t="str">
        <f>+'[2]por cuent'!C2987</f>
        <v>Vicino, Paula</v>
      </c>
      <c r="D2987" s="35">
        <f>+'[2]por cuent'!G2987</f>
        <v>10327800.869999999</v>
      </c>
      <c r="E2987" s="35">
        <f>+'[2]por cuent'!H2987</f>
        <v>10327800.869999999</v>
      </c>
      <c r="F2987" t="str">
        <f>+'[2]por cuent'!I2987</f>
        <v>766</v>
      </c>
    </row>
    <row r="2988" spans="1:6" x14ac:dyDescent="0.35">
      <c r="A2988" t="str">
        <f>+'[2]por cuent'!A2988</f>
        <v>ARS</v>
      </c>
      <c r="B2988" t="str">
        <f>+'[2]por cuent'!B2988</f>
        <v>766000507</v>
      </c>
      <c r="C2988" t="str">
        <f>+'[2]por cuent'!C2988</f>
        <v>Milano, María Lia</v>
      </c>
      <c r="D2988" s="35">
        <f>+'[2]por cuent'!G2988</f>
        <v>7620709.3099999996</v>
      </c>
      <c r="E2988" s="35">
        <f>+'[2]por cuent'!H2988</f>
        <v>7620709.3099999996</v>
      </c>
      <c r="F2988" t="str">
        <f>+'[2]por cuent'!I2988</f>
        <v>766</v>
      </c>
    </row>
    <row r="2989" spans="1:6" x14ac:dyDescent="0.35">
      <c r="A2989" t="str">
        <f>+'[2]por cuent'!A2989</f>
        <v>ARS</v>
      </c>
      <c r="B2989" t="str">
        <f>+'[2]por cuent'!B2989</f>
        <v>766000509</v>
      </c>
      <c r="C2989" t="str">
        <f>+'[2]por cuent'!C2989</f>
        <v>Escalante, Pablo Julio</v>
      </c>
      <c r="D2989" s="35">
        <f>+'[2]por cuent'!G2989</f>
        <v>11970604.189999999</v>
      </c>
      <c r="E2989" s="35">
        <f>+'[2]por cuent'!H2989</f>
        <v>11970604.189999999</v>
      </c>
      <c r="F2989" t="str">
        <f>+'[2]por cuent'!I2989</f>
        <v>766</v>
      </c>
    </row>
    <row r="2990" spans="1:6" x14ac:dyDescent="0.35">
      <c r="A2990" t="str">
        <f>+'[2]por cuent'!A2990</f>
        <v>ARS</v>
      </c>
      <c r="B2990" t="str">
        <f>+'[2]por cuent'!B2990</f>
        <v>766000510</v>
      </c>
      <c r="C2990" t="str">
        <f>+'[2]por cuent'!C2990</f>
        <v>TEK S.R.L.</v>
      </c>
      <c r="D2990" s="35">
        <f>+'[2]por cuent'!G2990</f>
        <v>158525182.16999999</v>
      </c>
      <c r="E2990" s="35">
        <f>+'[2]por cuent'!H2990</f>
        <v>158525182.16999999</v>
      </c>
      <c r="F2990" t="str">
        <f>+'[2]por cuent'!I2990</f>
        <v>766</v>
      </c>
    </row>
    <row r="2991" spans="1:6" x14ac:dyDescent="0.35">
      <c r="A2991" t="str">
        <f>+'[2]por cuent'!A2991</f>
        <v>ARS</v>
      </c>
      <c r="B2991" t="str">
        <f>+'[2]por cuent'!B2991</f>
        <v>766000511</v>
      </c>
      <c r="C2991" t="str">
        <f>+'[2]por cuent'!C2991</f>
        <v>Vicentin, Marco Esteban</v>
      </c>
      <c r="D2991" s="35">
        <f>+'[2]por cuent'!G2991</f>
        <v>151751477.22</v>
      </c>
      <c r="E2991" s="35">
        <f>+'[2]por cuent'!H2991</f>
        <v>151751477.22</v>
      </c>
      <c r="F2991" t="str">
        <f>+'[2]por cuent'!I2991</f>
        <v>766</v>
      </c>
    </row>
    <row r="2992" spans="1:6" x14ac:dyDescent="0.35">
      <c r="A2992" t="str">
        <f>+'[2]por cuent'!A2992</f>
        <v>ARS</v>
      </c>
      <c r="B2992" t="str">
        <f>+'[2]por cuent'!B2992</f>
        <v>766000512</v>
      </c>
      <c r="C2992" t="str">
        <f>+'[2]por cuent'!C2992</f>
        <v>Gamulin, Mateo Julián o Gamulin, Leonardo Matias</v>
      </c>
      <c r="D2992" s="35">
        <f>+'[2]por cuent'!G2992</f>
        <v>299555161.89999998</v>
      </c>
      <c r="E2992" s="35">
        <f>+'[2]por cuent'!H2992</f>
        <v>299555161.89999998</v>
      </c>
      <c r="F2992" t="str">
        <f>+'[2]por cuent'!I2992</f>
        <v>766</v>
      </c>
    </row>
    <row r="2993" spans="1:6" x14ac:dyDescent="0.35">
      <c r="A2993" t="str">
        <f>+'[2]por cuent'!A2993</f>
        <v>ARS</v>
      </c>
      <c r="B2993" t="str">
        <f>+'[2]por cuent'!B2993</f>
        <v>766000513</v>
      </c>
      <c r="C2993" t="str">
        <f>+'[2]por cuent'!C2993</f>
        <v>Gil, Maria Lorena</v>
      </c>
      <c r="D2993" s="35">
        <f>+'[2]por cuent'!G2993</f>
        <v>14848507.060000001</v>
      </c>
      <c r="E2993" s="35">
        <f>+'[2]por cuent'!H2993</f>
        <v>14848507.060000001</v>
      </c>
      <c r="F2993" t="str">
        <f>+'[2]por cuent'!I2993</f>
        <v>766</v>
      </c>
    </row>
    <row r="2994" spans="1:6" x14ac:dyDescent="0.35">
      <c r="A2994" t="str">
        <f>+'[2]por cuent'!A2994</f>
        <v>ARS</v>
      </c>
      <c r="B2994" t="str">
        <f>+'[2]por cuent'!B2994</f>
        <v>766000514</v>
      </c>
      <c r="C2994" t="str">
        <f>+'[2]por cuent'!C2994</f>
        <v>Barletta, Federica</v>
      </c>
      <c r="D2994" s="35">
        <f>+'[2]por cuent'!G2994</f>
        <v>7493389.2999999998</v>
      </c>
      <c r="E2994" s="35">
        <f>+'[2]por cuent'!H2994</f>
        <v>7493389.2999999998</v>
      </c>
      <c r="F2994" t="str">
        <f>+'[2]por cuent'!I2994</f>
        <v>766</v>
      </c>
    </row>
    <row r="2995" spans="1:6" x14ac:dyDescent="0.35">
      <c r="A2995" t="str">
        <f>+'[2]por cuent'!A2995</f>
        <v>ARS</v>
      </c>
      <c r="B2995" t="str">
        <f>+'[2]por cuent'!B2995</f>
        <v>766000516</v>
      </c>
      <c r="C2995" t="str">
        <f>+'[2]por cuent'!C2995</f>
        <v>Radice, Marta Ana o Milano, María Lia</v>
      </c>
      <c r="D2995" s="35">
        <f>+'[2]por cuent'!G2995</f>
        <v>1241081.79</v>
      </c>
      <c r="E2995" s="35">
        <f>+'[2]por cuent'!H2995</f>
        <v>1241081.79</v>
      </c>
      <c r="F2995" t="str">
        <f>+'[2]por cuent'!I2995</f>
        <v>766</v>
      </c>
    </row>
    <row r="2996" spans="1:6" x14ac:dyDescent="0.35">
      <c r="A2996" t="str">
        <f>+'[2]por cuent'!A2996</f>
        <v>ARS</v>
      </c>
      <c r="B2996" t="str">
        <f>+'[2]por cuent'!B2996</f>
        <v>766000517</v>
      </c>
      <c r="C2996" t="str">
        <f>+'[2]por cuent'!C2996</f>
        <v>Lattuca, Mateo</v>
      </c>
      <c r="D2996" s="35">
        <f>+'[2]por cuent'!G2996</f>
        <v>9704982.6099999994</v>
      </c>
      <c r="E2996" s="35">
        <f>+'[2]por cuent'!H2996</f>
        <v>9704982.6099999994</v>
      </c>
      <c r="F2996" t="str">
        <f>+'[2]por cuent'!I2996</f>
        <v>766</v>
      </c>
    </row>
    <row r="2997" spans="1:6" x14ac:dyDescent="0.35">
      <c r="A2997" t="str">
        <f>+'[2]por cuent'!A2997</f>
        <v>ARS</v>
      </c>
      <c r="B2997" t="str">
        <f>+'[2]por cuent'!B2997</f>
        <v>766000519</v>
      </c>
      <c r="C2997" t="str">
        <f>+'[2]por cuent'!C2997</f>
        <v xml:space="preserve">Di Pollina, José Eduardo </v>
      </c>
      <c r="D2997" s="35">
        <f>+'[2]por cuent'!G2997</f>
        <v>24046945.100000001</v>
      </c>
      <c r="E2997" s="35">
        <f>+'[2]por cuent'!H2997</f>
        <v>24046945.100000001</v>
      </c>
      <c r="F2997" t="str">
        <f>+'[2]por cuent'!I2997</f>
        <v>766</v>
      </c>
    </row>
    <row r="2998" spans="1:6" x14ac:dyDescent="0.35">
      <c r="A2998" t="str">
        <f>+'[2]por cuent'!A2998</f>
        <v>ARS</v>
      </c>
      <c r="B2998" t="str">
        <f>+'[2]por cuent'!B2998</f>
        <v>766000521</v>
      </c>
      <c r="C2998" t="str">
        <f>+'[2]por cuent'!C2998</f>
        <v>Fernandez Sousa, Carlos Alberto</v>
      </c>
      <c r="D2998" s="35">
        <f>+'[2]por cuent'!G2998</f>
        <v>3113213.99</v>
      </c>
      <c r="E2998" s="35">
        <f>+'[2]por cuent'!H2998</f>
        <v>3113213.99</v>
      </c>
      <c r="F2998" t="str">
        <f>+'[2]por cuent'!I2998</f>
        <v>766</v>
      </c>
    </row>
    <row r="2999" spans="1:6" x14ac:dyDescent="0.35">
      <c r="A2999" t="str">
        <f>+'[2]por cuent'!A2999</f>
        <v>ARS</v>
      </c>
      <c r="B2999" t="str">
        <f>+'[2]por cuent'!B2999</f>
        <v>766000522</v>
      </c>
      <c r="C2999" t="str">
        <f>+'[2]por cuent'!C2999</f>
        <v>Rocci, Leticia o Bravo, Juana</v>
      </c>
      <c r="D2999" s="35">
        <f>+'[2]por cuent'!G2999</f>
        <v>222004918.09</v>
      </c>
      <c r="E2999" s="35">
        <f>+'[2]por cuent'!H2999</f>
        <v>222004918.09</v>
      </c>
      <c r="F2999" t="str">
        <f>+'[2]por cuent'!I2999</f>
        <v>766</v>
      </c>
    </row>
    <row r="3000" spans="1:6" x14ac:dyDescent="0.35">
      <c r="A3000" t="str">
        <f>+'[2]por cuent'!A3000</f>
        <v>ARS</v>
      </c>
      <c r="B3000" t="str">
        <f>+'[2]por cuent'!B3000</f>
        <v>766000523</v>
      </c>
      <c r="C3000" t="str">
        <f>+'[2]por cuent'!C3000</f>
        <v>Mazzaferro, Leonel</v>
      </c>
      <c r="D3000" s="35">
        <f>+'[2]por cuent'!G3000</f>
        <v>29248563.27</v>
      </c>
      <c r="E3000" s="35">
        <f>+'[2]por cuent'!H3000</f>
        <v>29248563.27</v>
      </c>
      <c r="F3000" t="str">
        <f>+'[2]por cuent'!I3000</f>
        <v>766</v>
      </c>
    </row>
    <row r="3001" spans="1:6" x14ac:dyDescent="0.35">
      <c r="A3001" t="str">
        <f>+'[2]por cuent'!A3001</f>
        <v>ARS</v>
      </c>
      <c r="B3001" t="str">
        <f>+'[2]por cuent'!B3001</f>
        <v>766000524</v>
      </c>
      <c r="C3001" t="str">
        <f>+'[2]por cuent'!C3001</f>
        <v>Gallo, Norma Beatriz</v>
      </c>
      <c r="D3001" s="35">
        <f>+'[2]por cuent'!G3001</f>
        <v>122209997.17</v>
      </c>
      <c r="E3001" s="35">
        <f>+'[2]por cuent'!H3001</f>
        <v>122209997.17</v>
      </c>
      <c r="F3001" t="str">
        <f>+'[2]por cuent'!I3001</f>
        <v>766</v>
      </c>
    </row>
    <row r="3002" spans="1:6" x14ac:dyDescent="0.35">
      <c r="A3002" t="str">
        <f>+'[2]por cuent'!A3002</f>
        <v>ARS</v>
      </c>
      <c r="B3002" t="str">
        <f>+'[2]por cuent'!B3002</f>
        <v>788001384</v>
      </c>
      <c r="C3002" t="str">
        <f>+'[2]por cuent'!C3002</f>
        <v>CICCONI JORGE ROBERTO</v>
      </c>
      <c r="D3002" s="35">
        <f>+'[2]por cuent'!G3002</f>
        <v>136012.5</v>
      </c>
      <c r="E3002" s="35">
        <f>+'[2]por cuent'!H3002</f>
        <v>136012.5</v>
      </c>
      <c r="F3002" t="str">
        <f>+'[2]por cuent'!I3002</f>
        <v>788</v>
      </c>
    </row>
    <row r="3003" spans="1:6" x14ac:dyDescent="0.35">
      <c r="A3003" t="str">
        <f>+'[2]por cuent'!A3003</f>
        <v>ARS</v>
      </c>
      <c r="B3003" t="str">
        <f>+'[2]por cuent'!B3003</f>
        <v>788002147</v>
      </c>
      <c r="C3003" t="str">
        <f>+'[2]por cuent'!C3003</f>
        <v>Tarallo, Agustín</v>
      </c>
      <c r="D3003" s="35">
        <f>+'[2]por cuent'!G3003</f>
        <v>23003981.800000001</v>
      </c>
      <c r="E3003" s="35">
        <f>+'[2]por cuent'!H3003</f>
        <v>23003981.800000001</v>
      </c>
      <c r="F3003" t="str">
        <f>+'[2]por cuent'!I3003</f>
        <v>788</v>
      </c>
    </row>
    <row r="3004" spans="1:6" x14ac:dyDescent="0.35">
      <c r="A3004" t="str">
        <f>+'[2]por cuent'!A3004</f>
        <v>ARS</v>
      </c>
      <c r="B3004" t="str">
        <f>+'[2]por cuent'!B3004</f>
        <v>788002958</v>
      </c>
      <c r="C3004" t="str">
        <f>+'[2]por cuent'!C3004</f>
        <v>DEL ALAMO, RAMIRO</v>
      </c>
      <c r="D3004" s="35">
        <f>+'[2]por cuent'!G3004</f>
        <v>1549202.4</v>
      </c>
      <c r="E3004" s="35">
        <f>+'[2]por cuent'!H3004</f>
        <v>1549202.4</v>
      </c>
      <c r="F3004" t="str">
        <f>+'[2]por cuent'!I3004</f>
        <v>788</v>
      </c>
    </row>
    <row r="3005" spans="1:6" x14ac:dyDescent="0.35">
      <c r="A3005" t="str">
        <f>+'[2]por cuent'!A3005</f>
        <v>ARS</v>
      </c>
      <c r="B3005" t="str">
        <f>+'[2]por cuent'!B3005</f>
        <v>788003291</v>
      </c>
      <c r="C3005" t="str">
        <f>+'[2]por cuent'!C3005</f>
        <v>STRAUSS, DENISE</v>
      </c>
      <c r="D3005" s="35">
        <f>+'[2]por cuent'!G3005</f>
        <v>164040</v>
      </c>
      <c r="E3005" s="35">
        <f>+'[2]por cuent'!H3005</f>
        <v>164040</v>
      </c>
      <c r="F3005" t="str">
        <f>+'[2]por cuent'!I3005</f>
        <v>788</v>
      </c>
    </row>
    <row r="3006" spans="1:6" x14ac:dyDescent="0.35">
      <c r="A3006" t="str">
        <f>+'[2]por cuent'!A3006</f>
        <v>ARS</v>
      </c>
      <c r="B3006" t="str">
        <f>+'[2]por cuent'!B3006</f>
        <v>788003991</v>
      </c>
      <c r="C3006" t="str">
        <f>+'[2]por cuent'!C3006</f>
        <v>INDUSTRIAS TAESCA SRL</v>
      </c>
      <c r="D3006" s="35">
        <f>+'[2]por cuent'!G3006</f>
        <v>175608</v>
      </c>
      <c r="E3006" s="35">
        <f>+'[2]por cuent'!H3006</f>
        <v>175608</v>
      </c>
      <c r="F3006" t="str">
        <f>+'[2]por cuent'!I3006</f>
        <v>788</v>
      </c>
    </row>
    <row r="3007" spans="1:6" x14ac:dyDescent="0.35">
      <c r="A3007" t="str">
        <f>+'[2]por cuent'!A3007</f>
        <v>ARS</v>
      </c>
      <c r="B3007" t="str">
        <f>+'[2]por cuent'!B3007</f>
        <v>789000530</v>
      </c>
      <c r="C3007" t="str">
        <f>+'[2]por cuent'!C3007</f>
        <v>A &amp; J NARI S.A. (Cartera Propia)</v>
      </c>
      <c r="D3007" s="35">
        <f>+'[2]por cuent'!G3007</f>
        <v>3572720500</v>
      </c>
      <c r="E3007" s="35">
        <f>+'[2]por cuent'!H3007</f>
        <v>3572720500</v>
      </c>
      <c r="F3007" t="str">
        <f>+'[2]por cuent'!I3007</f>
        <v>789</v>
      </c>
    </row>
    <row r="3008" spans="1:6" x14ac:dyDescent="0.35">
      <c r="A3008" t="str">
        <f>+'[2]por cuent'!A3008</f>
        <v>ARS</v>
      </c>
      <c r="B3008" t="str">
        <f>+'[2]por cuent'!B3008</f>
        <v>789000733</v>
      </c>
      <c r="C3008" t="str">
        <f>+'[2]por cuent'!C3008</f>
        <v>CASSULLO GABRIEL LUIS</v>
      </c>
      <c r="D3008" s="35">
        <f>+'[2]por cuent'!G3008</f>
        <v>25000000</v>
      </c>
      <c r="E3008" s="35">
        <f>+'[2]por cuent'!H3008</f>
        <v>25000000</v>
      </c>
      <c r="F3008" t="str">
        <f>+'[2]por cuent'!I3008</f>
        <v>789</v>
      </c>
    </row>
    <row r="3009" spans="1:6" x14ac:dyDescent="0.35">
      <c r="A3009" t="str">
        <f>+'[2]por cuent'!A3009</f>
        <v>ARS</v>
      </c>
      <c r="B3009" t="str">
        <f>+'[2]por cuent'!B3009</f>
        <v>794000100</v>
      </c>
      <c r="C3009" t="str">
        <f>+'[2]por cuent'!C3009</f>
        <v>ELYCA SERVICIOS GLOBALES S.A.</v>
      </c>
      <c r="D3009" s="35">
        <f>+'[2]por cuent'!G3009</f>
        <v>37600000</v>
      </c>
      <c r="E3009" s="35">
        <f>+'[2]por cuent'!H3009</f>
        <v>37600000</v>
      </c>
      <c r="F3009" t="str">
        <f>+'[2]por cuent'!I3009</f>
        <v>794</v>
      </c>
    </row>
    <row r="3010" spans="1:6" x14ac:dyDescent="0.35">
      <c r="A3010" t="str">
        <f>+'[2]por cuent'!A3010</f>
        <v>ARS</v>
      </c>
      <c r="B3010" t="str">
        <f>+'[2]por cuent'!B3010</f>
        <v>794000101</v>
      </c>
      <c r="C3010" t="str">
        <f>+'[2]por cuent'!C3010</f>
        <v>Lucero, Pablo Alberto</v>
      </c>
      <c r="D3010" s="35">
        <f>+'[2]por cuent'!G3010</f>
        <v>210024931</v>
      </c>
      <c r="E3010" s="35">
        <f>+'[2]por cuent'!H3010</f>
        <v>210024931</v>
      </c>
      <c r="F3010" t="str">
        <f>+'[2]por cuent'!I3010</f>
        <v>794</v>
      </c>
    </row>
    <row r="3011" spans="1:6" x14ac:dyDescent="0.35">
      <c r="A3011" t="str">
        <f>+'[2]por cuent'!A3011</f>
        <v>ARS</v>
      </c>
      <c r="B3011" t="str">
        <f>+'[2]por cuent'!B3011</f>
        <v>794000105</v>
      </c>
      <c r="C3011" t="str">
        <f>+'[2]por cuent'!C3011</f>
        <v>Carla Merlini</v>
      </c>
      <c r="D3011" s="35">
        <f>+'[2]por cuent'!G3011</f>
        <v>66387944.100000001</v>
      </c>
      <c r="E3011" s="35">
        <f>+'[2]por cuent'!H3011</f>
        <v>66387944.100000001</v>
      </c>
      <c r="F3011" t="str">
        <f>+'[2]por cuent'!I3011</f>
        <v>794</v>
      </c>
    </row>
    <row r="3012" spans="1:6" x14ac:dyDescent="0.35">
      <c r="A3012" t="str">
        <f>+'[2]por cuent'!A3012</f>
        <v>ARS</v>
      </c>
      <c r="B3012" t="str">
        <f>+'[2]por cuent'!B3012</f>
        <v>794000106</v>
      </c>
      <c r="C3012" t="str">
        <f>+'[2]por cuent'!C3012</f>
        <v>OLGA ISABEL GOMEZ</v>
      </c>
      <c r="D3012" s="35">
        <f>+'[2]por cuent'!G3012</f>
        <v>4915500</v>
      </c>
      <c r="E3012" s="35">
        <f>+'[2]por cuent'!H3012</f>
        <v>4915500</v>
      </c>
      <c r="F3012" t="str">
        <f>+'[2]por cuent'!I3012</f>
        <v>794</v>
      </c>
    </row>
    <row r="3013" spans="1:6" x14ac:dyDescent="0.35">
      <c r="A3013" t="str">
        <f>+'[2]por cuent'!A3013</f>
        <v>ARS</v>
      </c>
      <c r="B3013" t="str">
        <f>+'[2]por cuent'!B3013</f>
        <v>794000116</v>
      </c>
      <c r="C3013" t="str">
        <f>+'[2]por cuent'!C3013</f>
        <v>Coria Maria Emilia</v>
      </c>
      <c r="D3013" s="35">
        <f>+'[2]por cuent'!G3013</f>
        <v>713595.6</v>
      </c>
      <c r="E3013" s="35">
        <f>+'[2]por cuent'!H3013</f>
        <v>713595.6</v>
      </c>
      <c r="F3013" t="str">
        <f>+'[2]por cuent'!I3013</f>
        <v>794</v>
      </c>
    </row>
    <row r="3014" spans="1:6" x14ac:dyDescent="0.35">
      <c r="A3014" t="str">
        <f>+'[2]por cuent'!A3014</f>
        <v>ARS</v>
      </c>
      <c r="B3014" t="str">
        <f>+'[2]por cuent'!B3014</f>
        <v>802000950</v>
      </c>
      <c r="C3014" t="str">
        <f>+'[2]por cuent'!C3014</f>
        <v>META INVERSIONES SA</v>
      </c>
      <c r="D3014" s="35">
        <f>+'[2]por cuent'!G3014</f>
        <v>59333440887.410004</v>
      </c>
      <c r="E3014" s="35">
        <f>+'[2]por cuent'!H3014</f>
        <v>59333440887.410004</v>
      </c>
      <c r="F3014" t="str">
        <f>+'[2]por cuent'!I3014</f>
        <v>802</v>
      </c>
    </row>
    <row r="3015" spans="1:6" x14ac:dyDescent="0.35">
      <c r="A3015" t="str">
        <f>+'[2]por cuent'!A3015</f>
        <v>ARS</v>
      </c>
      <c r="B3015" t="str">
        <f>+'[2]por cuent'!B3015</f>
        <v>802000998</v>
      </c>
      <c r="C3015" t="str">
        <f>+'[2]por cuent'!C3015</f>
        <v>Meta Inversiones S.A.</v>
      </c>
      <c r="D3015" s="35">
        <f>+'[2]por cuent'!G3015</f>
        <v>887923555.65999997</v>
      </c>
      <c r="E3015" s="35">
        <f>+'[2]por cuent'!H3015</f>
        <v>887923555.65999997</v>
      </c>
      <c r="F3015" t="str">
        <f>+'[2]por cuent'!I3015</f>
        <v>802</v>
      </c>
    </row>
    <row r="3016" spans="1:6" x14ac:dyDescent="0.35">
      <c r="A3016" t="str">
        <f>+'[2]por cuent'!A3016</f>
        <v>ARS</v>
      </c>
      <c r="B3016" t="str">
        <f>+'[2]por cuent'!B3016</f>
        <v>802000999</v>
      </c>
      <c r="C3016" t="str">
        <f>+'[2]por cuent'!C3016</f>
        <v>META INVERSIONES SA</v>
      </c>
      <c r="D3016" s="35">
        <f>+'[2]por cuent'!G3016</f>
        <v>15270300422.290001</v>
      </c>
      <c r="E3016" s="35">
        <f>+'[2]por cuent'!H3016</f>
        <v>15270300422.290001</v>
      </c>
      <c r="F3016" t="str">
        <f>+'[2]por cuent'!I3016</f>
        <v>802</v>
      </c>
    </row>
    <row r="3017" spans="1:6" x14ac:dyDescent="0.35">
      <c r="A3017" t="str">
        <f>+'[2]por cuent'!A3017</f>
        <v>ARS</v>
      </c>
      <c r="B3017" t="str">
        <f>+'[2]por cuent'!B3017</f>
        <v>802001007</v>
      </c>
      <c r="C3017" t="str">
        <f>+'[2]por cuent'!C3017</f>
        <v>WILMAR COOPERATIVA DE VIVIENDA CREDITO Y CONSUMO LTDA</v>
      </c>
      <c r="D3017" s="35">
        <f>+'[2]por cuent'!G3017</f>
        <v>613969390</v>
      </c>
      <c r="E3017" s="35">
        <f>+'[2]por cuent'!H3017</f>
        <v>613969390</v>
      </c>
      <c r="F3017" t="str">
        <f>+'[2]por cuent'!I3017</f>
        <v>802</v>
      </c>
    </row>
    <row r="3018" spans="1:6" x14ac:dyDescent="0.35">
      <c r="A3018" t="str">
        <f>+'[2]por cuent'!A3018</f>
        <v>ARS</v>
      </c>
      <c r="B3018" t="str">
        <f>+'[2]por cuent'!B3018</f>
        <v>802001048</v>
      </c>
      <c r="C3018" t="str">
        <f>+'[2]por cuent'!C3018</f>
        <v xml:space="preserve">FICHERA, MIGUEL </v>
      </c>
      <c r="D3018" s="35">
        <f>+'[2]por cuent'!G3018</f>
        <v>3482978489.0700002</v>
      </c>
      <c r="E3018" s="35">
        <f>+'[2]por cuent'!H3018</f>
        <v>3482978489.0700002</v>
      </c>
      <c r="F3018" t="str">
        <f>+'[2]por cuent'!I3018</f>
        <v>802</v>
      </c>
    </row>
    <row r="3019" spans="1:6" x14ac:dyDescent="0.35">
      <c r="A3019" t="str">
        <f>+'[2]por cuent'!A3019</f>
        <v>ARS</v>
      </c>
      <c r="B3019" t="str">
        <f>+'[2]por cuent'!B3019</f>
        <v>802001049</v>
      </c>
      <c r="C3019" t="str">
        <f>+'[2]por cuent'!C3019</f>
        <v>ELETTRA SRL</v>
      </c>
      <c r="D3019" s="35">
        <f>+'[2]por cuent'!G3019</f>
        <v>961031929.94000006</v>
      </c>
      <c r="E3019" s="35">
        <f>+'[2]por cuent'!H3019</f>
        <v>961031929.94000006</v>
      </c>
      <c r="F3019" t="str">
        <f>+'[2]por cuent'!I3019</f>
        <v>802</v>
      </c>
    </row>
    <row r="3020" spans="1:6" x14ac:dyDescent="0.35">
      <c r="A3020" t="str">
        <f>+'[2]por cuent'!A3020</f>
        <v>ARS</v>
      </c>
      <c r="B3020" t="str">
        <f>+'[2]por cuent'!B3020</f>
        <v>802001052</v>
      </c>
      <c r="C3020" t="str">
        <f>+'[2]por cuent'!C3020</f>
        <v xml:space="preserve">MILICE, ANGEL VICTORIO </v>
      </c>
      <c r="D3020" s="35">
        <f>+'[2]por cuent'!G3020</f>
        <v>14529841.24</v>
      </c>
      <c r="E3020" s="35">
        <f>+'[2]por cuent'!H3020</f>
        <v>14529841.24</v>
      </c>
      <c r="F3020" t="str">
        <f>+'[2]por cuent'!I3020</f>
        <v>802</v>
      </c>
    </row>
    <row r="3021" spans="1:6" x14ac:dyDescent="0.35">
      <c r="A3021" t="str">
        <f>+'[2]por cuent'!A3021</f>
        <v>ARS</v>
      </c>
      <c r="B3021" t="str">
        <f>+'[2]por cuent'!B3021</f>
        <v>802001054</v>
      </c>
      <c r="C3021" t="str">
        <f>+'[2]por cuent'!C3021</f>
        <v>KARABIN, IVANA MARIELA</v>
      </c>
      <c r="D3021" s="35">
        <f>+'[2]por cuent'!G3021</f>
        <v>1954845.58</v>
      </c>
      <c r="E3021" s="35">
        <f>+'[2]por cuent'!H3021</f>
        <v>1954845.58</v>
      </c>
      <c r="F3021" t="str">
        <f>+'[2]por cuent'!I3021</f>
        <v>802</v>
      </c>
    </row>
    <row r="3022" spans="1:6" x14ac:dyDescent="0.35">
      <c r="A3022" t="str">
        <f>+'[2]por cuent'!A3022</f>
        <v>ARS</v>
      </c>
      <c r="B3022" t="str">
        <f>+'[2]por cuent'!B3022</f>
        <v>802001094</v>
      </c>
      <c r="C3022" t="str">
        <f>+'[2]por cuent'!C3022</f>
        <v>DE DONATO, ANTONIO JESUS</v>
      </c>
      <c r="D3022" s="35">
        <f>+'[2]por cuent'!G3022</f>
        <v>185900</v>
      </c>
      <c r="E3022" s="35">
        <f>+'[2]por cuent'!H3022</f>
        <v>185900</v>
      </c>
      <c r="F3022" t="str">
        <f>+'[2]por cuent'!I3022</f>
        <v>802</v>
      </c>
    </row>
    <row r="3023" spans="1:6" x14ac:dyDescent="0.35">
      <c r="A3023" t="str">
        <f>+'[2]por cuent'!A3023</f>
        <v>ARS</v>
      </c>
      <c r="B3023" t="str">
        <f>+'[2]por cuent'!B3023</f>
        <v>802001123</v>
      </c>
      <c r="C3023" t="str">
        <f>+'[2]por cuent'!C3023</f>
        <v>SALOMONI, HUMBERTO</v>
      </c>
      <c r="D3023" s="35">
        <f>+'[2]por cuent'!G3023</f>
        <v>564579.65</v>
      </c>
      <c r="E3023" s="35">
        <f>+'[2]por cuent'!H3023</f>
        <v>564579.65</v>
      </c>
      <c r="F3023" t="str">
        <f>+'[2]por cuent'!I3023</f>
        <v>802</v>
      </c>
    </row>
    <row r="3024" spans="1:6" x14ac:dyDescent="0.35">
      <c r="A3024" t="str">
        <f>+'[2]por cuent'!A3024</f>
        <v>ARS</v>
      </c>
      <c r="B3024" t="str">
        <f>+'[2]por cuent'!B3024</f>
        <v>802001130</v>
      </c>
      <c r="C3024" t="str">
        <f>+'[2]por cuent'!C3024</f>
        <v>FONDO FIDUCIARIO DE CAPITAL SOCIAL</v>
      </c>
      <c r="D3024" s="35">
        <f>+'[2]por cuent'!G3024</f>
        <v>51571303.789999999</v>
      </c>
      <c r="E3024" s="35">
        <f>+'[2]por cuent'!H3024</f>
        <v>51571303.789999999</v>
      </c>
      <c r="F3024" t="str">
        <f>+'[2]por cuent'!I3024</f>
        <v>802</v>
      </c>
    </row>
    <row r="3025" spans="1:6" x14ac:dyDescent="0.35">
      <c r="A3025" t="str">
        <f>+'[2]por cuent'!A3025</f>
        <v>ARS</v>
      </c>
      <c r="B3025" t="str">
        <f>+'[2]por cuent'!B3025</f>
        <v>802001163</v>
      </c>
      <c r="C3025" t="str">
        <f>+'[2]por cuent'!C3025</f>
        <v>DE TEZANOS PINTO, ANA MARIA</v>
      </c>
      <c r="D3025" s="35">
        <f>+'[2]por cuent'!G3025</f>
        <v>292189557.08999997</v>
      </c>
      <c r="E3025" s="35">
        <f>+'[2]por cuent'!H3025</f>
        <v>292189557.08999997</v>
      </c>
      <c r="F3025" t="str">
        <f>+'[2]por cuent'!I3025</f>
        <v>802</v>
      </c>
    </row>
    <row r="3026" spans="1:6" x14ac:dyDescent="0.35">
      <c r="A3026" t="str">
        <f>+'[2]por cuent'!A3026</f>
        <v>ARS</v>
      </c>
      <c r="B3026" t="str">
        <f>+'[2]por cuent'!B3026</f>
        <v>802001183</v>
      </c>
      <c r="C3026" t="str">
        <f>+'[2]por cuent'!C3026</f>
        <v>CABRERA, ENZO RAMIRO</v>
      </c>
      <c r="D3026" s="35">
        <f>+'[2]por cuent'!G3026</f>
        <v>510232925.91000003</v>
      </c>
      <c r="E3026" s="35">
        <f>+'[2]por cuent'!H3026</f>
        <v>510232925.91000003</v>
      </c>
      <c r="F3026" t="str">
        <f>+'[2]por cuent'!I3026</f>
        <v>802</v>
      </c>
    </row>
    <row r="3027" spans="1:6" x14ac:dyDescent="0.35">
      <c r="A3027" t="str">
        <f>+'[2]por cuent'!A3027</f>
        <v>ARS</v>
      </c>
      <c r="B3027" t="str">
        <f>+'[2]por cuent'!B3027</f>
        <v>802001218</v>
      </c>
      <c r="C3027" t="str">
        <f>+'[2]por cuent'!C3027</f>
        <v>ACOPLADOS RUBIOLO SRL</v>
      </c>
      <c r="D3027" s="35">
        <f>+'[2]por cuent'!G3027</f>
        <v>32838265.719999999</v>
      </c>
      <c r="E3027" s="35">
        <f>+'[2]por cuent'!H3027</f>
        <v>32838265.719999999</v>
      </c>
      <c r="F3027" t="str">
        <f>+'[2]por cuent'!I3027</f>
        <v>802</v>
      </c>
    </row>
    <row r="3028" spans="1:6" x14ac:dyDescent="0.35">
      <c r="A3028" t="str">
        <f>+'[2]por cuent'!A3028</f>
        <v>ARS</v>
      </c>
      <c r="B3028" t="str">
        <f>+'[2]por cuent'!B3028</f>
        <v>802001243</v>
      </c>
      <c r="C3028" t="str">
        <f>+'[2]por cuent'!C3028</f>
        <v>DUARTE GARCIA, LILIANA Y RAUL SOLIMO</v>
      </c>
      <c r="D3028" s="35">
        <f>+'[2]por cuent'!G3028</f>
        <v>769709.85</v>
      </c>
      <c r="E3028" s="35">
        <f>+'[2]por cuent'!H3028</f>
        <v>769709.85</v>
      </c>
      <c r="F3028" t="str">
        <f>+'[2]por cuent'!I3028</f>
        <v>802</v>
      </c>
    </row>
    <row r="3029" spans="1:6" x14ac:dyDescent="0.35">
      <c r="A3029" t="str">
        <f>+'[2]por cuent'!A3029</f>
        <v>ARS</v>
      </c>
      <c r="B3029" t="str">
        <f>+'[2]por cuent'!B3029</f>
        <v>802001245</v>
      </c>
      <c r="C3029" t="str">
        <f>+'[2]por cuent'!C3029</f>
        <v>CASTELLANOS, NICOLAS ROMAN</v>
      </c>
      <c r="D3029" s="35">
        <f>+'[2]por cuent'!G3029</f>
        <v>1790250018.3299999</v>
      </c>
      <c r="E3029" s="35">
        <f>+'[2]por cuent'!H3029</f>
        <v>1790250018.3299999</v>
      </c>
      <c r="F3029" t="str">
        <f>+'[2]por cuent'!I3029</f>
        <v>802</v>
      </c>
    </row>
    <row r="3030" spans="1:6" x14ac:dyDescent="0.35">
      <c r="A3030" t="str">
        <f>+'[2]por cuent'!A3030</f>
        <v>ARS</v>
      </c>
      <c r="B3030" t="str">
        <f>+'[2]por cuent'!B3030</f>
        <v>802001247</v>
      </c>
      <c r="C3030" t="str">
        <f>+'[2]por cuent'!C3030</f>
        <v>CONSTRUCCIONES DIEGUEZ HNOS S.A.</v>
      </c>
      <c r="D3030" s="35">
        <f>+'[2]por cuent'!G3030</f>
        <v>701479741.41999996</v>
      </c>
      <c r="E3030" s="35">
        <f>+'[2]por cuent'!H3030</f>
        <v>701479741.41999996</v>
      </c>
      <c r="F3030" t="str">
        <f>+'[2]por cuent'!I3030</f>
        <v>802</v>
      </c>
    </row>
    <row r="3031" spans="1:6" x14ac:dyDescent="0.35">
      <c r="A3031" t="str">
        <f>+'[2]por cuent'!A3031</f>
        <v>ARS</v>
      </c>
      <c r="B3031" t="str">
        <f>+'[2]por cuent'!B3031</f>
        <v>802001248</v>
      </c>
      <c r="C3031" t="str">
        <f>+'[2]por cuent'!C3031</f>
        <v>BASSI, SONIA LORENA</v>
      </c>
      <c r="D3031" s="35">
        <f>+'[2]por cuent'!G3031</f>
        <v>15009281.26</v>
      </c>
      <c r="E3031" s="35">
        <f>+'[2]por cuent'!H3031</f>
        <v>15009281.26</v>
      </c>
      <c r="F3031" t="str">
        <f>+'[2]por cuent'!I3031</f>
        <v>802</v>
      </c>
    </row>
    <row r="3032" spans="1:6" x14ac:dyDescent="0.35">
      <c r="A3032" t="str">
        <f>+'[2]por cuent'!A3032</f>
        <v>ARS</v>
      </c>
      <c r="B3032" t="str">
        <f>+'[2]por cuent'!B3032</f>
        <v>802001250</v>
      </c>
      <c r="C3032" t="str">
        <f>+'[2]por cuent'!C3032</f>
        <v>LEKETOY S.A.</v>
      </c>
      <c r="D3032" s="35">
        <f>+'[2]por cuent'!G3032</f>
        <v>1663760.05</v>
      </c>
      <c r="E3032" s="35">
        <f>+'[2]por cuent'!H3032</f>
        <v>1663760.05</v>
      </c>
      <c r="F3032" t="str">
        <f>+'[2]por cuent'!I3032</f>
        <v>802</v>
      </c>
    </row>
    <row r="3033" spans="1:6" x14ac:dyDescent="0.35">
      <c r="A3033" t="str">
        <f>+'[2]por cuent'!A3033</f>
        <v>ARS</v>
      </c>
      <c r="B3033" t="str">
        <f>+'[2]por cuent'!B3033</f>
        <v>802001288</v>
      </c>
      <c r="C3033" t="str">
        <f>+'[2]por cuent'!C3033</f>
        <v>SAEZ, VIVIANA ANDREA</v>
      </c>
      <c r="D3033" s="35">
        <f>+'[2]por cuent'!G3033</f>
        <v>223591835.86000001</v>
      </c>
      <c r="E3033" s="35">
        <f>+'[2]por cuent'!H3033</f>
        <v>223591835.86000001</v>
      </c>
      <c r="F3033" t="str">
        <f>+'[2]por cuent'!I3033</f>
        <v>802</v>
      </c>
    </row>
    <row r="3034" spans="1:6" x14ac:dyDescent="0.35">
      <c r="A3034" t="str">
        <f>+'[2]por cuent'!A3034</f>
        <v>ARS</v>
      </c>
      <c r="B3034" t="str">
        <f>+'[2]por cuent'!B3034</f>
        <v>802001299</v>
      </c>
      <c r="C3034" t="str">
        <f>+'[2]por cuent'!C3034</f>
        <v>Liniado, Alejandor Elias</v>
      </c>
      <c r="D3034" s="35">
        <f>+'[2]por cuent'!G3034</f>
        <v>2289809.08</v>
      </c>
      <c r="E3034" s="35">
        <f>+'[2]por cuent'!H3034</f>
        <v>2289809.08</v>
      </c>
      <c r="F3034" t="str">
        <f>+'[2]por cuent'!I3034</f>
        <v>802</v>
      </c>
    </row>
    <row r="3035" spans="1:6" x14ac:dyDescent="0.35">
      <c r="A3035" t="str">
        <f>+'[2]por cuent'!A3035</f>
        <v>ARS</v>
      </c>
      <c r="B3035" t="str">
        <f>+'[2]por cuent'!B3035</f>
        <v>802001300</v>
      </c>
      <c r="C3035" t="str">
        <f>+'[2]por cuent'!C3035</f>
        <v>Saal, Jaime Alexis</v>
      </c>
      <c r="D3035" s="35">
        <f>+'[2]por cuent'!G3035</f>
        <v>23271761.489999998</v>
      </c>
      <c r="E3035" s="35">
        <f>+'[2]por cuent'!H3035</f>
        <v>23271761.489999998</v>
      </c>
      <c r="F3035" t="str">
        <f>+'[2]por cuent'!I3035</f>
        <v>802</v>
      </c>
    </row>
    <row r="3036" spans="1:6" x14ac:dyDescent="0.35">
      <c r="A3036" t="str">
        <f>+'[2]por cuent'!A3036</f>
        <v>ARS</v>
      </c>
      <c r="B3036" t="str">
        <f>+'[2]por cuent'!B3036</f>
        <v>802001301</v>
      </c>
      <c r="C3036" t="str">
        <f>+'[2]por cuent'!C3036</f>
        <v>Saal, Damian Salomon</v>
      </c>
      <c r="D3036" s="35">
        <f>+'[2]por cuent'!G3036</f>
        <v>12458154.960000001</v>
      </c>
      <c r="E3036" s="35">
        <f>+'[2]por cuent'!H3036</f>
        <v>12458154.960000001</v>
      </c>
      <c r="F3036" t="str">
        <f>+'[2]por cuent'!I3036</f>
        <v>802</v>
      </c>
    </row>
    <row r="3037" spans="1:6" x14ac:dyDescent="0.35">
      <c r="A3037" t="str">
        <f>+'[2]por cuent'!A3037</f>
        <v>ARS</v>
      </c>
      <c r="B3037" t="str">
        <f>+'[2]por cuent'!B3037</f>
        <v>802001313</v>
      </c>
      <c r="C3037" t="str">
        <f>+'[2]por cuent'!C3037</f>
        <v>ESPE VIGILANCIA SA</v>
      </c>
      <c r="D3037" s="35">
        <f>+'[2]por cuent'!G3037</f>
        <v>244557738.22999999</v>
      </c>
      <c r="E3037" s="35">
        <f>+'[2]por cuent'!H3037</f>
        <v>244557738.22999999</v>
      </c>
      <c r="F3037" t="str">
        <f>+'[2]por cuent'!I3037</f>
        <v>802</v>
      </c>
    </row>
    <row r="3038" spans="1:6" x14ac:dyDescent="0.35">
      <c r="A3038" t="str">
        <f>+'[2]por cuent'!A3038</f>
        <v>ARS</v>
      </c>
      <c r="B3038" t="str">
        <f>+'[2]por cuent'!B3038</f>
        <v>802001318</v>
      </c>
      <c r="C3038" t="str">
        <f>+'[2]por cuent'!C3038</f>
        <v>RODRIGUEZ, GREGORIA JULIA</v>
      </c>
      <c r="D3038" s="35">
        <f>+'[2]por cuent'!G3038</f>
        <v>10948908.07</v>
      </c>
      <c r="E3038" s="35">
        <f>+'[2]por cuent'!H3038</f>
        <v>10948908.07</v>
      </c>
      <c r="F3038" t="str">
        <f>+'[2]por cuent'!I3038</f>
        <v>802</v>
      </c>
    </row>
    <row r="3039" spans="1:6" x14ac:dyDescent="0.35">
      <c r="A3039" t="str">
        <f>+'[2]por cuent'!A3039</f>
        <v>ARS</v>
      </c>
      <c r="B3039" t="str">
        <f>+'[2]por cuent'!B3039</f>
        <v>802001322</v>
      </c>
      <c r="C3039" t="str">
        <f>+'[2]por cuent'!C3039</f>
        <v>PARMA, MARIANO DANIEL</v>
      </c>
      <c r="D3039" s="35">
        <f>+'[2]por cuent'!G3039</f>
        <v>210730824.34</v>
      </c>
      <c r="E3039" s="35">
        <f>+'[2]por cuent'!H3039</f>
        <v>210730824.34</v>
      </c>
      <c r="F3039" t="str">
        <f>+'[2]por cuent'!I3039</f>
        <v>802</v>
      </c>
    </row>
    <row r="3040" spans="1:6" x14ac:dyDescent="0.35">
      <c r="A3040" t="str">
        <f>+'[2]por cuent'!A3040</f>
        <v>ARS</v>
      </c>
      <c r="B3040" t="str">
        <f>+'[2]por cuent'!B3040</f>
        <v>802001439</v>
      </c>
      <c r="C3040" t="str">
        <f>+'[2]por cuent'!C3040</f>
        <v>BONETTO ANGEL TOMAS Y BONETTO GERARDO ARIEL S.H.</v>
      </c>
      <c r="D3040" s="35">
        <f>+'[2]por cuent'!G3040</f>
        <v>33290025.329999998</v>
      </c>
      <c r="E3040" s="35">
        <f>+'[2]por cuent'!H3040</f>
        <v>33290025.329999998</v>
      </c>
      <c r="F3040" t="str">
        <f>+'[2]por cuent'!I3040</f>
        <v>802</v>
      </c>
    </row>
    <row r="3041" spans="1:6" x14ac:dyDescent="0.35">
      <c r="A3041" t="str">
        <f>+'[2]por cuent'!A3041</f>
        <v>ARS</v>
      </c>
      <c r="B3041" t="str">
        <f>+'[2]por cuent'!B3041</f>
        <v>802001445</v>
      </c>
      <c r="C3041" t="str">
        <f>+'[2]por cuent'!C3041</f>
        <v>MARQUINEZ, EZEQUIEL ANDRES</v>
      </c>
      <c r="D3041" s="35">
        <f>+'[2]por cuent'!G3041</f>
        <v>1893402.1</v>
      </c>
      <c r="E3041" s="35">
        <f>+'[2]por cuent'!H3041</f>
        <v>1893402.1</v>
      </c>
      <c r="F3041" t="str">
        <f>+'[2]por cuent'!I3041</f>
        <v>802</v>
      </c>
    </row>
    <row r="3042" spans="1:6" x14ac:dyDescent="0.35">
      <c r="A3042" t="str">
        <f>+'[2]por cuent'!A3042</f>
        <v>ARS</v>
      </c>
      <c r="B3042" t="str">
        <f>+'[2]por cuent'!B3042</f>
        <v>802001452</v>
      </c>
      <c r="C3042" t="str">
        <f>+'[2]por cuent'!C3042</f>
        <v>KOSINER, HERNAN PATRICIO y KOSINER, JIMENA</v>
      </c>
      <c r="D3042" s="35">
        <f>+'[2]por cuent'!G3042</f>
        <v>22501340.600000001</v>
      </c>
      <c r="E3042" s="35">
        <f>+'[2]por cuent'!H3042</f>
        <v>22501340.600000001</v>
      </c>
      <c r="F3042" t="str">
        <f>+'[2]por cuent'!I3042</f>
        <v>802</v>
      </c>
    </row>
    <row r="3043" spans="1:6" x14ac:dyDescent="0.35">
      <c r="A3043" t="str">
        <f>+'[2]por cuent'!A3043</f>
        <v>ARS</v>
      </c>
      <c r="B3043" t="str">
        <f>+'[2]por cuent'!B3043</f>
        <v>802001481</v>
      </c>
      <c r="C3043" t="str">
        <f>+'[2]por cuent'!C3043</f>
        <v>PANASONIC DO BRASIL LIMITADA - SUCURSAL ARGENTINA</v>
      </c>
      <c r="D3043" s="35">
        <f>+'[2]por cuent'!G3043</f>
        <v>15265004</v>
      </c>
      <c r="E3043" s="35">
        <f>+'[2]por cuent'!H3043</f>
        <v>15265004</v>
      </c>
      <c r="F3043" t="str">
        <f>+'[2]por cuent'!I3043</f>
        <v>802</v>
      </c>
    </row>
    <row r="3044" spans="1:6" x14ac:dyDescent="0.35">
      <c r="A3044" t="str">
        <f>+'[2]por cuent'!A3044</f>
        <v>ARS</v>
      </c>
      <c r="B3044" t="str">
        <f>+'[2]por cuent'!B3044</f>
        <v>802001492</v>
      </c>
      <c r="C3044" t="str">
        <f>+'[2]por cuent'!C3044</f>
        <v>SANLUFILM S.A.</v>
      </c>
      <c r="D3044" s="35">
        <f>+'[2]por cuent'!G3044</f>
        <v>845233543.73000002</v>
      </c>
      <c r="E3044" s="35">
        <f>+'[2]por cuent'!H3044</f>
        <v>845233543.73000002</v>
      </c>
      <c r="F3044" t="str">
        <f>+'[2]por cuent'!I3044</f>
        <v>802</v>
      </c>
    </row>
    <row r="3045" spans="1:6" x14ac:dyDescent="0.35">
      <c r="A3045" t="str">
        <f>+'[2]por cuent'!A3045</f>
        <v>ARS</v>
      </c>
      <c r="B3045" t="str">
        <f>+'[2]por cuent'!B3045</f>
        <v>802001505</v>
      </c>
      <c r="C3045" t="str">
        <f>+'[2]por cuent'!C3045</f>
        <v>COPPEL S.A.</v>
      </c>
      <c r="D3045" s="35">
        <f>+'[2]por cuent'!G3045</f>
        <v>415138453974.09998</v>
      </c>
      <c r="E3045" s="35">
        <f>+'[2]por cuent'!H3045</f>
        <v>415138453974.09998</v>
      </c>
      <c r="F3045" t="str">
        <f>+'[2]por cuent'!I3045</f>
        <v>802</v>
      </c>
    </row>
    <row r="3046" spans="1:6" x14ac:dyDescent="0.35">
      <c r="A3046" t="str">
        <f>+'[2]por cuent'!A3046</f>
        <v>ARS</v>
      </c>
      <c r="B3046" t="str">
        <f>+'[2]por cuent'!B3046</f>
        <v>802001521</v>
      </c>
      <c r="C3046" t="str">
        <f>+'[2]por cuent'!C3046</f>
        <v>EL DORADILLO SAIC</v>
      </c>
      <c r="D3046" s="35">
        <f>+'[2]por cuent'!G3046</f>
        <v>12607926.699999999</v>
      </c>
      <c r="E3046" s="35">
        <f>+'[2]por cuent'!H3046</f>
        <v>12607926.699999999</v>
      </c>
      <c r="F3046" t="str">
        <f>+'[2]por cuent'!I3046</f>
        <v>802</v>
      </c>
    </row>
    <row r="3047" spans="1:6" x14ac:dyDescent="0.35">
      <c r="A3047" t="str">
        <f>+'[2]por cuent'!A3047</f>
        <v>ARS</v>
      </c>
      <c r="B3047" t="str">
        <f>+'[2]por cuent'!B3047</f>
        <v>802001524</v>
      </c>
      <c r="C3047" t="str">
        <f>+'[2]por cuent'!C3047</f>
        <v>ROMERO, MICAELA SOL</v>
      </c>
      <c r="D3047" s="35">
        <f>+'[2]por cuent'!G3047</f>
        <v>32554818.16</v>
      </c>
      <c r="E3047" s="35">
        <f>+'[2]por cuent'!H3047</f>
        <v>32554818.16</v>
      </c>
      <c r="F3047" t="str">
        <f>+'[2]por cuent'!I3047</f>
        <v>802</v>
      </c>
    </row>
    <row r="3048" spans="1:6" x14ac:dyDescent="0.35">
      <c r="A3048" t="str">
        <f>+'[2]por cuent'!A3048</f>
        <v>ARS</v>
      </c>
      <c r="B3048" t="str">
        <f>+'[2]por cuent'!B3048</f>
        <v>802001543</v>
      </c>
      <c r="C3048" t="str">
        <f>+'[2]por cuent'!C3048</f>
        <v>GADOR S.A.</v>
      </c>
      <c r="D3048" s="35">
        <f>+'[2]por cuent'!G3048</f>
        <v>835557700</v>
      </c>
      <c r="E3048" s="35">
        <f>+'[2]por cuent'!H3048</f>
        <v>835557700</v>
      </c>
      <c r="F3048" t="str">
        <f>+'[2]por cuent'!I3048</f>
        <v>802</v>
      </c>
    </row>
    <row r="3049" spans="1:6" x14ac:dyDescent="0.35">
      <c r="A3049" t="str">
        <f>+'[2]por cuent'!A3049</f>
        <v>ARS</v>
      </c>
      <c r="B3049" t="str">
        <f>+'[2]por cuent'!B3049</f>
        <v>802001575</v>
      </c>
      <c r="C3049" t="str">
        <f>+'[2]por cuent'!C3049</f>
        <v>BETTER CATERING S.A.</v>
      </c>
      <c r="D3049" s="35">
        <f>+'[2]por cuent'!G3049</f>
        <v>262129575</v>
      </c>
      <c r="E3049" s="35">
        <f>+'[2]por cuent'!H3049</f>
        <v>262129575</v>
      </c>
      <c r="F3049" t="str">
        <f>+'[2]por cuent'!I3049</f>
        <v>802</v>
      </c>
    </row>
    <row r="3050" spans="1:6" x14ac:dyDescent="0.35">
      <c r="A3050" t="str">
        <f>+'[2]por cuent'!A3050</f>
        <v>ARS</v>
      </c>
      <c r="B3050" t="str">
        <f>+'[2]por cuent'!B3050</f>
        <v>802001578</v>
      </c>
      <c r="C3050" t="str">
        <f>+'[2]por cuent'!C3050</f>
        <v>VERDINELLI, ADRIAN</v>
      </c>
      <c r="D3050" s="35">
        <f>+'[2]por cuent'!G3050</f>
        <v>1798910.79</v>
      </c>
      <c r="E3050" s="35">
        <f>+'[2]por cuent'!H3050</f>
        <v>1798910.79</v>
      </c>
      <c r="F3050" t="str">
        <f>+'[2]por cuent'!I3050</f>
        <v>802</v>
      </c>
    </row>
    <row r="3051" spans="1:6" x14ac:dyDescent="0.35">
      <c r="A3051" t="str">
        <f>+'[2]por cuent'!A3051</f>
        <v>ARS</v>
      </c>
      <c r="B3051" t="str">
        <f>+'[2]por cuent'!B3051</f>
        <v>802001580</v>
      </c>
      <c r="C3051" t="str">
        <f>+'[2]por cuent'!C3051</f>
        <v>CONIA, HERNAN EZEQUIEL</v>
      </c>
      <c r="D3051" s="35">
        <f>+'[2]por cuent'!G3051</f>
        <v>30167572.280000001</v>
      </c>
      <c r="E3051" s="35">
        <f>+'[2]por cuent'!H3051</f>
        <v>30167572.280000001</v>
      </c>
      <c r="F3051" t="str">
        <f>+'[2]por cuent'!I3051</f>
        <v>802</v>
      </c>
    </row>
    <row r="3052" spans="1:6" x14ac:dyDescent="0.35">
      <c r="A3052" t="str">
        <f>+'[2]por cuent'!A3052</f>
        <v>ARS</v>
      </c>
      <c r="B3052" t="str">
        <f>+'[2]por cuent'!B3052</f>
        <v>802001626</v>
      </c>
      <c r="C3052" t="str">
        <f>+'[2]por cuent'!C3052</f>
        <v>MENCARINI, MARTIN ALBERTO</v>
      </c>
      <c r="D3052" s="35">
        <f>+'[2]por cuent'!G3052</f>
        <v>1121592699.0699999</v>
      </c>
      <c r="E3052" s="35">
        <f>+'[2]por cuent'!H3052</f>
        <v>1121592699.0699999</v>
      </c>
      <c r="F3052" t="str">
        <f>+'[2]por cuent'!I3052</f>
        <v>802</v>
      </c>
    </row>
    <row r="3053" spans="1:6" x14ac:dyDescent="0.35">
      <c r="A3053" t="str">
        <f>+'[2]por cuent'!A3053</f>
        <v>ARS</v>
      </c>
      <c r="B3053" t="str">
        <f>+'[2]por cuent'!B3053</f>
        <v>802001633</v>
      </c>
      <c r="C3053" t="str">
        <f>+'[2]por cuent'!C3053</f>
        <v>RAVAZZANI, MARTIN VICTORIO</v>
      </c>
      <c r="D3053" s="35">
        <f>+'[2]por cuent'!G3053</f>
        <v>30370621</v>
      </c>
      <c r="E3053" s="35">
        <f>+'[2]por cuent'!H3053</f>
        <v>30370621</v>
      </c>
      <c r="F3053" t="str">
        <f>+'[2]por cuent'!I3053</f>
        <v>802</v>
      </c>
    </row>
    <row r="3054" spans="1:6" x14ac:dyDescent="0.35">
      <c r="A3054" t="str">
        <f>+'[2]por cuent'!A3054</f>
        <v>ARS</v>
      </c>
      <c r="B3054" t="str">
        <f>+'[2]por cuent'!B3054</f>
        <v>802001640</v>
      </c>
      <c r="C3054" t="str">
        <f>+'[2]por cuent'!C3054</f>
        <v>FIORENZA, ANNERIS FLAVIA EVELYN</v>
      </c>
      <c r="D3054" s="35">
        <f>+'[2]por cuent'!G3054</f>
        <v>20842382.309999999</v>
      </c>
      <c r="E3054" s="35">
        <f>+'[2]por cuent'!H3054</f>
        <v>20842382.309999999</v>
      </c>
      <c r="F3054" t="str">
        <f>+'[2]por cuent'!I3054</f>
        <v>802</v>
      </c>
    </row>
    <row r="3055" spans="1:6" x14ac:dyDescent="0.35">
      <c r="A3055" t="str">
        <f>+'[2]por cuent'!A3055</f>
        <v>ARS</v>
      </c>
      <c r="B3055" t="str">
        <f>+'[2]por cuent'!B3055</f>
        <v>802001660</v>
      </c>
      <c r="C3055" t="str">
        <f>+'[2]por cuent'!C3055</f>
        <v>REY, NURIA ELADIA</v>
      </c>
      <c r="D3055" s="35">
        <f>+'[2]por cuent'!G3055</f>
        <v>60025089.020000003</v>
      </c>
      <c r="E3055" s="35">
        <f>+'[2]por cuent'!H3055</f>
        <v>60025089.020000003</v>
      </c>
      <c r="F3055" t="str">
        <f>+'[2]por cuent'!I3055</f>
        <v>802</v>
      </c>
    </row>
    <row r="3056" spans="1:6" x14ac:dyDescent="0.35">
      <c r="A3056" t="str">
        <f>+'[2]por cuent'!A3056</f>
        <v>ARS</v>
      </c>
      <c r="B3056" t="str">
        <f>+'[2]por cuent'!B3056</f>
        <v>802001664</v>
      </c>
      <c r="C3056" t="str">
        <f>+'[2]por cuent'!C3056</f>
        <v>GARRONE, JUAN ROBERTO</v>
      </c>
      <c r="D3056" s="35">
        <f>+'[2]por cuent'!G3056</f>
        <v>37981578.979999997</v>
      </c>
      <c r="E3056" s="35">
        <f>+'[2]por cuent'!H3056</f>
        <v>37981578.979999997</v>
      </c>
      <c r="F3056" t="str">
        <f>+'[2]por cuent'!I3056</f>
        <v>802</v>
      </c>
    </row>
    <row r="3057" spans="1:6" x14ac:dyDescent="0.35">
      <c r="A3057" t="str">
        <f>+'[2]por cuent'!A3057</f>
        <v>ARS</v>
      </c>
      <c r="B3057" t="str">
        <f>+'[2]por cuent'!B3057</f>
        <v>802001674</v>
      </c>
      <c r="C3057" t="str">
        <f>+'[2]por cuent'!C3057</f>
        <v>DOMINGUEZ, ELIDA SOLEDAD</v>
      </c>
      <c r="D3057" s="35">
        <f>+'[2]por cuent'!G3057</f>
        <v>45424079.159999996</v>
      </c>
      <c r="E3057" s="35">
        <f>+'[2]por cuent'!H3057</f>
        <v>45424079.159999996</v>
      </c>
      <c r="F3057" t="str">
        <f>+'[2]por cuent'!I3057</f>
        <v>802</v>
      </c>
    </row>
    <row r="3058" spans="1:6" x14ac:dyDescent="0.35">
      <c r="A3058" t="str">
        <f>+'[2]por cuent'!A3058</f>
        <v>ARS</v>
      </c>
      <c r="B3058" t="str">
        <f>+'[2]por cuent'!B3058</f>
        <v>802001682</v>
      </c>
      <c r="C3058" t="str">
        <f>+'[2]por cuent'!C3058</f>
        <v>INDINACO S.R.L.</v>
      </c>
      <c r="D3058" s="35">
        <f>+'[2]por cuent'!G3058</f>
        <v>108787445.90000001</v>
      </c>
      <c r="E3058" s="35">
        <f>+'[2]por cuent'!H3058</f>
        <v>108787445.90000001</v>
      </c>
      <c r="F3058" t="str">
        <f>+'[2]por cuent'!I3058</f>
        <v>802</v>
      </c>
    </row>
    <row r="3059" spans="1:6" x14ac:dyDescent="0.35">
      <c r="A3059" t="str">
        <f>+'[2]por cuent'!A3059</f>
        <v>ARS</v>
      </c>
      <c r="B3059" t="str">
        <f>+'[2]por cuent'!B3059</f>
        <v>802001702</v>
      </c>
      <c r="C3059" t="str">
        <f>+'[2]por cuent'!C3059</f>
        <v>JUST INTERNATIONAL LATAM S.A.</v>
      </c>
      <c r="D3059" s="35">
        <f>+'[2]por cuent'!G3059</f>
        <v>1706400000</v>
      </c>
      <c r="E3059" s="35">
        <f>+'[2]por cuent'!H3059</f>
        <v>1706400000</v>
      </c>
      <c r="F3059" t="str">
        <f>+'[2]por cuent'!I3059</f>
        <v>802</v>
      </c>
    </row>
    <row r="3060" spans="1:6" x14ac:dyDescent="0.35">
      <c r="A3060" t="str">
        <f>+'[2]por cuent'!A3060</f>
        <v>ARS</v>
      </c>
      <c r="B3060" t="str">
        <f>+'[2]por cuent'!B3060</f>
        <v>802001704</v>
      </c>
      <c r="C3060" t="str">
        <f>+'[2]por cuent'!C3060</f>
        <v>FICHERA, MARÍA DE LA PAZ</v>
      </c>
      <c r="D3060" s="35">
        <f>+'[2]por cuent'!G3060</f>
        <v>26539919.690000001</v>
      </c>
      <c r="E3060" s="35">
        <f>+'[2]por cuent'!H3060</f>
        <v>26539919.690000001</v>
      </c>
      <c r="F3060" t="str">
        <f>+'[2]por cuent'!I3060</f>
        <v>802</v>
      </c>
    </row>
    <row r="3061" spans="1:6" x14ac:dyDescent="0.35">
      <c r="A3061" t="str">
        <f>+'[2]por cuent'!A3061</f>
        <v>ARS</v>
      </c>
      <c r="B3061" t="str">
        <f>+'[2]por cuent'!B3061</f>
        <v>802001718</v>
      </c>
      <c r="C3061" t="str">
        <f>+'[2]por cuent'!C3061</f>
        <v>CDG TECNOLOGIA SRL</v>
      </c>
      <c r="D3061" s="35">
        <f>+'[2]por cuent'!G3061</f>
        <v>220724401.97</v>
      </c>
      <c r="E3061" s="35">
        <f>+'[2]por cuent'!H3061</f>
        <v>220724401.97</v>
      </c>
      <c r="F3061" t="str">
        <f>+'[2]por cuent'!I3061</f>
        <v>802</v>
      </c>
    </row>
    <row r="3062" spans="1:6" x14ac:dyDescent="0.35">
      <c r="A3062" t="str">
        <f>+'[2]por cuent'!A3062</f>
        <v>ARS</v>
      </c>
      <c r="B3062" t="str">
        <f>+'[2]por cuent'!B3062</f>
        <v>802001725</v>
      </c>
      <c r="C3062" t="str">
        <f>+'[2]por cuent'!C3062</f>
        <v>ATENTO ARGENTINA S.A.</v>
      </c>
      <c r="D3062" s="35">
        <f>+'[2]por cuent'!G3062</f>
        <v>2403963820.02</v>
      </c>
      <c r="E3062" s="35">
        <f>+'[2]por cuent'!H3062</f>
        <v>2403963820.02</v>
      </c>
      <c r="F3062" t="str">
        <f>+'[2]por cuent'!I3062</f>
        <v>802</v>
      </c>
    </row>
    <row r="3063" spans="1:6" x14ac:dyDescent="0.35">
      <c r="A3063" t="str">
        <f>+'[2]por cuent'!A3063</f>
        <v>ARS</v>
      </c>
      <c r="B3063" t="str">
        <f>+'[2]por cuent'!B3063</f>
        <v>802001732</v>
      </c>
      <c r="C3063" t="str">
        <f>+'[2]por cuent'!C3063</f>
        <v>NEUMATICOS ROSMI SRL</v>
      </c>
      <c r="D3063" s="35">
        <f>+'[2]por cuent'!G3063</f>
        <v>6228751114.1499996</v>
      </c>
      <c r="E3063" s="35">
        <f>+'[2]por cuent'!H3063</f>
        <v>6228751114.1499996</v>
      </c>
      <c r="F3063" t="str">
        <f>+'[2]por cuent'!I3063</f>
        <v>802</v>
      </c>
    </row>
    <row r="3064" spans="1:6" x14ac:dyDescent="0.35">
      <c r="A3064" t="str">
        <f>+'[2]por cuent'!A3064</f>
        <v>ARS</v>
      </c>
      <c r="B3064" t="str">
        <f>+'[2]por cuent'!B3064</f>
        <v>802001735</v>
      </c>
      <c r="C3064" t="str">
        <f>+'[2]por cuent'!C3064</f>
        <v>SRD PRODUCCIONES SRL</v>
      </c>
      <c r="D3064" s="35">
        <f>+'[2]por cuent'!G3064</f>
        <v>49537890.390000001</v>
      </c>
      <c r="E3064" s="35">
        <f>+'[2]por cuent'!H3064</f>
        <v>49537890.390000001</v>
      </c>
      <c r="F3064" t="str">
        <f>+'[2]por cuent'!I3064</f>
        <v>802</v>
      </c>
    </row>
    <row r="3065" spans="1:6" x14ac:dyDescent="0.35">
      <c r="A3065" t="str">
        <f>+'[2]por cuent'!A3065</f>
        <v>ARS</v>
      </c>
      <c r="B3065" t="str">
        <f>+'[2]por cuent'!B3065</f>
        <v>802001745</v>
      </c>
      <c r="C3065" t="str">
        <f>+'[2]por cuent'!C3065</f>
        <v>MU-COR SRL</v>
      </c>
      <c r="D3065" s="35">
        <f>+'[2]por cuent'!G3065</f>
        <v>1712467.4</v>
      </c>
      <c r="E3065" s="35">
        <f>+'[2]por cuent'!H3065</f>
        <v>1712467.4</v>
      </c>
      <c r="F3065" t="str">
        <f>+'[2]por cuent'!I3065</f>
        <v>802</v>
      </c>
    </row>
    <row r="3066" spans="1:6" x14ac:dyDescent="0.35">
      <c r="A3066" t="str">
        <f>+'[2]por cuent'!A3066</f>
        <v>ARS</v>
      </c>
      <c r="B3066" t="str">
        <f>+'[2]por cuent'!B3066</f>
        <v>802001766</v>
      </c>
      <c r="C3066" t="str">
        <f>+'[2]por cuent'!C3066</f>
        <v>OSVALDO JOSE ALLASIA Y GISELLA SOFIA ELVIRA SERAFINI</v>
      </c>
      <c r="D3066" s="35">
        <f>+'[2]por cuent'!G3066</f>
        <v>3355974</v>
      </c>
      <c r="E3066" s="35">
        <f>+'[2]por cuent'!H3066</f>
        <v>3355974</v>
      </c>
      <c r="F3066" t="str">
        <f>+'[2]por cuent'!I3066</f>
        <v>802</v>
      </c>
    </row>
    <row r="3067" spans="1:6" x14ac:dyDescent="0.35">
      <c r="A3067" t="str">
        <f>+'[2]por cuent'!A3067</f>
        <v>ARS</v>
      </c>
      <c r="B3067" t="str">
        <f>+'[2]por cuent'!B3067</f>
        <v>802001770</v>
      </c>
      <c r="C3067" t="str">
        <f>+'[2]por cuent'!C3067</f>
        <v>CERAMICA SAN LORENZO I.C.S.A.</v>
      </c>
      <c r="D3067" s="35">
        <f>+'[2]por cuent'!G3067</f>
        <v>235798676.93000001</v>
      </c>
      <c r="E3067" s="35">
        <f>+'[2]por cuent'!H3067</f>
        <v>235798676.93000001</v>
      </c>
      <c r="F3067" t="str">
        <f>+'[2]por cuent'!I3067</f>
        <v>802</v>
      </c>
    </row>
    <row r="3068" spans="1:6" x14ac:dyDescent="0.35">
      <c r="A3068" t="str">
        <f>+'[2]por cuent'!A3068</f>
        <v>ARS</v>
      </c>
      <c r="B3068" t="str">
        <f>+'[2]por cuent'!B3068</f>
        <v>802001771</v>
      </c>
      <c r="C3068" t="str">
        <f>+'[2]por cuent'!C3068</f>
        <v>MONZON, DAVID ISRAEL</v>
      </c>
      <c r="D3068" s="35">
        <f>+'[2]por cuent'!G3068</f>
        <v>17443948.129999999</v>
      </c>
      <c r="E3068" s="35">
        <f>+'[2]por cuent'!H3068</f>
        <v>17443948.129999999</v>
      </c>
      <c r="F3068" t="str">
        <f>+'[2]por cuent'!I3068</f>
        <v>802</v>
      </c>
    </row>
    <row r="3069" spans="1:6" x14ac:dyDescent="0.35">
      <c r="A3069" t="str">
        <f>+'[2]por cuent'!A3069</f>
        <v>ARS</v>
      </c>
      <c r="B3069" t="str">
        <f>+'[2]por cuent'!B3069</f>
        <v>802001772</v>
      </c>
      <c r="C3069" t="str">
        <f>+'[2]por cuent'!C3069</f>
        <v>COCA COLA FEMSA DE BUENOS AIRES S.A.</v>
      </c>
      <c r="D3069" s="35">
        <f>+'[2]por cuent'!G3069</f>
        <v>19405148022</v>
      </c>
      <c r="E3069" s="35">
        <f>+'[2]por cuent'!H3069</f>
        <v>19405148022</v>
      </c>
      <c r="F3069" t="str">
        <f>+'[2]por cuent'!I3069</f>
        <v>802</v>
      </c>
    </row>
    <row r="3070" spans="1:6" x14ac:dyDescent="0.35">
      <c r="A3070" t="str">
        <f>+'[2]por cuent'!A3070</f>
        <v>ARS</v>
      </c>
      <c r="B3070" t="str">
        <f>+'[2]por cuent'!B3070</f>
        <v>802001793</v>
      </c>
      <c r="C3070" t="str">
        <f>+'[2]por cuent'!C3070</f>
        <v>DISTRIBUIDORA AMERICANA DEL RELOJ SUIZO S.A.</v>
      </c>
      <c r="D3070" s="35">
        <f>+'[2]por cuent'!G3070</f>
        <v>300054806.80000001</v>
      </c>
      <c r="E3070" s="35">
        <f>+'[2]por cuent'!H3070</f>
        <v>300054806.80000001</v>
      </c>
      <c r="F3070" t="str">
        <f>+'[2]por cuent'!I3070</f>
        <v>802</v>
      </c>
    </row>
    <row r="3071" spans="1:6" x14ac:dyDescent="0.35">
      <c r="A3071" t="str">
        <f>+'[2]por cuent'!A3071</f>
        <v>ARS</v>
      </c>
      <c r="B3071" t="str">
        <f>+'[2]por cuent'!B3071</f>
        <v>802001798</v>
      </c>
      <c r="C3071" t="str">
        <f>+'[2]por cuent'!C3071</f>
        <v xml:space="preserve"> KARABIN, CARLA NAIR</v>
      </c>
      <c r="D3071" s="35">
        <f>+'[2]por cuent'!G3071</f>
        <v>3333558.45</v>
      </c>
      <c r="E3071" s="35">
        <f>+'[2]por cuent'!H3071</f>
        <v>3333558.45</v>
      </c>
      <c r="F3071" t="str">
        <f>+'[2]por cuent'!I3071</f>
        <v>802</v>
      </c>
    </row>
    <row r="3072" spans="1:6" x14ac:dyDescent="0.35">
      <c r="A3072" t="str">
        <f>+'[2]por cuent'!A3072</f>
        <v>ARS</v>
      </c>
      <c r="B3072" t="str">
        <f>+'[2]por cuent'!B3072</f>
        <v>802001804</v>
      </c>
      <c r="C3072" t="str">
        <f>+'[2]por cuent'!C3072</f>
        <v>INC SOCIEDAD ANONIMA</v>
      </c>
      <c r="D3072" s="35">
        <f>+'[2]por cuent'!G3072</f>
        <v>25581867732</v>
      </c>
      <c r="E3072" s="35">
        <f>+'[2]por cuent'!H3072</f>
        <v>25581867732</v>
      </c>
      <c r="F3072" t="str">
        <f>+'[2]por cuent'!I3072</f>
        <v>802</v>
      </c>
    </row>
    <row r="3073" spans="1:6" x14ac:dyDescent="0.35">
      <c r="A3073" t="str">
        <f>+'[2]por cuent'!A3073</f>
        <v>ARS</v>
      </c>
      <c r="B3073" t="str">
        <f>+'[2]por cuent'!B3073</f>
        <v>802001819</v>
      </c>
      <c r="C3073" t="str">
        <f>+'[2]por cuent'!C3073</f>
        <v>BORELLI, GUSTAVO ARIEL</v>
      </c>
      <c r="D3073" s="35">
        <f>+'[2]por cuent'!G3073</f>
        <v>18060767.399999999</v>
      </c>
      <c r="E3073" s="35">
        <f>+'[2]por cuent'!H3073</f>
        <v>18060767.399999999</v>
      </c>
      <c r="F3073" t="str">
        <f>+'[2]por cuent'!I3073</f>
        <v>802</v>
      </c>
    </row>
    <row r="3074" spans="1:6" x14ac:dyDescent="0.35">
      <c r="A3074" t="str">
        <f>+'[2]por cuent'!A3074</f>
        <v>ARS</v>
      </c>
      <c r="B3074" t="str">
        <f>+'[2]por cuent'!B3074</f>
        <v>802001820</v>
      </c>
      <c r="C3074" t="str">
        <f>+'[2]por cuent'!C3074</f>
        <v>VOESTALPINE HIGH PERFORMANCE METALS ARGENTINA SA</v>
      </c>
      <c r="D3074" s="35">
        <f>+'[2]por cuent'!G3074</f>
        <v>592878123.03999996</v>
      </c>
      <c r="E3074" s="35">
        <f>+'[2]por cuent'!H3074</f>
        <v>592878123.03999996</v>
      </c>
      <c r="F3074" t="str">
        <f>+'[2]por cuent'!I3074</f>
        <v>802</v>
      </c>
    </row>
    <row r="3075" spans="1:6" x14ac:dyDescent="0.35">
      <c r="A3075" t="str">
        <f>+'[2]por cuent'!A3075</f>
        <v>ARS</v>
      </c>
      <c r="B3075" t="str">
        <f>+'[2]por cuent'!B3075</f>
        <v>802001823</v>
      </c>
      <c r="C3075" t="str">
        <f>+'[2]por cuent'!C3075</f>
        <v>RIE S.A.S</v>
      </c>
      <c r="D3075" s="35">
        <f>+'[2]por cuent'!G3075</f>
        <v>8101931.2800000003</v>
      </c>
      <c r="E3075" s="35">
        <f>+'[2]por cuent'!H3075</f>
        <v>8101931.2800000003</v>
      </c>
      <c r="F3075" t="str">
        <f>+'[2]por cuent'!I3075</f>
        <v>802</v>
      </c>
    </row>
    <row r="3076" spans="1:6" x14ac:dyDescent="0.35">
      <c r="A3076" t="str">
        <f>+'[2]por cuent'!A3076</f>
        <v>ARS</v>
      </c>
      <c r="B3076" t="str">
        <f>+'[2]por cuent'!B3076</f>
        <v>802001835</v>
      </c>
      <c r="C3076" t="str">
        <f>+'[2]por cuent'!C3076</f>
        <v>CURA, SEBASTIAN</v>
      </c>
      <c r="D3076" s="35">
        <f>+'[2]por cuent'!G3076</f>
        <v>47493356.590000004</v>
      </c>
      <c r="E3076" s="35">
        <f>+'[2]por cuent'!H3076</f>
        <v>47493356.590000004</v>
      </c>
      <c r="F3076" t="str">
        <f>+'[2]por cuent'!I3076</f>
        <v>802</v>
      </c>
    </row>
    <row r="3077" spans="1:6" x14ac:dyDescent="0.35">
      <c r="A3077" t="str">
        <f>+'[2]por cuent'!A3077</f>
        <v>ARS</v>
      </c>
      <c r="B3077" t="str">
        <f>+'[2]por cuent'!B3077</f>
        <v>802001841</v>
      </c>
      <c r="C3077" t="str">
        <f>+'[2]por cuent'!C3077</f>
        <v>BONIFACIO, ANDRES</v>
      </c>
      <c r="D3077" s="35">
        <f>+'[2]por cuent'!G3077</f>
        <v>43522021.630000003</v>
      </c>
      <c r="E3077" s="35">
        <f>+'[2]por cuent'!H3077</f>
        <v>43522021.630000003</v>
      </c>
      <c r="F3077" t="str">
        <f>+'[2]por cuent'!I3077</f>
        <v>802</v>
      </c>
    </row>
    <row r="3078" spans="1:6" x14ac:dyDescent="0.35">
      <c r="A3078" t="str">
        <f>+'[2]por cuent'!A3078</f>
        <v>ARS</v>
      </c>
      <c r="B3078" t="str">
        <f>+'[2]por cuent'!B3078</f>
        <v>802001850</v>
      </c>
      <c r="C3078" t="str">
        <f>+'[2]por cuent'!C3078</f>
        <v>OPERADORA ARGENTINA DE CINE S.A.</v>
      </c>
      <c r="D3078" s="35">
        <f>+'[2]por cuent'!G3078</f>
        <v>26551.32</v>
      </c>
      <c r="E3078" s="35">
        <f>+'[2]por cuent'!H3078</f>
        <v>26551.32</v>
      </c>
      <c r="F3078" t="str">
        <f>+'[2]por cuent'!I3078</f>
        <v>802</v>
      </c>
    </row>
    <row r="3079" spans="1:6" x14ac:dyDescent="0.35">
      <c r="A3079" t="str">
        <f>+'[2]por cuent'!A3079</f>
        <v>ARS</v>
      </c>
      <c r="B3079" t="str">
        <f>+'[2]por cuent'!B3079</f>
        <v>802001860</v>
      </c>
      <c r="C3079" t="str">
        <f>+'[2]por cuent'!C3079</f>
        <v>ROMANO HORACIO JORGE Y DEALBERA SONIA RITA</v>
      </c>
      <c r="D3079" s="35">
        <f>+'[2]por cuent'!G3079</f>
        <v>89632946.180000007</v>
      </c>
      <c r="E3079" s="35">
        <f>+'[2]por cuent'!H3079</f>
        <v>89632946.180000007</v>
      </c>
      <c r="F3079" t="str">
        <f>+'[2]por cuent'!I3079</f>
        <v>802</v>
      </c>
    </row>
    <row r="3080" spans="1:6" x14ac:dyDescent="0.35">
      <c r="A3080" t="str">
        <f>+'[2]por cuent'!A3080</f>
        <v>ARS</v>
      </c>
      <c r="B3080" t="str">
        <f>+'[2]por cuent'!B3080</f>
        <v>802001863</v>
      </c>
      <c r="C3080" t="str">
        <f>+'[2]por cuent'!C3080</f>
        <v>ALVAREZ, PAULA NATALIA</v>
      </c>
      <c r="D3080" s="35">
        <f>+'[2]por cuent'!G3080</f>
        <v>21356128.600000001</v>
      </c>
      <c r="E3080" s="35">
        <f>+'[2]por cuent'!H3080</f>
        <v>21356128.600000001</v>
      </c>
      <c r="F3080" t="str">
        <f>+'[2]por cuent'!I3080</f>
        <v>802</v>
      </c>
    </row>
    <row r="3081" spans="1:6" x14ac:dyDescent="0.35">
      <c r="A3081" t="str">
        <f>+'[2]por cuent'!A3081</f>
        <v>ARS</v>
      </c>
      <c r="B3081" t="str">
        <f>+'[2]por cuent'!B3081</f>
        <v>802001864</v>
      </c>
      <c r="C3081" t="str">
        <f>+'[2]por cuent'!C3081</f>
        <v>VASQUENZ, PABLO FERNANDO</v>
      </c>
      <c r="D3081" s="35">
        <f>+'[2]por cuent'!G3081</f>
        <v>10331953.85</v>
      </c>
      <c r="E3081" s="35">
        <f>+'[2]por cuent'!H3081</f>
        <v>10331953.85</v>
      </c>
      <c r="F3081" t="str">
        <f>+'[2]por cuent'!I3081</f>
        <v>802</v>
      </c>
    </row>
    <row r="3082" spans="1:6" x14ac:dyDescent="0.35">
      <c r="A3082" t="str">
        <f>+'[2]por cuent'!A3082</f>
        <v>ARS</v>
      </c>
      <c r="B3082" t="str">
        <f>+'[2]por cuent'!B3082</f>
        <v>802001871</v>
      </c>
      <c r="C3082" t="str">
        <f>+'[2]por cuent'!C3082</f>
        <v>LINDAL ARGENTINA SAU</v>
      </c>
      <c r="D3082" s="35">
        <f>+'[2]por cuent'!G3082</f>
        <v>697899031.12</v>
      </c>
      <c r="E3082" s="35">
        <f>+'[2]por cuent'!H3082</f>
        <v>697899031.12</v>
      </c>
      <c r="F3082" t="str">
        <f>+'[2]por cuent'!I3082</f>
        <v>802</v>
      </c>
    </row>
    <row r="3083" spans="1:6" x14ac:dyDescent="0.35">
      <c r="A3083" t="str">
        <f>+'[2]por cuent'!A3083</f>
        <v>ARS</v>
      </c>
      <c r="B3083" t="str">
        <f>+'[2]por cuent'!B3083</f>
        <v>802001879</v>
      </c>
      <c r="C3083" t="str">
        <f>+'[2]por cuent'!C3083</f>
        <v>MINA PIRQUITAS SA</v>
      </c>
      <c r="D3083" s="35">
        <f>+'[2]por cuent'!G3083</f>
        <v>4260770890.8200002</v>
      </c>
      <c r="E3083" s="35">
        <f>+'[2]por cuent'!H3083</f>
        <v>4260770890.8200002</v>
      </c>
      <c r="F3083" t="str">
        <f>+'[2]por cuent'!I3083</f>
        <v>802</v>
      </c>
    </row>
    <row r="3084" spans="1:6" x14ac:dyDescent="0.35">
      <c r="A3084" t="str">
        <f>+'[2]por cuent'!A3084</f>
        <v>ARS</v>
      </c>
      <c r="B3084" t="str">
        <f>+'[2]por cuent'!B3084</f>
        <v>802001885</v>
      </c>
      <c r="C3084" t="str">
        <f>+'[2]por cuent'!C3084</f>
        <v>LOS AUTENTICOS DECADENTES SRL</v>
      </c>
      <c r="D3084" s="35">
        <f>+'[2]por cuent'!G3084</f>
        <v>95627646.930000007</v>
      </c>
      <c r="E3084" s="35">
        <f>+'[2]por cuent'!H3084</f>
        <v>95627646.930000007</v>
      </c>
      <c r="F3084" t="str">
        <f>+'[2]por cuent'!I3084</f>
        <v>802</v>
      </c>
    </row>
    <row r="3085" spans="1:6" x14ac:dyDescent="0.35">
      <c r="A3085" t="str">
        <f>+'[2]por cuent'!A3085</f>
        <v>ARS</v>
      </c>
      <c r="B3085" t="str">
        <f>+'[2]por cuent'!B3085</f>
        <v>802001887</v>
      </c>
      <c r="C3085" t="str">
        <f>+'[2]por cuent'!C3085</f>
        <v>NERAK SA</v>
      </c>
      <c r="D3085" s="35">
        <f>+'[2]por cuent'!G3085</f>
        <v>87781801.420000002</v>
      </c>
      <c r="E3085" s="35">
        <f>+'[2]por cuent'!H3085</f>
        <v>87781801.420000002</v>
      </c>
      <c r="F3085" t="str">
        <f>+'[2]por cuent'!I3085</f>
        <v>802</v>
      </c>
    </row>
    <row r="3086" spans="1:6" x14ac:dyDescent="0.35">
      <c r="A3086" t="str">
        <f>+'[2]por cuent'!A3086</f>
        <v>ARS</v>
      </c>
      <c r="B3086" t="str">
        <f>+'[2]por cuent'!B3086</f>
        <v>802001889</v>
      </c>
      <c r="C3086" t="str">
        <f>+'[2]por cuent'!C3086</f>
        <v>BEIERSDORF S.A</v>
      </c>
      <c r="D3086" s="35">
        <f>+'[2]por cuent'!G3086</f>
        <v>102919828658.7</v>
      </c>
      <c r="E3086" s="35">
        <f>+'[2]por cuent'!H3086</f>
        <v>102919828658.7</v>
      </c>
      <c r="F3086" t="str">
        <f>+'[2]por cuent'!I3086</f>
        <v>802</v>
      </c>
    </row>
    <row r="3087" spans="1:6" x14ac:dyDescent="0.35">
      <c r="A3087" t="str">
        <f>+'[2]por cuent'!A3087</f>
        <v>ARS</v>
      </c>
      <c r="B3087" t="str">
        <f>+'[2]por cuent'!B3087</f>
        <v>802001891</v>
      </c>
      <c r="C3087" t="str">
        <f>+'[2]por cuent'!C3087</f>
        <v>TROX ARGENTINA S.A</v>
      </c>
      <c r="D3087" s="35">
        <f>+'[2]por cuent'!G3087</f>
        <v>1344677337.8299999</v>
      </c>
      <c r="E3087" s="35">
        <f>+'[2]por cuent'!H3087</f>
        <v>1344677337.8299999</v>
      </c>
      <c r="F3087" t="str">
        <f>+'[2]por cuent'!I3087</f>
        <v>802</v>
      </c>
    </row>
    <row r="3088" spans="1:6" x14ac:dyDescent="0.35">
      <c r="A3088" t="str">
        <f>+'[2]por cuent'!A3088</f>
        <v>ARS</v>
      </c>
      <c r="B3088" t="str">
        <f>+'[2]por cuent'!B3088</f>
        <v>802001898</v>
      </c>
      <c r="C3088" t="str">
        <f>+'[2]por cuent'!C3088</f>
        <v>Medix Medical Devices SRL</v>
      </c>
      <c r="D3088" s="35">
        <f>+'[2]por cuent'!G3088</f>
        <v>71347615.140000001</v>
      </c>
      <c r="E3088" s="35">
        <f>+'[2]por cuent'!H3088</f>
        <v>71347615.140000001</v>
      </c>
      <c r="F3088" t="str">
        <f>+'[2]por cuent'!I3088</f>
        <v>802</v>
      </c>
    </row>
    <row r="3089" spans="1:6" x14ac:dyDescent="0.35">
      <c r="A3089" t="str">
        <f>+'[2]por cuent'!A3089</f>
        <v>ARS</v>
      </c>
      <c r="B3089" t="str">
        <f>+'[2]por cuent'!B3089</f>
        <v>802001900</v>
      </c>
      <c r="C3089" t="str">
        <f>+'[2]por cuent'!C3089</f>
        <v>BALLUFF ARGENTINA SRL</v>
      </c>
      <c r="D3089" s="35">
        <f>+'[2]por cuent'!G3089</f>
        <v>264440269.72999999</v>
      </c>
      <c r="E3089" s="35">
        <f>+'[2]por cuent'!H3089</f>
        <v>264440269.72999999</v>
      </c>
      <c r="F3089" t="str">
        <f>+'[2]por cuent'!I3089</f>
        <v>802</v>
      </c>
    </row>
    <row r="3090" spans="1:6" x14ac:dyDescent="0.35">
      <c r="A3090" t="str">
        <f>+'[2]por cuent'!A3090</f>
        <v>ARS</v>
      </c>
      <c r="B3090" t="str">
        <f>+'[2]por cuent'!B3090</f>
        <v>802001904</v>
      </c>
      <c r="C3090" t="str">
        <f>+'[2]por cuent'!C3090</f>
        <v xml:space="preserve">VALLE DEL CURA SA </v>
      </c>
      <c r="D3090" s="35">
        <f>+'[2]por cuent'!G3090</f>
        <v>21604722.07</v>
      </c>
      <c r="E3090" s="35">
        <f>+'[2]por cuent'!H3090</f>
        <v>21604722.07</v>
      </c>
      <c r="F3090" t="str">
        <f>+'[2]por cuent'!I3090</f>
        <v>802</v>
      </c>
    </row>
    <row r="3091" spans="1:6" x14ac:dyDescent="0.35">
      <c r="A3091" t="str">
        <f>+'[2]por cuent'!A3091</f>
        <v>ARS</v>
      </c>
      <c r="B3091" t="str">
        <f>+'[2]por cuent'!B3091</f>
        <v>802001907</v>
      </c>
      <c r="C3091" t="str">
        <f>+'[2]por cuent'!C3091</f>
        <v>TOMADATO AUDITORES DE MERCADO S.A.</v>
      </c>
      <c r="D3091" s="35">
        <f>+'[2]por cuent'!G3091</f>
        <v>31889418.149999999</v>
      </c>
      <c r="E3091" s="35">
        <f>+'[2]por cuent'!H3091</f>
        <v>31889418.149999999</v>
      </c>
      <c r="F3091" t="str">
        <f>+'[2]por cuent'!I3091</f>
        <v>802</v>
      </c>
    </row>
    <row r="3092" spans="1:6" x14ac:dyDescent="0.35">
      <c r="A3092" t="str">
        <f>+'[2]por cuent'!A3092</f>
        <v>ARS</v>
      </c>
      <c r="B3092" t="str">
        <f>+'[2]por cuent'!B3092</f>
        <v>802001916</v>
      </c>
      <c r="C3092" t="str">
        <f>+'[2]por cuent'!C3092</f>
        <v>ALPER QUIMICA SRL</v>
      </c>
      <c r="D3092" s="35">
        <f>+'[2]por cuent'!G3092</f>
        <v>2864713.09</v>
      </c>
      <c r="E3092" s="35">
        <f>+'[2]por cuent'!H3092</f>
        <v>2864713.09</v>
      </c>
      <c r="F3092" t="str">
        <f>+'[2]por cuent'!I3092</f>
        <v>802</v>
      </c>
    </row>
    <row r="3093" spans="1:6" x14ac:dyDescent="0.35">
      <c r="A3093" t="str">
        <f>+'[2]por cuent'!A3093</f>
        <v>ARS</v>
      </c>
      <c r="B3093" t="str">
        <f>+'[2]por cuent'!B3093</f>
        <v>802001921</v>
      </c>
      <c r="C3093" t="str">
        <f>+'[2]por cuent'!C3093</f>
        <v>RECURSOS HUMANOS &amp; SOLUCIONES TECNOLOGICAS SA</v>
      </c>
      <c r="D3093" s="35">
        <f>+'[2]por cuent'!G3093</f>
        <v>17386547702.209999</v>
      </c>
      <c r="E3093" s="35">
        <f>+'[2]por cuent'!H3093</f>
        <v>17386547702.209999</v>
      </c>
      <c r="F3093" t="str">
        <f>+'[2]por cuent'!I3093</f>
        <v>802</v>
      </c>
    </row>
    <row r="3094" spans="1:6" x14ac:dyDescent="0.35">
      <c r="A3094" t="str">
        <f>+'[2]por cuent'!A3094</f>
        <v>ARS</v>
      </c>
      <c r="B3094" t="str">
        <f>+'[2]por cuent'!B3094</f>
        <v>802001923</v>
      </c>
      <c r="C3094" t="str">
        <f>+'[2]por cuent'!C3094</f>
        <v>GIGAN, SUSANA GRACIELA</v>
      </c>
      <c r="D3094" s="35">
        <f>+'[2]por cuent'!G3094</f>
        <v>112293300.70999999</v>
      </c>
      <c r="E3094" s="35">
        <f>+'[2]por cuent'!H3094</f>
        <v>112293300.70999999</v>
      </c>
      <c r="F3094" t="str">
        <f>+'[2]por cuent'!I3094</f>
        <v>802</v>
      </c>
    </row>
    <row r="3095" spans="1:6" x14ac:dyDescent="0.35">
      <c r="A3095" t="str">
        <f>+'[2]por cuent'!A3095</f>
        <v>ARS</v>
      </c>
      <c r="B3095" t="str">
        <f>+'[2]por cuent'!B3095</f>
        <v>802001928</v>
      </c>
      <c r="C3095" t="str">
        <f>+'[2]por cuent'!C3095</f>
        <v>STORANI, ADRIANA BEATRIZ</v>
      </c>
      <c r="D3095" s="35">
        <f>+'[2]por cuent'!G3095</f>
        <v>207059847.78999999</v>
      </c>
      <c r="E3095" s="35">
        <f>+'[2]por cuent'!H3095</f>
        <v>207059847.78999999</v>
      </c>
      <c r="F3095" t="str">
        <f>+'[2]por cuent'!I3095</f>
        <v>802</v>
      </c>
    </row>
    <row r="3096" spans="1:6" x14ac:dyDescent="0.35">
      <c r="A3096" t="str">
        <f>+'[2]por cuent'!A3096</f>
        <v>ARS</v>
      </c>
      <c r="B3096" t="str">
        <f>+'[2]por cuent'!B3096</f>
        <v>802001929</v>
      </c>
      <c r="C3096" t="str">
        <f>+'[2]por cuent'!C3096</f>
        <v>PRODUCTS FOR CABINETS S.A</v>
      </c>
      <c r="D3096" s="35">
        <f>+'[2]por cuent'!G3096</f>
        <v>1647341.46</v>
      </c>
      <c r="E3096" s="35">
        <f>+'[2]por cuent'!H3096</f>
        <v>1647341.46</v>
      </c>
      <c r="F3096" t="str">
        <f>+'[2]por cuent'!I3096</f>
        <v>802</v>
      </c>
    </row>
    <row r="3097" spans="1:6" x14ac:dyDescent="0.35">
      <c r="A3097" t="str">
        <f>+'[2]por cuent'!A3097</f>
        <v>ARS</v>
      </c>
      <c r="B3097" t="str">
        <f>+'[2]por cuent'!B3097</f>
        <v>802001931</v>
      </c>
      <c r="C3097" t="str">
        <f>+'[2]por cuent'!C3097</f>
        <v>GRECO, SERGIO ADRIAN</v>
      </c>
      <c r="D3097" s="35">
        <f>+'[2]por cuent'!G3097</f>
        <v>35572276.700000003</v>
      </c>
      <c r="E3097" s="35">
        <f>+'[2]por cuent'!H3097</f>
        <v>35572276.700000003</v>
      </c>
      <c r="F3097" t="str">
        <f>+'[2]por cuent'!I3097</f>
        <v>802</v>
      </c>
    </row>
    <row r="3098" spans="1:6" x14ac:dyDescent="0.35">
      <c r="A3098" t="str">
        <f>+'[2]por cuent'!A3098</f>
        <v>ARS</v>
      </c>
      <c r="B3098" t="str">
        <f>+'[2]por cuent'!B3098</f>
        <v>802001935</v>
      </c>
      <c r="C3098" t="str">
        <f>+'[2]por cuent'!C3098</f>
        <v>SIKA AG</v>
      </c>
      <c r="D3098" s="35">
        <f>+'[2]por cuent'!G3098</f>
        <v>23312726278.02</v>
      </c>
      <c r="E3098" s="35">
        <f>+'[2]por cuent'!H3098</f>
        <v>23312726278.02</v>
      </c>
      <c r="F3098" t="str">
        <f>+'[2]por cuent'!I3098</f>
        <v>802</v>
      </c>
    </row>
    <row r="3099" spans="1:6" x14ac:dyDescent="0.35">
      <c r="A3099" t="str">
        <f>+'[2]por cuent'!A3099</f>
        <v>ARS</v>
      </c>
      <c r="B3099" t="str">
        <f>+'[2]por cuent'!B3099</f>
        <v>802001936</v>
      </c>
      <c r="C3099" t="str">
        <f>+'[2]por cuent'!C3099</f>
        <v>SIKA SERVICES AG</v>
      </c>
      <c r="D3099" s="35">
        <f>+'[2]por cuent'!G3099</f>
        <v>634160.37</v>
      </c>
      <c r="E3099" s="35">
        <f>+'[2]por cuent'!H3099</f>
        <v>634160.37</v>
      </c>
      <c r="F3099" t="str">
        <f>+'[2]por cuent'!I3099</f>
        <v>802</v>
      </c>
    </row>
    <row r="3100" spans="1:6" x14ac:dyDescent="0.35">
      <c r="A3100" t="str">
        <f>+'[2]por cuent'!A3100</f>
        <v>ARS</v>
      </c>
      <c r="B3100" t="str">
        <f>+'[2]por cuent'!B3100</f>
        <v>802001941</v>
      </c>
      <c r="C3100" t="str">
        <f>+'[2]por cuent'!C3100</f>
        <v>DE LORENZO ARCE, GIULIANO LEONARDO</v>
      </c>
      <c r="D3100" s="35">
        <f>+'[2]por cuent'!G3100</f>
        <v>70101106.019999996</v>
      </c>
      <c r="E3100" s="35">
        <f>+'[2]por cuent'!H3100</f>
        <v>70101106.019999996</v>
      </c>
      <c r="F3100" t="str">
        <f>+'[2]por cuent'!I3100</f>
        <v>802</v>
      </c>
    </row>
    <row r="3101" spans="1:6" x14ac:dyDescent="0.35">
      <c r="A3101" t="str">
        <f>+'[2]por cuent'!A3101</f>
        <v>ARS</v>
      </c>
      <c r="B3101" t="str">
        <f>+'[2]por cuent'!B3101</f>
        <v>802001942</v>
      </c>
      <c r="C3101" t="str">
        <f>+'[2]por cuent'!C3101</f>
        <v>YAÑEZ, SANTIAGO MANUEL</v>
      </c>
      <c r="D3101" s="35">
        <f>+'[2]por cuent'!G3101</f>
        <v>29694863.75</v>
      </c>
      <c r="E3101" s="35">
        <f>+'[2]por cuent'!H3101</f>
        <v>29694863.75</v>
      </c>
      <c r="F3101" t="str">
        <f>+'[2]por cuent'!I3101</f>
        <v>802</v>
      </c>
    </row>
    <row r="3102" spans="1:6" x14ac:dyDescent="0.35">
      <c r="A3102" t="str">
        <f>+'[2]por cuent'!A3102</f>
        <v>ARS</v>
      </c>
      <c r="B3102" t="str">
        <f>+'[2]por cuent'!B3102</f>
        <v>802001944</v>
      </c>
      <c r="C3102" t="str">
        <f>+'[2]por cuent'!C3102</f>
        <v>MAHLE METAL LEVE S.A.</v>
      </c>
      <c r="D3102" s="35">
        <f>+'[2]por cuent'!G3102</f>
        <v>2111532174.45</v>
      </c>
      <c r="E3102" s="35">
        <f>+'[2]por cuent'!H3102</f>
        <v>2111532174.45</v>
      </c>
      <c r="F3102" t="str">
        <f>+'[2]por cuent'!I3102</f>
        <v>802</v>
      </c>
    </row>
    <row r="3103" spans="1:6" x14ac:dyDescent="0.35">
      <c r="A3103" t="str">
        <f>+'[2]por cuent'!A3103</f>
        <v>ARS</v>
      </c>
      <c r="B3103" t="str">
        <f>+'[2]por cuent'!B3103</f>
        <v>802001946</v>
      </c>
      <c r="C3103" t="str">
        <f>+'[2]por cuent'!C3103</f>
        <v>SALVATIERRA, JUAN IGNACIO</v>
      </c>
      <c r="D3103" s="35">
        <f>+'[2]por cuent'!G3103</f>
        <v>863586.33</v>
      </c>
      <c r="E3103" s="35">
        <f>+'[2]por cuent'!H3103</f>
        <v>863586.33</v>
      </c>
      <c r="F3103" t="str">
        <f>+'[2]por cuent'!I3103</f>
        <v>802</v>
      </c>
    </row>
    <row r="3104" spans="1:6" x14ac:dyDescent="0.35">
      <c r="A3104" t="str">
        <f>+'[2]por cuent'!A3104</f>
        <v>ARS</v>
      </c>
      <c r="B3104" t="str">
        <f>+'[2]por cuent'!B3104</f>
        <v>802001949</v>
      </c>
      <c r="C3104" t="str">
        <f>+'[2]por cuent'!C3104</f>
        <v>BANCHIK, ELIANA y SZELUBSKY ALEJANDRO JAVIER</v>
      </c>
      <c r="D3104" s="35">
        <f>+'[2]por cuent'!G3104</f>
        <v>243169042.44999999</v>
      </c>
      <c r="E3104" s="35">
        <f>+'[2]por cuent'!H3104</f>
        <v>243169042.44999999</v>
      </c>
      <c r="F3104" t="str">
        <f>+'[2]por cuent'!I3104</f>
        <v>802</v>
      </c>
    </row>
    <row r="3105" spans="1:6" x14ac:dyDescent="0.35">
      <c r="A3105" t="str">
        <f>+'[2]por cuent'!A3105</f>
        <v>ARS</v>
      </c>
      <c r="B3105" t="str">
        <f>+'[2]por cuent'!B3105</f>
        <v>802001950</v>
      </c>
      <c r="C3105" t="str">
        <f>+'[2]por cuent'!C3105</f>
        <v>HILTI ARGENTINA SRL</v>
      </c>
      <c r="D3105" s="35">
        <f>+'[2]por cuent'!G3105</f>
        <v>1202662109.96</v>
      </c>
      <c r="E3105" s="35">
        <f>+'[2]por cuent'!H3105</f>
        <v>1202662109.96</v>
      </c>
      <c r="F3105" t="str">
        <f>+'[2]por cuent'!I3105</f>
        <v>802</v>
      </c>
    </row>
    <row r="3106" spans="1:6" x14ac:dyDescent="0.35">
      <c r="A3106" t="str">
        <f>+'[2]por cuent'!A3106</f>
        <v>ARS</v>
      </c>
      <c r="B3106" t="str">
        <f>+'[2]por cuent'!B3106</f>
        <v>802001953</v>
      </c>
      <c r="C3106" t="str">
        <f>+'[2]por cuent'!C3106</f>
        <v>ROQUISQUI, FABIAN ESTEBAN y DIMITROFF, ANABELLA ROBERTA</v>
      </c>
      <c r="D3106" s="35">
        <f>+'[2]por cuent'!G3106</f>
        <v>31356577.289999999</v>
      </c>
      <c r="E3106" s="35">
        <f>+'[2]por cuent'!H3106</f>
        <v>31356577.289999999</v>
      </c>
      <c r="F3106" t="str">
        <f>+'[2]por cuent'!I3106</f>
        <v>802</v>
      </c>
    </row>
    <row r="3107" spans="1:6" x14ac:dyDescent="0.35">
      <c r="A3107" t="str">
        <f>+'[2]por cuent'!A3107</f>
        <v>ARS</v>
      </c>
      <c r="B3107" t="str">
        <f>+'[2]por cuent'!B3107</f>
        <v>802001956</v>
      </c>
      <c r="C3107" t="str">
        <f>+'[2]por cuent'!C3107</f>
        <v>TOMAS, MARINA TERESA</v>
      </c>
      <c r="D3107" s="35">
        <f>+'[2]por cuent'!G3107</f>
        <v>455156620.68000001</v>
      </c>
      <c r="E3107" s="35">
        <f>+'[2]por cuent'!H3107</f>
        <v>455156620.68000001</v>
      </c>
      <c r="F3107" t="str">
        <f>+'[2]por cuent'!I3107</f>
        <v>802</v>
      </c>
    </row>
    <row r="3108" spans="1:6" x14ac:dyDescent="0.35">
      <c r="A3108" t="str">
        <f>+'[2]por cuent'!A3108</f>
        <v>ARS</v>
      </c>
      <c r="B3108" t="str">
        <f>+'[2]por cuent'!B3108</f>
        <v>802001957</v>
      </c>
      <c r="C3108" t="str">
        <f>+'[2]por cuent'!C3108</f>
        <v>LATEGANA, DIEGO HERNAN</v>
      </c>
      <c r="D3108" s="35">
        <f>+'[2]por cuent'!G3108</f>
        <v>498553473.75</v>
      </c>
      <c r="E3108" s="35">
        <f>+'[2]por cuent'!H3108</f>
        <v>498553473.75</v>
      </c>
      <c r="F3108" t="str">
        <f>+'[2]por cuent'!I3108</f>
        <v>802</v>
      </c>
    </row>
    <row r="3109" spans="1:6" x14ac:dyDescent="0.35">
      <c r="A3109" t="str">
        <f>+'[2]por cuent'!A3109</f>
        <v>ARS</v>
      </c>
      <c r="B3109" t="str">
        <f>+'[2]por cuent'!B3109</f>
        <v>802001958</v>
      </c>
      <c r="C3109" t="str">
        <f>+'[2]por cuent'!C3109</f>
        <v>CRUMA SERVICIOS INDUSTRIALES SRL</v>
      </c>
      <c r="D3109" s="35">
        <f>+'[2]por cuent'!G3109</f>
        <v>73141591.810000002</v>
      </c>
      <c r="E3109" s="35">
        <f>+'[2]por cuent'!H3109</f>
        <v>73141591.810000002</v>
      </c>
      <c r="F3109" t="str">
        <f>+'[2]por cuent'!I3109</f>
        <v>802</v>
      </c>
    </row>
    <row r="3110" spans="1:6" x14ac:dyDescent="0.35">
      <c r="A3110" t="str">
        <f>+'[2]por cuent'!A3110</f>
        <v>ARS</v>
      </c>
      <c r="B3110" t="str">
        <f>+'[2]por cuent'!B3110</f>
        <v>802001961</v>
      </c>
      <c r="C3110" t="str">
        <f>+'[2]por cuent'!C3110</f>
        <v>FORASTIERI, CLAUDIO FERNANDO</v>
      </c>
      <c r="D3110" s="35">
        <f>+'[2]por cuent'!G3110</f>
        <v>266605955.69999999</v>
      </c>
      <c r="E3110" s="35">
        <f>+'[2]por cuent'!H3110</f>
        <v>266605955.69999999</v>
      </c>
      <c r="F3110" t="str">
        <f>+'[2]por cuent'!I3110</f>
        <v>802</v>
      </c>
    </row>
    <row r="3111" spans="1:6" x14ac:dyDescent="0.35">
      <c r="A3111" t="str">
        <f>+'[2]por cuent'!A3111</f>
        <v>ARS</v>
      </c>
      <c r="B3111" t="str">
        <f>+'[2]por cuent'!B3111</f>
        <v>802001963</v>
      </c>
      <c r="C3111" t="str">
        <f>+'[2]por cuent'!C3111</f>
        <v>CHAVERO, PATRICIO AGUSTIN</v>
      </c>
      <c r="D3111" s="35">
        <f>+'[2]por cuent'!G3111</f>
        <v>10075678.23</v>
      </c>
      <c r="E3111" s="35">
        <f>+'[2]por cuent'!H3111</f>
        <v>10075678.23</v>
      </c>
      <c r="F3111" t="str">
        <f>+'[2]por cuent'!I3111</f>
        <v>802</v>
      </c>
    </row>
    <row r="3112" spans="1:6" x14ac:dyDescent="0.35">
      <c r="A3112" t="str">
        <f>+'[2]por cuent'!A3112</f>
        <v>ARS</v>
      </c>
      <c r="B3112" t="str">
        <f>+'[2]por cuent'!B3112</f>
        <v>802001968</v>
      </c>
      <c r="C3112" t="str">
        <f>+'[2]por cuent'!C3112</f>
        <v>RODRIGUEZ LARUMBE, ROSA SOFÍA</v>
      </c>
      <c r="D3112" s="35">
        <f>+'[2]por cuent'!G3112</f>
        <v>451534105.29000002</v>
      </c>
      <c r="E3112" s="35">
        <f>+'[2]por cuent'!H3112</f>
        <v>451534105.29000002</v>
      </c>
      <c r="F3112" t="str">
        <f>+'[2]por cuent'!I3112</f>
        <v>802</v>
      </c>
    </row>
    <row r="3113" spans="1:6" x14ac:dyDescent="0.35">
      <c r="A3113" t="str">
        <f>+'[2]por cuent'!A3113</f>
        <v>ARS</v>
      </c>
      <c r="B3113" t="str">
        <f>+'[2]por cuent'!B3113</f>
        <v>802001974</v>
      </c>
      <c r="C3113" t="str">
        <f>+'[2]por cuent'!C3113</f>
        <v>CHERVONKO, ROMINA VANESA</v>
      </c>
      <c r="D3113" s="35">
        <f>+'[2]por cuent'!G3113</f>
        <v>1606835460.49</v>
      </c>
      <c r="E3113" s="35">
        <f>+'[2]por cuent'!H3113</f>
        <v>1606835460.49</v>
      </c>
      <c r="F3113" t="str">
        <f>+'[2]por cuent'!I3113</f>
        <v>802</v>
      </c>
    </row>
    <row r="3114" spans="1:6" x14ac:dyDescent="0.35">
      <c r="A3114" t="str">
        <f>+'[2]por cuent'!A3114</f>
        <v>ARS</v>
      </c>
      <c r="B3114" t="str">
        <f>+'[2]por cuent'!B3114</f>
        <v>802001976</v>
      </c>
      <c r="C3114" t="str">
        <f>+'[2]por cuent'!C3114</f>
        <v>WALTER, LUCRECIA VICTORIA</v>
      </c>
      <c r="D3114" s="35">
        <f>+'[2]por cuent'!G3114</f>
        <v>52239299.979999997</v>
      </c>
      <c r="E3114" s="35">
        <f>+'[2]por cuent'!H3114</f>
        <v>52239299.979999997</v>
      </c>
      <c r="F3114" t="str">
        <f>+'[2]por cuent'!I3114</f>
        <v>802</v>
      </c>
    </row>
    <row r="3115" spans="1:6" x14ac:dyDescent="0.35">
      <c r="A3115" t="str">
        <f>+'[2]por cuent'!A3115</f>
        <v>ARS</v>
      </c>
      <c r="B3115" t="str">
        <f>+'[2]por cuent'!B3115</f>
        <v>802001978</v>
      </c>
      <c r="C3115" t="str">
        <f>+'[2]por cuent'!C3115</f>
        <v>ASCUA MARCELO JAVIER y ASCUA BEATRIZ ELENA</v>
      </c>
      <c r="D3115" s="35">
        <f>+'[2]por cuent'!G3115</f>
        <v>1423946960.98</v>
      </c>
      <c r="E3115" s="35">
        <f>+'[2]por cuent'!H3115</f>
        <v>1423946960.98</v>
      </c>
      <c r="F3115" t="str">
        <f>+'[2]por cuent'!I3115</f>
        <v>802</v>
      </c>
    </row>
    <row r="3116" spans="1:6" x14ac:dyDescent="0.35">
      <c r="A3116" t="str">
        <f>+'[2]por cuent'!A3116</f>
        <v>ARS</v>
      </c>
      <c r="B3116" t="str">
        <f>+'[2]por cuent'!B3116</f>
        <v>802001982</v>
      </c>
      <c r="C3116" t="str">
        <f>+'[2]por cuent'!C3116</f>
        <v>GRIMOLDI S.A.</v>
      </c>
      <c r="D3116" s="35">
        <f>+'[2]por cuent'!G3116</f>
        <v>621734347.87</v>
      </c>
      <c r="E3116" s="35">
        <f>+'[2]por cuent'!H3116</f>
        <v>621734347.87</v>
      </c>
      <c r="F3116" t="str">
        <f>+'[2]por cuent'!I3116</f>
        <v>802</v>
      </c>
    </row>
    <row r="3117" spans="1:6" x14ac:dyDescent="0.35">
      <c r="A3117" t="str">
        <f>+'[2]por cuent'!A3117</f>
        <v>ARS</v>
      </c>
      <c r="B3117" t="str">
        <f>+'[2]por cuent'!B3117</f>
        <v>802001986</v>
      </c>
      <c r="C3117" t="str">
        <f>+'[2]por cuent'!C3117</f>
        <v>CASTAGNA, MARIANO</v>
      </c>
      <c r="D3117" s="35">
        <f>+'[2]por cuent'!G3117</f>
        <v>500000</v>
      </c>
      <c r="E3117" s="35">
        <f>+'[2]por cuent'!H3117</f>
        <v>500000</v>
      </c>
      <c r="F3117" t="str">
        <f>+'[2]por cuent'!I3117</f>
        <v>802</v>
      </c>
    </row>
    <row r="3118" spans="1:6" x14ac:dyDescent="0.35">
      <c r="A3118" t="str">
        <f>+'[2]por cuent'!A3118</f>
        <v>ARS</v>
      </c>
      <c r="B3118" t="str">
        <f>+'[2]por cuent'!B3118</f>
        <v>802001989</v>
      </c>
      <c r="C3118" t="str">
        <f>+'[2]por cuent'!C3118</f>
        <v>[C.E.R.A.] ANDREATINI SERGIO ADRIAN</v>
      </c>
      <c r="D3118" s="35">
        <f>+'[2]por cuent'!G3118</f>
        <v>22847.4</v>
      </c>
      <c r="E3118" s="35">
        <f>+'[2]por cuent'!H3118</f>
        <v>22847.4</v>
      </c>
      <c r="F3118" t="str">
        <f>+'[2]por cuent'!I3118</f>
        <v>802</v>
      </c>
    </row>
    <row r="3119" spans="1:6" x14ac:dyDescent="0.35">
      <c r="A3119" t="str">
        <f>+'[2]por cuent'!A3119</f>
        <v>ARS</v>
      </c>
      <c r="B3119" t="str">
        <f>+'[2]por cuent'!B3119</f>
        <v>802001990</v>
      </c>
      <c r="C3119" t="str">
        <f>+'[2]por cuent'!C3119</f>
        <v>[C.E.R.A.] TA PLASTIC S.A.</v>
      </c>
      <c r="D3119" s="35">
        <f>+'[2]por cuent'!G3119</f>
        <v>22809.599999999999</v>
      </c>
      <c r="E3119" s="35">
        <f>+'[2]por cuent'!H3119</f>
        <v>22809.599999999999</v>
      </c>
      <c r="F3119" t="str">
        <f>+'[2]por cuent'!I3119</f>
        <v>802</v>
      </c>
    </row>
    <row r="3120" spans="1:6" x14ac:dyDescent="0.35">
      <c r="A3120" t="str">
        <f>+'[2]por cuent'!A3120</f>
        <v>ARS</v>
      </c>
      <c r="B3120" t="str">
        <f>+'[2]por cuent'!B3120</f>
        <v>802001992</v>
      </c>
      <c r="C3120" t="str">
        <f>+'[2]por cuent'!C3120</f>
        <v>ESMOK, MARIANO</v>
      </c>
      <c r="D3120" s="35">
        <f>+'[2]por cuent'!G3120</f>
        <v>92794047.090000004</v>
      </c>
      <c r="E3120" s="35">
        <f>+'[2]por cuent'!H3120</f>
        <v>92794047.090000004</v>
      </c>
      <c r="F3120" t="str">
        <f>+'[2]por cuent'!I3120</f>
        <v>802</v>
      </c>
    </row>
    <row r="3121" spans="1:6" x14ac:dyDescent="0.35">
      <c r="A3121" t="str">
        <f>+'[2]por cuent'!A3121</f>
        <v>ARS</v>
      </c>
      <c r="B3121" t="str">
        <f>+'[2]por cuent'!B3121</f>
        <v>802002000</v>
      </c>
      <c r="C3121" t="str">
        <f>+'[2]por cuent'!C3121</f>
        <v>BCSA SD AXIS ESTRATEGIA 10</v>
      </c>
      <c r="D3121" s="35">
        <f>+'[2]por cuent'!G3121</f>
        <v>11855406635.440001</v>
      </c>
      <c r="E3121" s="35">
        <f>+'[2]por cuent'!H3121</f>
        <v>11855406635.440001</v>
      </c>
      <c r="F3121" t="str">
        <f>+'[2]por cuent'!I3121</f>
        <v>802</v>
      </c>
    </row>
    <row r="3122" spans="1:6" x14ac:dyDescent="0.35">
      <c r="A3122" t="str">
        <f>+'[2]por cuent'!A3122</f>
        <v>ARS</v>
      </c>
      <c r="B3122" t="str">
        <f>+'[2]por cuent'!B3122</f>
        <v>802002010</v>
      </c>
      <c r="C3122" t="str">
        <f>+'[2]por cuent'!C3122</f>
        <v>GARCIA, LUIS ALBERTO</v>
      </c>
      <c r="D3122" s="35">
        <f>+'[2]por cuent'!G3122</f>
        <v>13505937.539999999</v>
      </c>
      <c r="E3122" s="35">
        <f>+'[2]por cuent'!H3122</f>
        <v>13505937.539999999</v>
      </c>
      <c r="F3122" t="str">
        <f>+'[2]por cuent'!I3122</f>
        <v>802</v>
      </c>
    </row>
    <row r="3123" spans="1:6" x14ac:dyDescent="0.35">
      <c r="A3123" t="str">
        <f>+'[2]por cuent'!A3123</f>
        <v>ARS</v>
      </c>
      <c r="B3123" t="str">
        <f>+'[2]por cuent'!B3123</f>
        <v>802002011</v>
      </c>
      <c r="C3123" t="str">
        <f>+'[2]por cuent'!C3123</f>
        <v>SORICHETTI LUIS y CHION MARTA ELSA</v>
      </c>
      <c r="D3123" s="35">
        <f>+'[2]por cuent'!G3123</f>
        <v>13285363.35</v>
      </c>
      <c r="E3123" s="35">
        <f>+'[2]por cuent'!H3123</f>
        <v>13285363.35</v>
      </c>
      <c r="F3123" t="str">
        <f>+'[2]por cuent'!I3123</f>
        <v>802</v>
      </c>
    </row>
    <row r="3124" spans="1:6" x14ac:dyDescent="0.35">
      <c r="A3124" t="str">
        <f>+'[2]por cuent'!A3124</f>
        <v>ARS</v>
      </c>
      <c r="B3124" t="str">
        <f>+'[2]por cuent'!B3124</f>
        <v>802002016</v>
      </c>
      <c r="C3124" t="str">
        <f>+'[2]por cuent'!C3124</f>
        <v xml:space="preserve">KONSOL, NICOLAS </v>
      </c>
      <c r="D3124" s="35">
        <f>+'[2]por cuent'!G3124</f>
        <v>23583879.300000001</v>
      </c>
      <c r="E3124" s="35">
        <f>+'[2]por cuent'!H3124</f>
        <v>23583879.300000001</v>
      </c>
      <c r="F3124" t="str">
        <f>+'[2]por cuent'!I3124</f>
        <v>802</v>
      </c>
    </row>
    <row r="3125" spans="1:6" x14ac:dyDescent="0.35">
      <c r="A3125" t="str">
        <f>+'[2]por cuent'!A3125</f>
        <v>ARS</v>
      </c>
      <c r="B3125" t="str">
        <f>+'[2]por cuent'!B3125</f>
        <v>802002017</v>
      </c>
      <c r="C3125" t="str">
        <f>+'[2]por cuent'!C3125</f>
        <v>ABDALA MONTOTO, OSCAR LUIS</v>
      </c>
      <c r="D3125" s="35">
        <f>+'[2]por cuent'!G3125</f>
        <v>339770006.91000003</v>
      </c>
      <c r="E3125" s="35">
        <f>+'[2]por cuent'!H3125</f>
        <v>339770006.91000003</v>
      </c>
      <c r="F3125" t="str">
        <f>+'[2]por cuent'!I3125</f>
        <v>802</v>
      </c>
    </row>
    <row r="3126" spans="1:6" x14ac:dyDescent="0.35">
      <c r="A3126" t="str">
        <f>+'[2]por cuent'!A3126</f>
        <v>ARS</v>
      </c>
      <c r="B3126" t="str">
        <f>+'[2]por cuent'!B3126</f>
        <v>802002021</v>
      </c>
      <c r="C3126" t="str">
        <f>+'[2]por cuent'!C3126</f>
        <v>BORISONIK, MAURICIO</v>
      </c>
      <c r="D3126" s="35">
        <f>+'[2]por cuent'!G3126</f>
        <v>112301771.90000001</v>
      </c>
      <c r="E3126" s="35">
        <f>+'[2]por cuent'!H3126</f>
        <v>112301771.90000001</v>
      </c>
      <c r="F3126" t="str">
        <f>+'[2]por cuent'!I3126</f>
        <v>802</v>
      </c>
    </row>
    <row r="3127" spans="1:6" x14ac:dyDescent="0.35">
      <c r="A3127" t="str">
        <f>+'[2]por cuent'!A3127</f>
        <v>ARS</v>
      </c>
      <c r="B3127" t="str">
        <f>+'[2]por cuent'!B3127</f>
        <v>802002023</v>
      </c>
      <c r="C3127" t="str">
        <f>+'[2]por cuent'!C3127</f>
        <v>ANGELOZZI, VIVIANA MABEL</v>
      </c>
      <c r="D3127" s="35">
        <f>+'[2]por cuent'!G3127</f>
        <v>7409580.0599999996</v>
      </c>
      <c r="E3127" s="35">
        <f>+'[2]por cuent'!H3127</f>
        <v>7409580.0599999996</v>
      </c>
      <c r="F3127" t="str">
        <f>+'[2]por cuent'!I3127</f>
        <v>802</v>
      </c>
    </row>
    <row r="3128" spans="1:6" x14ac:dyDescent="0.35">
      <c r="A3128" t="str">
        <f>+'[2]por cuent'!A3128</f>
        <v>ARS</v>
      </c>
      <c r="B3128" t="str">
        <f>+'[2]por cuent'!B3128</f>
        <v>802002024</v>
      </c>
      <c r="C3128" t="str">
        <f>+'[2]por cuent'!C3128</f>
        <v>SCHVARTZMAN, CAROLINA</v>
      </c>
      <c r="D3128" s="35">
        <f>+'[2]por cuent'!G3128</f>
        <v>567587935.16999996</v>
      </c>
      <c r="E3128" s="35">
        <f>+'[2]por cuent'!H3128</f>
        <v>567587935.16999996</v>
      </c>
      <c r="F3128" t="str">
        <f>+'[2]por cuent'!I3128</f>
        <v>802</v>
      </c>
    </row>
    <row r="3129" spans="1:6" x14ac:dyDescent="0.35">
      <c r="A3129" t="str">
        <f>+'[2]por cuent'!A3129</f>
        <v>ARS</v>
      </c>
      <c r="B3129" t="str">
        <f>+'[2]por cuent'!B3129</f>
        <v>802002025</v>
      </c>
      <c r="C3129" t="str">
        <f>+'[2]por cuent'!C3129</f>
        <v>GASS, ANDRES</v>
      </c>
      <c r="D3129" s="35">
        <f>+'[2]por cuent'!G3129</f>
        <v>553351331.97000003</v>
      </c>
      <c r="E3129" s="35">
        <f>+'[2]por cuent'!H3129</f>
        <v>553351331.97000003</v>
      </c>
      <c r="F3129" t="str">
        <f>+'[2]por cuent'!I3129</f>
        <v>802</v>
      </c>
    </row>
    <row r="3130" spans="1:6" x14ac:dyDescent="0.35">
      <c r="A3130" t="str">
        <f>+'[2]por cuent'!A3130</f>
        <v>ARS</v>
      </c>
      <c r="B3130" t="str">
        <f>+'[2]por cuent'!B3130</f>
        <v>802002027</v>
      </c>
      <c r="C3130" t="str">
        <f>+'[2]por cuent'!C3130</f>
        <v>BORISONIK, JORGE</v>
      </c>
      <c r="D3130" s="35">
        <f>+'[2]por cuent'!G3130</f>
        <v>407426368.94</v>
      </c>
      <c r="E3130" s="35">
        <f>+'[2]por cuent'!H3130</f>
        <v>407426368.94</v>
      </c>
      <c r="F3130" t="str">
        <f>+'[2]por cuent'!I3130</f>
        <v>802</v>
      </c>
    </row>
    <row r="3131" spans="1:6" x14ac:dyDescent="0.35">
      <c r="A3131" t="str">
        <f>+'[2]por cuent'!A3131</f>
        <v>ARS</v>
      </c>
      <c r="B3131" t="str">
        <f>+'[2]por cuent'!B3131</f>
        <v>802002029</v>
      </c>
      <c r="C3131" t="str">
        <f>+'[2]por cuent'!C3131</f>
        <v>EMINTEX SA</v>
      </c>
      <c r="D3131" s="35">
        <f>+'[2]por cuent'!G3131</f>
        <v>776585963.84000003</v>
      </c>
      <c r="E3131" s="35">
        <f>+'[2]por cuent'!H3131</f>
        <v>776585963.84000003</v>
      </c>
      <c r="F3131" t="str">
        <f>+'[2]por cuent'!I3131</f>
        <v>802</v>
      </c>
    </row>
    <row r="3132" spans="1:6" x14ac:dyDescent="0.35">
      <c r="A3132" t="str">
        <f>+'[2]por cuent'!A3132</f>
        <v>ARS</v>
      </c>
      <c r="B3132" t="str">
        <f>+'[2]por cuent'!B3132</f>
        <v>802002030</v>
      </c>
      <c r="C3132" t="str">
        <f>+'[2]por cuent'!C3132</f>
        <v>POLTI ALBANESE, GUIDO</v>
      </c>
      <c r="D3132" s="35">
        <f>+'[2]por cuent'!G3132</f>
        <v>6635442.5999999996</v>
      </c>
      <c r="E3132" s="35">
        <f>+'[2]por cuent'!H3132</f>
        <v>6635442.5999999996</v>
      </c>
      <c r="F3132" t="str">
        <f>+'[2]por cuent'!I3132</f>
        <v>802</v>
      </c>
    </row>
    <row r="3133" spans="1:6" x14ac:dyDescent="0.35">
      <c r="A3133" t="str">
        <f>+'[2]por cuent'!A3133</f>
        <v>ARS</v>
      </c>
      <c r="B3133" t="str">
        <f>+'[2]por cuent'!B3133</f>
        <v>802002033</v>
      </c>
      <c r="C3133" t="str">
        <f>+'[2]por cuent'!C3133</f>
        <v>PELLEGRINI, JUAN PABLO</v>
      </c>
      <c r="D3133" s="35">
        <f>+'[2]por cuent'!G3133</f>
        <v>17346394.600000001</v>
      </c>
      <c r="E3133" s="35">
        <f>+'[2]por cuent'!H3133</f>
        <v>17346394.600000001</v>
      </c>
      <c r="F3133" t="str">
        <f>+'[2]por cuent'!I3133</f>
        <v>802</v>
      </c>
    </row>
    <row r="3134" spans="1:6" x14ac:dyDescent="0.35">
      <c r="A3134" t="str">
        <f>+'[2]por cuent'!A3134</f>
        <v>ARS</v>
      </c>
      <c r="B3134" t="str">
        <f>+'[2]por cuent'!B3134</f>
        <v>802002034</v>
      </c>
      <c r="C3134" t="str">
        <f>+'[2]por cuent'!C3134</f>
        <v>GIECO S.A.</v>
      </c>
      <c r="D3134" s="35">
        <f>+'[2]por cuent'!G3134</f>
        <v>483091254.80000001</v>
      </c>
      <c r="E3134" s="35">
        <f>+'[2]por cuent'!H3134</f>
        <v>483091254.80000001</v>
      </c>
      <c r="F3134" t="str">
        <f>+'[2]por cuent'!I3134</f>
        <v>802</v>
      </c>
    </row>
    <row r="3135" spans="1:6" x14ac:dyDescent="0.35">
      <c r="A3135" t="str">
        <f>+'[2]por cuent'!A3135</f>
        <v>ARS</v>
      </c>
      <c r="B3135" t="str">
        <f>+'[2]por cuent'!B3135</f>
        <v>802002038</v>
      </c>
      <c r="C3135" t="str">
        <f>+'[2]por cuent'!C3135</f>
        <v>REBMAN S.A.</v>
      </c>
      <c r="D3135" s="35">
        <f>+'[2]por cuent'!G3135</f>
        <v>168363313.80000001</v>
      </c>
      <c r="E3135" s="35">
        <f>+'[2]por cuent'!H3135</f>
        <v>168363313.80000001</v>
      </c>
      <c r="F3135" t="str">
        <f>+'[2]por cuent'!I3135</f>
        <v>802</v>
      </c>
    </row>
    <row r="3136" spans="1:6" x14ac:dyDescent="0.35">
      <c r="A3136" t="str">
        <f>+'[2]por cuent'!A3136</f>
        <v>ARS</v>
      </c>
      <c r="B3136" t="str">
        <f>+'[2]por cuent'!B3136</f>
        <v>802002041</v>
      </c>
      <c r="C3136" t="str">
        <f>+'[2]por cuent'!C3136</f>
        <v>GENOMMA LABORATORIES ARGENTINA SA</v>
      </c>
      <c r="D3136" s="35">
        <f>+'[2]por cuent'!G3136</f>
        <v>1977613000</v>
      </c>
      <c r="E3136" s="35">
        <f>+'[2]por cuent'!H3136</f>
        <v>1977613000</v>
      </c>
      <c r="F3136" t="str">
        <f>+'[2]por cuent'!I3136</f>
        <v>802</v>
      </c>
    </row>
    <row r="3137" spans="1:6" x14ac:dyDescent="0.35">
      <c r="A3137" t="str">
        <f>+'[2]por cuent'!A3137</f>
        <v>ARS</v>
      </c>
      <c r="B3137" t="str">
        <f>+'[2]por cuent'!B3137</f>
        <v>802002042</v>
      </c>
      <c r="C3137" t="str">
        <f>+'[2]por cuent'!C3137</f>
        <v>SECOBRAS SRL</v>
      </c>
      <c r="D3137" s="35">
        <f>+'[2]por cuent'!G3137</f>
        <v>12981673.060000001</v>
      </c>
      <c r="E3137" s="35">
        <f>+'[2]por cuent'!H3137</f>
        <v>12981673.060000001</v>
      </c>
      <c r="F3137" t="str">
        <f>+'[2]por cuent'!I3137</f>
        <v>802</v>
      </c>
    </row>
    <row r="3138" spans="1:6" x14ac:dyDescent="0.35">
      <c r="A3138" t="str">
        <f>+'[2]por cuent'!A3138</f>
        <v>ARS</v>
      </c>
      <c r="B3138" t="str">
        <f>+'[2]por cuent'!B3138</f>
        <v>802002045</v>
      </c>
      <c r="C3138" t="str">
        <f>+'[2]por cuent'!C3138</f>
        <v>CDIMEX SA</v>
      </c>
      <c r="D3138" s="35">
        <f>+'[2]por cuent'!G3138</f>
        <v>1255652832.9300001</v>
      </c>
      <c r="E3138" s="35">
        <f>+'[2]por cuent'!H3138</f>
        <v>1255652832.9300001</v>
      </c>
      <c r="F3138" t="str">
        <f>+'[2]por cuent'!I3138</f>
        <v>802</v>
      </c>
    </row>
    <row r="3139" spans="1:6" x14ac:dyDescent="0.35">
      <c r="A3139" t="str">
        <f>+'[2]por cuent'!A3139</f>
        <v>ARS</v>
      </c>
      <c r="B3139" t="str">
        <f>+'[2]por cuent'!B3139</f>
        <v>802002048</v>
      </c>
      <c r="C3139" t="str">
        <f>+'[2]por cuent'!C3139</f>
        <v>DONATO, FERNANDO</v>
      </c>
      <c r="D3139" s="35">
        <f>+'[2]por cuent'!G3139</f>
        <v>141193221.75999999</v>
      </c>
      <c r="E3139" s="35">
        <f>+'[2]por cuent'!H3139</f>
        <v>141193221.75999999</v>
      </c>
      <c r="F3139" t="str">
        <f>+'[2]por cuent'!I3139</f>
        <v>802</v>
      </c>
    </row>
    <row r="3140" spans="1:6" x14ac:dyDescent="0.35">
      <c r="A3140" t="str">
        <f>+'[2]por cuent'!A3140</f>
        <v>ARS</v>
      </c>
      <c r="B3140" t="str">
        <f>+'[2]por cuent'!B3140</f>
        <v>802002050</v>
      </c>
      <c r="C3140" t="str">
        <f>+'[2]por cuent'!C3140</f>
        <v>CORTASSA SA</v>
      </c>
      <c r="D3140" s="35">
        <f>+'[2]por cuent'!G3140</f>
        <v>1228152832.9300001</v>
      </c>
      <c r="E3140" s="35">
        <f>+'[2]por cuent'!H3140</f>
        <v>1228152832.9300001</v>
      </c>
      <c r="F3140" t="str">
        <f>+'[2]por cuent'!I3140</f>
        <v>802</v>
      </c>
    </row>
    <row r="3141" spans="1:6" x14ac:dyDescent="0.35">
      <c r="A3141" t="str">
        <f>+'[2]por cuent'!A3141</f>
        <v>ARS</v>
      </c>
      <c r="B3141" t="str">
        <f>+'[2]por cuent'!B3141</f>
        <v>802002056</v>
      </c>
      <c r="C3141" t="str">
        <f>+'[2]por cuent'!C3141</f>
        <v>DIN SRL</v>
      </c>
      <c r="D3141" s="35">
        <f>+'[2]por cuent'!G3141</f>
        <v>73896676.709999993</v>
      </c>
      <c r="E3141" s="35">
        <f>+'[2]por cuent'!H3141</f>
        <v>73896676.709999993</v>
      </c>
      <c r="F3141" t="str">
        <f>+'[2]por cuent'!I3141</f>
        <v>802</v>
      </c>
    </row>
    <row r="3142" spans="1:6" x14ac:dyDescent="0.35">
      <c r="A3142" t="str">
        <f>+'[2]por cuent'!A3142</f>
        <v>ARS</v>
      </c>
      <c r="B3142" t="str">
        <f>+'[2]por cuent'!B3142</f>
        <v>802002057</v>
      </c>
      <c r="C3142" t="str">
        <f>+'[2]por cuent'!C3142</f>
        <v>SZELUBSKY, TOMAS</v>
      </c>
      <c r="D3142" s="35">
        <f>+'[2]por cuent'!G3142</f>
        <v>1565653.75</v>
      </c>
      <c r="E3142" s="35">
        <f>+'[2]por cuent'!H3142</f>
        <v>1565653.75</v>
      </c>
      <c r="F3142" t="str">
        <f>+'[2]por cuent'!I3142</f>
        <v>802</v>
      </c>
    </row>
    <row r="3143" spans="1:6" x14ac:dyDescent="0.35">
      <c r="A3143" t="str">
        <f>+'[2]por cuent'!A3143</f>
        <v>ARS</v>
      </c>
      <c r="B3143" t="str">
        <f>+'[2]por cuent'!B3143</f>
        <v>802002058</v>
      </c>
      <c r="C3143" t="str">
        <f>+'[2]por cuent'!C3143</f>
        <v>SZELUBSKY, MATIAS</v>
      </c>
      <c r="D3143" s="35">
        <f>+'[2]por cuent'!G3143</f>
        <v>2097004.95</v>
      </c>
      <c r="E3143" s="35">
        <f>+'[2]por cuent'!H3143</f>
        <v>2097004.95</v>
      </c>
      <c r="F3143" t="str">
        <f>+'[2]por cuent'!I3143</f>
        <v>802</v>
      </c>
    </row>
    <row r="3144" spans="1:6" x14ac:dyDescent="0.35">
      <c r="A3144" t="str">
        <f>+'[2]por cuent'!A3144</f>
        <v>ARS</v>
      </c>
      <c r="B3144" t="str">
        <f>+'[2]por cuent'!B3144</f>
        <v>802002064</v>
      </c>
      <c r="C3144" t="str">
        <f>+'[2]por cuent'!C3144</f>
        <v>COLANTUONO, ANDRES</v>
      </c>
      <c r="D3144" s="35">
        <f>+'[2]por cuent'!G3144</f>
        <v>247387088.02000001</v>
      </c>
      <c r="E3144" s="35">
        <f>+'[2]por cuent'!H3144</f>
        <v>247387088.02000001</v>
      </c>
      <c r="F3144" t="str">
        <f>+'[2]por cuent'!I3144</f>
        <v>802</v>
      </c>
    </row>
    <row r="3145" spans="1:6" x14ac:dyDescent="0.35">
      <c r="A3145" t="str">
        <f>+'[2]por cuent'!A3145</f>
        <v>ARS</v>
      </c>
      <c r="B3145" t="str">
        <f>+'[2]por cuent'!B3145</f>
        <v>802002069</v>
      </c>
      <c r="C3145" t="str">
        <f>+'[2]por cuent'!C3145</f>
        <v>MAC GAW, LUCAS</v>
      </c>
      <c r="D3145" s="35">
        <f>+'[2]por cuent'!G3145</f>
        <v>10382575.68</v>
      </c>
      <c r="E3145" s="35">
        <f>+'[2]por cuent'!H3145</f>
        <v>10382575.68</v>
      </c>
      <c r="F3145" t="str">
        <f>+'[2]por cuent'!I3145</f>
        <v>802</v>
      </c>
    </row>
    <row r="3146" spans="1:6" x14ac:dyDescent="0.35">
      <c r="A3146" t="str">
        <f>+'[2]por cuent'!A3146</f>
        <v>ARS</v>
      </c>
      <c r="B3146" t="str">
        <f>+'[2]por cuent'!B3146</f>
        <v>802002070</v>
      </c>
      <c r="C3146" t="str">
        <f>+'[2]por cuent'!C3146</f>
        <v>MAC GAW, LUCAS</v>
      </c>
      <c r="D3146" s="35">
        <f>+'[2]por cuent'!G3146</f>
        <v>14347570.1</v>
      </c>
      <c r="E3146" s="35">
        <f>+'[2]por cuent'!H3146</f>
        <v>14347570.1</v>
      </c>
      <c r="F3146" t="str">
        <f>+'[2]por cuent'!I3146</f>
        <v>802</v>
      </c>
    </row>
    <row r="3147" spans="1:6" x14ac:dyDescent="0.35">
      <c r="A3147" t="str">
        <f>+'[2]por cuent'!A3147</f>
        <v>ARS</v>
      </c>
      <c r="B3147" t="str">
        <f>+'[2]por cuent'!B3147</f>
        <v>802002071</v>
      </c>
      <c r="C3147" t="str">
        <f>+'[2]por cuent'!C3147</f>
        <v>ROMERO, IGNACIO NICOLAS</v>
      </c>
      <c r="D3147" s="35">
        <f>+'[2]por cuent'!G3147</f>
        <v>1514266.34</v>
      </c>
      <c r="E3147" s="35">
        <f>+'[2]por cuent'!H3147</f>
        <v>1514266.34</v>
      </c>
      <c r="F3147" t="str">
        <f>+'[2]por cuent'!I3147</f>
        <v>802</v>
      </c>
    </row>
    <row r="3148" spans="1:6" x14ac:dyDescent="0.35">
      <c r="A3148" t="str">
        <f>+'[2]por cuent'!A3148</f>
        <v>ARS</v>
      </c>
      <c r="B3148" t="str">
        <f>+'[2]por cuent'!B3148</f>
        <v>802002072</v>
      </c>
      <c r="C3148" t="str">
        <f>+'[2]por cuent'!C3148</f>
        <v>RAMIREZ, ARIEL EDUARDO</v>
      </c>
      <c r="D3148" s="35">
        <f>+'[2]por cuent'!G3148</f>
        <v>110355131.98</v>
      </c>
      <c r="E3148" s="35">
        <f>+'[2]por cuent'!H3148</f>
        <v>110355131.98</v>
      </c>
      <c r="F3148" t="str">
        <f>+'[2]por cuent'!I3148</f>
        <v>802</v>
      </c>
    </row>
    <row r="3149" spans="1:6" x14ac:dyDescent="0.35">
      <c r="A3149" t="str">
        <f>+'[2]por cuent'!A3149</f>
        <v>ARS</v>
      </c>
      <c r="B3149" t="str">
        <f>+'[2]por cuent'!B3149</f>
        <v>802002073</v>
      </c>
      <c r="C3149" t="str">
        <f>+'[2]por cuent'!C3149</f>
        <v>SALA, RAUL ALEJANDRO</v>
      </c>
      <c r="D3149" s="35">
        <f>+'[2]por cuent'!G3149</f>
        <v>1149544178.03</v>
      </c>
      <c r="E3149" s="35">
        <f>+'[2]por cuent'!H3149</f>
        <v>1149544178.03</v>
      </c>
      <c r="F3149" t="str">
        <f>+'[2]por cuent'!I3149</f>
        <v>802</v>
      </c>
    </row>
    <row r="3150" spans="1:6" x14ac:dyDescent="0.35">
      <c r="A3150" t="str">
        <f>+'[2]por cuent'!A3150</f>
        <v>ARS</v>
      </c>
      <c r="B3150" t="str">
        <f>+'[2]por cuent'!B3150</f>
        <v>802002076</v>
      </c>
      <c r="C3150" t="str">
        <f>+'[2]por cuent'!C3150</f>
        <v>[C.E.R.A.] ANDREATINI EMILIO</v>
      </c>
      <c r="D3150" s="35">
        <f>+'[2]por cuent'!G3150</f>
        <v>22842</v>
      </c>
      <c r="E3150" s="35">
        <f>+'[2]por cuent'!H3150</f>
        <v>22842</v>
      </c>
      <c r="F3150" t="str">
        <f>+'[2]por cuent'!I3150</f>
        <v>802</v>
      </c>
    </row>
    <row r="3151" spans="1:6" x14ac:dyDescent="0.35">
      <c r="A3151" t="str">
        <f>+'[2]por cuent'!A3151</f>
        <v>ARS</v>
      </c>
      <c r="B3151" t="str">
        <f>+'[2]por cuent'!B3151</f>
        <v>802002082</v>
      </c>
      <c r="C3151" t="str">
        <f>+'[2]por cuent'!C3151</f>
        <v>APSAVET SAS</v>
      </c>
      <c r="D3151" s="35">
        <f>+'[2]por cuent'!G3151</f>
        <v>16605866.27</v>
      </c>
      <c r="E3151" s="35">
        <f>+'[2]por cuent'!H3151</f>
        <v>16605866.27</v>
      </c>
      <c r="F3151" t="str">
        <f>+'[2]por cuent'!I3151</f>
        <v>802</v>
      </c>
    </row>
    <row r="3152" spans="1:6" x14ac:dyDescent="0.35">
      <c r="A3152" t="str">
        <f>+'[2]por cuent'!A3152</f>
        <v>ARS</v>
      </c>
      <c r="B3152" t="str">
        <f>+'[2]por cuent'!B3152</f>
        <v>802002086</v>
      </c>
      <c r="C3152" t="str">
        <f>+'[2]por cuent'!C3152</f>
        <v>ASOCIACION CIVIL DE INVESTIGACION CLINICA EN ARGENTINA</v>
      </c>
      <c r="D3152" s="35">
        <f>+'[2]por cuent'!G3152</f>
        <v>160152166.44999999</v>
      </c>
      <c r="E3152" s="35">
        <f>+'[2]por cuent'!H3152</f>
        <v>160152166.44999999</v>
      </c>
      <c r="F3152" t="str">
        <f>+'[2]por cuent'!I3152</f>
        <v>802</v>
      </c>
    </row>
    <row r="3153" spans="1:6" x14ac:dyDescent="0.35">
      <c r="A3153" t="str">
        <f>+'[2]por cuent'!A3153</f>
        <v>ARS</v>
      </c>
      <c r="B3153" t="str">
        <f>+'[2]por cuent'!B3153</f>
        <v>802002087</v>
      </c>
      <c r="C3153" t="str">
        <f>+'[2]por cuent'!C3153</f>
        <v>OTILIA SACK SA</v>
      </c>
      <c r="D3153" s="35">
        <f>+'[2]por cuent'!G3153</f>
        <v>38334035.07</v>
      </c>
      <c r="E3153" s="35">
        <f>+'[2]por cuent'!H3153</f>
        <v>38334035.07</v>
      </c>
      <c r="F3153" t="str">
        <f>+'[2]por cuent'!I3153</f>
        <v>802</v>
      </c>
    </row>
    <row r="3154" spans="1:6" x14ac:dyDescent="0.35">
      <c r="A3154" t="str">
        <f>+'[2]por cuent'!A3154</f>
        <v>ARS</v>
      </c>
      <c r="B3154" t="str">
        <f>+'[2]por cuent'!B3154</f>
        <v>802002090</v>
      </c>
      <c r="C3154" t="str">
        <f>+'[2]por cuent'!C3154</f>
        <v>PRINCIPI, CESAR ADRIAN</v>
      </c>
      <c r="D3154" s="35">
        <f>+'[2]por cuent'!G3154</f>
        <v>81126341.310000002</v>
      </c>
      <c r="E3154" s="35">
        <f>+'[2]por cuent'!H3154</f>
        <v>81126341.310000002</v>
      </c>
      <c r="F3154" t="str">
        <f>+'[2]por cuent'!I3154</f>
        <v>802</v>
      </c>
    </row>
    <row r="3155" spans="1:6" x14ac:dyDescent="0.35">
      <c r="A3155" t="str">
        <f>+'[2]por cuent'!A3155</f>
        <v>ARS</v>
      </c>
      <c r="B3155" t="str">
        <f>+'[2]por cuent'!B3155</f>
        <v>802002094</v>
      </c>
      <c r="C3155" t="str">
        <f>+'[2]por cuent'!C3155</f>
        <v>IMPORTADORA CENTRAL JT SRL</v>
      </c>
      <c r="D3155" s="35">
        <f>+'[2]por cuent'!G3155</f>
        <v>106028639.58</v>
      </c>
      <c r="E3155" s="35">
        <f>+'[2]por cuent'!H3155</f>
        <v>106028639.58</v>
      </c>
      <c r="F3155" t="str">
        <f>+'[2]por cuent'!I3155</f>
        <v>802</v>
      </c>
    </row>
    <row r="3156" spans="1:6" x14ac:dyDescent="0.35">
      <c r="A3156" t="str">
        <f>+'[2]por cuent'!A3156</f>
        <v>ARS</v>
      </c>
      <c r="B3156" t="str">
        <f>+'[2]por cuent'!B3156</f>
        <v>802002095</v>
      </c>
      <c r="C3156" t="str">
        <f>+'[2]por cuent'!C3156</f>
        <v>ZADERECKI, SUSANA ALICIA</v>
      </c>
      <c r="D3156" s="35">
        <f>+'[2]por cuent'!G3156</f>
        <v>1000000</v>
      </c>
      <c r="E3156" s="35">
        <f>+'[2]por cuent'!H3156</f>
        <v>1000000</v>
      </c>
      <c r="F3156" t="str">
        <f>+'[2]por cuent'!I3156</f>
        <v>802</v>
      </c>
    </row>
    <row r="3157" spans="1:6" x14ac:dyDescent="0.35">
      <c r="A3157" t="str">
        <f>+'[2]por cuent'!A3157</f>
        <v>ARS</v>
      </c>
      <c r="B3157" t="str">
        <f>+'[2]por cuent'!B3157</f>
        <v>802002098</v>
      </c>
      <c r="C3157" t="str">
        <f>+'[2]por cuent'!C3157</f>
        <v>SGS ARGENTINA SA</v>
      </c>
      <c r="D3157" s="35">
        <f>+'[2]por cuent'!G3157</f>
        <v>5014004337.5</v>
      </c>
      <c r="E3157" s="35">
        <f>+'[2]por cuent'!H3157</f>
        <v>5014004337.5</v>
      </c>
      <c r="F3157" t="str">
        <f>+'[2]por cuent'!I3157</f>
        <v>802</v>
      </c>
    </row>
    <row r="3158" spans="1:6" x14ac:dyDescent="0.35">
      <c r="A3158" t="str">
        <f>+'[2]por cuent'!A3158</f>
        <v>ARS</v>
      </c>
      <c r="B3158" t="str">
        <f>+'[2]por cuent'!B3158</f>
        <v>806000004</v>
      </c>
      <c r="C3158" t="str">
        <f>+'[2]por cuent'!C3158</f>
        <v>ASOC.MUT.PROF.UNIV.MATRICULADOS</v>
      </c>
      <c r="D3158" s="35">
        <f>+'[2]por cuent'!G3158</f>
        <v>8075295</v>
      </c>
      <c r="E3158" s="35">
        <f>+'[2]por cuent'!H3158</f>
        <v>8075295</v>
      </c>
      <c r="F3158" t="str">
        <f>+'[2]por cuent'!I3158</f>
        <v>806</v>
      </c>
    </row>
    <row r="3159" spans="1:6" x14ac:dyDescent="0.35">
      <c r="A3159" t="str">
        <f>+'[2]por cuent'!A3159</f>
        <v>ARS</v>
      </c>
      <c r="B3159" t="str">
        <f>+'[2]por cuent'!B3159</f>
        <v>806000010</v>
      </c>
      <c r="C3159" t="str">
        <f>+'[2]por cuent'!C3159</f>
        <v>INVERSIONES CUYANAS S.A.</v>
      </c>
      <c r="D3159" s="35">
        <f>+'[2]por cuent'!G3159</f>
        <v>8792072581.6200008</v>
      </c>
      <c r="E3159" s="35">
        <f>+'[2]por cuent'!H3159</f>
        <v>8792072581.6200008</v>
      </c>
      <c r="F3159" t="str">
        <f>+'[2]por cuent'!I3159</f>
        <v>806</v>
      </c>
    </row>
    <row r="3160" spans="1:6" x14ac:dyDescent="0.35">
      <c r="A3160" t="str">
        <f>+'[2]por cuent'!A3160</f>
        <v>ARS</v>
      </c>
      <c r="B3160" t="str">
        <f>+'[2]por cuent'!B3160</f>
        <v>806000152</v>
      </c>
      <c r="C3160" t="str">
        <f>+'[2]por cuent'!C3160</f>
        <v>RUBINSTEIN, Bernardo</v>
      </c>
      <c r="D3160" s="35">
        <f>+'[2]por cuent'!G3160</f>
        <v>31472360</v>
      </c>
      <c r="E3160" s="35">
        <f>+'[2]por cuent'!H3160</f>
        <v>31472360</v>
      </c>
      <c r="F3160" t="str">
        <f>+'[2]por cuent'!I3160</f>
        <v>806</v>
      </c>
    </row>
    <row r="3161" spans="1:6" x14ac:dyDescent="0.35">
      <c r="A3161" t="str">
        <f>+'[2]por cuent'!A3161</f>
        <v>ARS</v>
      </c>
      <c r="B3161" t="str">
        <f>+'[2]por cuent'!B3161</f>
        <v>806000153</v>
      </c>
      <c r="C3161" t="str">
        <f>+'[2]por cuent'!C3161</f>
        <v>ALONSO, Laura Ines</v>
      </c>
      <c r="D3161" s="35">
        <f>+'[2]por cuent'!G3161</f>
        <v>20023410</v>
      </c>
      <c r="E3161" s="35">
        <f>+'[2]por cuent'!H3161</f>
        <v>20023410</v>
      </c>
      <c r="F3161" t="str">
        <f>+'[2]por cuent'!I3161</f>
        <v>806</v>
      </c>
    </row>
    <row r="3162" spans="1:6" x14ac:dyDescent="0.35">
      <c r="A3162" t="str">
        <f>+'[2]por cuent'!A3162</f>
        <v>ARS</v>
      </c>
      <c r="B3162" t="str">
        <f>+'[2]por cuent'!B3162</f>
        <v>806000155</v>
      </c>
      <c r="C3162" t="str">
        <f>+'[2]por cuent'!C3162</f>
        <v>GUIDOLIN, Ariel Hector</v>
      </c>
      <c r="D3162" s="35">
        <f>+'[2]por cuent'!G3162</f>
        <v>1641294692.3199999</v>
      </c>
      <c r="E3162" s="35">
        <f>+'[2]por cuent'!H3162</f>
        <v>1641294692.3199999</v>
      </c>
      <c r="F3162" t="str">
        <f>+'[2]por cuent'!I3162</f>
        <v>806</v>
      </c>
    </row>
    <row r="3163" spans="1:6" x14ac:dyDescent="0.35">
      <c r="A3163" t="str">
        <f>+'[2]por cuent'!A3163</f>
        <v>ARS</v>
      </c>
      <c r="B3163" t="str">
        <f>+'[2]por cuent'!B3163</f>
        <v>806000158</v>
      </c>
      <c r="C3163" t="str">
        <f>+'[2]por cuent'!C3163</f>
        <v>BOERO, Gustavo y/o LAVIANO, Analia</v>
      </c>
      <c r="D3163" s="35">
        <f>+'[2]por cuent'!G3163</f>
        <v>161923900</v>
      </c>
      <c r="E3163" s="35">
        <f>+'[2]por cuent'!H3163</f>
        <v>161923900</v>
      </c>
      <c r="F3163" t="str">
        <f>+'[2]por cuent'!I3163</f>
        <v>806</v>
      </c>
    </row>
    <row r="3164" spans="1:6" x14ac:dyDescent="0.35">
      <c r="A3164" t="str">
        <f>+'[2]por cuent'!A3164</f>
        <v>ARS</v>
      </c>
      <c r="B3164" t="str">
        <f>+'[2]por cuent'!B3164</f>
        <v>806000165</v>
      </c>
      <c r="C3164" t="str">
        <f>+'[2]por cuent'!C3164</f>
        <v>Franco Guidolin</v>
      </c>
      <c r="D3164" s="35">
        <f>+'[2]por cuent'!G3164</f>
        <v>1450015600</v>
      </c>
      <c r="E3164" s="35">
        <f>+'[2]por cuent'!H3164</f>
        <v>1450015600</v>
      </c>
      <c r="F3164" t="str">
        <f>+'[2]por cuent'!I3164</f>
        <v>806</v>
      </c>
    </row>
    <row r="3165" spans="1:6" x14ac:dyDescent="0.35">
      <c r="A3165" t="str">
        <f>+'[2]por cuent'!A3165</f>
        <v>ARS</v>
      </c>
      <c r="B3165" t="str">
        <f>+'[2]por cuent'!B3165</f>
        <v>806000166</v>
      </c>
      <c r="C3165" t="str">
        <f>+'[2]por cuent'!C3165</f>
        <v>OLMEDO, Alberto Rafael</v>
      </c>
      <c r="D3165" s="35">
        <f>+'[2]por cuent'!G3165</f>
        <v>1081530656.5999999</v>
      </c>
      <c r="E3165" s="35">
        <f>+'[2]por cuent'!H3165</f>
        <v>1081530656.5999999</v>
      </c>
      <c r="F3165" t="str">
        <f>+'[2]por cuent'!I3165</f>
        <v>806</v>
      </c>
    </row>
    <row r="3166" spans="1:6" x14ac:dyDescent="0.35">
      <c r="A3166" t="str">
        <f>+'[2]por cuent'!A3166</f>
        <v>ARS</v>
      </c>
      <c r="B3166" t="str">
        <f>+'[2]por cuent'!B3166</f>
        <v>806000192</v>
      </c>
      <c r="C3166" t="str">
        <f>+'[2]por cuent'!C3166</f>
        <v>DE LEON GASTON LEONARDO</v>
      </c>
      <c r="D3166" s="35">
        <f>+'[2]por cuent'!G3166</f>
        <v>983532</v>
      </c>
      <c r="E3166" s="35">
        <f>+'[2]por cuent'!H3166</f>
        <v>983532</v>
      </c>
      <c r="F3166" t="str">
        <f>+'[2]por cuent'!I3166</f>
        <v>806</v>
      </c>
    </row>
    <row r="3167" spans="1:6" x14ac:dyDescent="0.35">
      <c r="A3167" t="str">
        <f>+'[2]por cuent'!A3167</f>
        <v>ARS</v>
      </c>
      <c r="B3167" t="str">
        <f>+'[2]por cuent'!B3167</f>
        <v>806000218</v>
      </c>
      <c r="C3167" t="str">
        <f>+'[2]por cuent'!C3167</f>
        <v>CACCIATO, DIEGO ANGEL</v>
      </c>
      <c r="D3167" s="35">
        <f>+'[2]por cuent'!G3167</f>
        <v>601100</v>
      </c>
      <c r="E3167" s="35">
        <f>+'[2]por cuent'!H3167</f>
        <v>601100</v>
      </c>
      <c r="F3167" t="str">
        <f>+'[2]por cuent'!I3167</f>
        <v>806</v>
      </c>
    </row>
    <row r="3168" spans="1:6" x14ac:dyDescent="0.35">
      <c r="A3168" t="str">
        <f>+'[2]por cuent'!A3168</f>
        <v>ARS</v>
      </c>
      <c r="B3168" t="str">
        <f>+'[2]por cuent'!B3168</f>
        <v>806000231</v>
      </c>
      <c r="C3168" t="str">
        <f>+'[2]por cuent'!C3168</f>
        <v>CARLOS HORACIO WALL</v>
      </c>
      <c r="D3168" s="35">
        <f>+'[2]por cuent'!G3168</f>
        <v>48268900</v>
      </c>
      <c r="E3168" s="35">
        <f>+'[2]por cuent'!H3168</f>
        <v>48268900</v>
      </c>
      <c r="F3168" t="str">
        <f>+'[2]por cuent'!I3168</f>
        <v>806</v>
      </c>
    </row>
    <row r="3169" spans="1:6" x14ac:dyDescent="0.35">
      <c r="A3169" t="str">
        <f>+'[2]por cuent'!A3169</f>
        <v>ARS</v>
      </c>
      <c r="B3169" t="str">
        <f>+'[2]por cuent'!B3169</f>
        <v>806000232</v>
      </c>
      <c r="C3169" t="str">
        <f>+'[2]por cuent'!C3169</f>
        <v>SUDESTE VALORES S.A.</v>
      </c>
      <c r="D3169" s="35">
        <f>+'[2]por cuent'!G3169</f>
        <v>314107249.31</v>
      </c>
      <c r="E3169" s="35">
        <f>+'[2]por cuent'!H3169</f>
        <v>314107249.31</v>
      </c>
      <c r="F3169" t="str">
        <f>+'[2]por cuent'!I3169</f>
        <v>806</v>
      </c>
    </row>
    <row r="3170" spans="1:6" x14ac:dyDescent="0.35">
      <c r="A3170" t="str">
        <f>+'[2]por cuent'!A3170</f>
        <v>ARS</v>
      </c>
      <c r="B3170" t="str">
        <f>+'[2]por cuent'!B3170</f>
        <v>806000243</v>
      </c>
      <c r="C3170" t="str">
        <f>+'[2]por cuent'!C3170</f>
        <v>GROUP PIPE S.A.</v>
      </c>
      <c r="D3170" s="35">
        <f>+'[2]por cuent'!G3170</f>
        <v>4175969000</v>
      </c>
      <c r="E3170" s="35">
        <f>+'[2]por cuent'!H3170</f>
        <v>4175969000</v>
      </c>
      <c r="F3170" t="str">
        <f>+'[2]por cuent'!I3170</f>
        <v>806</v>
      </c>
    </row>
    <row r="3171" spans="1:6" x14ac:dyDescent="0.35">
      <c r="A3171" t="str">
        <f>+'[2]por cuent'!A3171</f>
        <v>ARS</v>
      </c>
      <c r="B3171" t="str">
        <f>+'[2]por cuent'!B3171</f>
        <v>806000245</v>
      </c>
      <c r="C3171" t="str">
        <f>+'[2]por cuent'!C3171</f>
        <v>RIJKEBOER GWENDELINE</v>
      </c>
      <c r="D3171" s="35">
        <f>+'[2]por cuent'!G3171</f>
        <v>74040425.200000003</v>
      </c>
      <c r="E3171" s="35">
        <f>+'[2]por cuent'!H3171</f>
        <v>74040425.200000003</v>
      </c>
      <c r="F3171" t="str">
        <f>+'[2]por cuent'!I3171</f>
        <v>806</v>
      </c>
    </row>
    <row r="3172" spans="1:6" x14ac:dyDescent="0.35">
      <c r="A3172" t="str">
        <f>+'[2]por cuent'!A3172</f>
        <v>ARS</v>
      </c>
      <c r="B3172" t="str">
        <f>+'[2]por cuent'!B3172</f>
        <v>806000295</v>
      </c>
      <c r="C3172" t="str">
        <f>+'[2]por cuent'!C3172</f>
        <v>LIBONATTI, GUIDO EMILIANO</v>
      </c>
      <c r="D3172" s="35">
        <f>+'[2]por cuent'!G3172</f>
        <v>2116400</v>
      </c>
      <c r="E3172" s="35">
        <f>+'[2]por cuent'!H3172</f>
        <v>2116400</v>
      </c>
      <c r="F3172" t="str">
        <f>+'[2]por cuent'!I3172</f>
        <v>806</v>
      </c>
    </row>
    <row r="3173" spans="1:6" x14ac:dyDescent="0.35">
      <c r="A3173" t="str">
        <f>+'[2]por cuent'!A3173</f>
        <v>ARS</v>
      </c>
      <c r="B3173" t="str">
        <f>+'[2]por cuent'!B3173</f>
        <v>806000301</v>
      </c>
      <c r="C3173" t="str">
        <f>+'[2]por cuent'!C3173</f>
        <v>DURIGAN ANA MARIA Y GARCIA VIRTUDES</v>
      </c>
      <c r="D3173" s="35">
        <f>+'[2]por cuent'!G3173</f>
        <v>18108898</v>
      </c>
      <c r="E3173" s="35">
        <f>+'[2]por cuent'!H3173</f>
        <v>18108898</v>
      </c>
      <c r="F3173" t="str">
        <f>+'[2]por cuent'!I3173</f>
        <v>806</v>
      </c>
    </row>
    <row r="3174" spans="1:6" x14ac:dyDescent="0.35">
      <c r="A3174" t="str">
        <f>+'[2]por cuent'!A3174</f>
        <v>ARS</v>
      </c>
      <c r="B3174" t="str">
        <f>+'[2]por cuent'!B3174</f>
        <v>806000308</v>
      </c>
      <c r="C3174" t="str">
        <f>+'[2]por cuent'!C3174</f>
        <v>SEBASTIAN ANESE</v>
      </c>
      <c r="D3174" s="35">
        <f>+'[2]por cuent'!G3174</f>
        <v>159040</v>
      </c>
      <c r="E3174" s="35">
        <f>+'[2]por cuent'!H3174</f>
        <v>159040</v>
      </c>
      <c r="F3174" t="str">
        <f>+'[2]por cuent'!I3174</f>
        <v>806</v>
      </c>
    </row>
    <row r="3175" spans="1:6" x14ac:dyDescent="0.35">
      <c r="A3175" t="str">
        <f>+'[2]por cuent'!A3175</f>
        <v>ARS</v>
      </c>
      <c r="B3175" t="str">
        <f>+'[2]por cuent'!B3175</f>
        <v>806000310</v>
      </c>
      <c r="C3175" t="str">
        <f>+'[2]por cuent'!C3175</f>
        <v>IGNACIO CABALLER</v>
      </c>
      <c r="D3175" s="35">
        <f>+'[2]por cuent'!G3175</f>
        <v>355598500</v>
      </c>
      <c r="E3175" s="35">
        <f>+'[2]por cuent'!H3175</f>
        <v>355598500</v>
      </c>
      <c r="F3175" t="str">
        <f>+'[2]por cuent'!I3175</f>
        <v>806</v>
      </c>
    </row>
    <row r="3176" spans="1:6" x14ac:dyDescent="0.35">
      <c r="A3176" t="str">
        <f>+'[2]por cuent'!A3176</f>
        <v>ARS</v>
      </c>
      <c r="B3176" t="str">
        <f>+'[2]por cuent'!B3176</f>
        <v>806000317</v>
      </c>
      <c r="C3176" t="str">
        <f>+'[2]por cuent'!C3176</f>
        <v>NAHUEL PENA CONGREGADO</v>
      </c>
      <c r="D3176" s="35">
        <f>+'[2]por cuent'!G3176</f>
        <v>1000400</v>
      </c>
      <c r="E3176" s="35">
        <f>+'[2]por cuent'!H3176</f>
        <v>1000400</v>
      </c>
      <c r="F3176" t="str">
        <f>+'[2]por cuent'!I3176</f>
        <v>806</v>
      </c>
    </row>
    <row r="3177" spans="1:6" x14ac:dyDescent="0.35">
      <c r="A3177" t="str">
        <f>+'[2]por cuent'!A3177</f>
        <v>ARS</v>
      </c>
      <c r="B3177" t="str">
        <f>+'[2]por cuent'!B3177</f>
        <v>806000321</v>
      </c>
      <c r="C3177" t="str">
        <f>+'[2]por cuent'!C3177</f>
        <v>ANDREA DINA RAIZMAN</v>
      </c>
      <c r="D3177" s="35">
        <f>+'[2]por cuent'!G3177</f>
        <v>28810960</v>
      </c>
      <c r="E3177" s="35">
        <f>+'[2]por cuent'!H3177</f>
        <v>28810960</v>
      </c>
      <c r="F3177" t="str">
        <f>+'[2]por cuent'!I3177</f>
        <v>806</v>
      </c>
    </row>
    <row r="3178" spans="1:6" x14ac:dyDescent="0.35">
      <c r="A3178" t="str">
        <f>+'[2]por cuent'!A3178</f>
        <v>ARS</v>
      </c>
      <c r="B3178" t="str">
        <f>+'[2]por cuent'!B3178</f>
        <v>806000322</v>
      </c>
      <c r="C3178" t="str">
        <f>+'[2]por cuent'!C3178</f>
        <v>FACUNDO AGRELO</v>
      </c>
      <c r="D3178" s="35">
        <f>+'[2]por cuent'!G3178</f>
        <v>2040120</v>
      </c>
      <c r="E3178" s="35">
        <f>+'[2]por cuent'!H3178</f>
        <v>2040120</v>
      </c>
      <c r="F3178" t="str">
        <f>+'[2]por cuent'!I3178</f>
        <v>806</v>
      </c>
    </row>
    <row r="3179" spans="1:6" x14ac:dyDescent="0.35">
      <c r="A3179" t="str">
        <f>+'[2]por cuent'!A3179</f>
        <v>ARS</v>
      </c>
      <c r="B3179" t="str">
        <f>+'[2]por cuent'!B3179</f>
        <v>806000323</v>
      </c>
      <c r="C3179" t="str">
        <f>+'[2]por cuent'!C3179</f>
        <v>Ramiro Olmedo</v>
      </c>
      <c r="D3179" s="35">
        <f>+'[2]por cuent'!G3179</f>
        <v>477645255.80000001</v>
      </c>
      <c r="E3179" s="35">
        <f>+'[2]por cuent'!H3179</f>
        <v>477645255.80000001</v>
      </c>
      <c r="F3179" t="str">
        <f>+'[2]por cuent'!I3179</f>
        <v>806</v>
      </c>
    </row>
    <row r="3180" spans="1:6" x14ac:dyDescent="0.35">
      <c r="A3180" t="str">
        <f>+'[2]por cuent'!A3180</f>
        <v>ARS</v>
      </c>
      <c r="B3180" t="str">
        <f>+'[2]por cuent'!B3180</f>
        <v>806000325</v>
      </c>
      <c r="C3180" t="str">
        <f>+'[2]por cuent'!C3180</f>
        <v>CARLOS DENIS RAMOS</v>
      </c>
      <c r="D3180" s="35">
        <f>+'[2]por cuent'!G3180</f>
        <v>56831324.329999998</v>
      </c>
      <c r="E3180" s="35">
        <f>+'[2]por cuent'!H3180</f>
        <v>56831324.329999998</v>
      </c>
      <c r="F3180" t="str">
        <f>+'[2]por cuent'!I3180</f>
        <v>806</v>
      </c>
    </row>
    <row r="3181" spans="1:6" x14ac:dyDescent="0.35">
      <c r="A3181" t="str">
        <f>+'[2]por cuent'!A3181</f>
        <v>ARS</v>
      </c>
      <c r="B3181" t="str">
        <f>+'[2]por cuent'!B3181</f>
        <v>806000326</v>
      </c>
      <c r="C3181" t="str">
        <f>+'[2]por cuent'!C3181</f>
        <v>GABRIEL FERNANDEZ KOLLER</v>
      </c>
      <c r="D3181" s="35">
        <f>+'[2]por cuent'!G3181</f>
        <v>4680700</v>
      </c>
      <c r="E3181" s="35">
        <f>+'[2]por cuent'!H3181</f>
        <v>4680700</v>
      </c>
      <c r="F3181" t="str">
        <f>+'[2]por cuent'!I3181</f>
        <v>806</v>
      </c>
    </row>
    <row r="3182" spans="1:6" x14ac:dyDescent="0.35">
      <c r="A3182" t="str">
        <f>+'[2]por cuent'!A3182</f>
        <v>ARS</v>
      </c>
      <c r="B3182" t="str">
        <f>+'[2]por cuent'!B3182</f>
        <v>806000330</v>
      </c>
      <c r="C3182" t="str">
        <f>+'[2]por cuent'!C3182</f>
        <v>NAZARENA MESIAS</v>
      </c>
      <c r="D3182" s="35">
        <f>+'[2]por cuent'!G3182</f>
        <v>89460</v>
      </c>
      <c r="E3182" s="35">
        <f>+'[2]por cuent'!H3182</f>
        <v>89460</v>
      </c>
      <c r="F3182" t="str">
        <f>+'[2]por cuent'!I3182</f>
        <v>806</v>
      </c>
    </row>
    <row r="3183" spans="1:6" x14ac:dyDescent="0.35">
      <c r="A3183" t="str">
        <f>+'[2]por cuent'!A3183</f>
        <v>ARS</v>
      </c>
      <c r="B3183" t="str">
        <f>+'[2]por cuent'!B3183</f>
        <v>806000332</v>
      </c>
      <c r="C3183" t="str">
        <f>+'[2]por cuent'!C3183</f>
        <v xml:space="preserve"> CRISCI JUAN FRANCISCO</v>
      </c>
      <c r="D3183" s="35">
        <f>+'[2]por cuent'!G3183</f>
        <v>2077026.1</v>
      </c>
      <c r="E3183" s="35">
        <f>+'[2]por cuent'!H3183</f>
        <v>2077026.1</v>
      </c>
      <c r="F3183" t="str">
        <f>+'[2]por cuent'!I3183</f>
        <v>806</v>
      </c>
    </row>
    <row r="3184" spans="1:6" x14ac:dyDescent="0.35">
      <c r="A3184" t="str">
        <f>+'[2]por cuent'!A3184</f>
        <v>ARS</v>
      </c>
      <c r="B3184" t="str">
        <f>+'[2]por cuent'!B3184</f>
        <v>806000336</v>
      </c>
      <c r="C3184" t="str">
        <f>+'[2]por cuent'!C3184</f>
        <v>MARICHAL PABLO Y DELUCCHI MICAELA</v>
      </c>
      <c r="D3184" s="35">
        <f>+'[2]por cuent'!G3184</f>
        <v>15706973.52</v>
      </c>
      <c r="E3184" s="35">
        <f>+'[2]por cuent'!H3184</f>
        <v>15706973.52</v>
      </c>
      <c r="F3184" t="str">
        <f>+'[2]por cuent'!I3184</f>
        <v>806</v>
      </c>
    </row>
    <row r="3185" spans="1:6" x14ac:dyDescent="0.35">
      <c r="A3185" t="str">
        <f>+'[2]por cuent'!A3185</f>
        <v>ARS</v>
      </c>
      <c r="B3185" t="str">
        <f>+'[2]por cuent'!B3185</f>
        <v>806000337</v>
      </c>
      <c r="C3185" t="str">
        <f>+'[2]por cuent'!C3185</f>
        <v>RIVADAVIA 5387 SRL</v>
      </c>
      <c r="D3185" s="35">
        <f>+'[2]por cuent'!G3185</f>
        <v>3795520</v>
      </c>
      <c r="E3185" s="35">
        <f>+'[2]por cuent'!H3185</f>
        <v>3795520</v>
      </c>
      <c r="F3185" t="str">
        <f>+'[2]por cuent'!I3185</f>
        <v>806</v>
      </c>
    </row>
    <row r="3186" spans="1:6" x14ac:dyDescent="0.35">
      <c r="A3186" t="str">
        <f>+'[2]por cuent'!A3186</f>
        <v>ARS</v>
      </c>
      <c r="B3186" t="str">
        <f>+'[2]por cuent'!B3186</f>
        <v>806000346</v>
      </c>
      <c r="C3186" t="str">
        <f>+'[2]por cuent'!C3186</f>
        <v>GHERINGHELLI LORENA</v>
      </c>
      <c r="D3186" s="35">
        <f>+'[2]por cuent'!G3186</f>
        <v>84958099.989999995</v>
      </c>
      <c r="E3186" s="35">
        <f>+'[2]por cuent'!H3186</f>
        <v>84958099.989999995</v>
      </c>
      <c r="F3186" t="str">
        <f>+'[2]por cuent'!I3186</f>
        <v>806</v>
      </c>
    </row>
    <row r="3187" spans="1:6" x14ac:dyDescent="0.35">
      <c r="A3187" t="str">
        <f>+'[2]por cuent'!A3187</f>
        <v>ARS</v>
      </c>
      <c r="B3187" t="str">
        <f>+'[2]por cuent'!B3187</f>
        <v>806000347</v>
      </c>
      <c r="C3187" t="str">
        <f>+'[2]por cuent'!C3187</f>
        <v>Alejandro De Luque</v>
      </c>
      <c r="D3187" s="35">
        <f>+'[2]por cuent'!G3187</f>
        <v>170888226.80000001</v>
      </c>
      <c r="E3187" s="35">
        <f>+'[2]por cuent'!H3187</f>
        <v>170888226.80000001</v>
      </c>
      <c r="F3187" t="str">
        <f>+'[2]por cuent'!I3187</f>
        <v>806</v>
      </c>
    </row>
    <row r="3188" spans="1:6" x14ac:dyDescent="0.35">
      <c r="A3188" t="str">
        <f>+'[2]por cuent'!A3188</f>
        <v>ARS</v>
      </c>
      <c r="B3188" t="str">
        <f>+'[2]por cuent'!B3188</f>
        <v>806000350</v>
      </c>
      <c r="C3188" t="str">
        <f>+'[2]por cuent'!C3188</f>
        <v>ALEJO BORRA y/o CAROLINA FANJUL</v>
      </c>
      <c r="D3188" s="35">
        <f>+'[2]por cuent'!G3188</f>
        <v>14055746.48</v>
      </c>
      <c r="E3188" s="35">
        <f>+'[2]por cuent'!H3188</f>
        <v>14055746.48</v>
      </c>
      <c r="F3188" t="str">
        <f>+'[2]por cuent'!I3188</f>
        <v>806</v>
      </c>
    </row>
    <row r="3189" spans="1:6" x14ac:dyDescent="0.35">
      <c r="A3189" t="str">
        <f>+'[2]por cuent'!A3189</f>
        <v>ARS</v>
      </c>
      <c r="B3189" t="str">
        <f>+'[2]por cuent'!B3189</f>
        <v>806000355</v>
      </c>
      <c r="C3189" t="str">
        <f>+'[2]por cuent'!C3189</f>
        <v>DAMIAN ALFREDO GONZALEZ</v>
      </c>
      <c r="D3189" s="35">
        <f>+'[2]por cuent'!G3189</f>
        <v>1000875698.41</v>
      </c>
      <c r="E3189" s="35">
        <f>+'[2]por cuent'!H3189</f>
        <v>1000875698.41</v>
      </c>
      <c r="F3189" t="str">
        <f>+'[2]por cuent'!I3189</f>
        <v>806</v>
      </c>
    </row>
    <row r="3190" spans="1:6" x14ac:dyDescent="0.35">
      <c r="A3190" t="str">
        <f>+'[2]por cuent'!A3190</f>
        <v>ARS</v>
      </c>
      <c r="B3190" t="str">
        <f>+'[2]por cuent'!B3190</f>
        <v>806000357</v>
      </c>
      <c r="C3190" t="str">
        <f>+'[2]por cuent'!C3190</f>
        <v>ASOCIACION ATLETICA ARGENTINOS JUNIORS</v>
      </c>
      <c r="D3190" s="35">
        <f>+'[2]por cuent'!G3190</f>
        <v>1750676857.97</v>
      </c>
      <c r="E3190" s="35">
        <f>+'[2]por cuent'!H3190</f>
        <v>1750676857.97</v>
      </c>
      <c r="F3190" t="str">
        <f>+'[2]por cuent'!I3190</f>
        <v>806</v>
      </c>
    </row>
    <row r="3191" spans="1:6" x14ac:dyDescent="0.35">
      <c r="A3191" t="str">
        <f>+'[2]por cuent'!A3191</f>
        <v>ARS</v>
      </c>
      <c r="B3191" t="str">
        <f>+'[2]por cuent'!B3191</f>
        <v>806000358</v>
      </c>
      <c r="C3191" t="str">
        <f>+'[2]por cuent'!C3191</f>
        <v>BUSINESS POINT SRL</v>
      </c>
      <c r="D3191" s="35">
        <f>+'[2]por cuent'!G3191</f>
        <v>1370498553</v>
      </c>
      <c r="E3191" s="35">
        <f>+'[2]por cuent'!H3191</f>
        <v>1370498553</v>
      </c>
      <c r="F3191" t="str">
        <f>+'[2]por cuent'!I3191</f>
        <v>806</v>
      </c>
    </row>
    <row r="3192" spans="1:6" x14ac:dyDescent="0.35">
      <c r="A3192" t="str">
        <f>+'[2]por cuent'!A3192</f>
        <v>ARS</v>
      </c>
      <c r="B3192" t="str">
        <f>+'[2]por cuent'!B3192</f>
        <v>806000359</v>
      </c>
      <c r="C3192" t="str">
        <f>+'[2]por cuent'!C3192</f>
        <v>ANGEL SANTO STEFANO Y/O CLAUDIA COUSILLAS</v>
      </c>
      <c r="D3192" s="35">
        <f>+'[2]por cuent'!G3192</f>
        <v>8265371.7999999998</v>
      </c>
      <c r="E3192" s="35">
        <f>+'[2]por cuent'!H3192</f>
        <v>8265371.7999999998</v>
      </c>
      <c r="F3192" t="str">
        <f>+'[2]por cuent'!I3192</f>
        <v>806</v>
      </c>
    </row>
    <row r="3193" spans="1:6" x14ac:dyDescent="0.35">
      <c r="A3193" t="str">
        <f>+'[2]por cuent'!A3193</f>
        <v>ARS</v>
      </c>
      <c r="B3193" t="str">
        <f>+'[2]por cuent'!B3193</f>
        <v>806000361</v>
      </c>
      <c r="C3193" t="str">
        <f>+'[2]por cuent'!C3193</f>
        <v>FMT S.A</v>
      </c>
      <c r="D3193" s="35">
        <f>+'[2]por cuent'!G3193</f>
        <v>903060520.84000003</v>
      </c>
      <c r="E3193" s="35">
        <f>+'[2]por cuent'!H3193</f>
        <v>903060520.84000003</v>
      </c>
      <c r="F3193" t="str">
        <f>+'[2]por cuent'!I3193</f>
        <v>806</v>
      </c>
    </row>
    <row r="3194" spans="1:6" x14ac:dyDescent="0.35">
      <c r="A3194" t="str">
        <f>+'[2]por cuent'!A3194</f>
        <v>ARS</v>
      </c>
      <c r="B3194" t="str">
        <f>+'[2]por cuent'!B3194</f>
        <v>806000366</v>
      </c>
      <c r="C3194" t="str">
        <f>+'[2]por cuent'!C3194</f>
        <v>ROMA CONSULTING S.A</v>
      </c>
      <c r="D3194" s="35">
        <f>+'[2]por cuent'!G3194</f>
        <v>42188800</v>
      </c>
      <c r="E3194" s="35">
        <f>+'[2]por cuent'!H3194</f>
        <v>42188800</v>
      </c>
      <c r="F3194" t="str">
        <f>+'[2]por cuent'!I3194</f>
        <v>806</v>
      </c>
    </row>
    <row r="3195" spans="1:6" x14ac:dyDescent="0.35">
      <c r="A3195" t="str">
        <f>+'[2]por cuent'!A3195</f>
        <v>ARS</v>
      </c>
      <c r="B3195" t="str">
        <f>+'[2]por cuent'!B3195</f>
        <v>806000367</v>
      </c>
      <c r="C3195" t="str">
        <f>+'[2]por cuent'!C3195</f>
        <v>ECS LATAM SAS</v>
      </c>
      <c r="D3195" s="35">
        <f>+'[2]por cuent'!G3195</f>
        <v>30859700</v>
      </c>
      <c r="E3195" s="35">
        <f>+'[2]por cuent'!H3195</f>
        <v>30859700</v>
      </c>
      <c r="F3195" t="str">
        <f>+'[2]por cuent'!I3195</f>
        <v>806</v>
      </c>
    </row>
    <row r="3196" spans="1:6" x14ac:dyDescent="0.35">
      <c r="A3196" t="str">
        <f>+'[2]por cuent'!A3196</f>
        <v>ARS</v>
      </c>
      <c r="B3196" t="str">
        <f>+'[2]por cuent'!B3196</f>
        <v>806000370</v>
      </c>
      <c r="C3196" t="str">
        <f>+'[2]por cuent'!C3196</f>
        <v>JOSE LUIS BENTIVEGNA</v>
      </c>
      <c r="D3196" s="35">
        <f>+'[2]por cuent'!G3196</f>
        <v>606323511.71000004</v>
      </c>
      <c r="E3196" s="35">
        <f>+'[2]por cuent'!H3196</f>
        <v>606323511.71000004</v>
      </c>
      <c r="F3196" t="str">
        <f>+'[2]por cuent'!I3196</f>
        <v>806</v>
      </c>
    </row>
    <row r="3197" spans="1:6" x14ac:dyDescent="0.35">
      <c r="A3197" t="str">
        <f>+'[2]por cuent'!A3197</f>
        <v>ARS</v>
      </c>
      <c r="B3197" t="str">
        <f>+'[2]por cuent'!B3197</f>
        <v>806000372</v>
      </c>
      <c r="C3197" t="str">
        <f>+'[2]por cuent'!C3197</f>
        <v>MARCELO FABIAN GOMEZ</v>
      </c>
      <c r="D3197" s="35">
        <f>+'[2]por cuent'!G3197</f>
        <v>183023978.87</v>
      </c>
      <c r="E3197" s="35">
        <f>+'[2]por cuent'!H3197</f>
        <v>183023978.87</v>
      </c>
      <c r="F3197" t="str">
        <f>+'[2]por cuent'!I3197</f>
        <v>806</v>
      </c>
    </row>
    <row r="3198" spans="1:6" x14ac:dyDescent="0.35">
      <c r="A3198" t="str">
        <f>+'[2]por cuent'!A3198</f>
        <v>ARS</v>
      </c>
      <c r="B3198" t="str">
        <f>+'[2]por cuent'!B3198</f>
        <v>806000374</v>
      </c>
      <c r="C3198" t="str">
        <f>+'[2]por cuent'!C3198</f>
        <v>PAUL VAQUIE</v>
      </c>
      <c r="D3198" s="35">
        <f>+'[2]por cuent'!G3198</f>
        <v>25327359.32</v>
      </c>
      <c r="E3198" s="35">
        <f>+'[2]por cuent'!H3198</f>
        <v>25327359.32</v>
      </c>
      <c r="F3198" t="str">
        <f>+'[2]por cuent'!I3198</f>
        <v>806</v>
      </c>
    </row>
    <row r="3199" spans="1:6" x14ac:dyDescent="0.35">
      <c r="A3199" t="str">
        <f>+'[2]por cuent'!A3199</f>
        <v>ARS</v>
      </c>
      <c r="B3199" t="str">
        <f>+'[2]por cuent'!B3199</f>
        <v>806000376</v>
      </c>
      <c r="C3199" t="str">
        <f>+'[2]por cuent'!C3199</f>
        <v>DARDO AGUILAR</v>
      </c>
      <c r="D3199" s="35">
        <f>+'[2]por cuent'!G3199</f>
        <v>4918103.5999999996</v>
      </c>
      <c r="E3199" s="35">
        <f>+'[2]por cuent'!H3199</f>
        <v>4918103.5999999996</v>
      </c>
      <c r="F3199" t="str">
        <f>+'[2]por cuent'!I3199</f>
        <v>806</v>
      </c>
    </row>
    <row r="3200" spans="1:6" x14ac:dyDescent="0.35">
      <c r="A3200" t="str">
        <f>+'[2]por cuent'!A3200</f>
        <v>ARS</v>
      </c>
      <c r="B3200" t="str">
        <f>+'[2]por cuent'!B3200</f>
        <v>806000380</v>
      </c>
      <c r="C3200" t="str">
        <f>+'[2]por cuent'!C3200</f>
        <v>ANGEL  BENTIVEGNA</v>
      </c>
      <c r="D3200" s="35">
        <f>+'[2]por cuent'!G3200</f>
        <v>244965523.86000001</v>
      </c>
      <c r="E3200" s="35">
        <f>+'[2]por cuent'!H3200</f>
        <v>244965523.86000001</v>
      </c>
      <c r="F3200" t="str">
        <f>+'[2]por cuent'!I3200</f>
        <v>806</v>
      </c>
    </row>
    <row r="3201" spans="1:6" x14ac:dyDescent="0.35">
      <c r="A3201" t="str">
        <f>+'[2]por cuent'!A3201</f>
        <v>ARS</v>
      </c>
      <c r="B3201" t="str">
        <f>+'[2]por cuent'!B3201</f>
        <v>806000388</v>
      </c>
      <c r="C3201" t="str">
        <f>+'[2]por cuent'!C3201</f>
        <v>Julian Santero</v>
      </c>
      <c r="D3201" s="35">
        <f>+'[2]por cuent'!G3201</f>
        <v>471083852.5</v>
      </c>
      <c r="E3201" s="35">
        <f>+'[2]por cuent'!H3201</f>
        <v>471083852.5</v>
      </c>
      <c r="F3201" t="str">
        <f>+'[2]por cuent'!I3201</f>
        <v>806</v>
      </c>
    </row>
    <row r="3202" spans="1:6" x14ac:dyDescent="0.35">
      <c r="A3202" t="str">
        <f>+'[2]por cuent'!A3202</f>
        <v>ARS</v>
      </c>
      <c r="B3202" t="str">
        <f>+'[2]por cuent'!B3202</f>
        <v>806000389</v>
      </c>
      <c r="C3202" t="str">
        <f>+'[2]por cuent'!C3202</f>
        <v>MIGUEL ANGEL SAPIA</v>
      </c>
      <c r="D3202" s="35">
        <f>+'[2]por cuent'!G3202</f>
        <v>10251823</v>
      </c>
      <c r="E3202" s="35">
        <f>+'[2]por cuent'!H3202</f>
        <v>10251823</v>
      </c>
      <c r="F3202" t="str">
        <f>+'[2]por cuent'!I3202</f>
        <v>806</v>
      </c>
    </row>
    <row r="3203" spans="1:6" x14ac:dyDescent="0.35">
      <c r="A3203" t="str">
        <f>+'[2]por cuent'!A3203</f>
        <v>ARS</v>
      </c>
      <c r="B3203" t="str">
        <f>+'[2]por cuent'!B3203</f>
        <v>806000399</v>
      </c>
      <c r="C3203" t="str">
        <f>+'[2]por cuent'!C3203</f>
        <v>ROBERTO VICTOR LEMIEZA</v>
      </c>
      <c r="D3203" s="35">
        <f>+'[2]por cuent'!G3203</f>
        <v>24452800</v>
      </c>
      <c r="E3203" s="35">
        <f>+'[2]por cuent'!H3203</f>
        <v>24452800</v>
      </c>
      <c r="F3203" t="str">
        <f>+'[2]por cuent'!I3203</f>
        <v>806</v>
      </c>
    </row>
    <row r="3204" spans="1:6" x14ac:dyDescent="0.35">
      <c r="A3204" t="str">
        <f>+'[2]por cuent'!A3204</f>
        <v>ARS</v>
      </c>
      <c r="B3204" t="str">
        <f>+'[2]por cuent'!B3204</f>
        <v>806000400</v>
      </c>
      <c r="C3204" t="str">
        <f>+'[2]por cuent'!C3204</f>
        <v>HARJUICE S.R.L.</v>
      </c>
      <c r="D3204" s="35">
        <f>+'[2]por cuent'!G3204</f>
        <v>38557611.899999999</v>
      </c>
      <c r="E3204" s="35">
        <f>+'[2]por cuent'!H3204</f>
        <v>38557611.899999999</v>
      </c>
      <c r="F3204" t="str">
        <f>+'[2]por cuent'!I3204</f>
        <v>806</v>
      </c>
    </row>
    <row r="3205" spans="1:6" x14ac:dyDescent="0.35">
      <c r="A3205" t="str">
        <f>+'[2]por cuent'!A3205</f>
        <v>ARS</v>
      </c>
      <c r="B3205" t="str">
        <f>+'[2]por cuent'!B3205</f>
        <v>806000401</v>
      </c>
      <c r="C3205" t="str">
        <f>+'[2]por cuent'!C3205</f>
        <v>NICOLAS JAVIER NIGRO</v>
      </c>
      <c r="D3205" s="35">
        <f>+'[2]por cuent'!G3205</f>
        <v>5697891</v>
      </c>
      <c r="E3205" s="35">
        <f>+'[2]por cuent'!H3205</f>
        <v>5697891</v>
      </c>
      <c r="F3205" t="str">
        <f>+'[2]por cuent'!I3205</f>
        <v>806</v>
      </c>
    </row>
    <row r="3206" spans="1:6" x14ac:dyDescent="0.35">
      <c r="A3206" t="str">
        <f>+'[2]por cuent'!A3206</f>
        <v>ARS</v>
      </c>
      <c r="B3206" t="str">
        <f>+'[2]por cuent'!B3206</f>
        <v>806000402</v>
      </c>
      <c r="C3206" t="str">
        <f>+'[2]por cuent'!C3206</f>
        <v>RECE S.A.</v>
      </c>
      <c r="D3206" s="35">
        <f>+'[2]por cuent'!G3206</f>
        <v>2311639218.4899998</v>
      </c>
      <c r="E3206" s="35">
        <f>+'[2]por cuent'!H3206</f>
        <v>2311639218.4899998</v>
      </c>
      <c r="F3206" t="str">
        <f>+'[2]por cuent'!I3206</f>
        <v>806</v>
      </c>
    </row>
    <row r="3207" spans="1:6" x14ac:dyDescent="0.35">
      <c r="A3207" t="str">
        <f>+'[2]por cuent'!A3207</f>
        <v>ARS</v>
      </c>
      <c r="B3207" t="str">
        <f>+'[2]por cuent'!B3207</f>
        <v>806000403</v>
      </c>
      <c r="C3207" t="str">
        <f>+'[2]por cuent'!C3207</f>
        <v>MARIA EUGENIA, COLELLA</v>
      </c>
      <c r="D3207" s="35">
        <f>+'[2]por cuent'!G3207</f>
        <v>1318111</v>
      </c>
      <c r="E3207" s="35">
        <f>+'[2]por cuent'!H3207</f>
        <v>1318111</v>
      </c>
      <c r="F3207" t="str">
        <f>+'[2]por cuent'!I3207</f>
        <v>806</v>
      </c>
    </row>
    <row r="3208" spans="1:6" x14ac:dyDescent="0.35">
      <c r="A3208" t="str">
        <f>+'[2]por cuent'!A3208</f>
        <v>ARS</v>
      </c>
      <c r="B3208" t="str">
        <f>+'[2]por cuent'!B3208</f>
        <v>806000405</v>
      </c>
      <c r="C3208" t="str">
        <f>+'[2]por cuent'!C3208</f>
        <v>ALEJANDRO MARTIN SAT</v>
      </c>
      <c r="D3208" s="35">
        <f>+'[2]por cuent'!G3208</f>
        <v>8032000</v>
      </c>
      <c r="E3208" s="35">
        <f>+'[2]por cuent'!H3208</f>
        <v>8032000</v>
      </c>
      <c r="F3208" t="str">
        <f>+'[2]por cuent'!I3208</f>
        <v>806</v>
      </c>
    </row>
    <row r="3209" spans="1:6" x14ac:dyDescent="0.35">
      <c r="A3209" t="str">
        <f>+'[2]por cuent'!A3209</f>
        <v>ARS</v>
      </c>
      <c r="B3209" t="str">
        <f>+'[2]por cuent'!B3209</f>
        <v>806000412</v>
      </c>
      <c r="C3209" t="str">
        <f>+'[2]por cuent'!C3209</f>
        <v>LEMIEZA GISELA ELIZABET</v>
      </c>
      <c r="D3209" s="35">
        <f>+'[2]por cuent'!G3209</f>
        <v>20076689.789999999</v>
      </c>
      <c r="E3209" s="35">
        <f>+'[2]por cuent'!H3209</f>
        <v>20076689.789999999</v>
      </c>
      <c r="F3209" t="str">
        <f>+'[2]por cuent'!I3209</f>
        <v>806</v>
      </c>
    </row>
    <row r="3210" spans="1:6" x14ac:dyDescent="0.35">
      <c r="A3210" t="str">
        <f>+'[2]por cuent'!A3210</f>
        <v>ARS</v>
      </c>
      <c r="B3210" t="str">
        <f>+'[2]por cuent'!B3210</f>
        <v>806000416</v>
      </c>
      <c r="C3210" t="str">
        <f>+'[2]por cuent'!C3210</f>
        <v>CARPES ALL S.A.</v>
      </c>
      <c r="D3210" s="35">
        <f>+'[2]por cuent'!G3210</f>
        <v>2079142708.4100001</v>
      </c>
      <c r="E3210" s="35">
        <f>+'[2]por cuent'!H3210</f>
        <v>2079142708.4100001</v>
      </c>
      <c r="F3210" t="str">
        <f>+'[2]por cuent'!I3210</f>
        <v>806</v>
      </c>
    </row>
    <row r="3211" spans="1:6" x14ac:dyDescent="0.35">
      <c r="A3211" t="str">
        <f>+'[2]por cuent'!A3211</f>
        <v>ARS</v>
      </c>
      <c r="B3211" t="str">
        <f>+'[2]por cuent'!B3211</f>
        <v>806000912</v>
      </c>
      <c r="C3211" t="str">
        <f>+'[2]por cuent'!C3211</f>
        <v>MAURO PASCALI</v>
      </c>
      <c r="D3211" s="35">
        <f>+'[2]por cuent'!G3211</f>
        <v>88431300</v>
      </c>
      <c r="E3211" s="35">
        <f>+'[2]por cuent'!H3211</f>
        <v>88431300</v>
      </c>
      <c r="F3211" t="str">
        <f>+'[2]por cuent'!I3211</f>
        <v>806</v>
      </c>
    </row>
    <row r="3212" spans="1:6" x14ac:dyDescent="0.35">
      <c r="A3212" t="str">
        <f>+'[2]por cuent'!A3212</f>
        <v>ARS</v>
      </c>
      <c r="B3212" t="str">
        <f>+'[2]por cuent'!B3212</f>
        <v>811000005</v>
      </c>
      <c r="C3212" t="str">
        <f>+'[2]por cuent'!C3212</f>
        <v>[C.E.R.A .] Gustavo Adolfo Kohnen</v>
      </c>
      <c r="D3212" s="35">
        <f>+'[2]por cuent'!G3212</f>
        <v>277171596.02999997</v>
      </c>
      <c r="E3212" s="35">
        <f>+'[2]por cuent'!H3212</f>
        <v>277171596.02999997</v>
      </c>
      <c r="F3212" t="str">
        <f>+'[2]por cuent'!I3212</f>
        <v>811</v>
      </c>
    </row>
    <row r="3213" spans="1:6" x14ac:dyDescent="0.35">
      <c r="A3213" t="str">
        <f>+'[2]por cuent'!A3213</f>
        <v>ARS</v>
      </c>
      <c r="B3213" t="str">
        <f>+'[2]por cuent'!B3213</f>
        <v>811000010</v>
      </c>
      <c r="C3213" t="str">
        <f>+'[2]por cuent'!C3213</f>
        <v>Martin Portas</v>
      </c>
      <c r="D3213" s="35">
        <f>+'[2]por cuent'!G3213</f>
        <v>17951600</v>
      </c>
      <c r="E3213" s="35">
        <f>+'[2]por cuent'!H3213</f>
        <v>17951600</v>
      </c>
      <c r="F3213" t="str">
        <f>+'[2]por cuent'!I3213</f>
        <v>811</v>
      </c>
    </row>
    <row r="3214" spans="1:6" x14ac:dyDescent="0.35">
      <c r="A3214" t="str">
        <f>+'[2]por cuent'!A3214</f>
        <v>ARS</v>
      </c>
      <c r="B3214" t="str">
        <f>+'[2]por cuent'!B3214</f>
        <v>811000016</v>
      </c>
      <c r="C3214" t="str">
        <f>+'[2]por cuent'!C3214</f>
        <v>Verlin Capital S.A</v>
      </c>
      <c r="D3214" s="35">
        <f>+'[2]por cuent'!G3214</f>
        <v>34676952.990000002</v>
      </c>
      <c r="E3214" s="35">
        <f>+'[2]por cuent'!H3214</f>
        <v>34676952.990000002</v>
      </c>
      <c r="F3214" t="str">
        <f>+'[2]por cuent'!I3214</f>
        <v>811</v>
      </c>
    </row>
    <row r="3215" spans="1:6" x14ac:dyDescent="0.35">
      <c r="A3215" t="str">
        <f>+'[2]por cuent'!A3215</f>
        <v>ARS</v>
      </c>
      <c r="B3215" t="str">
        <f>+'[2]por cuent'!B3215</f>
        <v>811000017</v>
      </c>
      <c r="C3215" t="str">
        <f>+'[2]por cuent'!C3215</f>
        <v>Sol Armando</v>
      </c>
      <c r="D3215" s="35">
        <f>+'[2]por cuent'!G3215</f>
        <v>15110738.5</v>
      </c>
      <c r="E3215" s="35">
        <f>+'[2]por cuent'!H3215</f>
        <v>15110738.5</v>
      </c>
      <c r="F3215" t="str">
        <f>+'[2]por cuent'!I3215</f>
        <v>811</v>
      </c>
    </row>
    <row r="3216" spans="1:6" x14ac:dyDescent="0.35">
      <c r="A3216" t="str">
        <f>+'[2]por cuent'!A3216</f>
        <v>ARS</v>
      </c>
      <c r="B3216" t="str">
        <f>+'[2]por cuent'!B3216</f>
        <v>811000021</v>
      </c>
      <c r="C3216" t="str">
        <f>+'[2]por cuent'!C3216</f>
        <v>PMP CARGO SRL</v>
      </c>
      <c r="D3216" s="35">
        <f>+'[2]por cuent'!G3216</f>
        <v>17739500</v>
      </c>
      <c r="E3216" s="35">
        <f>+'[2]por cuent'!H3216</f>
        <v>17739500</v>
      </c>
      <c r="F3216" t="str">
        <f>+'[2]por cuent'!I3216</f>
        <v>811</v>
      </c>
    </row>
    <row r="3217" spans="1:6" x14ac:dyDescent="0.35">
      <c r="A3217" t="str">
        <f>+'[2]por cuent'!A3217</f>
        <v>ARS</v>
      </c>
      <c r="B3217" t="str">
        <f>+'[2]por cuent'!B3217</f>
        <v>811000023</v>
      </c>
      <c r="C3217" t="str">
        <f>+'[2]por cuent'!C3217</f>
        <v>Gustavo Adolfo Kohnen</v>
      </c>
      <c r="D3217" s="35">
        <f>+'[2]por cuent'!G3217</f>
        <v>4255000</v>
      </c>
      <c r="E3217" s="35">
        <f>+'[2]por cuent'!H3217</f>
        <v>4255000</v>
      </c>
      <c r="F3217" t="str">
        <f>+'[2]por cuent'!I3217</f>
        <v>811</v>
      </c>
    </row>
    <row r="3218" spans="1:6" x14ac:dyDescent="0.35">
      <c r="A3218" t="str">
        <f>+'[2]por cuent'!A3218</f>
        <v>ARS</v>
      </c>
      <c r="B3218" t="str">
        <f>+'[2]por cuent'!B3218</f>
        <v>811000024</v>
      </c>
      <c r="C3218" t="str">
        <f>+'[2]por cuent'!C3218</f>
        <v>Code Logistics S.A</v>
      </c>
      <c r="D3218" s="35">
        <f>+'[2]por cuent'!G3218</f>
        <v>245043978.03</v>
      </c>
      <c r="E3218" s="35">
        <f>+'[2]por cuent'!H3218</f>
        <v>245043978.03</v>
      </c>
      <c r="F3218" t="str">
        <f>+'[2]por cuent'!I3218</f>
        <v>811</v>
      </c>
    </row>
    <row r="3219" spans="1:6" x14ac:dyDescent="0.35">
      <c r="A3219" t="str">
        <f>+'[2]por cuent'!A3219</f>
        <v>ARS</v>
      </c>
      <c r="B3219" t="str">
        <f>+'[2]por cuent'!B3219</f>
        <v>811000027</v>
      </c>
      <c r="C3219" t="str">
        <f>+'[2]por cuent'!C3219</f>
        <v>Christian Basile</v>
      </c>
      <c r="D3219" s="35">
        <f>+'[2]por cuent'!G3219</f>
        <v>41930000</v>
      </c>
      <c r="E3219" s="35">
        <f>+'[2]por cuent'!H3219</f>
        <v>41930000</v>
      </c>
      <c r="F3219" t="str">
        <f>+'[2]por cuent'!I3219</f>
        <v>811</v>
      </c>
    </row>
    <row r="3220" spans="1:6" x14ac:dyDescent="0.35">
      <c r="A3220" t="str">
        <f>+'[2]por cuent'!A3220</f>
        <v>ARS</v>
      </c>
      <c r="B3220" t="str">
        <f>+'[2]por cuent'!B3220</f>
        <v>812000004</v>
      </c>
      <c r="C3220" t="str">
        <f>+'[2]por cuent'!C3220</f>
        <v>San Cristobal Servicios Financieros S.A</v>
      </c>
      <c r="D3220" s="35">
        <f>+'[2]por cuent'!G3220</f>
        <v>241970533695.60001</v>
      </c>
      <c r="E3220" s="35">
        <f>+'[2]por cuent'!H3220</f>
        <v>241970533695.60001</v>
      </c>
      <c r="F3220" t="str">
        <f>+'[2]por cuent'!I3220</f>
        <v>812</v>
      </c>
    </row>
    <row r="3221" spans="1:6" x14ac:dyDescent="0.35">
      <c r="A3221" t="str">
        <f>+'[2]por cuent'!A3221</f>
        <v>ARS</v>
      </c>
      <c r="B3221" t="str">
        <f>+'[2]por cuent'!B3221</f>
        <v>812000005</v>
      </c>
      <c r="C3221" t="str">
        <f>+'[2]por cuent'!C3221</f>
        <v>San Cristobal Caja Mutual entre asociados de san cristobal SMSG</v>
      </c>
      <c r="D3221" s="35">
        <f>+'[2]por cuent'!G3221</f>
        <v>50705260817.379997</v>
      </c>
      <c r="E3221" s="35">
        <f>+'[2]por cuent'!H3221</f>
        <v>50705260817.379997</v>
      </c>
      <c r="F3221" t="str">
        <f>+'[2]por cuent'!I3221</f>
        <v>812</v>
      </c>
    </row>
    <row r="3222" spans="1:6" x14ac:dyDescent="0.35">
      <c r="A3222" t="str">
        <f>+'[2]por cuent'!A3222</f>
        <v>ARS</v>
      </c>
      <c r="B3222" t="str">
        <f>+'[2]por cuent'!B3222</f>
        <v>812000006</v>
      </c>
      <c r="C3222" t="str">
        <f>+'[2]por cuent'!C3222</f>
        <v>Epsztein Mario</v>
      </c>
      <c r="D3222" s="35">
        <f>+'[2]por cuent'!G3222</f>
        <v>1228927.58</v>
      </c>
      <c r="E3222" s="35">
        <f>+'[2]por cuent'!H3222</f>
        <v>1228927.58</v>
      </c>
      <c r="F3222" t="str">
        <f>+'[2]por cuent'!I3222</f>
        <v>812</v>
      </c>
    </row>
    <row r="3223" spans="1:6" x14ac:dyDescent="0.35">
      <c r="A3223" t="str">
        <f>+'[2]por cuent'!A3223</f>
        <v>ARS</v>
      </c>
      <c r="B3223" t="str">
        <f>+'[2]por cuent'!B3223</f>
        <v>812000015</v>
      </c>
      <c r="C3223" t="str">
        <f>+'[2]por cuent'!C3223</f>
        <v>Pelozo, Pablo Sebastian</v>
      </c>
      <c r="D3223" s="35">
        <f>+'[2]por cuent'!G3223</f>
        <v>19463603.170000002</v>
      </c>
      <c r="E3223" s="35">
        <f>+'[2]por cuent'!H3223</f>
        <v>19463603.170000002</v>
      </c>
      <c r="F3223" t="str">
        <f>+'[2]por cuent'!I3223</f>
        <v>812</v>
      </c>
    </row>
    <row r="3224" spans="1:6" x14ac:dyDescent="0.35">
      <c r="A3224" t="str">
        <f>+'[2]por cuent'!A3224</f>
        <v>ARS</v>
      </c>
      <c r="B3224" t="str">
        <f>+'[2]por cuent'!B3224</f>
        <v>812000019</v>
      </c>
      <c r="C3224" t="str">
        <f>+'[2]por cuent'!C3224</f>
        <v>Acuña, Enzo Nicolas</v>
      </c>
      <c r="D3224" s="35">
        <f>+'[2]por cuent'!G3224</f>
        <v>4809196.29</v>
      </c>
      <c r="E3224" s="35">
        <f>+'[2]por cuent'!H3224</f>
        <v>4809196.29</v>
      </c>
      <c r="F3224" t="str">
        <f>+'[2]por cuent'!I3224</f>
        <v>812</v>
      </c>
    </row>
    <row r="3225" spans="1:6" x14ac:dyDescent="0.35">
      <c r="A3225" t="str">
        <f>+'[2]por cuent'!A3225</f>
        <v>ARS</v>
      </c>
      <c r="B3225" t="str">
        <f>+'[2]por cuent'!B3225</f>
        <v>812000021</v>
      </c>
      <c r="C3225" t="str">
        <f>+'[2]por cuent'!C3225</f>
        <v>FIRST RENTA MIXTA IV FCI</v>
      </c>
      <c r="D3225" s="35">
        <f>+'[2]por cuent'!G3225</f>
        <v>1733499469.3299999</v>
      </c>
      <c r="E3225" s="35">
        <f>+'[2]por cuent'!H3225</f>
        <v>1733499469.3299999</v>
      </c>
      <c r="F3225" t="str">
        <f>+'[2]por cuent'!I3225</f>
        <v>812</v>
      </c>
    </row>
    <row r="3226" spans="1:6" x14ac:dyDescent="0.35">
      <c r="A3226" t="str">
        <f>+'[2]por cuent'!A3226</f>
        <v>ARS</v>
      </c>
      <c r="B3226" t="str">
        <f>+'[2]por cuent'!B3226</f>
        <v>812000022</v>
      </c>
      <c r="C3226" t="str">
        <f>+'[2]por cuent'!C3226</f>
        <v>FIRST RENTA PYMES II FCI</v>
      </c>
      <c r="D3226" s="35">
        <f>+'[2]por cuent'!G3226</f>
        <v>1853727709.04</v>
      </c>
      <c r="E3226" s="35">
        <f>+'[2]por cuent'!H3226</f>
        <v>1853727709.04</v>
      </c>
      <c r="F3226" t="str">
        <f>+'[2]por cuent'!I3226</f>
        <v>812</v>
      </c>
    </row>
    <row r="3227" spans="1:6" x14ac:dyDescent="0.35">
      <c r="A3227" t="str">
        <f>+'[2]por cuent'!A3227</f>
        <v>ARS</v>
      </c>
      <c r="B3227" t="str">
        <f>+'[2]por cuent'!B3227</f>
        <v>812000023</v>
      </c>
      <c r="C3227" t="str">
        <f>+'[2]por cuent'!C3227</f>
        <v>Markman, Hugo Bernardo</v>
      </c>
      <c r="D3227" s="35">
        <f>+'[2]por cuent'!G3227</f>
        <v>10415923.52</v>
      </c>
      <c r="E3227" s="35">
        <f>+'[2]por cuent'!H3227</f>
        <v>10415923.52</v>
      </c>
      <c r="F3227" t="str">
        <f>+'[2]por cuent'!I3227</f>
        <v>812</v>
      </c>
    </row>
    <row r="3228" spans="1:6" x14ac:dyDescent="0.35">
      <c r="A3228" t="str">
        <f>+'[2]por cuent'!A3228</f>
        <v>ARS</v>
      </c>
      <c r="B3228" t="str">
        <f>+'[2]por cuent'!B3228</f>
        <v>812000027</v>
      </c>
      <c r="C3228" t="str">
        <f>+'[2]por cuent'!C3228</f>
        <v>LABAC SA</v>
      </c>
      <c r="D3228" s="35">
        <f>+'[2]por cuent'!G3228</f>
        <v>18346068.02</v>
      </c>
      <c r="E3228" s="35">
        <f>+'[2]por cuent'!H3228</f>
        <v>18346068.02</v>
      </c>
      <c r="F3228" t="str">
        <f>+'[2]por cuent'!I3228</f>
        <v>812</v>
      </c>
    </row>
    <row r="3229" spans="1:6" x14ac:dyDescent="0.35">
      <c r="A3229" t="str">
        <f>+'[2]por cuent'!A3229</f>
        <v>ARS</v>
      </c>
      <c r="B3229" t="str">
        <f>+'[2]por cuent'!B3229</f>
        <v>812000028</v>
      </c>
      <c r="C3229" t="str">
        <f>+'[2]por cuent'!C3229</f>
        <v>Ferrand, Fabian Marcelo</v>
      </c>
      <c r="D3229" s="35">
        <f>+'[2]por cuent'!G3229</f>
        <v>82847366.349999994</v>
      </c>
      <c r="E3229" s="35">
        <f>+'[2]por cuent'!H3229</f>
        <v>82847366.349999994</v>
      </c>
      <c r="F3229" t="str">
        <f>+'[2]por cuent'!I3229</f>
        <v>812</v>
      </c>
    </row>
    <row r="3230" spans="1:6" x14ac:dyDescent="0.35">
      <c r="A3230" t="str">
        <f>+'[2]por cuent'!A3230</f>
        <v>ARS</v>
      </c>
      <c r="B3230" t="str">
        <f>+'[2]por cuent'!B3230</f>
        <v>812000031</v>
      </c>
      <c r="C3230" t="str">
        <f>+'[2]por cuent'!C3230</f>
        <v>Macerola, Cristian</v>
      </c>
      <c r="D3230" s="35">
        <f>+'[2]por cuent'!G3230</f>
        <v>37083931.520000003</v>
      </c>
      <c r="E3230" s="35">
        <f>+'[2]por cuent'!H3230</f>
        <v>37083931.520000003</v>
      </c>
      <c r="F3230" t="str">
        <f>+'[2]por cuent'!I3230</f>
        <v>812</v>
      </c>
    </row>
    <row r="3231" spans="1:6" x14ac:dyDescent="0.35">
      <c r="A3231" t="str">
        <f>+'[2]por cuent'!A3231</f>
        <v>ARS</v>
      </c>
      <c r="B3231" t="str">
        <f>+'[2]por cuent'!B3231</f>
        <v>812000038</v>
      </c>
      <c r="C3231" t="str">
        <f>+'[2]por cuent'!C3231</f>
        <v>RONALD G SCHEITLIN SRL</v>
      </c>
      <c r="D3231" s="35">
        <f>+'[2]por cuent'!G3231</f>
        <v>112753725</v>
      </c>
      <c r="E3231" s="35">
        <f>+'[2]por cuent'!H3231</f>
        <v>112753725</v>
      </c>
      <c r="F3231" t="str">
        <f>+'[2]por cuent'!I3231</f>
        <v>812</v>
      </c>
    </row>
    <row r="3232" spans="1:6" x14ac:dyDescent="0.35">
      <c r="A3232" t="str">
        <f>+'[2]por cuent'!A3232</f>
        <v>ARS</v>
      </c>
      <c r="B3232" t="str">
        <f>+'[2]por cuent'!B3232</f>
        <v>812000042</v>
      </c>
      <c r="C3232" t="str">
        <f>+'[2]por cuent'!C3232</f>
        <v>Rossi, Lisandro</v>
      </c>
      <c r="D3232" s="35">
        <f>+'[2]por cuent'!G3232</f>
        <v>4007663.32</v>
      </c>
      <c r="E3232" s="35">
        <f>+'[2]por cuent'!H3232</f>
        <v>4007663.32</v>
      </c>
      <c r="F3232" t="str">
        <f>+'[2]por cuent'!I3232</f>
        <v>812</v>
      </c>
    </row>
    <row r="3233" spans="1:6" x14ac:dyDescent="0.35">
      <c r="A3233" t="str">
        <f>+'[2]por cuent'!A3233</f>
        <v>ARS</v>
      </c>
      <c r="B3233" t="str">
        <f>+'[2]por cuent'!B3233</f>
        <v>812000044</v>
      </c>
      <c r="C3233" t="str">
        <f>+'[2]por cuent'!C3233</f>
        <v>COOPERATIVA DE COMERCIALIZACION Y TRANSFORMACION ARROCEROS VILLA ELISA LIMITADA</v>
      </c>
      <c r="D3233" s="35">
        <f>+'[2]por cuent'!G3233</f>
        <v>45701062.990000002</v>
      </c>
      <c r="E3233" s="35">
        <f>+'[2]por cuent'!H3233</f>
        <v>45701062.990000002</v>
      </c>
      <c r="F3233" t="str">
        <f>+'[2]por cuent'!I3233</f>
        <v>812</v>
      </c>
    </row>
    <row r="3234" spans="1:6" x14ac:dyDescent="0.35">
      <c r="A3234" t="str">
        <f>+'[2]por cuent'!A3234</f>
        <v>ARS</v>
      </c>
      <c r="B3234" t="str">
        <f>+'[2]por cuent'!B3234</f>
        <v>812000049</v>
      </c>
      <c r="C3234" t="str">
        <f>+'[2]por cuent'!C3234</f>
        <v>AGRO GANADERA VIDORET SA</v>
      </c>
      <c r="D3234" s="35">
        <f>+'[2]por cuent'!G3234</f>
        <v>185878798.58000001</v>
      </c>
      <c r="E3234" s="35">
        <f>+'[2]por cuent'!H3234</f>
        <v>185878798.58000001</v>
      </c>
      <c r="F3234" t="str">
        <f>+'[2]por cuent'!I3234</f>
        <v>812</v>
      </c>
    </row>
    <row r="3235" spans="1:6" x14ac:dyDescent="0.35">
      <c r="A3235" t="str">
        <f>+'[2]por cuent'!A3235</f>
        <v>ARS</v>
      </c>
      <c r="B3235" t="str">
        <f>+'[2]por cuent'!B3235</f>
        <v>812000054</v>
      </c>
      <c r="C3235" t="str">
        <f>+'[2]por cuent'!C3235</f>
        <v>7B INGENIERIA SRL</v>
      </c>
      <c r="D3235" s="35">
        <f>+'[2]por cuent'!G3235</f>
        <v>10782923.65</v>
      </c>
      <c r="E3235" s="35">
        <f>+'[2]por cuent'!H3235</f>
        <v>10782923.65</v>
      </c>
      <c r="F3235" t="str">
        <f>+'[2]por cuent'!I3235</f>
        <v>812</v>
      </c>
    </row>
    <row r="3236" spans="1:6" x14ac:dyDescent="0.35">
      <c r="A3236" t="str">
        <f>+'[2]por cuent'!A3236</f>
        <v>ARS</v>
      </c>
      <c r="B3236" t="str">
        <f>+'[2]por cuent'!B3236</f>
        <v>812000060</v>
      </c>
      <c r="C3236" t="str">
        <f>+'[2]por cuent'!C3236</f>
        <v>Allende, Gonzalo Lucas</v>
      </c>
      <c r="D3236" s="35">
        <f>+'[2]por cuent'!G3236</f>
        <v>8786711.5999999996</v>
      </c>
      <c r="E3236" s="35">
        <f>+'[2]por cuent'!H3236</f>
        <v>8786711.5999999996</v>
      </c>
      <c r="F3236" t="str">
        <f>+'[2]por cuent'!I3236</f>
        <v>812</v>
      </c>
    </row>
    <row r="3237" spans="1:6" x14ac:dyDescent="0.35">
      <c r="A3237" t="str">
        <f>+'[2]por cuent'!A3237</f>
        <v>ARS</v>
      </c>
      <c r="B3237" t="str">
        <f>+'[2]por cuent'!B3237</f>
        <v>812000066</v>
      </c>
      <c r="C3237" t="str">
        <f>+'[2]por cuent'!C3237</f>
        <v>CHIMAGRO SA</v>
      </c>
      <c r="D3237" s="35">
        <f>+'[2]por cuent'!G3237</f>
        <v>263933426.78</v>
      </c>
      <c r="E3237" s="35">
        <f>+'[2]por cuent'!H3237</f>
        <v>263933426.78</v>
      </c>
      <c r="F3237" t="str">
        <f>+'[2]por cuent'!I3237</f>
        <v>812</v>
      </c>
    </row>
    <row r="3238" spans="1:6" x14ac:dyDescent="0.35">
      <c r="A3238" t="str">
        <f>+'[2]por cuent'!A3238</f>
        <v>ARS</v>
      </c>
      <c r="B3238" t="str">
        <f>+'[2]por cuent'!B3238</f>
        <v>812000068</v>
      </c>
      <c r="C3238" t="str">
        <f>+'[2]por cuent'!C3238</f>
        <v>Schuap, Luis Alfredo</v>
      </c>
      <c r="D3238" s="35">
        <f>+'[2]por cuent'!G3238</f>
        <v>629324639.38</v>
      </c>
      <c r="E3238" s="35">
        <f>+'[2]por cuent'!H3238</f>
        <v>629324639.38</v>
      </c>
      <c r="F3238" t="str">
        <f>+'[2]por cuent'!I3238</f>
        <v>812</v>
      </c>
    </row>
    <row r="3239" spans="1:6" x14ac:dyDescent="0.35">
      <c r="A3239" t="str">
        <f>+'[2]por cuent'!A3239</f>
        <v>ARS</v>
      </c>
      <c r="B3239" t="str">
        <f>+'[2]por cuent'!B3239</f>
        <v>812000081</v>
      </c>
      <c r="C3239" t="str">
        <f>+'[2]por cuent'!C3239</f>
        <v>MADELOG SRL</v>
      </c>
      <c r="D3239" s="35">
        <f>+'[2]por cuent'!G3239</f>
        <v>49758455.520000003</v>
      </c>
      <c r="E3239" s="35">
        <f>+'[2]por cuent'!H3239</f>
        <v>49758455.520000003</v>
      </c>
      <c r="F3239" t="str">
        <f>+'[2]por cuent'!I3239</f>
        <v>812</v>
      </c>
    </row>
    <row r="3240" spans="1:6" x14ac:dyDescent="0.35">
      <c r="A3240" t="str">
        <f>+'[2]por cuent'!A3240</f>
        <v>ARS</v>
      </c>
      <c r="B3240" t="str">
        <f>+'[2]por cuent'!B3240</f>
        <v>812000082</v>
      </c>
      <c r="C3240" t="str">
        <f>+'[2]por cuent'!C3240</f>
        <v>De La Iglesia, Nelson Fabian</v>
      </c>
      <c r="D3240" s="35">
        <f>+'[2]por cuent'!G3240</f>
        <v>77163017.25</v>
      </c>
      <c r="E3240" s="35">
        <f>+'[2]por cuent'!H3240</f>
        <v>77163017.25</v>
      </c>
      <c r="F3240" t="str">
        <f>+'[2]por cuent'!I3240</f>
        <v>812</v>
      </c>
    </row>
    <row r="3241" spans="1:6" x14ac:dyDescent="0.35">
      <c r="A3241" t="str">
        <f>+'[2]por cuent'!A3241</f>
        <v>ARS</v>
      </c>
      <c r="B3241" t="str">
        <f>+'[2]por cuent'!B3241</f>
        <v>812000085</v>
      </c>
      <c r="C3241" t="str">
        <f>+'[2]por cuent'!C3241</f>
        <v>FIORITO FACTORING SA</v>
      </c>
      <c r="D3241" s="35">
        <f>+'[2]por cuent'!G3241</f>
        <v>328227456.81</v>
      </c>
      <c r="E3241" s="35">
        <f>+'[2]por cuent'!H3241</f>
        <v>328227456.81</v>
      </c>
      <c r="F3241" t="str">
        <f>+'[2]por cuent'!I3241</f>
        <v>812</v>
      </c>
    </row>
    <row r="3242" spans="1:6" x14ac:dyDescent="0.35">
      <c r="A3242" t="str">
        <f>+'[2]por cuent'!A3242</f>
        <v>ARS</v>
      </c>
      <c r="B3242" t="str">
        <f>+'[2]por cuent'!B3242</f>
        <v>812000086</v>
      </c>
      <c r="C3242" t="str">
        <f>+'[2]por cuent'!C3242</f>
        <v>Danessa, Gerardo Alfredo</v>
      </c>
      <c r="D3242" s="35">
        <f>+'[2]por cuent'!G3242</f>
        <v>100482857.51000001</v>
      </c>
      <c r="E3242" s="35">
        <f>+'[2]por cuent'!H3242</f>
        <v>100482857.51000001</v>
      </c>
      <c r="F3242" t="str">
        <f>+'[2]por cuent'!I3242</f>
        <v>812</v>
      </c>
    </row>
    <row r="3243" spans="1:6" x14ac:dyDescent="0.35">
      <c r="A3243" t="str">
        <f>+'[2]por cuent'!A3243</f>
        <v>ARS</v>
      </c>
      <c r="B3243" t="str">
        <f>+'[2]por cuent'!B3243</f>
        <v>812000088</v>
      </c>
      <c r="C3243" t="str">
        <f>+'[2]por cuent'!C3243</f>
        <v>Sumich, Gabriela Mariana</v>
      </c>
      <c r="D3243" s="35">
        <f>+'[2]por cuent'!G3243</f>
        <v>5532795.6500000004</v>
      </c>
      <c r="E3243" s="35">
        <f>+'[2]por cuent'!H3243</f>
        <v>5532795.6500000004</v>
      </c>
      <c r="F3243" t="str">
        <f>+'[2]por cuent'!I3243</f>
        <v>812</v>
      </c>
    </row>
    <row r="3244" spans="1:6" x14ac:dyDescent="0.35">
      <c r="A3244" t="str">
        <f>+'[2]por cuent'!A3244</f>
        <v>ARS</v>
      </c>
      <c r="B3244" t="str">
        <f>+'[2]por cuent'!B3244</f>
        <v>812000089</v>
      </c>
      <c r="C3244" t="str">
        <f>+'[2]por cuent'!C3244</f>
        <v>Carciochi, Pablo Enrique</v>
      </c>
      <c r="D3244" s="35">
        <f>+'[2]por cuent'!G3244</f>
        <v>122906458.63</v>
      </c>
      <c r="E3244" s="35">
        <f>+'[2]por cuent'!H3244</f>
        <v>122906458.63</v>
      </c>
      <c r="F3244" t="str">
        <f>+'[2]por cuent'!I3244</f>
        <v>812</v>
      </c>
    </row>
    <row r="3245" spans="1:6" x14ac:dyDescent="0.35">
      <c r="A3245" t="str">
        <f>+'[2]por cuent'!A3245</f>
        <v>ARS</v>
      </c>
      <c r="B3245" t="str">
        <f>+'[2]por cuent'!B3245</f>
        <v>812000092</v>
      </c>
      <c r="C3245" t="str">
        <f>+'[2]por cuent'!C3245</f>
        <v>ING PELLEGRINET SA</v>
      </c>
      <c r="D3245" s="35">
        <f>+'[2]por cuent'!G3245</f>
        <v>129956556.95</v>
      </c>
      <c r="E3245" s="35">
        <f>+'[2]por cuent'!H3245</f>
        <v>129956556.95</v>
      </c>
      <c r="F3245" t="str">
        <f>+'[2]por cuent'!I3245</f>
        <v>812</v>
      </c>
    </row>
    <row r="3246" spans="1:6" x14ac:dyDescent="0.35">
      <c r="A3246" t="str">
        <f>+'[2]por cuent'!A3246</f>
        <v>ARS</v>
      </c>
      <c r="B3246" t="str">
        <f>+'[2]por cuent'!B3246</f>
        <v>812000093</v>
      </c>
      <c r="C3246" t="str">
        <f>+'[2]por cuent'!C3246</f>
        <v>Cisneros, Mauro Gaston</v>
      </c>
      <c r="D3246" s="35">
        <f>+'[2]por cuent'!G3246</f>
        <v>50187506.420000002</v>
      </c>
      <c r="E3246" s="35">
        <f>+'[2]por cuent'!H3246</f>
        <v>50187506.420000002</v>
      </c>
      <c r="F3246" t="str">
        <f>+'[2]por cuent'!I3246</f>
        <v>812</v>
      </c>
    </row>
    <row r="3247" spans="1:6" x14ac:dyDescent="0.35">
      <c r="A3247" t="str">
        <f>+'[2]por cuent'!A3247</f>
        <v>ARS</v>
      </c>
      <c r="B3247" t="str">
        <f>+'[2]por cuent'!B3247</f>
        <v>812000095</v>
      </c>
      <c r="C3247" t="str">
        <f>+'[2]por cuent'!C3247</f>
        <v>DEVOL SA</v>
      </c>
      <c r="D3247" s="35">
        <f>+'[2]por cuent'!G3247</f>
        <v>123355183.84</v>
      </c>
      <c r="E3247" s="35">
        <f>+'[2]por cuent'!H3247</f>
        <v>123355183.84</v>
      </c>
      <c r="F3247" t="str">
        <f>+'[2]por cuent'!I3247</f>
        <v>812</v>
      </c>
    </row>
    <row r="3248" spans="1:6" x14ac:dyDescent="0.35">
      <c r="A3248" t="str">
        <f>+'[2]por cuent'!A3248</f>
        <v>ARS</v>
      </c>
      <c r="B3248" t="str">
        <f>+'[2]por cuent'!B3248</f>
        <v>816000105</v>
      </c>
      <c r="C3248" t="str">
        <f>+'[2]por cuent'!C3248</f>
        <v>Ustariz, Cristian Alberto y Cardona, Maria Dolores y Ustariz, Segundo</v>
      </c>
      <c r="D3248" s="35">
        <f>+'[2]por cuent'!G3248</f>
        <v>1360695339.6700001</v>
      </c>
      <c r="E3248" s="35">
        <f>+'[2]por cuent'!H3248</f>
        <v>1360695339.6700001</v>
      </c>
      <c r="F3248" t="str">
        <f>+'[2]por cuent'!I3248</f>
        <v>816</v>
      </c>
    </row>
    <row r="3249" spans="1:6" x14ac:dyDescent="0.35">
      <c r="A3249" t="str">
        <f>+'[2]por cuent'!A3249</f>
        <v>ARS</v>
      </c>
      <c r="B3249" t="str">
        <f>+'[2]por cuent'!B3249</f>
        <v>816000132</v>
      </c>
      <c r="C3249" t="str">
        <f>+'[2]por cuent'!C3249</f>
        <v>Giardini, Jorge Raul</v>
      </c>
      <c r="D3249" s="35">
        <f>+'[2]por cuent'!G3249</f>
        <v>108514577.40000001</v>
      </c>
      <c r="E3249" s="35">
        <f>+'[2]por cuent'!H3249</f>
        <v>108514577.40000001</v>
      </c>
      <c r="F3249" t="str">
        <f>+'[2]por cuent'!I3249</f>
        <v>816</v>
      </c>
    </row>
    <row r="3250" spans="1:6" x14ac:dyDescent="0.35">
      <c r="A3250" t="str">
        <f>+'[2]por cuent'!A3250</f>
        <v>ARS</v>
      </c>
      <c r="B3250" t="str">
        <f>+'[2]por cuent'!B3250</f>
        <v>816000139</v>
      </c>
      <c r="C3250" t="str">
        <f>+'[2]por cuent'!C3250</f>
        <v>Boixart, Hugo Ramon y Montaña Corina V.</v>
      </c>
      <c r="D3250" s="35">
        <f>+'[2]por cuent'!G3250</f>
        <v>56465.5</v>
      </c>
      <c r="E3250" s="35">
        <f>+'[2]por cuent'!H3250</f>
        <v>56465.5</v>
      </c>
      <c r="F3250" t="str">
        <f>+'[2]por cuent'!I3250</f>
        <v>816</v>
      </c>
    </row>
    <row r="3251" spans="1:6" x14ac:dyDescent="0.35">
      <c r="A3251" t="str">
        <f>+'[2]por cuent'!A3251</f>
        <v>ARS</v>
      </c>
      <c r="B3251" t="str">
        <f>+'[2]por cuent'!B3251</f>
        <v>816000156</v>
      </c>
      <c r="C3251" t="str">
        <f>+'[2]por cuent'!C3251</f>
        <v>Moroni, Gustavo y Semino, Adriana</v>
      </c>
      <c r="D3251" s="35">
        <f>+'[2]por cuent'!G3251</f>
        <v>40017474</v>
      </c>
      <c r="E3251" s="35">
        <f>+'[2]por cuent'!H3251</f>
        <v>40017474</v>
      </c>
      <c r="F3251" t="str">
        <f>+'[2]por cuent'!I3251</f>
        <v>816</v>
      </c>
    </row>
    <row r="3252" spans="1:6" x14ac:dyDescent="0.35">
      <c r="A3252" t="str">
        <f>+'[2]por cuent'!A3252</f>
        <v>ARS</v>
      </c>
      <c r="B3252" t="str">
        <f>+'[2]por cuent'!B3252</f>
        <v>816000184</v>
      </c>
      <c r="C3252" t="str">
        <f>+'[2]por cuent'!C3252</f>
        <v>Del Carril, Francisco Felipe;  Bustillo, Monica Maria; Del Carril Pablo Bonifacio</v>
      </c>
      <c r="D3252" s="35">
        <f>+'[2]por cuent'!G3252</f>
        <v>3528549.75</v>
      </c>
      <c r="E3252" s="35">
        <f>+'[2]por cuent'!H3252</f>
        <v>3528549.75</v>
      </c>
      <c r="F3252" t="str">
        <f>+'[2]por cuent'!I3252</f>
        <v>816</v>
      </c>
    </row>
    <row r="3253" spans="1:6" x14ac:dyDescent="0.35">
      <c r="A3253" t="str">
        <f>+'[2]por cuent'!A3253</f>
        <v>ARS</v>
      </c>
      <c r="B3253" t="str">
        <f>+'[2]por cuent'!B3253</f>
        <v>816000215</v>
      </c>
      <c r="C3253" t="str">
        <f>+'[2]por cuent'!C3253</f>
        <v>Borrelli, Martin y Mariela Bianco</v>
      </c>
      <c r="D3253" s="35">
        <f>+'[2]por cuent'!G3253</f>
        <v>148481194.81999999</v>
      </c>
      <c r="E3253" s="35">
        <f>+'[2]por cuent'!H3253</f>
        <v>148481194.81999999</v>
      </c>
      <c r="F3253" t="str">
        <f>+'[2]por cuent'!I3253</f>
        <v>816</v>
      </c>
    </row>
    <row r="3254" spans="1:6" x14ac:dyDescent="0.35">
      <c r="A3254" t="str">
        <f>+'[2]por cuent'!A3254</f>
        <v>ARS</v>
      </c>
      <c r="B3254" t="str">
        <f>+'[2]por cuent'!B3254</f>
        <v>816000239</v>
      </c>
      <c r="C3254" t="str">
        <f>+'[2]por cuent'!C3254</f>
        <v>Kakoom SA</v>
      </c>
      <c r="D3254" s="35">
        <f>+'[2]por cuent'!G3254</f>
        <v>3845979.88</v>
      </c>
      <c r="E3254" s="35">
        <f>+'[2]por cuent'!H3254</f>
        <v>3845979.88</v>
      </c>
      <c r="F3254" t="str">
        <f>+'[2]por cuent'!I3254</f>
        <v>816</v>
      </c>
    </row>
    <row r="3255" spans="1:6" x14ac:dyDescent="0.35">
      <c r="A3255" t="str">
        <f>+'[2]por cuent'!A3255</f>
        <v>ARS</v>
      </c>
      <c r="B3255" t="str">
        <f>+'[2]por cuent'!B3255</f>
        <v>816000253</v>
      </c>
      <c r="C3255" t="str">
        <f>+'[2]por cuent'!C3255</f>
        <v>Sicro SA</v>
      </c>
      <c r="D3255" s="35">
        <f>+'[2]por cuent'!G3255</f>
        <v>50169194.200000003</v>
      </c>
      <c r="E3255" s="35">
        <f>+'[2]por cuent'!H3255</f>
        <v>50169194.200000003</v>
      </c>
      <c r="F3255" t="str">
        <f>+'[2]por cuent'!I3255</f>
        <v>816</v>
      </c>
    </row>
    <row r="3256" spans="1:6" x14ac:dyDescent="0.35">
      <c r="A3256" t="str">
        <f>+'[2]por cuent'!A3256</f>
        <v>ARS</v>
      </c>
      <c r="B3256" t="str">
        <f>+'[2]por cuent'!B3256</f>
        <v>816000274</v>
      </c>
      <c r="C3256" t="str">
        <f>+'[2]por cuent'!C3256</f>
        <v>Urday; Nicolas Santiago</v>
      </c>
      <c r="D3256" s="35">
        <f>+'[2]por cuent'!G3256</f>
        <v>48188300</v>
      </c>
      <c r="E3256" s="35">
        <f>+'[2]por cuent'!H3256</f>
        <v>48188300</v>
      </c>
      <c r="F3256" t="str">
        <f>+'[2]por cuent'!I3256</f>
        <v>816</v>
      </c>
    </row>
    <row r="3257" spans="1:6" x14ac:dyDescent="0.35">
      <c r="A3257" t="str">
        <f>+'[2]por cuent'!A3257</f>
        <v>ARS</v>
      </c>
      <c r="B3257" t="str">
        <f>+'[2]por cuent'!B3257</f>
        <v>816000283</v>
      </c>
      <c r="C3257" t="str">
        <f>+'[2]por cuent'!C3257</f>
        <v>Mazzei, Carolina y Mazzei, Federico</v>
      </c>
      <c r="D3257" s="35">
        <f>+'[2]por cuent'!G3257</f>
        <v>39685088.200000003</v>
      </c>
      <c r="E3257" s="35">
        <f>+'[2]por cuent'!H3257</f>
        <v>39685088.200000003</v>
      </c>
      <c r="F3257" t="str">
        <f>+'[2]por cuent'!I3257</f>
        <v>816</v>
      </c>
    </row>
    <row r="3258" spans="1:6" x14ac:dyDescent="0.35">
      <c r="A3258" t="str">
        <f>+'[2]por cuent'!A3258</f>
        <v>ARS</v>
      </c>
      <c r="B3258" t="str">
        <f>+'[2]por cuent'!B3258</f>
        <v>816000294</v>
      </c>
      <c r="C3258" t="str">
        <f>+'[2]por cuent'!C3258</f>
        <v>Marchese, Lorenzo Luis</v>
      </c>
      <c r="D3258" s="35">
        <f>+'[2]por cuent'!G3258</f>
        <v>35435</v>
      </c>
      <c r="E3258" s="35">
        <f>+'[2]por cuent'!H3258</f>
        <v>35435</v>
      </c>
      <c r="F3258" t="str">
        <f>+'[2]por cuent'!I3258</f>
        <v>816</v>
      </c>
    </row>
    <row r="3259" spans="1:6" x14ac:dyDescent="0.35">
      <c r="A3259" t="str">
        <f>+'[2]por cuent'!A3259</f>
        <v>ARS</v>
      </c>
      <c r="B3259" t="str">
        <f>+'[2]por cuent'!B3259</f>
        <v>816000295</v>
      </c>
      <c r="C3259" t="str">
        <f>+'[2]por cuent'!C3259</f>
        <v>Cavanagh, Carlos Ignacio y Halle, Moira</v>
      </c>
      <c r="D3259" s="35">
        <f>+'[2]por cuent'!G3259</f>
        <v>128782140</v>
      </c>
      <c r="E3259" s="35">
        <f>+'[2]por cuent'!H3259</f>
        <v>128782140</v>
      </c>
      <c r="F3259" t="str">
        <f>+'[2]por cuent'!I3259</f>
        <v>816</v>
      </c>
    </row>
    <row r="3260" spans="1:6" x14ac:dyDescent="0.35">
      <c r="A3260" t="str">
        <f>+'[2]por cuent'!A3260</f>
        <v>ARS</v>
      </c>
      <c r="B3260" t="str">
        <f>+'[2]por cuent'!B3260</f>
        <v>816000297</v>
      </c>
      <c r="C3260" t="str">
        <f>+'[2]por cuent'!C3260</f>
        <v>Paz, Rafael Jose y Zucchelli, Carolina Pia</v>
      </c>
      <c r="D3260" s="35">
        <f>+'[2]por cuent'!G3260</f>
        <v>759121512.70000005</v>
      </c>
      <c r="E3260" s="35">
        <f>+'[2]por cuent'!H3260</f>
        <v>759121512.70000005</v>
      </c>
      <c r="F3260" t="str">
        <f>+'[2]por cuent'!I3260</f>
        <v>816</v>
      </c>
    </row>
    <row r="3261" spans="1:6" x14ac:dyDescent="0.35">
      <c r="A3261" t="str">
        <f>+'[2]por cuent'!A3261</f>
        <v>ARS</v>
      </c>
      <c r="B3261" t="str">
        <f>+'[2]por cuent'!B3261</f>
        <v>816000307</v>
      </c>
      <c r="C3261" t="str">
        <f>+'[2]por cuent'!C3261</f>
        <v>Molinero, Carlos Danilo; Alvarez Nilda; Molinero Lautaro</v>
      </c>
      <c r="D3261" s="35">
        <f>+'[2]por cuent'!G3261</f>
        <v>3541.2</v>
      </c>
      <c r="E3261" s="35">
        <f>+'[2]por cuent'!H3261</f>
        <v>3541.2</v>
      </c>
      <c r="F3261" t="str">
        <f>+'[2]por cuent'!I3261</f>
        <v>816</v>
      </c>
    </row>
    <row r="3262" spans="1:6" x14ac:dyDescent="0.35">
      <c r="A3262" t="str">
        <f>+'[2]por cuent'!A3262</f>
        <v>ARS</v>
      </c>
      <c r="B3262" t="str">
        <f>+'[2]por cuent'!B3262</f>
        <v>816000308</v>
      </c>
      <c r="C3262" t="str">
        <f>+'[2]por cuent'!C3262</f>
        <v>Bercovich, Cecilia Adriana</v>
      </c>
      <c r="D3262" s="35">
        <f>+'[2]por cuent'!G3262</f>
        <v>3142878</v>
      </c>
      <c r="E3262" s="35">
        <f>+'[2]por cuent'!H3262</f>
        <v>3142878</v>
      </c>
      <c r="F3262" t="str">
        <f>+'[2]por cuent'!I3262</f>
        <v>816</v>
      </c>
    </row>
    <row r="3263" spans="1:6" x14ac:dyDescent="0.35">
      <c r="A3263" t="str">
        <f>+'[2]por cuent'!A3263</f>
        <v>ARS</v>
      </c>
      <c r="B3263" t="str">
        <f>+'[2]por cuent'!B3263</f>
        <v>816000342</v>
      </c>
      <c r="C3263" t="str">
        <f>+'[2]por cuent'!C3263</f>
        <v>Garcia, Eduardo Mario y Patanian, Lucia del Carmen</v>
      </c>
      <c r="D3263" s="35">
        <f>+'[2]por cuent'!G3263</f>
        <v>8769496.4000000004</v>
      </c>
      <c r="E3263" s="35">
        <f>+'[2]por cuent'!H3263</f>
        <v>8769496.4000000004</v>
      </c>
      <c r="F3263" t="str">
        <f>+'[2]por cuent'!I3263</f>
        <v>816</v>
      </c>
    </row>
    <row r="3264" spans="1:6" x14ac:dyDescent="0.35">
      <c r="A3264" t="str">
        <f>+'[2]por cuent'!A3264</f>
        <v>ARS</v>
      </c>
      <c r="B3264" t="str">
        <f>+'[2]por cuent'!B3264</f>
        <v>816000355</v>
      </c>
      <c r="C3264" t="str">
        <f>+'[2]por cuent'!C3264</f>
        <v>EDSI Trend Argentina S.A.</v>
      </c>
      <c r="D3264" s="35">
        <f>+'[2]por cuent'!G3264</f>
        <v>281044458946</v>
      </c>
      <c r="E3264" s="35">
        <f>+'[2]por cuent'!H3264</f>
        <v>281044458946</v>
      </c>
      <c r="F3264" t="str">
        <f>+'[2]por cuent'!I3264</f>
        <v>816</v>
      </c>
    </row>
    <row r="3265" spans="1:6" x14ac:dyDescent="0.35">
      <c r="A3265" t="str">
        <f>+'[2]por cuent'!A3265</f>
        <v>ARS</v>
      </c>
      <c r="B3265" t="str">
        <f>+'[2]por cuent'!B3265</f>
        <v>816000361</v>
      </c>
      <c r="C3265" t="str">
        <f>+'[2]por cuent'!C3265</f>
        <v>Moroni, Malena - Moroni, Gustavo</v>
      </c>
      <c r="D3265" s="35">
        <f>+'[2]por cuent'!G3265</f>
        <v>43474837.609999999</v>
      </c>
      <c r="E3265" s="35">
        <f>+'[2]por cuent'!H3265</f>
        <v>43474837.609999999</v>
      </c>
      <c r="F3265" t="str">
        <f>+'[2]por cuent'!I3265</f>
        <v>816</v>
      </c>
    </row>
    <row r="3266" spans="1:6" x14ac:dyDescent="0.35">
      <c r="A3266" t="str">
        <f>+'[2]por cuent'!A3266</f>
        <v>ARS</v>
      </c>
      <c r="B3266" t="str">
        <f>+'[2]por cuent'!B3266</f>
        <v>816000382</v>
      </c>
      <c r="C3266" t="str">
        <f>+'[2]por cuent'!C3266</f>
        <v>Reynal Fernandez Ocampo, Javier Maria</v>
      </c>
      <c r="D3266" s="35">
        <f>+'[2]por cuent'!G3266</f>
        <v>468651.4</v>
      </c>
      <c r="E3266" s="35">
        <f>+'[2]por cuent'!H3266</f>
        <v>468651.4</v>
      </c>
      <c r="F3266" t="str">
        <f>+'[2]por cuent'!I3266</f>
        <v>816</v>
      </c>
    </row>
    <row r="3267" spans="1:6" x14ac:dyDescent="0.35">
      <c r="A3267" t="str">
        <f>+'[2]por cuent'!A3267</f>
        <v>ARS</v>
      </c>
      <c r="B3267" t="str">
        <f>+'[2]por cuent'!B3267</f>
        <v>816000385</v>
      </c>
      <c r="C3267" t="str">
        <f>+'[2]por cuent'!C3267</f>
        <v>Casamayor Caro Jose Alejandro y Gonzalez Anabel</v>
      </c>
      <c r="D3267" s="35">
        <f>+'[2]por cuent'!G3267</f>
        <v>389776492.19999999</v>
      </c>
      <c r="E3267" s="35">
        <f>+'[2]por cuent'!H3267</f>
        <v>389776492.19999999</v>
      </c>
      <c r="F3267" t="str">
        <f>+'[2]por cuent'!I3267</f>
        <v>816</v>
      </c>
    </row>
    <row r="3268" spans="1:6" x14ac:dyDescent="0.35">
      <c r="A3268" t="str">
        <f>+'[2]por cuent'!A3268</f>
        <v>ARS</v>
      </c>
      <c r="B3268" t="str">
        <f>+'[2]por cuent'!B3268</f>
        <v>816000390</v>
      </c>
      <c r="C3268" t="str">
        <f>+'[2]por cuent'!C3268</f>
        <v>Gravier, Alejandro Jorge o Mazza, Valeria Raquel</v>
      </c>
      <c r="D3268" s="35">
        <f>+'[2]por cuent'!G3268</f>
        <v>838491502</v>
      </c>
      <c r="E3268" s="35">
        <f>+'[2]por cuent'!H3268</f>
        <v>838491502</v>
      </c>
      <c r="F3268" t="str">
        <f>+'[2]por cuent'!I3268</f>
        <v>816</v>
      </c>
    </row>
    <row r="3269" spans="1:6" x14ac:dyDescent="0.35">
      <c r="A3269" t="str">
        <f>+'[2]por cuent'!A3269</f>
        <v>ARS</v>
      </c>
      <c r="B3269" t="str">
        <f>+'[2]por cuent'!B3269</f>
        <v>816000395</v>
      </c>
      <c r="C3269" t="str">
        <f>+'[2]por cuent'!C3269</f>
        <v>Panelo, Rodolfo Mario y Nelson, Alejandra</v>
      </c>
      <c r="D3269" s="35">
        <f>+'[2]por cuent'!G3269</f>
        <v>17723141</v>
      </c>
      <c r="E3269" s="35">
        <f>+'[2]por cuent'!H3269</f>
        <v>17723141</v>
      </c>
      <c r="F3269" t="str">
        <f>+'[2]por cuent'!I3269</f>
        <v>816</v>
      </c>
    </row>
    <row r="3270" spans="1:6" x14ac:dyDescent="0.35">
      <c r="A3270" t="str">
        <f>+'[2]por cuent'!A3270</f>
        <v>ARS</v>
      </c>
      <c r="B3270" t="str">
        <f>+'[2]por cuent'!B3270</f>
        <v>816000412</v>
      </c>
      <c r="C3270" t="str">
        <f>+'[2]por cuent'!C3270</f>
        <v>Dosisto, Fabian Eduardo y Medina, Graciela Beatriz</v>
      </c>
      <c r="D3270" s="35">
        <f>+'[2]por cuent'!G3270</f>
        <v>79101</v>
      </c>
      <c r="E3270" s="35">
        <f>+'[2]por cuent'!H3270</f>
        <v>79101</v>
      </c>
      <c r="F3270" t="str">
        <f>+'[2]por cuent'!I3270</f>
        <v>816</v>
      </c>
    </row>
    <row r="3271" spans="1:6" x14ac:dyDescent="0.35">
      <c r="A3271" t="str">
        <f>+'[2]por cuent'!A3271</f>
        <v>ARS</v>
      </c>
      <c r="B3271" t="str">
        <f>+'[2]por cuent'!B3271</f>
        <v>816000420</v>
      </c>
      <c r="C3271" t="str">
        <f>+'[2]por cuent'!C3271</f>
        <v>Sterin Carmona, Ricardo R. y Pensel, Silvia E. y Sterin Pensel, Lucas</v>
      </c>
      <c r="D3271" s="35">
        <f>+'[2]por cuent'!G3271</f>
        <v>159259979.25</v>
      </c>
      <c r="E3271" s="35">
        <f>+'[2]por cuent'!H3271</f>
        <v>159259979.25</v>
      </c>
      <c r="F3271" t="str">
        <f>+'[2]por cuent'!I3271</f>
        <v>816</v>
      </c>
    </row>
    <row r="3272" spans="1:6" x14ac:dyDescent="0.35">
      <c r="A3272" t="str">
        <f>+'[2]por cuent'!A3272</f>
        <v>ARS</v>
      </c>
      <c r="B3272" t="str">
        <f>+'[2]por cuent'!B3272</f>
        <v>816000422</v>
      </c>
      <c r="C3272" t="str">
        <f>+'[2]por cuent'!C3272</f>
        <v>Logistica Rojas S.A.</v>
      </c>
      <c r="D3272" s="35">
        <f>+'[2]por cuent'!G3272</f>
        <v>142500</v>
      </c>
      <c r="E3272" s="35">
        <f>+'[2]por cuent'!H3272</f>
        <v>142500</v>
      </c>
      <c r="F3272" t="str">
        <f>+'[2]por cuent'!I3272</f>
        <v>816</v>
      </c>
    </row>
    <row r="3273" spans="1:6" x14ac:dyDescent="0.35">
      <c r="A3273" t="str">
        <f>+'[2]por cuent'!A3273</f>
        <v>ARS</v>
      </c>
      <c r="B3273" t="str">
        <f>+'[2]por cuent'!B3273</f>
        <v>816000435</v>
      </c>
      <c r="C3273" t="str">
        <f>+'[2]por cuent'!C3273</f>
        <v>Quesada Dionisio, Grandi Mariana</v>
      </c>
      <c r="D3273" s="35">
        <f>+'[2]por cuent'!G3273</f>
        <v>2966955.6</v>
      </c>
      <c r="E3273" s="35">
        <f>+'[2]por cuent'!H3273</f>
        <v>2966955.6</v>
      </c>
      <c r="F3273" t="str">
        <f>+'[2]por cuent'!I3273</f>
        <v>816</v>
      </c>
    </row>
    <row r="3274" spans="1:6" x14ac:dyDescent="0.35">
      <c r="A3274" t="str">
        <f>+'[2]por cuent'!A3274</f>
        <v>ARS</v>
      </c>
      <c r="B3274" t="str">
        <f>+'[2]por cuent'!B3274</f>
        <v>816000521</v>
      </c>
      <c r="C3274" t="str">
        <f>+'[2]por cuent'!C3274</f>
        <v>Salgueiro, Juan Manuel y Salgueiro, Jose Luis</v>
      </c>
      <c r="D3274" s="35">
        <f>+'[2]por cuent'!G3274</f>
        <v>1459958492.24</v>
      </c>
      <c r="E3274" s="35">
        <f>+'[2]por cuent'!H3274</f>
        <v>1459958492.24</v>
      </c>
      <c r="F3274" t="str">
        <f>+'[2]por cuent'!I3274</f>
        <v>816</v>
      </c>
    </row>
    <row r="3275" spans="1:6" x14ac:dyDescent="0.35">
      <c r="A3275" t="str">
        <f>+'[2]por cuent'!A3275</f>
        <v>ARS</v>
      </c>
      <c r="B3275" t="str">
        <f>+'[2]por cuent'!B3275</f>
        <v>816000522</v>
      </c>
      <c r="C3275" t="str">
        <f>+'[2]por cuent'!C3275</f>
        <v>Coll, Esteban y Coll Fernando</v>
      </c>
      <c r="D3275" s="35">
        <f>+'[2]por cuent'!G3275</f>
        <v>98320</v>
      </c>
      <c r="E3275" s="35">
        <f>+'[2]por cuent'!H3275</f>
        <v>98320</v>
      </c>
      <c r="F3275" t="str">
        <f>+'[2]por cuent'!I3275</f>
        <v>816</v>
      </c>
    </row>
    <row r="3276" spans="1:6" x14ac:dyDescent="0.35">
      <c r="A3276" t="str">
        <f>+'[2]por cuent'!A3276</f>
        <v>ARS</v>
      </c>
      <c r="B3276" t="str">
        <f>+'[2]por cuent'!B3276</f>
        <v>816000612</v>
      </c>
      <c r="C3276" t="str">
        <f>+'[2]por cuent'!C3276</f>
        <v>Lalor S.A.C.M. y F.</v>
      </c>
      <c r="D3276" s="35">
        <f>+'[2]por cuent'!G3276</f>
        <v>63376440</v>
      </c>
      <c r="E3276" s="35">
        <f>+'[2]por cuent'!H3276</f>
        <v>63376440</v>
      </c>
      <c r="F3276" t="str">
        <f>+'[2]por cuent'!I3276</f>
        <v>816</v>
      </c>
    </row>
    <row r="3277" spans="1:6" x14ac:dyDescent="0.35">
      <c r="A3277" t="str">
        <f>+'[2]por cuent'!A3277</f>
        <v>ARS</v>
      </c>
      <c r="B3277" t="str">
        <f>+'[2]por cuent'!B3277</f>
        <v>816000687</v>
      </c>
      <c r="C3277" t="str">
        <f>+'[2]por cuent'!C3277</f>
        <v>Cardenas Maria Pia - Riesenkamp Guillermo Constantino</v>
      </c>
      <c r="D3277" s="35">
        <f>+'[2]por cuent'!G3277</f>
        <v>4028082.6</v>
      </c>
      <c r="E3277" s="35">
        <f>+'[2]por cuent'!H3277</f>
        <v>4028082.6</v>
      </c>
      <c r="F3277" t="str">
        <f>+'[2]por cuent'!I3277</f>
        <v>816</v>
      </c>
    </row>
    <row r="3278" spans="1:6" x14ac:dyDescent="0.35">
      <c r="A3278" t="str">
        <f>+'[2]por cuent'!A3278</f>
        <v>ARS</v>
      </c>
      <c r="B3278" t="str">
        <f>+'[2]por cuent'!B3278</f>
        <v>816000829</v>
      </c>
      <c r="C3278" t="str">
        <f>+'[2]por cuent'!C3278</f>
        <v>Martinez Schuster, Elias Juan</v>
      </c>
      <c r="D3278" s="35">
        <f>+'[2]por cuent'!G3278</f>
        <v>66810</v>
      </c>
      <c r="E3278" s="35">
        <f>+'[2]por cuent'!H3278</f>
        <v>66810</v>
      </c>
      <c r="F3278" t="str">
        <f>+'[2]por cuent'!I3278</f>
        <v>816</v>
      </c>
    </row>
    <row r="3279" spans="1:6" x14ac:dyDescent="0.35">
      <c r="A3279" t="str">
        <f>+'[2]por cuent'!A3279</f>
        <v>ARS</v>
      </c>
      <c r="B3279" t="str">
        <f>+'[2]por cuent'!B3279</f>
        <v>816000841</v>
      </c>
      <c r="C3279" t="str">
        <f>+'[2]por cuent'!C3279</f>
        <v>Gutierrez Ballesteros, Denise Rosa y Gutierrez, Raul Luis</v>
      </c>
      <c r="D3279" s="35">
        <f>+'[2]por cuent'!G3279</f>
        <v>17229800</v>
      </c>
      <c r="E3279" s="35">
        <f>+'[2]por cuent'!H3279</f>
        <v>17229800</v>
      </c>
      <c r="F3279" t="str">
        <f>+'[2]por cuent'!I3279</f>
        <v>816</v>
      </c>
    </row>
    <row r="3280" spans="1:6" x14ac:dyDescent="0.35">
      <c r="A3280" t="str">
        <f>+'[2]por cuent'!A3280</f>
        <v>ARS</v>
      </c>
      <c r="B3280" t="str">
        <f>+'[2]por cuent'!B3280</f>
        <v>816000858</v>
      </c>
      <c r="C3280" t="str">
        <f>+'[2]por cuent'!C3280</f>
        <v>Gonzalez Garcia Fernandez, Eduardo Efrain</v>
      </c>
      <c r="D3280" s="35">
        <f>+'[2]por cuent'!G3280</f>
        <v>2983748.5</v>
      </c>
      <c r="E3280" s="35">
        <f>+'[2]por cuent'!H3280</f>
        <v>2983748.5</v>
      </c>
      <c r="F3280" t="str">
        <f>+'[2]por cuent'!I3280</f>
        <v>816</v>
      </c>
    </row>
    <row r="3281" spans="1:6" x14ac:dyDescent="0.35">
      <c r="A3281" t="str">
        <f>+'[2]por cuent'!A3281</f>
        <v>ARS</v>
      </c>
      <c r="B3281" t="str">
        <f>+'[2]por cuent'!B3281</f>
        <v>816000866</v>
      </c>
      <c r="C3281" t="str">
        <f>+'[2]por cuent'!C3281</f>
        <v>Bab Weinstein, Daniel Julio o Litman Schatz, Lucia Adriana</v>
      </c>
      <c r="D3281" s="35">
        <f>+'[2]por cuent'!G3281</f>
        <v>76512946.200000003</v>
      </c>
      <c r="E3281" s="35">
        <f>+'[2]por cuent'!H3281</f>
        <v>76512946.200000003</v>
      </c>
      <c r="F3281" t="str">
        <f>+'[2]por cuent'!I3281</f>
        <v>816</v>
      </c>
    </row>
    <row r="3282" spans="1:6" x14ac:dyDescent="0.35">
      <c r="A3282" t="str">
        <f>+'[2]por cuent'!A3282</f>
        <v>ARS</v>
      </c>
      <c r="B3282" t="str">
        <f>+'[2]por cuent'!B3282</f>
        <v>816000907</v>
      </c>
      <c r="C3282" t="str">
        <f>+'[2]por cuent'!C3282</f>
        <v>Iacono, Eduardo Luis y Cioffi, Mirta</v>
      </c>
      <c r="D3282" s="35">
        <f>+'[2]por cuent'!G3282</f>
        <v>3009971.9</v>
      </c>
      <c r="E3282" s="35">
        <f>+'[2]por cuent'!H3282</f>
        <v>3009971.9</v>
      </c>
      <c r="F3282" t="str">
        <f>+'[2]por cuent'!I3282</f>
        <v>816</v>
      </c>
    </row>
    <row r="3283" spans="1:6" x14ac:dyDescent="0.35">
      <c r="A3283" t="str">
        <f>+'[2]por cuent'!A3283</f>
        <v>ARS</v>
      </c>
      <c r="B3283" t="str">
        <f>+'[2]por cuent'!B3283</f>
        <v>816000961</v>
      </c>
      <c r="C3283" t="str">
        <f>+'[2]por cuent'!C3283</f>
        <v>Torres Ricardo Juan y Torres Maria Isabel</v>
      </c>
      <c r="D3283" s="35">
        <f>+'[2]por cuent'!G3283</f>
        <v>27475220</v>
      </c>
      <c r="E3283" s="35">
        <f>+'[2]por cuent'!H3283</f>
        <v>27475220</v>
      </c>
      <c r="F3283" t="str">
        <f>+'[2]por cuent'!I3283</f>
        <v>816</v>
      </c>
    </row>
    <row r="3284" spans="1:6" x14ac:dyDescent="0.35">
      <c r="A3284" t="str">
        <f>+'[2]por cuent'!A3284</f>
        <v>ARS</v>
      </c>
      <c r="B3284" t="str">
        <f>+'[2]por cuent'!B3284</f>
        <v>816000979</v>
      </c>
      <c r="C3284" t="str">
        <f>+'[2]por cuent'!C3284</f>
        <v>Daverio Ana Maria y Sarrabayrouse Bargallo Jose Maria</v>
      </c>
      <c r="D3284" s="35">
        <f>+'[2]por cuent'!G3284</f>
        <v>58290</v>
      </c>
      <c r="E3284" s="35">
        <f>+'[2]por cuent'!H3284</f>
        <v>58290</v>
      </c>
      <c r="F3284" t="str">
        <f>+'[2]por cuent'!I3284</f>
        <v>816</v>
      </c>
    </row>
    <row r="3285" spans="1:6" x14ac:dyDescent="0.35">
      <c r="A3285" t="str">
        <f>+'[2]por cuent'!A3285</f>
        <v>ARS</v>
      </c>
      <c r="B3285" t="str">
        <f>+'[2]por cuent'!B3285</f>
        <v>816001038</v>
      </c>
      <c r="C3285" t="str">
        <f>+'[2]por cuent'!C3285</f>
        <v>CAPY QUICE S.A.</v>
      </c>
      <c r="D3285" s="35">
        <f>+'[2]por cuent'!G3285</f>
        <v>610864261.24000001</v>
      </c>
      <c r="E3285" s="35">
        <f>+'[2]por cuent'!H3285</f>
        <v>610864261.24000001</v>
      </c>
      <c r="F3285" t="str">
        <f>+'[2]por cuent'!I3285</f>
        <v>816</v>
      </c>
    </row>
    <row r="3286" spans="1:6" x14ac:dyDescent="0.35">
      <c r="A3286" t="str">
        <f>+'[2]por cuent'!A3286</f>
        <v>ARS</v>
      </c>
      <c r="B3286" t="str">
        <f>+'[2]por cuent'!B3286</f>
        <v>816001066</v>
      </c>
      <c r="C3286" t="str">
        <f>+'[2]por cuent'!C3286</f>
        <v>Blauzwirn, Guillermo</v>
      </c>
      <c r="D3286" s="35">
        <f>+'[2]por cuent'!G3286</f>
        <v>181025317.5</v>
      </c>
      <c r="E3286" s="35">
        <f>+'[2]por cuent'!H3286</f>
        <v>181025317.5</v>
      </c>
      <c r="F3286" t="str">
        <f>+'[2]por cuent'!I3286</f>
        <v>816</v>
      </c>
    </row>
    <row r="3287" spans="1:6" x14ac:dyDescent="0.35">
      <c r="A3287" t="str">
        <f>+'[2]por cuent'!A3287</f>
        <v>ARS</v>
      </c>
      <c r="B3287" t="str">
        <f>+'[2]por cuent'!B3287</f>
        <v>816001216</v>
      </c>
      <c r="C3287" t="str">
        <f>+'[2]por cuent'!C3287</f>
        <v>Arias, Carolina</v>
      </c>
      <c r="D3287" s="35">
        <f>+'[2]por cuent'!G3287</f>
        <v>2140637220</v>
      </c>
      <c r="E3287" s="35">
        <f>+'[2]por cuent'!H3287</f>
        <v>2140637220</v>
      </c>
      <c r="F3287" t="str">
        <f>+'[2]por cuent'!I3287</f>
        <v>816</v>
      </c>
    </row>
    <row r="3288" spans="1:6" x14ac:dyDescent="0.35">
      <c r="A3288" t="str">
        <f>+'[2]por cuent'!A3288</f>
        <v>ARS</v>
      </c>
      <c r="B3288" t="str">
        <f>+'[2]por cuent'!B3288</f>
        <v>816001287</v>
      </c>
      <c r="C3288" t="str">
        <f>+'[2]por cuent'!C3288</f>
        <v>Markovic  Esteban</v>
      </c>
      <c r="D3288" s="35">
        <f>+'[2]por cuent'!G3288</f>
        <v>811146</v>
      </c>
      <c r="E3288" s="35">
        <f>+'[2]por cuent'!H3288</f>
        <v>811146</v>
      </c>
      <c r="F3288" t="str">
        <f>+'[2]por cuent'!I3288</f>
        <v>816</v>
      </c>
    </row>
    <row r="3289" spans="1:6" x14ac:dyDescent="0.35">
      <c r="A3289" t="str">
        <f>+'[2]por cuent'!A3289</f>
        <v>ARS</v>
      </c>
      <c r="B3289" t="str">
        <f>+'[2]por cuent'!B3289</f>
        <v>816001364</v>
      </c>
      <c r="C3289" t="str">
        <f>+'[2]por cuent'!C3289</f>
        <v>Gonzalez Rios, Eliana Antonella</v>
      </c>
      <c r="D3289" s="35">
        <f>+'[2]por cuent'!G3289</f>
        <v>20436800</v>
      </c>
      <c r="E3289" s="35">
        <f>+'[2]por cuent'!H3289</f>
        <v>20436800</v>
      </c>
      <c r="F3289" t="str">
        <f>+'[2]por cuent'!I3289</f>
        <v>816</v>
      </c>
    </row>
    <row r="3290" spans="1:6" x14ac:dyDescent="0.35">
      <c r="A3290" t="str">
        <f>+'[2]por cuent'!A3290</f>
        <v>ARS</v>
      </c>
      <c r="B3290" t="str">
        <f>+'[2]por cuent'!B3290</f>
        <v>816001407</v>
      </c>
      <c r="C3290" t="str">
        <f>+'[2]por cuent'!C3290</f>
        <v>Fernandez Maldonado Enrique Jorge, Cigorraga Selva Beatriz</v>
      </c>
      <c r="D3290" s="35">
        <f>+'[2]por cuent'!G3290</f>
        <v>5913431.8700000001</v>
      </c>
      <c r="E3290" s="35">
        <f>+'[2]por cuent'!H3290</f>
        <v>5913431.8700000001</v>
      </c>
      <c r="F3290" t="str">
        <f>+'[2]por cuent'!I3290</f>
        <v>816</v>
      </c>
    </row>
    <row r="3291" spans="1:6" x14ac:dyDescent="0.35">
      <c r="A3291" t="str">
        <f>+'[2]por cuent'!A3291</f>
        <v>ARS</v>
      </c>
      <c r="B3291" t="str">
        <f>+'[2]por cuent'!B3291</f>
        <v>816001489</v>
      </c>
      <c r="C3291" t="str">
        <f>+'[2]por cuent'!C3291</f>
        <v>Borla, Juan Augusto</v>
      </c>
      <c r="D3291" s="35">
        <f>+'[2]por cuent'!G3291</f>
        <v>198656668.80000001</v>
      </c>
      <c r="E3291" s="35">
        <f>+'[2]por cuent'!H3291</f>
        <v>198656668.80000001</v>
      </c>
      <c r="F3291" t="str">
        <f>+'[2]por cuent'!I3291</f>
        <v>816</v>
      </c>
    </row>
    <row r="3292" spans="1:6" x14ac:dyDescent="0.35">
      <c r="A3292" t="str">
        <f>+'[2]por cuent'!A3292</f>
        <v>ARS</v>
      </c>
      <c r="B3292" t="str">
        <f>+'[2]por cuent'!B3292</f>
        <v>816001496</v>
      </c>
      <c r="C3292" t="str">
        <f>+'[2]por cuent'!C3292</f>
        <v>Paracone, Pablo Augusto y Reggiani, Josefina Laura</v>
      </c>
      <c r="D3292" s="35">
        <f>+'[2]por cuent'!G3292</f>
        <v>50910552.909999996</v>
      </c>
      <c r="E3292" s="35">
        <f>+'[2]por cuent'!H3292</f>
        <v>50910552.909999996</v>
      </c>
      <c r="F3292" t="str">
        <f>+'[2]por cuent'!I3292</f>
        <v>816</v>
      </c>
    </row>
    <row r="3293" spans="1:6" x14ac:dyDescent="0.35">
      <c r="A3293" t="str">
        <f>+'[2]por cuent'!A3293</f>
        <v>ARS</v>
      </c>
      <c r="B3293" t="str">
        <f>+'[2]por cuent'!B3293</f>
        <v>816001500</v>
      </c>
      <c r="C3293" t="str">
        <f>+'[2]por cuent'!C3293</f>
        <v>Nougues, Ambrosio y Virasoro, Mercedes</v>
      </c>
      <c r="D3293" s="35">
        <f>+'[2]por cuent'!G3293</f>
        <v>37293717.880000003</v>
      </c>
      <c r="E3293" s="35">
        <f>+'[2]por cuent'!H3293</f>
        <v>37293717.880000003</v>
      </c>
      <c r="F3293" t="str">
        <f>+'[2]por cuent'!I3293</f>
        <v>816</v>
      </c>
    </row>
    <row r="3294" spans="1:6" x14ac:dyDescent="0.35">
      <c r="A3294" t="str">
        <f>+'[2]por cuent'!A3294</f>
        <v>ARS</v>
      </c>
      <c r="B3294" t="str">
        <f>+'[2]por cuent'!B3294</f>
        <v>816001510</v>
      </c>
      <c r="C3294" t="str">
        <f>+'[2]por cuent'!C3294</f>
        <v xml:space="preserve">Longinotti, Jose Luis - Furlotti, Isabela - Longinotti, Luca - Longinotti, Franco </v>
      </c>
      <c r="D3294" s="35">
        <f>+'[2]por cuent'!G3294</f>
        <v>18577927.5</v>
      </c>
      <c r="E3294" s="35">
        <f>+'[2]por cuent'!H3294</f>
        <v>18577927.5</v>
      </c>
      <c r="F3294" t="str">
        <f>+'[2]por cuent'!I3294</f>
        <v>816</v>
      </c>
    </row>
    <row r="3295" spans="1:6" x14ac:dyDescent="0.35">
      <c r="A3295" t="str">
        <f>+'[2]por cuent'!A3295</f>
        <v>ARS</v>
      </c>
      <c r="B3295" t="str">
        <f>+'[2]por cuent'!B3295</f>
        <v>816001525</v>
      </c>
      <c r="C3295" t="str">
        <f>+'[2]por cuent'!C3295</f>
        <v xml:space="preserve">Bulgheroni, Alejandro Pedro </v>
      </c>
      <c r="D3295" s="35">
        <f>+'[2]por cuent'!G3295</f>
        <v>84896189.200000003</v>
      </c>
      <c r="E3295" s="35">
        <f>+'[2]por cuent'!H3295</f>
        <v>84896189.200000003</v>
      </c>
      <c r="F3295" t="str">
        <f>+'[2]por cuent'!I3295</f>
        <v>816</v>
      </c>
    </row>
    <row r="3296" spans="1:6" x14ac:dyDescent="0.35">
      <c r="A3296" t="str">
        <f>+'[2]por cuent'!A3296</f>
        <v>ARS</v>
      </c>
      <c r="B3296" t="str">
        <f>+'[2]por cuent'!B3296</f>
        <v>816001589</v>
      </c>
      <c r="C3296" t="str">
        <f>+'[2]por cuent'!C3296</f>
        <v>Ferragamo Argentina SA</v>
      </c>
      <c r="D3296" s="35">
        <f>+'[2]por cuent'!G3296</f>
        <v>107077741.90000001</v>
      </c>
      <c r="E3296" s="35">
        <f>+'[2]por cuent'!H3296</f>
        <v>107077741.90000001</v>
      </c>
      <c r="F3296" t="str">
        <f>+'[2]por cuent'!I3296</f>
        <v>816</v>
      </c>
    </row>
    <row r="3297" spans="1:6" x14ac:dyDescent="0.35">
      <c r="A3297" t="str">
        <f>+'[2]por cuent'!A3297</f>
        <v>ARS</v>
      </c>
      <c r="B3297" t="str">
        <f>+'[2]por cuent'!B3297</f>
        <v>816001643</v>
      </c>
      <c r="C3297" t="str">
        <f>+'[2]por cuent'!C3297</f>
        <v>Segundo Ustariz</v>
      </c>
      <c r="D3297" s="35">
        <f>+'[2]por cuent'!G3297</f>
        <v>44853443.299999997</v>
      </c>
      <c r="E3297" s="35">
        <f>+'[2]por cuent'!H3297</f>
        <v>44853443.299999997</v>
      </c>
      <c r="F3297" t="str">
        <f>+'[2]por cuent'!I3297</f>
        <v>816</v>
      </c>
    </row>
    <row r="3298" spans="1:6" x14ac:dyDescent="0.35">
      <c r="A3298" t="str">
        <f>+'[2]por cuent'!A3298</f>
        <v>ARS</v>
      </c>
      <c r="B3298" t="str">
        <f>+'[2]por cuent'!B3298</f>
        <v>816001701</v>
      </c>
      <c r="C3298" t="str">
        <f>+'[2]por cuent'!C3298</f>
        <v>DEPLAMED S.R.L.</v>
      </c>
      <c r="D3298" s="35">
        <f>+'[2]por cuent'!G3298</f>
        <v>249246534.90000001</v>
      </c>
      <c r="E3298" s="35">
        <f>+'[2]por cuent'!H3298</f>
        <v>249246534.90000001</v>
      </c>
      <c r="F3298" t="str">
        <f>+'[2]por cuent'!I3298</f>
        <v>816</v>
      </c>
    </row>
    <row r="3299" spans="1:6" x14ac:dyDescent="0.35">
      <c r="A3299" t="str">
        <f>+'[2]por cuent'!A3299</f>
        <v>ARS</v>
      </c>
      <c r="B3299" t="str">
        <f>+'[2]por cuent'!B3299</f>
        <v>816001747</v>
      </c>
      <c r="C3299" t="str">
        <f>+'[2]por cuent'!C3299</f>
        <v>Kancyper, Marcelo Andres</v>
      </c>
      <c r="D3299" s="35">
        <f>+'[2]por cuent'!G3299</f>
        <v>49100</v>
      </c>
      <c r="E3299" s="35">
        <f>+'[2]por cuent'!H3299</f>
        <v>49100</v>
      </c>
      <c r="F3299" t="str">
        <f>+'[2]por cuent'!I3299</f>
        <v>816</v>
      </c>
    </row>
    <row r="3300" spans="1:6" x14ac:dyDescent="0.35">
      <c r="A3300" t="str">
        <f>+'[2]por cuent'!A3300</f>
        <v>ARS</v>
      </c>
      <c r="B3300" t="str">
        <f>+'[2]por cuent'!B3300</f>
        <v>816001755</v>
      </c>
      <c r="C3300" t="str">
        <f>+'[2]por cuent'!C3300</f>
        <v>[C.E.R.A.] - Bof, Ricardo Dario</v>
      </c>
      <c r="D3300" s="35">
        <f>+'[2]por cuent'!G3300</f>
        <v>8850</v>
      </c>
      <c r="E3300" s="35">
        <f>+'[2]por cuent'!H3300</f>
        <v>8850</v>
      </c>
      <c r="F3300" t="str">
        <f>+'[2]por cuent'!I3300</f>
        <v>816</v>
      </c>
    </row>
    <row r="3301" spans="1:6" x14ac:dyDescent="0.35">
      <c r="A3301" t="str">
        <f>+'[2]por cuent'!A3301</f>
        <v>ARS</v>
      </c>
      <c r="B3301" t="str">
        <f>+'[2]por cuent'!B3301</f>
        <v>816001791</v>
      </c>
      <c r="C3301" t="str">
        <f>+'[2]por cuent'!C3301</f>
        <v>Braun Menendez, Marcelo</v>
      </c>
      <c r="D3301" s="35">
        <f>+'[2]por cuent'!G3301</f>
        <v>1175590</v>
      </c>
      <c r="E3301" s="35">
        <f>+'[2]por cuent'!H3301</f>
        <v>1175590</v>
      </c>
      <c r="F3301" t="str">
        <f>+'[2]por cuent'!I3301</f>
        <v>816</v>
      </c>
    </row>
    <row r="3302" spans="1:6" x14ac:dyDescent="0.35">
      <c r="A3302" t="str">
        <f>+'[2]por cuent'!A3302</f>
        <v>ARS</v>
      </c>
      <c r="B3302" t="str">
        <f>+'[2]por cuent'!B3302</f>
        <v>816001792</v>
      </c>
      <c r="C3302" t="str">
        <f>+'[2]por cuent'!C3302</f>
        <v>Robles, Mateo</v>
      </c>
      <c r="D3302" s="35">
        <f>+'[2]por cuent'!G3302</f>
        <v>184690523.97999999</v>
      </c>
      <c r="E3302" s="35">
        <f>+'[2]por cuent'!H3302</f>
        <v>184690523.97999999</v>
      </c>
      <c r="F3302" t="str">
        <f>+'[2]por cuent'!I3302</f>
        <v>816</v>
      </c>
    </row>
    <row r="3303" spans="1:6" x14ac:dyDescent="0.35">
      <c r="A3303" t="str">
        <f>+'[2]por cuent'!A3303</f>
        <v>ARS</v>
      </c>
      <c r="B3303" t="str">
        <f>+'[2]por cuent'!B3303</f>
        <v>816001794</v>
      </c>
      <c r="C3303" t="str">
        <f>+'[2]por cuent'!C3303</f>
        <v>Cardona, Evangelina</v>
      </c>
      <c r="D3303" s="35">
        <f>+'[2]por cuent'!G3303</f>
        <v>2654.7</v>
      </c>
      <c r="E3303" s="35">
        <f>+'[2]por cuent'!H3303</f>
        <v>2654.7</v>
      </c>
      <c r="F3303" t="str">
        <f>+'[2]por cuent'!I3303</f>
        <v>816</v>
      </c>
    </row>
    <row r="3304" spans="1:6" x14ac:dyDescent="0.35">
      <c r="A3304" t="str">
        <f>+'[2]por cuent'!A3304</f>
        <v>ARS</v>
      </c>
      <c r="B3304" t="str">
        <f>+'[2]por cuent'!B3304</f>
        <v>816001796</v>
      </c>
      <c r="C3304" t="str">
        <f>+'[2]por cuent'!C3304</f>
        <v>Smith Estrada, Rafael</v>
      </c>
      <c r="D3304" s="35">
        <f>+'[2]por cuent'!G3304</f>
        <v>12421951.5</v>
      </c>
      <c r="E3304" s="35">
        <f>+'[2]por cuent'!H3304</f>
        <v>12421951.5</v>
      </c>
      <c r="F3304" t="str">
        <f>+'[2]por cuent'!I3304</f>
        <v>816</v>
      </c>
    </row>
    <row r="3305" spans="1:6" x14ac:dyDescent="0.35">
      <c r="A3305" t="str">
        <f>+'[2]por cuent'!A3305</f>
        <v>ARS</v>
      </c>
      <c r="B3305" t="str">
        <f>+'[2]por cuent'!B3305</f>
        <v>816001798</v>
      </c>
      <c r="C3305" t="str">
        <f>+'[2]por cuent'!C3305</f>
        <v>Muñoz, Maria Beatriz; Castagnani, Guillermo Julian</v>
      </c>
      <c r="D3305" s="35">
        <f>+'[2]por cuent'!G3305</f>
        <v>12096000</v>
      </c>
      <c r="E3305" s="35">
        <f>+'[2]por cuent'!H3305</f>
        <v>12096000</v>
      </c>
      <c r="F3305" t="str">
        <f>+'[2]por cuent'!I3305</f>
        <v>816</v>
      </c>
    </row>
    <row r="3306" spans="1:6" x14ac:dyDescent="0.35">
      <c r="A3306" t="str">
        <f>+'[2]por cuent'!A3306</f>
        <v>ARS</v>
      </c>
      <c r="B3306" t="str">
        <f>+'[2]por cuent'!B3306</f>
        <v>816001801</v>
      </c>
      <c r="C3306" t="str">
        <f>+'[2]por cuent'!C3306</f>
        <v>ROBFIN SA</v>
      </c>
      <c r="D3306" s="35">
        <f>+'[2]por cuent'!G3306</f>
        <v>29509317.359999999</v>
      </c>
      <c r="E3306" s="35">
        <f>+'[2]por cuent'!H3306</f>
        <v>29509317.359999999</v>
      </c>
      <c r="F3306" t="str">
        <f>+'[2]por cuent'!I3306</f>
        <v>816</v>
      </c>
    </row>
    <row r="3307" spans="1:6" x14ac:dyDescent="0.35">
      <c r="A3307" t="str">
        <f>+'[2]por cuent'!A3307</f>
        <v>ARS</v>
      </c>
      <c r="B3307" t="str">
        <f>+'[2]por cuent'!B3307</f>
        <v>816001804</v>
      </c>
      <c r="C3307" t="str">
        <f>+'[2]por cuent'!C3307</f>
        <v>Robles, Marcos</v>
      </c>
      <c r="D3307" s="35">
        <f>+'[2]por cuent'!G3307</f>
        <v>37626695.75</v>
      </c>
      <c r="E3307" s="35">
        <f>+'[2]por cuent'!H3307</f>
        <v>37626695.75</v>
      </c>
      <c r="F3307" t="str">
        <f>+'[2]por cuent'!I3307</f>
        <v>816</v>
      </c>
    </row>
    <row r="3308" spans="1:6" x14ac:dyDescent="0.35">
      <c r="A3308" t="str">
        <f>+'[2]por cuent'!A3308</f>
        <v>ARS</v>
      </c>
      <c r="B3308" t="str">
        <f>+'[2]por cuent'!B3308</f>
        <v>816001806</v>
      </c>
      <c r="C3308" t="str">
        <f>+'[2]por cuent'!C3308</f>
        <v>Iglesias, Joaquin; Puiggari, Milagros María</v>
      </c>
      <c r="D3308" s="35">
        <f>+'[2]por cuent'!G3308</f>
        <v>27959807.109999999</v>
      </c>
      <c r="E3308" s="35">
        <f>+'[2]por cuent'!H3308</f>
        <v>27959807.109999999</v>
      </c>
      <c r="F3308" t="str">
        <f>+'[2]por cuent'!I3308</f>
        <v>816</v>
      </c>
    </row>
    <row r="3309" spans="1:6" x14ac:dyDescent="0.35">
      <c r="A3309" t="str">
        <f>+'[2]por cuent'!A3309</f>
        <v>ARS</v>
      </c>
      <c r="B3309" t="str">
        <f>+'[2]por cuent'!B3309</f>
        <v>816001807</v>
      </c>
      <c r="C3309" t="str">
        <f>+'[2]por cuent'!C3309</f>
        <v>Blaquier, Isabel</v>
      </c>
      <c r="D3309" s="35">
        <f>+'[2]por cuent'!G3309</f>
        <v>116018</v>
      </c>
      <c r="E3309" s="35">
        <f>+'[2]por cuent'!H3309</f>
        <v>116018</v>
      </c>
      <c r="F3309" t="str">
        <f>+'[2]por cuent'!I3309</f>
        <v>816</v>
      </c>
    </row>
    <row r="3310" spans="1:6" x14ac:dyDescent="0.35">
      <c r="A3310" t="str">
        <f>+'[2]por cuent'!A3310</f>
        <v>ARS</v>
      </c>
      <c r="B3310" t="str">
        <f>+'[2]por cuent'!B3310</f>
        <v>816001809</v>
      </c>
      <c r="C3310" t="str">
        <f>+'[2]por cuent'!C3310</f>
        <v>Blaquier, Magdalena</v>
      </c>
      <c r="D3310" s="35">
        <f>+'[2]por cuent'!G3310</f>
        <v>116060</v>
      </c>
      <c r="E3310" s="35">
        <f>+'[2]por cuent'!H3310</f>
        <v>116060</v>
      </c>
      <c r="F3310" t="str">
        <f>+'[2]por cuent'!I3310</f>
        <v>816</v>
      </c>
    </row>
    <row r="3311" spans="1:6" x14ac:dyDescent="0.35">
      <c r="A3311" t="str">
        <f>+'[2]por cuent'!A3311</f>
        <v>ARS</v>
      </c>
      <c r="B3311" t="str">
        <f>+'[2]por cuent'!B3311</f>
        <v>816001810</v>
      </c>
      <c r="C3311" t="str">
        <f>+'[2]por cuent'!C3311</f>
        <v>[C.E.R.A.] - Robles, Mariano</v>
      </c>
      <c r="D3311" s="35">
        <f>+'[2]por cuent'!G3311</f>
        <v>362649205.63999999</v>
      </c>
      <c r="E3311" s="35">
        <f>+'[2]por cuent'!H3311</f>
        <v>362649205.63999999</v>
      </c>
      <c r="F3311" t="str">
        <f>+'[2]por cuent'!I3311</f>
        <v>816</v>
      </c>
    </row>
    <row r="3312" spans="1:6" x14ac:dyDescent="0.35">
      <c r="A3312" t="str">
        <f>+'[2]por cuent'!A3312</f>
        <v>ARS</v>
      </c>
      <c r="B3312" t="str">
        <f>+'[2]por cuent'!B3312</f>
        <v>816001811</v>
      </c>
      <c r="C3312" t="str">
        <f>+'[2]por cuent'!C3312</f>
        <v>Mateo, Rodrigo</v>
      </c>
      <c r="D3312" s="35">
        <f>+'[2]por cuent'!G3312</f>
        <v>29507697.5</v>
      </c>
      <c r="E3312" s="35">
        <f>+'[2]por cuent'!H3312</f>
        <v>29507697.5</v>
      </c>
      <c r="F3312" t="str">
        <f>+'[2]por cuent'!I3312</f>
        <v>816</v>
      </c>
    </row>
    <row r="3313" spans="1:6" x14ac:dyDescent="0.35">
      <c r="A3313" t="str">
        <f>+'[2]por cuent'!A3313</f>
        <v>ARS</v>
      </c>
      <c r="B3313" t="str">
        <f>+'[2]por cuent'!B3313</f>
        <v>816001821</v>
      </c>
      <c r="C3313" t="str">
        <f>+'[2]por cuent'!C3313</f>
        <v>Moroni, Lucia</v>
      </c>
      <c r="D3313" s="35">
        <f>+'[2]por cuent'!G3313</f>
        <v>3150812</v>
      </c>
      <c r="E3313" s="35">
        <f>+'[2]por cuent'!H3313</f>
        <v>3150812</v>
      </c>
      <c r="F3313" t="str">
        <f>+'[2]por cuent'!I3313</f>
        <v>816</v>
      </c>
    </row>
    <row r="3314" spans="1:6" x14ac:dyDescent="0.35">
      <c r="A3314" t="str">
        <f>+'[2]por cuent'!A3314</f>
        <v>ARS</v>
      </c>
      <c r="B3314" t="str">
        <f>+'[2]por cuent'!B3314</f>
        <v>816003014</v>
      </c>
      <c r="C3314" t="str">
        <f>+'[2]por cuent'!C3314</f>
        <v>Llorente Gonzalo Maria</v>
      </c>
      <c r="D3314" s="35">
        <f>+'[2]por cuent'!G3314</f>
        <v>51465592.399999999</v>
      </c>
      <c r="E3314" s="35">
        <f>+'[2]por cuent'!H3314</f>
        <v>51465592.399999999</v>
      </c>
      <c r="F3314" t="str">
        <f>+'[2]por cuent'!I3314</f>
        <v>816</v>
      </c>
    </row>
    <row r="3315" spans="1:6" x14ac:dyDescent="0.35">
      <c r="A3315" t="str">
        <f>+'[2]por cuent'!A3315</f>
        <v>ARS</v>
      </c>
      <c r="B3315" t="str">
        <f>+'[2]por cuent'!B3315</f>
        <v>816003022</v>
      </c>
      <c r="C3315" t="str">
        <f>+'[2]por cuent'!C3315</f>
        <v xml:space="preserve">Secco Vivian, Secco Gabriela </v>
      </c>
      <c r="D3315" s="35">
        <f>+'[2]por cuent'!G3315</f>
        <v>10047050.4</v>
      </c>
      <c r="E3315" s="35">
        <f>+'[2]por cuent'!H3315</f>
        <v>10047050.4</v>
      </c>
      <c r="F3315" t="str">
        <f>+'[2]por cuent'!I3315</f>
        <v>816</v>
      </c>
    </row>
    <row r="3316" spans="1:6" x14ac:dyDescent="0.35">
      <c r="A3316" t="str">
        <f>+'[2]por cuent'!A3316</f>
        <v>ARS</v>
      </c>
      <c r="B3316" t="str">
        <f>+'[2]por cuent'!B3316</f>
        <v>816003029</v>
      </c>
      <c r="C3316" t="str">
        <f>+'[2]por cuent'!C3316</f>
        <v>Gonzalez, Pelayo</v>
      </c>
      <c r="D3316" s="35">
        <f>+'[2]por cuent'!G3316</f>
        <v>2045057</v>
      </c>
      <c r="E3316" s="35">
        <f>+'[2]por cuent'!H3316</f>
        <v>2045057</v>
      </c>
      <c r="F3316" t="str">
        <f>+'[2]por cuent'!I3316</f>
        <v>816</v>
      </c>
    </row>
    <row r="3317" spans="1:6" x14ac:dyDescent="0.35">
      <c r="A3317" t="str">
        <f>+'[2]por cuent'!A3317</f>
        <v>ARS</v>
      </c>
      <c r="B3317" t="str">
        <f>+'[2]por cuent'!B3317</f>
        <v>816003043</v>
      </c>
      <c r="C3317" t="str">
        <f>+'[2]por cuent'!C3317</f>
        <v>Tibiletti Maria Beatriz</v>
      </c>
      <c r="D3317" s="35">
        <f>+'[2]por cuent'!G3317</f>
        <v>1450792.9</v>
      </c>
      <c r="E3317" s="35">
        <f>+'[2]por cuent'!H3317</f>
        <v>1450792.9</v>
      </c>
      <c r="F3317" t="str">
        <f>+'[2]por cuent'!I3317</f>
        <v>816</v>
      </c>
    </row>
    <row r="3318" spans="1:6" x14ac:dyDescent="0.35">
      <c r="A3318" t="str">
        <f>+'[2]por cuent'!A3318</f>
        <v>ARS</v>
      </c>
      <c r="B3318" t="str">
        <f>+'[2]por cuent'!B3318</f>
        <v>816003078</v>
      </c>
      <c r="C3318" t="str">
        <f>+'[2]por cuent'!C3318</f>
        <v>Cuneo, Gaston Carlos</v>
      </c>
      <c r="D3318" s="35">
        <f>+'[2]por cuent'!G3318</f>
        <v>15084228</v>
      </c>
      <c r="E3318" s="35">
        <f>+'[2]por cuent'!H3318</f>
        <v>15084228</v>
      </c>
      <c r="F3318" t="str">
        <f>+'[2]por cuent'!I3318</f>
        <v>816</v>
      </c>
    </row>
    <row r="3319" spans="1:6" x14ac:dyDescent="0.35">
      <c r="A3319" t="str">
        <f>+'[2]por cuent'!A3319</f>
        <v>ARS</v>
      </c>
      <c r="B3319" t="str">
        <f>+'[2]por cuent'!B3319</f>
        <v>816003096</v>
      </c>
      <c r="C3319" t="str">
        <f>+'[2]por cuent'!C3319</f>
        <v>Silva, Horacio Marcelo</v>
      </c>
      <c r="D3319" s="35">
        <f>+'[2]por cuent'!G3319</f>
        <v>37310</v>
      </c>
      <c r="E3319" s="35">
        <f>+'[2]por cuent'!H3319</f>
        <v>37310</v>
      </c>
      <c r="F3319" t="str">
        <f>+'[2]por cuent'!I3319</f>
        <v>816</v>
      </c>
    </row>
    <row r="3320" spans="1:6" x14ac:dyDescent="0.35">
      <c r="A3320" t="str">
        <f>+'[2]por cuent'!A3320</f>
        <v>ARS</v>
      </c>
      <c r="B3320" t="str">
        <f>+'[2]por cuent'!B3320</f>
        <v>816003134</v>
      </c>
      <c r="C3320" t="str">
        <f>+'[2]por cuent'!C3320</f>
        <v>Michetti, Fernando Daniel Jose</v>
      </c>
      <c r="D3320" s="35">
        <f>+'[2]por cuent'!G3320</f>
        <v>146344851</v>
      </c>
      <c r="E3320" s="35">
        <f>+'[2]por cuent'!H3320</f>
        <v>146344851</v>
      </c>
      <c r="F3320" t="str">
        <f>+'[2]por cuent'!I3320</f>
        <v>816</v>
      </c>
    </row>
    <row r="3321" spans="1:6" x14ac:dyDescent="0.35">
      <c r="A3321" t="str">
        <f>+'[2]por cuent'!A3321</f>
        <v>ARS</v>
      </c>
      <c r="B3321" t="str">
        <f>+'[2]por cuent'!B3321</f>
        <v>816102185</v>
      </c>
      <c r="C3321" t="str">
        <f>+'[2]por cuent'!C3321</f>
        <v>CZ WEALTH MANAGEMENT SA</v>
      </c>
      <c r="D3321" s="35">
        <f>+'[2]por cuent'!G3321</f>
        <v>34073138798.599998</v>
      </c>
      <c r="E3321" s="35">
        <f>+'[2]por cuent'!H3321</f>
        <v>34073138798.599998</v>
      </c>
      <c r="F3321" t="str">
        <f>+'[2]por cuent'!I3321</f>
        <v>816</v>
      </c>
    </row>
    <row r="3322" spans="1:6" x14ac:dyDescent="0.35">
      <c r="A3322" t="str">
        <f>+'[2]por cuent'!A3322</f>
        <v>ARS</v>
      </c>
      <c r="B3322" t="str">
        <f>+'[2]por cuent'!B3322</f>
        <v>817000240</v>
      </c>
      <c r="C3322" t="str">
        <f>+'[2]por cuent'!C3322</f>
        <v>Juan Pablo Bledel - Patricia Alejandra Cabot</v>
      </c>
      <c r="D3322" s="35">
        <f>+'[2]por cuent'!G3322</f>
        <v>315814565.5</v>
      </c>
      <c r="E3322" s="35">
        <f>+'[2]por cuent'!H3322</f>
        <v>315814565.5</v>
      </c>
      <c r="F3322" t="str">
        <f>+'[2]por cuent'!I3322</f>
        <v>817</v>
      </c>
    </row>
    <row r="3323" spans="1:6" x14ac:dyDescent="0.35">
      <c r="A3323" t="str">
        <f>+'[2]por cuent'!A3323</f>
        <v>ARS</v>
      </c>
      <c r="B3323" t="str">
        <f>+'[2]por cuent'!B3323</f>
        <v>817000854</v>
      </c>
      <c r="C3323" t="str">
        <f>+'[2]por cuent'!C3323</f>
        <v>Inmueble Las Heras S.A.</v>
      </c>
      <c r="D3323" s="35">
        <f>+'[2]por cuent'!G3323</f>
        <v>1157127180.2</v>
      </c>
      <c r="E3323" s="35">
        <f>+'[2]por cuent'!H3323</f>
        <v>1157127180.2</v>
      </c>
      <c r="F3323" t="str">
        <f>+'[2]por cuent'!I3323</f>
        <v>817</v>
      </c>
    </row>
    <row r="3324" spans="1:6" x14ac:dyDescent="0.35">
      <c r="A3324" t="str">
        <f>+'[2]por cuent'!A3324</f>
        <v>ARS</v>
      </c>
      <c r="B3324" t="str">
        <f>+'[2]por cuent'!B3324</f>
        <v>817000878</v>
      </c>
      <c r="C3324" t="str">
        <f>+'[2]por cuent'!C3324</f>
        <v>Castresana, Patricio y Dopazo, Maria Soledad</v>
      </c>
      <c r="D3324" s="35">
        <f>+'[2]por cuent'!G3324</f>
        <v>4618367.7</v>
      </c>
      <c r="E3324" s="35">
        <f>+'[2]por cuent'!H3324</f>
        <v>4618367.7</v>
      </c>
      <c r="F3324" t="str">
        <f>+'[2]por cuent'!I3324</f>
        <v>817</v>
      </c>
    </row>
    <row r="3325" spans="1:6" x14ac:dyDescent="0.35">
      <c r="A3325" t="str">
        <f>+'[2]por cuent'!A3325</f>
        <v>ARS</v>
      </c>
      <c r="B3325" t="str">
        <f>+'[2]por cuent'!B3325</f>
        <v>817000882</v>
      </c>
      <c r="C3325" t="str">
        <f>+'[2]por cuent'!C3325</f>
        <v>White Cloud S.R.L.</v>
      </c>
      <c r="D3325" s="35">
        <f>+'[2]por cuent'!G3325</f>
        <v>165292380</v>
      </c>
      <c r="E3325" s="35">
        <f>+'[2]por cuent'!H3325</f>
        <v>165292380</v>
      </c>
      <c r="F3325" t="str">
        <f>+'[2]por cuent'!I3325</f>
        <v>817</v>
      </c>
    </row>
    <row r="3326" spans="1:6" x14ac:dyDescent="0.35">
      <c r="A3326" t="str">
        <f>+'[2]por cuent'!A3326</f>
        <v>ARS</v>
      </c>
      <c r="B3326" t="str">
        <f>+'[2]por cuent'!B3326</f>
        <v>817000909</v>
      </c>
      <c r="C3326" t="str">
        <f>+'[2]por cuent'!C3326</f>
        <v>Chacra la Isabel S.R.L.</v>
      </c>
      <c r="D3326" s="35">
        <f>+'[2]por cuent'!G3326</f>
        <v>4565450</v>
      </c>
      <c r="E3326" s="35">
        <f>+'[2]por cuent'!H3326</f>
        <v>4565450</v>
      </c>
      <c r="F3326" t="str">
        <f>+'[2]por cuent'!I3326</f>
        <v>817</v>
      </c>
    </row>
    <row r="3327" spans="1:6" x14ac:dyDescent="0.35">
      <c r="A3327" t="str">
        <f>+'[2]por cuent'!A3327</f>
        <v>ARS</v>
      </c>
      <c r="B3327" t="str">
        <f>+'[2]por cuent'!B3327</f>
        <v>817001101</v>
      </c>
      <c r="C3327" t="str">
        <f>+'[2]por cuent'!C3327</f>
        <v>BACS SD Toronto Trust (CNV 062)</v>
      </c>
      <c r="D3327" s="35">
        <f>+'[2]por cuent'!G3327</f>
        <v>795000000</v>
      </c>
      <c r="E3327" s="35">
        <f>+'[2]por cuent'!H3327</f>
        <v>795000000</v>
      </c>
      <c r="F3327" t="str">
        <f>+'[2]por cuent'!I3327</f>
        <v>817</v>
      </c>
    </row>
    <row r="3328" spans="1:6" x14ac:dyDescent="0.35">
      <c r="A3328" t="str">
        <f>+'[2]por cuent'!A3328</f>
        <v>ARS</v>
      </c>
      <c r="B3328" t="str">
        <f>+'[2]por cuent'!B3328</f>
        <v>817001110</v>
      </c>
      <c r="C3328" t="str">
        <f>+'[2]por cuent'!C3328</f>
        <v>BACS SD Toronto Trust  Retorno Total (CNV 965)</v>
      </c>
      <c r="D3328" s="35">
        <f>+'[2]por cuent'!G3328</f>
        <v>795000000</v>
      </c>
      <c r="E3328" s="35">
        <f>+'[2]por cuent'!H3328</f>
        <v>795000000</v>
      </c>
      <c r="F3328" t="str">
        <f>+'[2]por cuent'!I3328</f>
        <v>817</v>
      </c>
    </row>
    <row r="3329" spans="1:6" x14ac:dyDescent="0.35">
      <c r="A3329" t="str">
        <f>+'[2]por cuent'!A3329</f>
        <v>ARS</v>
      </c>
      <c r="B3329" t="str">
        <f>+'[2]por cuent'!B3329</f>
        <v>817001151</v>
      </c>
      <c r="C3329" t="str">
        <f>+'[2]por cuent'!C3329</f>
        <v>BCSA SD ADCAP Pesos Plus (CNV 688)</v>
      </c>
      <c r="D3329" s="35">
        <f>+'[2]por cuent'!G3329</f>
        <v>3836500000</v>
      </c>
      <c r="E3329" s="35">
        <f>+'[2]por cuent'!H3329</f>
        <v>3836500000</v>
      </c>
      <c r="F3329" t="str">
        <f>+'[2]por cuent'!I3329</f>
        <v>817</v>
      </c>
    </row>
    <row r="3330" spans="1:6" x14ac:dyDescent="0.35">
      <c r="A3330" t="str">
        <f>+'[2]por cuent'!A3330</f>
        <v>ARS</v>
      </c>
      <c r="B3330" t="str">
        <f>+'[2]por cuent'!B3330</f>
        <v>817001152</v>
      </c>
      <c r="C3330" t="str">
        <f>+'[2]por cuent'!C3330</f>
        <v>BCSA SD ADCAP MONEDA (CNV 670)</v>
      </c>
      <c r="D3330" s="35">
        <f>+'[2]por cuent'!G3330</f>
        <v>1077250000</v>
      </c>
      <c r="E3330" s="35">
        <f>+'[2]por cuent'!H3330</f>
        <v>1077250000</v>
      </c>
      <c r="F3330" t="str">
        <f>+'[2]por cuent'!I3330</f>
        <v>817</v>
      </c>
    </row>
    <row r="3331" spans="1:6" x14ac:dyDescent="0.35">
      <c r="A3331" t="str">
        <f>+'[2]por cuent'!A3331</f>
        <v>ARS</v>
      </c>
      <c r="B3331" t="str">
        <f>+'[2]por cuent'!B3331</f>
        <v>817001288</v>
      </c>
      <c r="C3331" t="str">
        <f>+'[2]por cuent'!C3331</f>
        <v>BCSA SD ADCAP Cobertura (CNV 1135)</v>
      </c>
      <c r="D3331" s="35">
        <f>+'[2]por cuent'!G3331</f>
        <v>4544606350.3999996</v>
      </c>
      <c r="E3331" s="35">
        <f>+'[2]por cuent'!H3331</f>
        <v>4544606350.3999996</v>
      </c>
      <c r="F3331" t="str">
        <f>+'[2]por cuent'!I3331</f>
        <v>817</v>
      </c>
    </row>
    <row r="3332" spans="1:6" x14ac:dyDescent="0.35">
      <c r="A3332" t="str">
        <f>+'[2]por cuent'!A3332</f>
        <v>ARS</v>
      </c>
      <c r="B3332" t="str">
        <f>+'[2]por cuent'!B3332</f>
        <v>817001372</v>
      </c>
      <c r="C3332" t="str">
        <f>+'[2]por cuent'!C3332</f>
        <v>Distribuidora de Gas Cuyana S.A</v>
      </c>
      <c r="D3332" s="35">
        <f>+'[2]por cuent'!G3332</f>
        <v>15054505358.16</v>
      </c>
      <c r="E3332" s="35">
        <f>+'[2]por cuent'!H3332</f>
        <v>15054505358.16</v>
      </c>
      <c r="F3332" t="str">
        <f>+'[2]por cuent'!I3332</f>
        <v>817</v>
      </c>
    </row>
    <row r="3333" spans="1:6" x14ac:dyDescent="0.35">
      <c r="A3333" t="str">
        <f>+'[2]por cuent'!A3333</f>
        <v>ARS</v>
      </c>
      <c r="B3333" t="str">
        <f>+'[2]por cuent'!B3333</f>
        <v>817001373</v>
      </c>
      <c r="C3333" t="str">
        <f>+'[2]por cuent'!C3333</f>
        <v>DISTRIBUIDORA DE GAS DEL CENTRO S.A.</v>
      </c>
      <c r="D3333" s="35">
        <f>+'[2]por cuent'!G3333</f>
        <v>16540363299.93</v>
      </c>
      <c r="E3333" s="35">
        <f>+'[2]por cuent'!H3333</f>
        <v>16540363299.93</v>
      </c>
      <c r="F3333" t="str">
        <f>+'[2]por cuent'!I3333</f>
        <v>817</v>
      </c>
    </row>
    <row r="3334" spans="1:6" x14ac:dyDescent="0.35">
      <c r="A3334" t="str">
        <f>+'[2]por cuent'!A3334</f>
        <v>ARS</v>
      </c>
      <c r="B3334" t="str">
        <f>+'[2]por cuent'!B3334</f>
        <v>817001499</v>
      </c>
      <c r="C3334" t="str">
        <f>+'[2]por cuent'!C3334</f>
        <v xml:space="preserve">Benites, Agustín María </v>
      </c>
      <c r="D3334" s="35">
        <f>+'[2]por cuent'!G3334</f>
        <v>234283309638.37</v>
      </c>
      <c r="E3334" s="35">
        <f>+'[2]por cuent'!H3334</f>
        <v>234283309638.37</v>
      </c>
      <c r="F3334" t="str">
        <f>+'[2]por cuent'!I3334</f>
        <v>817</v>
      </c>
    </row>
    <row r="3335" spans="1:6" x14ac:dyDescent="0.35">
      <c r="A3335" t="str">
        <f>+'[2]por cuent'!A3335</f>
        <v>ARS</v>
      </c>
      <c r="B3335" t="str">
        <f>+'[2]por cuent'!B3335</f>
        <v>817001529</v>
      </c>
      <c r="C3335" t="str">
        <f>+'[2]por cuent'!C3335</f>
        <v>B. Patagonia S.A. SD Lombard Pesos Plus (CNV 739)</v>
      </c>
      <c r="D3335" s="35">
        <f>+'[2]por cuent'!G3335</f>
        <v>1047649253.96</v>
      </c>
      <c r="E3335" s="35">
        <f>+'[2]por cuent'!H3335</f>
        <v>1047649253.96</v>
      </c>
      <c r="F3335" t="str">
        <f>+'[2]por cuent'!I3335</f>
        <v>817</v>
      </c>
    </row>
    <row r="3336" spans="1:6" x14ac:dyDescent="0.35">
      <c r="A3336" t="str">
        <f>+'[2]por cuent'!A3336</f>
        <v>ARS</v>
      </c>
      <c r="B3336" t="str">
        <f>+'[2]por cuent'!B3336</f>
        <v>817001598</v>
      </c>
      <c r="C3336" t="str">
        <f>+'[2]por cuent'!C3336</f>
        <v>First Data Cono Sur S.R.L</v>
      </c>
      <c r="D3336" s="35">
        <f>+'[2]por cuent'!G3336</f>
        <v>12228999997.76</v>
      </c>
      <c r="E3336" s="35">
        <f>+'[2]por cuent'!H3336</f>
        <v>12228999997.76</v>
      </c>
      <c r="F3336" t="str">
        <f>+'[2]por cuent'!I3336</f>
        <v>817</v>
      </c>
    </row>
    <row r="3337" spans="1:6" x14ac:dyDescent="0.35">
      <c r="A3337" t="str">
        <f>+'[2]por cuent'!A3337</f>
        <v>ARS</v>
      </c>
      <c r="B3337" t="str">
        <f>+'[2]por cuent'!B3337</f>
        <v>817001635</v>
      </c>
      <c r="C3337" t="str">
        <f>+'[2]por cuent'!C3337</f>
        <v>Mainver Soccer Corp SA</v>
      </c>
      <c r="D3337" s="35">
        <f>+'[2]por cuent'!G3337</f>
        <v>1183445449.3800001</v>
      </c>
      <c r="E3337" s="35">
        <f>+'[2]por cuent'!H3337</f>
        <v>1183445449.3800001</v>
      </c>
      <c r="F3337" t="str">
        <f>+'[2]por cuent'!I3337</f>
        <v>817</v>
      </c>
    </row>
    <row r="3338" spans="1:6" x14ac:dyDescent="0.35">
      <c r="A3338" t="str">
        <f>+'[2]por cuent'!A3338</f>
        <v>ARS</v>
      </c>
      <c r="B3338" t="str">
        <f>+'[2]por cuent'!B3338</f>
        <v>817003110</v>
      </c>
      <c r="C3338" t="str">
        <f>+'[2]por cuent'!C3338</f>
        <v>Swiss Medical SA</v>
      </c>
      <c r="D3338" s="35">
        <f>+'[2]por cuent'!G3338</f>
        <v>855000000</v>
      </c>
      <c r="E3338" s="35">
        <f>+'[2]por cuent'!H3338</f>
        <v>855000000</v>
      </c>
      <c r="F3338" t="str">
        <f>+'[2]por cuent'!I3338</f>
        <v>817</v>
      </c>
    </row>
    <row r="3339" spans="1:6" x14ac:dyDescent="0.35">
      <c r="A3339" t="str">
        <f>+'[2]por cuent'!A3339</f>
        <v>ARS</v>
      </c>
      <c r="B3339" t="str">
        <f>+'[2]por cuent'!B3339</f>
        <v>817003113</v>
      </c>
      <c r="C3339" t="str">
        <f>+'[2]por cuent'!C3339</f>
        <v>SMG Inmobiliaria SA</v>
      </c>
      <c r="D3339" s="35">
        <f>+'[2]por cuent'!G3339</f>
        <v>3933950000</v>
      </c>
      <c r="E3339" s="35">
        <f>+'[2]por cuent'!H3339</f>
        <v>3933950000</v>
      </c>
      <c r="F3339" t="str">
        <f>+'[2]por cuent'!I3339</f>
        <v>817</v>
      </c>
    </row>
    <row r="3340" spans="1:6" x14ac:dyDescent="0.35">
      <c r="A3340" t="str">
        <f>+'[2]por cuent'!A3340</f>
        <v>ARS</v>
      </c>
      <c r="B3340" t="str">
        <f>+'[2]por cuent'!B3340</f>
        <v>817003285</v>
      </c>
      <c r="C3340" t="str">
        <f>+'[2]por cuent'!C3340</f>
        <v>Ecogas Inversiones S.A.</v>
      </c>
      <c r="D3340" s="35">
        <f>+'[2]por cuent'!G3340</f>
        <v>1048704999.5</v>
      </c>
      <c r="E3340" s="35">
        <f>+'[2]por cuent'!H3340</f>
        <v>1048704999.5</v>
      </c>
      <c r="F3340" t="str">
        <f>+'[2]por cuent'!I3340</f>
        <v>817</v>
      </c>
    </row>
    <row r="3341" spans="1:6" x14ac:dyDescent="0.35">
      <c r="A3341" t="str">
        <f>+'[2]por cuent'!A3341</f>
        <v>ARS</v>
      </c>
      <c r="B3341" t="str">
        <f>+'[2]por cuent'!B3341</f>
        <v>817100015</v>
      </c>
      <c r="C3341" t="str">
        <f>+'[2]por cuent'!C3341</f>
        <v>VALO Securities SAU con intermediacion de ICG</v>
      </c>
      <c r="D3341" s="35">
        <f>+'[2]por cuent'!G3341</f>
        <v>1945264021936.6299</v>
      </c>
      <c r="E3341" s="35">
        <f>+'[2]por cuent'!H3341</f>
        <v>1945264021936.6299</v>
      </c>
      <c r="F3341" t="str">
        <f>+'[2]por cuent'!I3341</f>
        <v>817</v>
      </c>
    </row>
    <row r="3342" spans="1:6" x14ac:dyDescent="0.35">
      <c r="A3342" t="str">
        <f>+'[2]por cuent'!A3342</f>
        <v>ARS</v>
      </c>
      <c r="B3342" t="str">
        <f>+'[2]por cuent'!B3342</f>
        <v>821000004</v>
      </c>
      <c r="C3342" t="str">
        <f>+'[2]por cuent'!C3342</f>
        <v>Porthé, Rosario</v>
      </c>
      <c r="D3342" s="35">
        <f>+'[2]por cuent'!G3342</f>
        <v>2972327.4</v>
      </c>
      <c r="E3342" s="35">
        <f>+'[2]por cuent'!H3342</f>
        <v>2972327.4</v>
      </c>
      <c r="F3342" t="str">
        <f>+'[2]por cuent'!I3342</f>
        <v>821</v>
      </c>
    </row>
    <row r="3343" spans="1:6" x14ac:dyDescent="0.35">
      <c r="A3343" t="str">
        <f>+'[2]por cuent'!A3343</f>
        <v>ARS</v>
      </c>
      <c r="B3343" t="str">
        <f>+'[2]por cuent'!B3343</f>
        <v>821000005</v>
      </c>
      <c r="C3343" t="str">
        <f>+'[2]por cuent'!C3343</f>
        <v>Isabel Turri</v>
      </c>
      <c r="D3343" s="35">
        <f>+'[2]por cuent'!G3343</f>
        <v>4390</v>
      </c>
      <c r="E3343" s="35">
        <f>+'[2]por cuent'!H3343</f>
        <v>4390</v>
      </c>
      <c r="F3343" t="str">
        <f>+'[2]por cuent'!I3343</f>
        <v>821</v>
      </c>
    </row>
    <row r="3344" spans="1:6" x14ac:dyDescent="0.35">
      <c r="A3344" t="str">
        <f>+'[2]por cuent'!A3344</f>
        <v>ARS</v>
      </c>
      <c r="B3344" t="str">
        <f>+'[2]por cuent'!B3344</f>
        <v>821000007</v>
      </c>
      <c r="C3344" t="str">
        <f>+'[2]por cuent'!C3344</f>
        <v>Lanin Capital S.A</v>
      </c>
      <c r="D3344" s="35">
        <f>+'[2]por cuent'!G3344</f>
        <v>3619563</v>
      </c>
      <c r="E3344" s="35">
        <f>+'[2]por cuent'!H3344</f>
        <v>3619563</v>
      </c>
      <c r="F3344" t="str">
        <f>+'[2]por cuent'!I3344</f>
        <v>821</v>
      </c>
    </row>
    <row r="3345" spans="1:6" x14ac:dyDescent="0.35">
      <c r="A3345" t="str">
        <f>+'[2]por cuent'!A3345</f>
        <v>ARS</v>
      </c>
      <c r="B3345" t="str">
        <f>+'[2]por cuent'!B3345</f>
        <v>821000008</v>
      </c>
      <c r="C3345" t="str">
        <f>+'[2]por cuent'!C3345</f>
        <v>Porthe, Juan Cruz</v>
      </c>
      <c r="D3345" s="35">
        <f>+'[2]por cuent'!G3345</f>
        <v>612764.5</v>
      </c>
      <c r="E3345" s="35">
        <f>+'[2]por cuent'!H3345</f>
        <v>612764.5</v>
      </c>
      <c r="F3345" t="str">
        <f>+'[2]por cuent'!I3345</f>
        <v>821</v>
      </c>
    </row>
    <row r="3346" spans="1:6" x14ac:dyDescent="0.35">
      <c r="A3346" t="str">
        <f>+'[2]por cuent'!A3346</f>
        <v>ARS</v>
      </c>
      <c r="B3346" t="str">
        <f>+'[2]por cuent'!B3346</f>
        <v>821000010</v>
      </c>
      <c r="C3346" t="str">
        <f>+'[2]por cuent'!C3346</f>
        <v>Abal, Martina</v>
      </c>
      <c r="D3346" s="35">
        <f>+'[2]por cuent'!G3346</f>
        <v>8496.6</v>
      </c>
      <c r="E3346" s="35">
        <f>+'[2]por cuent'!H3346</f>
        <v>8496.6</v>
      </c>
      <c r="F3346" t="str">
        <f>+'[2]por cuent'!I3346</f>
        <v>821</v>
      </c>
    </row>
    <row r="3347" spans="1:6" x14ac:dyDescent="0.35">
      <c r="A3347" t="str">
        <f>+'[2]por cuent'!A3347</f>
        <v>ARS</v>
      </c>
      <c r="B3347" t="str">
        <f>+'[2]por cuent'!B3347</f>
        <v>821000011</v>
      </c>
      <c r="C3347" t="str">
        <f>+'[2]por cuent'!C3347</f>
        <v>De La Rua, Delfina</v>
      </c>
      <c r="D3347" s="35">
        <f>+'[2]por cuent'!G3347</f>
        <v>2295.9</v>
      </c>
      <c r="E3347" s="35">
        <f>+'[2]por cuent'!H3347</f>
        <v>2295.9</v>
      </c>
      <c r="F3347" t="str">
        <f>+'[2]por cuent'!I3347</f>
        <v>821</v>
      </c>
    </row>
    <row r="3348" spans="1:6" x14ac:dyDescent="0.35">
      <c r="A3348" t="str">
        <f>+'[2]por cuent'!A3348</f>
        <v>ARS</v>
      </c>
      <c r="B3348" t="str">
        <f>+'[2]por cuent'!B3348</f>
        <v>821000012</v>
      </c>
      <c r="C3348" t="str">
        <f>+'[2]por cuent'!C3348</f>
        <v>Iglesias, Sofia Maria</v>
      </c>
      <c r="D3348" s="35">
        <f>+'[2]por cuent'!G3348</f>
        <v>29069835</v>
      </c>
      <c r="E3348" s="35">
        <f>+'[2]por cuent'!H3348</f>
        <v>29069835</v>
      </c>
      <c r="F3348" t="str">
        <f>+'[2]por cuent'!I3348</f>
        <v>821</v>
      </c>
    </row>
    <row r="3349" spans="1:6" x14ac:dyDescent="0.35">
      <c r="A3349" t="str">
        <f>+'[2]por cuent'!A3349</f>
        <v>ARS</v>
      </c>
      <c r="B3349" t="str">
        <f>+'[2]por cuent'!B3349</f>
        <v>821000013</v>
      </c>
      <c r="C3349" t="str">
        <f>+'[2]por cuent'!C3349</f>
        <v>Calvo, Salvador</v>
      </c>
      <c r="D3349" s="35">
        <f>+'[2]por cuent'!G3349</f>
        <v>2120460</v>
      </c>
      <c r="E3349" s="35">
        <f>+'[2]por cuent'!H3349</f>
        <v>2120460</v>
      </c>
      <c r="F3349" t="str">
        <f>+'[2]por cuent'!I3349</f>
        <v>821</v>
      </c>
    </row>
    <row r="3350" spans="1:6" x14ac:dyDescent="0.35">
      <c r="A3350" t="str">
        <f>+'[2]por cuent'!A3350</f>
        <v>ARS</v>
      </c>
      <c r="B3350" t="str">
        <f>+'[2]por cuent'!B3350</f>
        <v>821000014</v>
      </c>
      <c r="C3350" t="str">
        <f>+'[2]por cuent'!C3350</f>
        <v>Ragnoli, Pia Silvana</v>
      </c>
      <c r="D3350" s="35">
        <f>+'[2]por cuent'!G3350</f>
        <v>3125843.6</v>
      </c>
      <c r="E3350" s="35">
        <f>+'[2]por cuent'!H3350</f>
        <v>3125843.6</v>
      </c>
      <c r="F3350" t="str">
        <f>+'[2]por cuent'!I3350</f>
        <v>821</v>
      </c>
    </row>
    <row r="3351" spans="1:6" x14ac:dyDescent="0.35">
      <c r="A3351" t="str">
        <f>+'[2]por cuent'!A3351</f>
        <v>ARS</v>
      </c>
      <c r="B3351" t="str">
        <f>+'[2]por cuent'!B3351</f>
        <v>821000015</v>
      </c>
      <c r="C3351" t="str">
        <f>+'[2]por cuent'!C3351</f>
        <v>Perez, Alicia Susana</v>
      </c>
      <c r="D3351" s="35">
        <f>+'[2]por cuent'!G3351</f>
        <v>1559865.5</v>
      </c>
      <c r="E3351" s="35">
        <f>+'[2]por cuent'!H3351</f>
        <v>1559865.5</v>
      </c>
      <c r="F3351" t="str">
        <f>+'[2]por cuent'!I3351</f>
        <v>821</v>
      </c>
    </row>
    <row r="3352" spans="1:6" x14ac:dyDescent="0.35">
      <c r="A3352" t="str">
        <f>+'[2]por cuent'!A3352</f>
        <v>ARS</v>
      </c>
      <c r="B3352" t="str">
        <f>+'[2]por cuent'!B3352</f>
        <v>821000016</v>
      </c>
      <c r="C3352" t="str">
        <f>+'[2]por cuent'!C3352</f>
        <v>Roura, Pamela Lucia</v>
      </c>
      <c r="D3352" s="35">
        <f>+'[2]por cuent'!G3352</f>
        <v>2315505.4</v>
      </c>
      <c r="E3352" s="35">
        <f>+'[2]por cuent'!H3352</f>
        <v>2315505.4</v>
      </c>
      <c r="F3352" t="str">
        <f>+'[2]por cuent'!I3352</f>
        <v>821</v>
      </c>
    </row>
    <row r="3353" spans="1:6" x14ac:dyDescent="0.35">
      <c r="A3353" t="str">
        <f>+'[2]por cuent'!A3353</f>
        <v>ARS</v>
      </c>
      <c r="B3353" t="str">
        <f>+'[2]por cuent'!B3353</f>
        <v>821000017</v>
      </c>
      <c r="C3353" t="str">
        <f>+'[2]por cuent'!C3353</f>
        <v>Turri, Horacio Jorge Tomas</v>
      </c>
      <c r="D3353" s="35">
        <f>+'[2]por cuent'!G3353</f>
        <v>213158023</v>
      </c>
      <c r="E3353" s="35">
        <f>+'[2]por cuent'!H3353</f>
        <v>213158023</v>
      </c>
      <c r="F3353" t="str">
        <f>+'[2]por cuent'!I3353</f>
        <v>821</v>
      </c>
    </row>
    <row r="3354" spans="1:6" x14ac:dyDescent="0.35">
      <c r="A3354" t="str">
        <f>+'[2]por cuent'!A3354</f>
        <v>ARS</v>
      </c>
      <c r="B3354" t="str">
        <f>+'[2]por cuent'!B3354</f>
        <v>821000018</v>
      </c>
      <c r="C3354" t="str">
        <f>+'[2]por cuent'!C3354</f>
        <v>Ramos, Marcela Edith o Porthe, Gaston Enrique</v>
      </c>
      <c r="D3354" s="35">
        <f>+'[2]por cuent'!G3354</f>
        <v>1528863.8</v>
      </c>
      <c r="E3354" s="35">
        <f>+'[2]por cuent'!H3354</f>
        <v>1528863.8</v>
      </c>
      <c r="F3354" t="str">
        <f>+'[2]por cuent'!I3354</f>
        <v>821</v>
      </c>
    </row>
    <row r="3355" spans="1:6" x14ac:dyDescent="0.35">
      <c r="A3355" t="str">
        <f>+'[2]por cuent'!A3355</f>
        <v>ARS</v>
      </c>
      <c r="B3355" t="str">
        <f>+'[2]por cuent'!B3355</f>
        <v>821000019</v>
      </c>
      <c r="C3355" t="str">
        <f>+'[2]por cuent'!C3355</f>
        <v>Salgueiro, Lucia</v>
      </c>
      <c r="D3355" s="35">
        <f>+'[2]por cuent'!G3355</f>
        <v>2624441.4</v>
      </c>
      <c r="E3355" s="35">
        <f>+'[2]por cuent'!H3355</f>
        <v>2624441.4</v>
      </c>
      <c r="F3355" t="str">
        <f>+'[2]por cuent'!I3355</f>
        <v>821</v>
      </c>
    </row>
    <row r="3356" spans="1:6" x14ac:dyDescent="0.35">
      <c r="A3356" t="str">
        <f>+'[2]por cuent'!A3356</f>
        <v>ARS</v>
      </c>
      <c r="B3356" t="str">
        <f>+'[2]por cuent'!B3356</f>
        <v>821000020</v>
      </c>
      <c r="C3356" t="str">
        <f>+'[2]por cuent'!C3356</f>
        <v>Frias Rocca, Maria Soledad</v>
      </c>
      <c r="D3356" s="35">
        <f>+'[2]por cuent'!G3356</f>
        <v>81008517.900000006</v>
      </c>
      <c r="E3356" s="35">
        <f>+'[2]por cuent'!H3356</f>
        <v>81008517.900000006</v>
      </c>
      <c r="F3356" t="str">
        <f>+'[2]por cuent'!I3356</f>
        <v>821</v>
      </c>
    </row>
    <row r="3357" spans="1:6" x14ac:dyDescent="0.35">
      <c r="A3357" t="str">
        <f>+'[2]por cuent'!A3357</f>
        <v>ARS</v>
      </c>
      <c r="B3357" t="str">
        <f>+'[2]por cuent'!B3357</f>
        <v>821000022</v>
      </c>
      <c r="C3357" t="str">
        <f>+'[2]por cuent'!C3357</f>
        <v>Incardona, Claudio Alejandro</v>
      </c>
      <c r="D3357" s="35">
        <f>+'[2]por cuent'!G3357</f>
        <v>305305.5</v>
      </c>
      <c r="E3357" s="35">
        <f>+'[2]por cuent'!H3357</f>
        <v>305305.5</v>
      </c>
      <c r="F3357" t="str">
        <f>+'[2]por cuent'!I3357</f>
        <v>821</v>
      </c>
    </row>
    <row r="3358" spans="1:6" x14ac:dyDescent="0.35">
      <c r="A3358" t="str">
        <f>+'[2]por cuent'!A3358</f>
        <v>ARS</v>
      </c>
      <c r="B3358" t="str">
        <f>+'[2]por cuent'!B3358</f>
        <v>821000023</v>
      </c>
      <c r="C3358" t="str">
        <f>+'[2]por cuent'!C3358</f>
        <v>Bruscantini, Federico Ariel</v>
      </c>
      <c r="D3358" s="35">
        <f>+'[2]por cuent'!G3358</f>
        <v>1233935.8</v>
      </c>
      <c r="E3358" s="35">
        <f>+'[2]por cuent'!H3358</f>
        <v>1233935.8</v>
      </c>
      <c r="F3358" t="str">
        <f>+'[2]por cuent'!I3358</f>
        <v>821</v>
      </c>
    </row>
    <row r="3359" spans="1:6" x14ac:dyDescent="0.35">
      <c r="A3359" t="str">
        <f>+'[2]por cuent'!A3359</f>
        <v>ARS</v>
      </c>
      <c r="B3359" t="str">
        <f>+'[2]por cuent'!B3359</f>
        <v>821000024</v>
      </c>
      <c r="C3359" t="str">
        <f>+'[2]por cuent'!C3359</f>
        <v>Gonzalez, Paloma</v>
      </c>
      <c r="D3359" s="35">
        <f>+'[2]por cuent'!G3359</f>
        <v>883828.5</v>
      </c>
      <c r="E3359" s="35">
        <f>+'[2]por cuent'!H3359</f>
        <v>883828.5</v>
      </c>
      <c r="F3359" t="str">
        <f>+'[2]por cuent'!I3359</f>
        <v>821</v>
      </c>
    </row>
    <row r="3360" spans="1:6" x14ac:dyDescent="0.35">
      <c r="A3360" t="str">
        <f>+'[2]por cuent'!A3360</f>
        <v>ARS</v>
      </c>
      <c r="B3360" t="str">
        <f>+'[2]por cuent'!B3360</f>
        <v>821000025</v>
      </c>
      <c r="C3360" t="str">
        <f>+'[2]por cuent'!C3360</f>
        <v>Martin, Tomas</v>
      </c>
      <c r="D3360" s="35">
        <f>+'[2]por cuent'!G3360</f>
        <v>5343.8</v>
      </c>
      <c r="E3360" s="35">
        <f>+'[2]por cuent'!H3360</f>
        <v>5343.8</v>
      </c>
      <c r="F3360" t="str">
        <f>+'[2]por cuent'!I3360</f>
        <v>821</v>
      </c>
    </row>
    <row r="3361" spans="1:6" x14ac:dyDescent="0.35">
      <c r="A3361" t="str">
        <f>+'[2]por cuent'!A3361</f>
        <v>ARS</v>
      </c>
      <c r="B3361" t="str">
        <f>+'[2]por cuent'!B3361</f>
        <v>821000026</v>
      </c>
      <c r="C3361" t="str">
        <f>+'[2]por cuent'!C3361</f>
        <v>Barillari, Gabriela Ana</v>
      </c>
      <c r="D3361" s="35">
        <f>+'[2]por cuent'!G3361</f>
        <v>2721499.2</v>
      </c>
      <c r="E3361" s="35">
        <f>+'[2]por cuent'!H3361</f>
        <v>2721499.2</v>
      </c>
      <c r="F3361" t="str">
        <f>+'[2]por cuent'!I3361</f>
        <v>821</v>
      </c>
    </row>
    <row r="3362" spans="1:6" x14ac:dyDescent="0.35">
      <c r="A3362" t="str">
        <f>+'[2]por cuent'!A3362</f>
        <v>ARS</v>
      </c>
      <c r="B3362" t="str">
        <f>+'[2]por cuent'!B3362</f>
        <v>821000027</v>
      </c>
      <c r="C3362" t="str">
        <f>+'[2]por cuent'!C3362</f>
        <v xml:space="preserve">Carr, Sophie </v>
      </c>
      <c r="D3362" s="35">
        <f>+'[2]por cuent'!G3362</f>
        <v>3376925</v>
      </c>
      <c r="E3362" s="35">
        <f>+'[2]por cuent'!H3362</f>
        <v>3376925</v>
      </c>
      <c r="F3362" t="str">
        <f>+'[2]por cuent'!I3362</f>
        <v>821</v>
      </c>
    </row>
    <row r="3363" spans="1:6" x14ac:dyDescent="0.35">
      <c r="A3363" t="str">
        <f>+'[2]por cuent'!A3363</f>
        <v>ARS</v>
      </c>
      <c r="B3363" t="str">
        <f>+'[2]por cuent'!B3363</f>
        <v>821000028</v>
      </c>
      <c r="C3363" t="str">
        <f>+'[2]por cuent'!C3363</f>
        <v>Martinez Etayo, Marcelo Augusto o Ruffa, Maria Gabriela</v>
      </c>
      <c r="D3363" s="35">
        <f>+'[2]por cuent'!G3363</f>
        <v>1866.2</v>
      </c>
      <c r="E3363" s="35">
        <f>+'[2]por cuent'!H3363</f>
        <v>1866.2</v>
      </c>
      <c r="F3363" t="str">
        <f>+'[2]por cuent'!I3363</f>
        <v>821</v>
      </c>
    </row>
    <row r="3364" spans="1:6" x14ac:dyDescent="0.35">
      <c r="A3364" t="str">
        <f>+'[2]por cuent'!A3364</f>
        <v>ARS</v>
      </c>
      <c r="B3364" t="str">
        <f>+'[2]por cuent'!B3364</f>
        <v>821000029</v>
      </c>
      <c r="C3364" t="str">
        <f>+'[2]por cuent'!C3364</f>
        <v>Iacono, Paula Maria o Abal, Lucio</v>
      </c>
      <c r="D3364" s="35">
        <f>+'[2]por cuent'!G3364</f>
        <v>9575092.5</v>
      </c>
      <c r="E3364" s="35">
        <f>+'[2]por cuent'!H3364</f>
        <v>9575092.5</v>
      </c>
      <c r="F3364" t="str">
        <f>+'[2]por cuent'!I3364</f>
        <v>821</v>
      </c>
    </row>
    <row r="3365" spans="1:6" x14ac:dyDescent="0.35">
      <c r="A3365" t="str">
        <f>+'[2]por cuent'!A3365</f>
        <v>ARS</v>
      </c>
      <c r="B3365" t="str">
        <f>+'[2]por cuent'!B3365</f>
        <v>821000034</v>
      </c>
      <c r="C3365" t="str">
        <f>+'[2]por cuent'!C3365</f>
        <v xml:space="preserve">Elias, Ignacio Martin </v>
      </c>
      <c r="D3365" s="35">
        <f>+'[2]por cuent'!G3365</f>
        <v>3035090</v>
      </c>
      <c r="E3365" s="35">
        <f>+'[2]por cuent'!H3365</f>
        <v>3035090</v>
      </c>
      <c r="F3365" t="str">
        <f>+'[2]por cuent'!I3365</f>
        <v>821</v>
      </c>
    </row>
    <row r="3366" spans="1:6" x14ac:dyDescent="0.35">
      <c r="A3366" t="str">
        <f>+'[2]por cuent'!A3366</f>
        <v>ARS</v>
      </c>
      <c r="B3366" t="str">
        <f>+'[2]por cuent'!B3366</f>
        <v>821000035</v>
      </c>
      <c r="C3366" t="str">
        <f>+'[2]por cuent'!C3366</f>
        <v>Aulet Yaregui, Valentina</v>
      </c>
      <c r="D3366" s="35">
        <f>+'[2]por cuent'!G3366</f>
        <v>693435</v>
      </c>
      <c r="E3366" s="35">
        <f>+'[2]por cuent'!H3366</f>
        <v>693435</v>
      </c>
      <c r="F3366" t="str">
        <f>+'[2]por cuent'!I3366</f>
        <v>821</v>
      </c>
    </row>
    <row r="3367" spans="1:6" x14ac:dyDescent="0.35">
      <c r="A3367" t="str">
        <f>+'[2]por cuent'!A3367</f>
        <v>ARS</v>
      </c>
      <c r="B3367" t="str">
        <f>+'[2]por cuent'!B3367</f>
        <v>821000036</v>
      </c>
      <c r="C3367" t="str">
        <f>+'[2]por cuent'!C3367</f>
        <v>LAGER PLAST SRL</v>
      </c>
      <c r="D3367" s="35">
        <f>+'[2]por cuent'!G3367</f>
        <v>20006900</v>
      </c>
      <c r="E3367" s="35">
        <f>+'[2]por cuent'!H3367</f>
        <v>20006900</v>
      </c>
      <c r="F3367" t="str">
        <f>+'[2]por cuent'!I3367</f>
        <v>821</v>
      </c>
    </row>
    <row r="3368" spans="1:6" x14ac:dyDescent="0.35">
      <c r="A3368" t="str">
        <f>+'[2]por cuent'!A3368</f>
        <v>ARS</v>
      </c>
      <c r="B3368" t="str">
        <f>+'[2]por cuent'!B3368</f>
        <v>834000007</v>
      </c>
      <c r="C3368" t="str">
        <f>+'[2]por cuent'!C3368</f>
        <v>INVERFIN S.A.</v>
      </c>
      <c r="D3368" s="35">
        <f>+'[2]por cuent'!G3368</f>
        <v>13009561.560000001</v>
      </c>
      <c r="E3368" s="35">
        <f>+'[2]por cuent'!H3368</f>
        <v>13009561.560000001</v>
      </c>
      <c r="F3368" t="str">
        <f>+'[2]por cuent'!I3368</f>
        <v>834</v>
      </c>
    </row>
    <row r="3369" spans="1:6" x14ac:dyDescent="0.35">
      <c r="A3369" t="str">
        <f>+'[2]por cuent'!A3369</f>
        <v>ARS</v>
      </c>
      <c r="B3369" t="str">
        <f>+'[2]por cuent'!B3369</f>
        <v>834000223</v>
      </c>
      <c r="C3369" t="str">
        <f>+'[2]por cuent'!C3369</f>
        <v>MARTIN, FELIPE RICARDO o BENITEZ, SILVIA NORMA</v>
      </c>
      <c r="D3369" s="35">
        <f>+'[2]por cuent'!G3369</f>
        <v>3528</v>
      </c>
      <c r="E3369" s="35">
        <f>+'[2]por cuent'!H3369</f>
        <v>3528</v>
      </c>
      <c r="F3369" t="str">
        <f>+'[2]por cuent'!I3369</f>
        <v>834</v>
      </c>
    </row>
    <row r="3370" spans="1:6" x14ac:dyDescent="0.35">
      <c r="A3370" t="str">
        <f>+'[2]por cuent'!A3370</f>
        <v>ARS</v>
      </c>
      <c r="B3370" t="str">
        <f>+'[2]por cuent'!B3370</f>
        <v>834000590</v>
      </c>
      <c r="C3370" t="str">
        <f>+'[2]por cuent'!C3370</f>
        <v>TOSETTO, ESTELA SOFIA o DELPIERRE, VERONICA ESTELA</v>
      </c>
      <c r="D3370" s="35">
        <f>+'[2]por cuent'!G3370</f>
        <v>131865</v>
      </c>
      <c r="E3370" s="35">
        <f>+'[2]por cuent'!H3370</f>
        <v>131865</v>
      </c>
      <c r="F3370" t="str">
        <f>+'[2]por cuent'!I3370</f>
        <v>834</v>
      </c>
    </row>
    <row r="3371" spans="1:6" x14ac:dyDescent="0.35">
      <c r="A3371" t="str">
        <f>+'[2]por cuent'!A3371</f>
        <v>ARS</v>
      </c>
      <c r="B3371" t="str">
        <f>+'[2]por cuent'!B3371</f>
        <v>834000607</v>
      </c>
      <c r="C3371" t="str">
        <f>+'[2]por cuent'!C3371</f>
        <v>APARICIO, EDUARDO OSCAR o PONCE, MARCELA LILIANA o APARICIO, YAMILA ANABEL</v>
      </c>
      <c r="D3371" s="35">
        <f>+'[2]por cuent'!G3371</f>
        <v>152254380</v>
      </c>
      <c r="E3371" s="35">
        <f>+'[2]por cuent'!H3371</f>
        <v>152254380</v>
      </c>
      <c r="F3371" t="str">
        <f>+'[2]por cuent'!I3371</f>
        <v>834</v>
      </c>
    </row>
    <row r="3372" spans="1:6" x14ac:dyDescent="0.35">
      <c r="A3372" t="str">
        <f>+'[2]por cuent'!A3372</f>
        <v>ARS</v>
      </c>
      <c r="B3372" t="str">
        <f>+'[2]por cuent'!B3372</f>
        <v>834001442</v>
      </c>
      <c r="C3372" t="str">
        <f>+'[2]por cuent'!C3372</f>
        <v>CASE FERNANDO AGUSTIN</v>
      </c>
      <c r="D3372" s="35">
        <f>+'[2]por cuent'!G3372</f>
        <v>31481105.899999999</v>
      </c>
      <c r="E3372" s="35">
        <f>+'[2]por cuent'!H3372</f>
        <v>31481105.899999999</v>
      </c>
      <c r="F3372" t="str">
        <f>+'[2]por cuent'!I3372</f>
        <v>834</v>
      </c>
    </row>
    <row r="3373" spans="1:6" x14ac:dyDescent="0.35">
      <c r="A3373" t="str">
        <f>+'[2]por cuent'!A3373</f>
        <v>ARS</v>
      </c>
      <c r="B3373" t="str">
        <f>+'[2]por cuent'!B3373</f>
        <v>834005304</v>
      </c>
      <c r="C3373" t="str">
        <f>+'[2]por cuent'!C3373</f>
        <v>CORTEZ, ALEJANDRO JOSE o BALDASSO, ELSA OFELIA</v>
      </c>
      <c r="D3373" s="35">
        <f>+'[2]por cuent'!G3373</f>
        <v>1153578</v>
      </c>
      <c r="E3373" s="35">
        <f>+'[2]por cuent'!H3373</f>
        <v>1153578</v>
      </c>
      <c r="F3373" t="str">
        <f>+'[2]por cuent'!I3373</f>
        <v>834</v>
      </c>
    </row>
    <row r="3374" spans="1:6" x14ac:dyDescent="0.35">
      <c r="A3374" t="str">
        <f>+'[2]por cuent'!A3374</f>
        <v>ARS</v>
      </c>
      <c r="B3374" t="str">
        <f>+'[2]por cuent'!B3374</f>
        <v>834005585</v>
      </c>
      <c r="C3374" t="str">
        <f>+'[2]por cuent'!C3374</f>
        <v>CUELLO, ALBERTO GERMAN o CUELLO, MARIA LAURA o CUELLO, CARLOS GABRIEL</v>
      </c>
      <c r="D3374" s="35">
        <f>+'[2]por cuent'!G3374</f>
        <v>1683268.9</v>
      </c>
      <c r="E3374" s="35">
        <f>+'[2]por cuent'!H3374</f>
        <v>1683268.9</v>
      </c>
      <c r="F3374" t="str">
        <f>+'[2]por cuent'!I3374</f>
        <v>834</v>
      </c>
    </row>
    <row r="3375" spans="1:6" x14ac:dyDescent="0.35">
      <c r="A3375" t="str">
        <f>+'[2]por cuent'!A3375</f>
        <v>ARS</v>
      </c>
      <c r="B3375" t="str">
        <f>+'[2]por cuent'!B3375</f>
        <v>834005622</v>
      </c>
      <c r="C3375" t="str">
        <f>+'[2]por cuent'!C3375</f>
        <v>SALGADO, LILIAN BEATRIZ o SUAREZ SALGADO, SCHULLCA NATALIA o SUAREZ, HECTOR GUILLERMO JORGE</v>
      </c>
      <c r="D3375" s="35">
        <f>+'[2]por cuent'!G3375</f>
        <v>5001900</v>
      </c>
      <c r="E3375" s="35">
        <f>+'[2]por cuent'!H3375</f>
        <v>5001900</v>
      </c>
      <c r="F3375" t="str">
        <f>+'[2]por cuent'!I3375</f>
        <v>834</v>
      </c>
    </row>
    <row r="3376" spans="1:6" x14ac:dyDescent="0.35">
      <c r="A3376" t="str">
        <f>+'[2]por cuent'!A3376</f>
        <v>ARS</v>
      </c>
      <c r="B3376" t="str">
        <f>+'[2]por cuent'!B3376</f>
        <v>834005852</v>
      </c>
      <c r="C3376" t="str">
        <f>+'[2]por cuent'!C3376</f>
        <v>COHEN, PAULA ANDREA</v>
      </c>
      <c r="D3376" s="35">
        <f>+'[2]por cuent'!G3376</f>
        <v>646581.39</v>
      </c>
      <c r="E3376" s="35">
        <f>+'[2]por cuent'!H3376</f>
        <v>646581.39</v>
      </c>
      <c r="F3376" t="str">
        <f>+'[2]por cuent'!I3376</f>
        <v>834</v>
      </c>
    </row>
    <row r="3377" spans="1:6" x14ac:dyDescent="0.35">
      <c r="A3377" t="str">
        <f>+'[2]por cuent'!A3377</f>
        <v>ARS</v>
      </c>
      <c r="B3377" t="str">
        <f>+'[2]por cuent'!B3377</f>
        <v>834005908</v>
      </c>
      <c r="C3377" t="str">
        <f>+'[2]por cuent'!C3377</f>
        <v>JAHAN, JAVIER EDGARDO o PEREZ BONGIOVANNI, ANDREA CRISTINA</v>
      </c>
      <c r="D3377" s="35">
        <f>+'[2]por cuent'!G3377</f>
        <v>20976.39</v>
      </c>
      <c r="E3377" s="35">
        <f>+'[2]por cuent'!H3377</f>
        <v>20976.39</v>
      </c>
      <c r="F3377" t="str">
        <f>+'[2]por cuent'!I3377</f>
        <v>834</v>
      </c>
    </row>
    <row r="3378" spans="1:6" x14ac:dyDescent="0.35">
      <c r="A3378" t="str">
        <f>+'[2]por cuent'!A3378</f>
        <v>ARS</v>
      </c>
      <c r="B3378" t="str">
        <f>+'[2]por cuent'!B3378</f>
        <v>834005922</v>
      </c>
      <c r="C3378" t="str">
        <f>+'[2]por cuent'!C3378</f>
        <v>MENDOZA, HECTOR ORLANDO o MENDOZA, SEBASTIAN GABRIEL</v>
      </c>
      <c r="D3378" s="35">
        <f>+'[2]por cuent'!G3378</f>
        <v>3518.4</v>
      </c>
      <c r="E3378" s="35">
        <f>+'[2]por cuent'!H3378</f>
        <v>3518.4</v>
      </c>
      <c r="F3378" t="str">
        <f>+'[2]por cuent'!I3378</f>
        <v>834</v>
      </c>
    </row>
    <row r="3379" spans="1:6" x14ac:dyDescent="0.35">
      <c r="A3379" t="str">
        <f>+'[2]por cuent'!A3379</f>
        <v>ARS</v>
      </c>
      <c r="B3379" t="str">
        <f>+'[2]por cuent'!B3379</f>
        <v>834005993</v>
      </c>
      <c r="C3379" t="str">
        <f>+'[2]por cuent'!C3379</f>
        <v>GIANNONE, RAUL VICENTE</v>
      </c>
      <c r="D3379" s="35">
        <f>+'[2]por cuent'!G3379</f>
        <v>34532</v>
      </c>
      <c r="E3379" s="35">
        <f>+'[2]por cuent'!H3379</f>
        <v>34532</v>
      </c>
      <c r="F3379" t="str">
        <f>+'[2]por cuent'!I3379</f>
        <v>834</v>
      </c>
    </row>
    <row r="3380" spans="1:6" x14ac:dyDescent="0.35">
      <c r="A3380" t="str">
        <f>+'[2]por cuent'!A3380</f>
        <v>ARS</v>
      </c>
      <c r="B3380" t="str">
        <f>+'[2]por cuent'!B3380</f>
        <v>834008585</v>
      </c>
      <c r="C3380" t="str">
        <f>+'[2]por cuent'!C3380</f>
        <v>CONCIA, JOSE OLEGARIO o PARATORE, MARIA CARINA</v>
      </c>
      <c r="D3380" s="35">
        <f>+'[2]por cuent'!G3380</f>
        <v>192314.74</v>
      </c>
      <c r="E3380" s="35">
        <f>+'[2]por cuent'!H3380</f>
        <v>192314.74</v>
      </c>
      <c r="F3380" t="str">
        <f>+'[2]por cuent'!I3380</f>
        <v>834</v>
      </c>
    </row>
    <row r="3381" spans="1:6" x14ac:dyDescent="0.35">
      <c r="A3381" t="str">
        <f>+'[2]por cuent'!A3381</f>
        <v>ARS</v>
      </c>
      <c r="B3381" t="str">
        <f>+'[2]por cuent'!B3381</f>
        <v>834008590</v>
      </c>
      <c r="C3381" t="str">
        <f>+'[2]por cuent'!C3381</f>
        <v xml:space="preserve">GARCIA MATEO, PEDRO </v>
      </c>
      <c r="D3381" s="35">
        <f>+'[2]por cuent'!G3381</f>
        <v>3014538</v>
      </c>
      <c r="E3381" s="35">
        <f>+'[2]por cuent'!H3381</f>
        <v>3014538</v>
      </c>
      <c r="F3381" t="str">
        <f>+'[2]por cuent'!I3381</f>
        <v>834</v>
      </c>
    </row>
    <row r="3382" spans="1:6" x14ac:dyDescent="0.35">
      <c r="A3382" t="str">
        <f>+'[2]por cuent'!A3382</f>
        <v>ARS</v>
      </c>
      <c r="B3382" t="str">
        <f>+'[2]por cuent'!B3382</f>
        <v>834008787</v>
      </c>
      <c r="C3382" t="str">
        <f>+'[2]por cuent'!C3382</f>
        <v>PUEBLA PEÑA, JAVIER ALEJANDRO o DISTEFANO, ROMINA SOLEDAD</v>
      </c>
      <c r="D3382" s="35">
        <f>+'[2]por cuent'!G3382</f>
        <v>4939.2</v>
      </c>
      <c r="E3382" s="35">
        <f>+'[2]por cuent'!H3382</f>
        <v>4939.2</v>
      </c>
      <c r="F3382" t="str">
        <f>+'[2]por cuent'!I3382</f>
        <v>834</v>
      </c>
    </row>
    <row r="3383" spans="1:6" x14ac:dyDescent="0.35">
      <c r="A3383" t="str">
        <f>+'[2]por cuent'!A3383</f>
        <v>ARS</v>
      </c>
      <c r="B3383" t="str">
        <f>+'[2]por cuent'!B3383</f>
        <v>834008848</v>
      </c>
      <c r="C3383" t="str">
        <f>+'[2]por cuent'!C3383</f>
        <v>BARI LAURA INES</v>
      </c>
      <c r="D3383" s="35">
        <f>+'[2]por cuent'!G3383</f>
        <v>2639432</v>
      </c>
      <c r="E3383" s="35">
        <f>+'[2]por cuent'!H3383</f>
        <v>2639432</v>
      </c>
      <c r="F3383" t="str">
        <f>+'[2]por cuent'!I3383</f>
        <v>834</v>
      </c>
    </row>
    <row r="3384" spans="1:6" x14ac:dyDescent="0.35">
      <c r="A3384" t="str">
        <f>+'[2]por cuent'!A3384</f>
        <v>ARS</v>
      </c>
      <c r="B3384" t="str">
        <f>+'[2]por cuent'!B3384</f>
        <v>834008855</v>
      </c>
      <c r="C3384" t="str">
        <f>+'[2]por cuent'!C3384</f>
        <v>BARGAZZI, EDUARDO JORGE o LAZZARI, SILVIA NORA o BARGAZZI, MAURO</v>
      </c>
      <c r="D3384" s="35">
        <f>+'[2]por cuent'!G3384</f>
        <v>23992529</v>
      </c>
      <c r="E3384" s="35">
        <f>+'[2]por cuent'!H3384</f>
        <v>23992529</v>
      </c>
      <c r="F3384" t="str">
        <f>+'[2]por cuent'!I3384</f>
        <v>834</v>
      </c>
    </row>
    <row r="3385" spans="1:6" x14ac:dyDescent="0.35">
      <c r="A3385" t="str">
        <f>+'[2]por cuent'!A3385</f>
        <v>ARS</v>
      </c>
      <c r="B3385" t="str">
        <f>+'[2]por cuent'!B3385</f>
        <v>834008887</v>
      </c>
      <c r="C3385" t="str">
        <f>+'[2]por cuent'!C3385</f>
        <v>CASE GRACIELA MARIA RAQUEL</v>
      </c>
      <c r="D3385" s="35">
        <f>+'[2]por cuent'!G3385</f>
        <v>7282269.5</v>
      </c>
      <c r="E3385" s="35">
        <f>+'[2]por cuent'!H3385</f>
        <v>7282269.5</v>
      </c>
      <c r="F3385" t="str">
        <f>+'[2]por cuent'!I3385</f>
        <v>834</v>
      </c>
    </row>
    <row r="3386" spans="1:6" x14ac:dyDescent="0.35">
      <c r="A3386" t="str">
        <f>+'[2]por cuent'!A3386</f>
        <v>ARS</v>
      </c>
      <c r="B3386" t="str">
        <f>+'[2]por cuent'!B3386</f>
        <v>834009759</v>
      </c>
      <c r="C3386" t="str">
        <f>+'[2]por cuent'!C3386</f>
        <v>SOLORZA, ALICIA o AMBROSI, LETICIA LORENA o AMBROSI, LUIS ALFREDO</v>
      </c>
      <c r="D3386" s="35">
        <f>+'[2]por cuent'!G3386</f>
        <v>5291.4</v>
      </c>
      <c r="E3386" s="35">
        <f>+'[2]por cuent'!H3386</f>
        <v>5291.4</v>
      </c>
      <c r="F3386" t="str">
        <f>+'[2]por cuent'!I3386</f>
        <v>834</v>
      </c>
    </row>
    <row r="3387" spans="1:6" x14ac:dyDescent="0.35">
      <c r="A3387" t="str">
        <f>+'[2]por cuent'!A3387</f>
        <v>ARS</v>
      </c>
      <c r="B3387" t="str">
        <f>+'[2]por cuent'!B3387</f>
        <v>834009762</v>
      </c>
      <c r="C3387" t="str">
        <f>+'[2]por cuent'!C3387</f>
        <v>S.A.ARGENTINO ARABE C.I. Y F.</v>
      </c>
      <c r="D3387" s="35">
        <f>+'[2]por cuent'!G3387</f>
        <v>53560</v>
      </c>
      <c r="E3387" s="35">
        <f>+'[2]por cuent'!H3387</f>
        <v>53560</v>
      </c>
      <c r="F3387" t="str">
        <f>+'[2]por cuent'!I3387</f>
        <v>834</v>
      </c>
    </row>
    <row r="3388" spans="1:6" x14ac:dyDescent="0.35">
      <c r="A3388" t="str">
        <f>+'[2]por cuent'!A3388</f>
        <v>ARS</v>
      </c>
      <c r="B3388" t="str">
        <f>+'[2]por cuent'!B3388</f>
        <v>834009823</v>
      </c>
      <c r="C3388" t="str">
        <f>+'[2]por cuent'!C3388</f>
        <v>RABIDA, RAMON RODOLFO o ESCOBAR, MARIA ESTER</v>
      </c>
      <c r="D3388" s="35">
        <f>+'[2]por cuent'!G3388</f>
        <v>67842570</v>
      </c>
      <c r="E3388" s="35">
        <f>+'[2]por cuent'!H3388</f>
        <v>67842570</v>
      </c>
      <c r="F3388" t="str">
        <f>+'[2]por cuent'!I3388</f>
        <v>834</v>
      </c>
    </row>
    <row r="3389" spans="1:6" x14ac:dyDescent="0.35">
      <c r="A3389" t="str">
        <f>+'[2]por cuent'!A3389</f>
        <v>ARS</v>
      </c>
      <c r="B3389" t="str">
        <f>+'[2]por cuent'!B3389</f>
        <v>834009854</v>
      </c>
      <c r="C3389" t="str">
        <f>+'[2]por cuent'!C3389</f>
        <v>SABATINO ANTONIO MIGUEL ANGEL</v>
      </c>
      <c r="D3389" s="35">
        <f>+'[2]por cuent'!G3389</f>
        <v>16467150</v>
      </c>
      <c r="E3389" s="35">
        <f>+'[2]por cuent'!H3389</f>
        <v>16467150</v>
      </c>
      <c r="F3389" t="str">
        <f>+'[2]por cuent'!I3389</f>
        <v>834</v>
      </c>
    </row>
    <row r="3390" spans="1:6" x14ac:dyDescent="0.35">
      <c r="A3390" t="str">
        <f>+'[2]por cuent'!A3390</f>
        <v>ARS</v>
      </c>
      <c r="B3390" t="str">
        <f>+'[2]por cuent'!B3390</f>
        <v>834009878</v>
      </c>
      <c r="C3390" t="str">
        <f>+'[2]por cuent'!C3390</f>
        <v>RIZZO, PABLO o VENTIN PONTE, ELBIA MARIANA o VALLE, VIRGINIA ESTELA</v>
      </c>
      <c r="D3390" s="35">
        <f>+'[2]por cuent'!G3390</f>
        <v>48086108.5</v>
      </c>
      <c r="E3390" s="35">
        <f>+'[2]por cuent'!H3390</f>
        <v>48086108.5</v>
      </c>
      <c r="F3390" t="str">
        <f>+'[2]por cuent'!I3390</f>
        <v>834</v>
      </c>
    </row>
    <row r="3391" spans="1:6" x14ac:dyDescent="0.35">
      <c r="A3391" t="str">
        <f>+'[2]por cuent'!A3391</f>
        <v>ARS</v>
      </c>
      <c r="B3391" t="str">
        <f>+'[2]por cuent'!B3391</f>
        <v>834009927</v>
      </c>
      <c r="C3391" t="str">
        <f>+'[2]por cuent'!C3391</f>
        <v>GONZALEZ LUQUE LEONARDO DAVID</v>
      </c>
      <c r="D3391" s="35">
        <f>+'[2]por cuent'!G3391</f>
        <v>4186</v>
      </c>
      <c r="E3391" s="35">
        <f>+'[2]por cuent'!H3391</f>
        <v>4186</v>
      </c>
      <c r="F3391" t="str">
        <f>+'[2]por cuent'!I3391</f>
        <v>834</v>
      </c>
    </row>
    <row r="3392" spans="1:6" x14ac:dyDescent="0.35">
      <c r="A3392" t="str">
        <f>+'[2]por cuent'!A3392</f>
        <v>ARS</v>
      </c>
      <c r="B3392" t="str">
        <f>+'[2]por cuent'!B3392</f>
        <v>834009938</v>
      </c>
      <c r="C3392" t="str">
        <f>+'[2]por cuent'!C3392</f>
        <v>MARIN, SANTIAGO ARMANDO o CASTILLO, MARIA DE LOS ANGELES</v>
      </c>
      <c r="D3392" s="35">
        <f>+'[2]por cuent'!G3392</f>
        <v>131125233.04000001</v>
      </c>
      <c r="E3392" s="35">
        <f>+'[2]por cuent'!H3392</f>
        <v>131125233.04000001</v>
      </c>
      <c r="F3392" t="str">
        <f>+'[2]por cuent'!I3392</f>
        <v>834</v>
      </c>
    </row>
    <row r="3393" spans="1:6" x14ac:dyDescent="0.35">
      <c r="A3393" t="str">
        <f>+'[2]por cuent'!A3393</f>
        <v>ARS</v>
      </c>
      <c r="B3393" t="str">
        <f>+'[2]por cuent'!B3393</f>
        <v>834009951</v>
      </c>
      <c r="C3393" t="str">
        <f>+'[2]por cuent'!C3393</f>
        <v>HASSEKIEFF, JUAN SEBASTIAN</v>
      </c>
      <c r="D3393" s="35">
        <f>+'[2]por cuent'!G3393</f>
        <v>420005</v>
      </c>
      <c r="E3393" s="35">
        <f>+'[2]por cuent'!H3393</f>
        <v>420005</v>
      </c>
      <c r="F3393" t="str">
        <f>+'[2]por cuent'!I3393</f>
        <v>834</v>
      </c>
    </row>
    <row r="3394" spans="1:6" x14ac:dyDescent="0.35">
      <c r="A3394" t="str">
        <f>+'[2]por cuent'!A3394</f>
        <v>ARS</v>
      </c>
      <c r="B3394" t="str">
        <f>+'[2]por cuent'!B3394</f>
        <v>834009994</v>
      </c>
      <c r="C3394" t="str">
        <f>+'[2]por cuent'!C3394</f>
        <v>CASTRO, JORGE CARMELO o BELMONTE, LEONARDA CELMINIA</v>
      </c>
      <c r="D3394" s="35">
        <f>+'[2]por cuent'!G3394</f>
        <v>5255516</v>
      </c>
      <c r="E3394" s="35">
        <f>+'[2]por cuent'!H3394</f>
        <v>5255516</v>
      </c>
      <c r="F3394" t="str">
        <f>+'[2]por cuent'!I3394</f>
        <v>834</v>
      </c>
    </row>
    <row r="3395" spans="1:6" x14ac:dyDescent="0.35">
      <c r="A3395" t="str">
        <f>+'[2]por cuent'!A3395</f>
        <v>ARS</v>
      </c>
      <c r="B3395" t="str">
        <f>+'[2]por cuent'!B3395</f>
        <v>834010028</v>
      </c>
      <c r="C3395" t="str">
        <f>+'[2]por cuent'!C3395</f>
        <v>GIORDANENGO, MARIA ALEJANDRA o PERALTA, LUIS ALBERTO</v>
      </c>
      <c r="D3395" s="35">
        <f>+'[2]por cuent'!G3395</f>
        <v>3391.2</v>
      </c>
      <c r="E3395" s="35">
        <f>+'[2]por cuent'!H3395</f>
        <v>3391.2</v>
      </c>
      <c r="F3395" t="str">
        <f>+'[2]por cuent'!I3395</f>
        <v>834</v>
      </c>
    </row>
    <row r="3396" spans="1:6" x14ac:dyDescent="0.35">
      <c r="A3396" t="str">
        <f>+'[2]por cuent'!A3396</f>
        <v>ARS</v>
      </c>
      <c r="B3396" t="str">
        <f>+'[2]por cuent'!B3396</f>
        <v>834010168</v>
      </c>
      <c r="C3396" t="str">
        <f>+'[2]por cuent'!C3396</f>
        <v>CUSTODIA DE ARCHIVOS DEL COMAHUE S.A.</v>
      </c>
      <c r="D3396" s="35">
        <f>+'[2]por cuent'!G3396</f>
        <v>174057010</v>
      </c>
      <c r="E3396" s="35">
        <f>+'[2]por cuent'!H3396</f>
        <v>174057010</v>
      </c>
      <c r="F3396" t="str">
        <f>+'[2]por cuent'!I3396</f>
        <v>834</v>
      </c>
    </row>
    <row r="3397" spans="1:6" x14ac:dyDescent="0.35">
      <c r="A3397" t="str">
        <f>+'[2]por cuent'!A3397</f>
        <v>ARS</v>
      </c>
      <c r="B3397" t="str">
        <f>+'[2]por cuent'!B3397</f>
        <v>834010204</v>
      </c>
      <c r="C3397" t="str">
        <f>+'[2]por cuent'!C3397</f>
        <v>ESCOBAR DARIO ENRIQUE</v>
      </c>
      <c r="D3397" s="35">
        <f>+'[2]por cuent'!G3397</f>
        <v>130639110</v>
      </c>
      <c r="E3397" s="35">
        <f>+'[2]por cuent'!H3397</f>
        <v>130639110</v>
      </c>
      <c r="F3397" t="str">
        <f>+'[2]por cuent'!I3397</f>
        <v>834</v>
      </c>
    </row>
    <row r="3398" spans="1:6" x14ac:dyDescent="0.35">
      <c r="A3398" t="str">
        <f>+'[2]por cuent'!A3398</f>
        <v>ARS</v>
      </c>
      <c r="B3398" t="str">
        <f>+'[2]por cuent'!B3398</f>
        <v>834010214</v>
      </c>
      <c r="C3398" t="str">
        <f>+'[2]por cuent'!C3398</f>
        <v>ASOCIACION PROPIETARIOS DE CAMIONES MENDOZA</v>
      </c>
      <c r="D3398" s="35">
        <f>+'[2]por cuent'!G3398</f>
        <v>3529.2</v>
      </c>
      <c r="E3398" s="35">
        <f>+'[2]por cuent'!H3398</f>
        <v>3529.2</v>
      </c>
      <c r="F3398" t="str">
        <f>+'[2]por cuent'!I3398</f>
        <v>834</v>
      </c>
    </row>
    <row r="3399" spans="1:6" x14ac:dyDescent="0.35">
      <c r="A3399" t="str">
        <f>+'[2]por cuent'!A3399</f>
        <v>ARS</v>
      </c>
      <c r="B3399" t="str">
        <f>+'[2]por cuent'!B3399</f>
        <v>834010234</v>
      </c>
      <c r="C3399" t="str">
        <f>+'[2]por cuent'!C3399</f>
        <v>MARTINEZ JERONIMO RICARDO</v>
      </c>
      <c r="D3399" s="35">
        <f>+'[2]por cuent'!G3399</f>
        <v>48634153</v>
      </c>
      <c r="E3399" s="35">
        <f>+'[2]por cuent'!H3399</f>
        <v>48634153</v>
      </c>
      <c r="F3399" t="str">
        <f>+'[2]por cuent'!I3399</f>
        <v>834</v>
      </c>
    </row>
    <row r="3400" spans="1:6" x14ac:dyDescent="0.35">
      <c r="A3400" t="str">
        <f>+'[2]por cuent'!A3400</f>
        <v>ARS</v>
      </c>
      <c r="B3400" t="str">
        <f>+'[2]por cuent'!B3400</f>
        <v>834010257</v>
      </c>
      <c r="C3400" t="str">
        <f>+'[2]por cuent'!C3400</f>
        <v>ZAVALA JURADO ALFREDO GUILLERMO</v>
      </c>
      <c r="D3400" s="35">
        <f>+'[2]por cuent'!G3400</f>
        <v>3527.6</v>
      </c>
      <c r="E3400" s="35">
        <f>+'[2]por cuent'!H3400</f>
        <v>3527.6</v>
      </c>
      <c r="F3400" t="str">
        <f>+'[2]por cuent'!I3400</f>
        <v>834</v>
      </c>
    </row>
    <row r="3401" spans="1:6" x14ac:dyDescent="0.35">
      <c r="A3401" t="str">
        <f>+'[2]por cuent'!A3401</f>
        <v>ARS</v>
      </c>
      <c r="B3401" t="str">
        <f>+'[2]por cuent'!B3401</f>
        <v>834010259</v>
      </c>
      <c r="C3401" t="str">
        <f>+'[2]por cuent'!C3401</f>
        <v>NOZICA, JORGE ANTONIO o NOZICA, JORGE</v>
      </c>
      <c r="D3401" s="35">
        <f>+'[2]por cuent'!G3401</f>
        <v>8263552.4500000002</v>
      </c>
      <c r="E3401" s="35">
        <f>+'[2]por cuent'!H3401</f>
        <v>8263552.4500000002</v>
      </c>
      <c r="F3401" t="str">
        <f>+'[2]por cuent'!I3401</f>
        <v>834</v>
      </c>
    </row>
    <row r="3402" spans="1:6" x14ac:dyDescent="0.35">
      <c r="A3402" t="str">
        <f>+'[2]por cuent'!A3402</f>
        <v>ARS</v>
      </c>
      <c r="B3402" t="str">
        <f>+'[2]por cuent'!B3402</f>
        <v>834010267</v>
      </c>
      <c r="C3402" t="str">
        <f>+'[2]por cuent'!C3402</f>
        <v>DE HOYOS, OSCAR NORBERTO o DE HOYOS, CARINA LIA</v>
      </c>
      <c r="D3402" s="35">
        <f>+'[2]por cuent'!G3402</f>
        <v>710208</v>
      </c>
      <c r="E3402" s="35">
        <f>+'[2]por cuent'!H3402</f>
        <v>710208</v>
      </c>
      <c r="F3402" t="str">
        <f>+'[2]por cuent'!I3402</f>
        <v>834</v>
      </c>
    </row>
    <row r="3403" spans="1:6" x14ac:dyDescent="0.35">
      <c r="A3403" t="str">
        <f>+'[2]por cuent'!A3403</f>
        <v>ARS</v>
      </c>
      <c r="B3403" t="str">
        <f>+'[2]por cuent'!B3403</f>
        <v>834010295</v>
      </c>
      <c r="C3403" t="str">
        <f>+'[2]por cuent'!C3403</f>
        <v>SOSA, RAMON SALVADOR o FERRO, MIRTA ANA</v>
      </c>
      <c r="D3403" s="35">
        <f>+'[2]por cuent'!G3403</f>
        <v>5512609</v>
      </c>
      <c r="E3403" s="35">
        <f>+'[2]por cuent'!H3403</f>
        <v>5512609</v>
      </c>
      <c r="F3403" t="str">
        <f>+'[2]por cuent'!I3403</f>
        <v>834</v>
      </c>
    </row>
    <row r="3404" spans="1:6" x14ac:dyDescent="0.35">
      <c r="A3404" t="str">
        <f>+'[2]por cuent'!A3404</f>
        <v>ARS</v>
      </c>
      <c r="B3404" t="str">
        <f>+'[2]por cuent'!B3404</f>
        <v>834010306</v>
      </c>
      <c r="C3404" t="str">
        <f>+'[2]por cuent'!C3404</f>
        <v>MERIN, GUSTAVO MIGUEL o GUERRA BARRUTI, MICAELA</v>
      </c>
      <c r="D3404" s="35">
        <f>+'[2]por cuent'!G3404</f>
        <v>24096950</v>
      </c>
      <c r="E3404" s="35">
        <f>+'[2]por cuent'!H3404</f>
        <v>24096950</v>
      </c>
      <c r="F3404" t="str">
        <f>+'[2]por cuent'!I3404</f>
        <v>834</v>
      </c>
    </row>
    <row r="3405" spans="1:6" x14ac:dyDescent="0.35">
      <c r="A3405" t="str">
        <f>+'[2]por cuent'!A3405</f>
        <v>ARS</v>
      </c>
      <c r="B3405" t="str">
        <f>+'[2]por cuent'!B3405</f>
        <v>834010325</v>
      </c>
      <c r="C3405" t="str">
        <f>+'[2]por cuent'!C3405</f>
        <v>BAREA, SUSANA BEATRIZ</v>
      </c>
      <c r="D3405" s="35">
        <f>+'[2]por cuent'!G3405</f>
        <v>5293.8</v>
      </c>
      <c r="E3405" s="35">
        <f>+'[2]por cuent'!H3405</f>
        <v>5293.8</v>
      </c>
      <c r="F3405" t="str">
        <f>+'[2]por cuent'!I3405</f>
        <v>834</v>
      </c>
    </row>
    <row r="3406" spans="1:6" x14ac:dyDescent="0.35">
      <c r="A3406" t="str">
        <f>+'[2]por cuent'!A3406</f>
        <v>ARS</v>
      </c>
      <c r="B3406" t="str">
        <f>+'[2]por cuent'!B3406</f>
        <v>834010344</v>
      </c>
      <c r="C3406" t="str">
        <f>+'[2]por cuent'!C3406</f>
        <v>CARDOZO, MARIA FERNANDA  o SALVARREDI, MARIA ISABEL JESUSA</v>
      </c>
      <c r="D3406" s="35">
        <f>+'[2]por cuent'!G3406</f>
        <v>3348.4</v>
      </c>
      <c r="E3406" s="35">
        <f>+'[2]por cuent'!H3406</f>
        <v>3348.4</v>
      </c>
      <c r="F3406" t="str">
        <f>+'[2]por cuent'!I3406</f>
        <v>834</v>
      </c>
    </row>
    <row r="3407" spans="1:6" x14ac:dyDescent="0.35">
      <c r="A3407" t="str">
        <f>+'[2]por cuent'!A3407</f>
        <v>ARS</v>
      </c>
      <c r="B3407" t="str">
        <f>+'[2]por cuent'!B3407</f>
        <v>834010347</v>
      </c>
      <c r="C3407" t="str">
        <f>+'[2]por cuent'!C3407</f>
        <v>CIVIT, RODRIGO JOSE</v>
      </c>
      <c r="D3407" s="35">
        <f>+'[2]por cuent'!G3407</f>
        <v>313175083</v>
      </c>
      <c r="E3407" s="35">
        <f>+'[2]por cuent'!H3407</f>
        <v>313175083</v>
      </c>
      <c r="F3407" t="str">
        <f>+'[2]por cuent'!I3407</f>
        <v>834</v>
      </c>
    </row>
    <row r="3408" spans="1:6" x14ac:dyDescent="0.35">
      <c r="A3408" t="str">
        <f>+'[2]por cuent'!A3408</f>
        <v>ARS</v>
      </c>
      <c r="B3408" t="str">
        <f>+'[2]por cuent'!B3408</f>
        <v>834010369</v>
      </c>
      <c r="C3408" t="str">
        <f>+'[2]por cuent'!C3408</f>
        <v>LUIS M. PAGLIARA S.A.</v>
      </c>
      <c r="D3408" s="35">
        <f>+'[2]por cuent'!G3408</f>
        <v>2231611.7000000002</v>
      </c>
      <c r="E3408" s="35">
        <f>+'[2]por cuent'!H3408</f>
        <v>2231611.7000000002</v>
      </c>
      <c r="F3408" t="str">
        <f>+'[2]por cuent'!I3408</f>
        <v>834</v>
      </c>
    </row>
    <row r="3409" spans="1:6" x14ac:dyDescent="0.35">
      <c r="A3409" t="str">
        <f>+'[2]por cuent'!A3409</f>
        <v>ARS</v>
      </c>
      <c r="B3409" t="str">
        <f>+'[2]por cuent'!B3409</f>
        <v>834010392</v>
      </c>
      <c r="C3409" t="str">
        <f>+'[2]por cuent'!C3409</f>
        <v>BARTUCCIOTTO, JUAN PABLO VICTOR</v>
      </c>
      <c r="D3409" s="35">
        <f>+'[2]por cuent'!G3409</f>
        <v>22135352.620000001</v>
      </c>
      <c r="E3409" s="35">
        <f>+'[2]por cuent'!H3409</f>
        <v>22135352.620000001</v>
      </c>
      <c r="F3409" t="str">
        <f>+'[2]por cuent'!I3409</f>
        <v>834</v>
      </c>
    </row>
    <row r="3410" spans="1:6" x14ac:dyDescent="0.35">
      <c r="A3410" t="str">
        <f>+'[2]por cuent'!A3410</f>
        <v>ARS</v>
      </c>
      <c r="B3410" t="str">
        <f>+'[2]por cuent'!B3410</f>
        <v>834010403</v>
      </c>
      <c r="C3410" t="str">
        <f>+'[2]por cuent'!C3410</f>
        <v>RETA, ANA MARIA o CANET, NICOLAS ENRIQUE</v>
      </c>
      <c r="D3410" s="35">
        <f>+'[2]por cuent'!G3410</f>
        <v>5156985.5</v>
      </c>
      <c r="E3410" s="35">
        <f>+'[2]por cuent'!H3410</f>
        <v>5156985.5</v>
      </c>
      <c r="F3410" t="str">
        <f>+'[2]por cuent'!I3410</f>
        <v>834</v>
      </c>
    </row>
    <row r="3411" spans="1:6" x14ac:dyDescent="0.35">
      <c r="A3411" t="str">
        <f>+'[2]por cuent'!A3411</f>
        <v>ARS</v>
      </c>
      <c r="B3411" t="str">
        <f>+'[2]por cuent'!B3411</f>
        <v>834010471</v>
      </c>
      <c r="C3411" t="str">
        <f>+'[2]por cuent'!C3411</f>
        <v>DIAZ, JORGE DAVID</v>
      </c>
      <c r="D3411" s="35">
        <f>+'[2]por cuent'!G3411</f>
        <v>8595</v>
      </c>
      <c r="E3411" s="35">
        <f>+'[2]por cuent'!H3411</f>
        <v>8595</v>
      </c>
      <c r="F3411" t="str">
        <f>+'[2]por cuent'!I3411</f>
        <v>834</v>
      </c>
    </row>
    <row r="3412" spans="1:6" x14ac:dyDescent="0.35">
      <c r="A3412" t="str">
        <f>+'[2]por cuent'!A3412</f>
        <v>ARS</v>
      </c>
      <c r="B3412" t="str">
        <f>+'[2]por cuent'!B3412</f>
        <v>834010524</v>
      </c>
      <c r="C3412" t="str">
        <f>+'[2]por cuent'!C3412</f>
        <v>GOMEZ, MARIA ELENA o SERRA GOMEZ, FACUNDO HERNAN o SERRA GOMEZ, EDUARDO GABRIEL</v>
      </c>
      <c r="D3412" s="35">
        <f>+'[2]por cuent'!G3412</f>
        <v>4216.5</v>
      </c>
      <c r="E3412" s="35">
        <f>+'[2]por cuent'!H3412</f>
        <v>4216.5</v>
      </c>
      <c r="F3412" t="str">
        <f>+'[2]por cuent'!I3412</f>
        <v>834</v>
      </c>
    </row>
    <row r="3413" spans="1:6" x14ac:dyDescent="0.35">
      <c r="A3413" t="str">
        <f>+'[2]por cuent'!A3413</f>
        <v>ARS</v>
      </c>
      <c r="B3413" t="str">
        <f>+'[2]por cuent'!B3413</f>
        <v>834010530</v>
      </c>
      <c r="C3413" t="str">
        <f>+'[2]por cuent'!C3413</f>
        <v>MATEO, LUIS ALBERTO o BASTIAS, SARA HILDA</v>
      </c>
      <c r="D3413" s="35">
        <f>+'[2]por cuent'!G3413</f>
        <v>3150318</v>
      </c>
      <c r="E3413" s="35">
        <f>+'[2]por cuent'!H3413</f>
        <v>3150318</v>
      </c>
      <c r="F3413" t="str">
        <f>+'[2]por cuent'!I3413</f>
        <v>834</v>
      </c>
    </row>
    <row r="3414" spans="1:6" x14ac:dyDescent="0.35">
      <c r="A3414" t="str">
        <f>+'[2]por cuent'!A3414</f>
        <v>ARS</v>
      </c>
      <c r="B3414" t="str">
        <f>+'[2]por cuent'!B3414</f>
        <v>834010536</v>
      </c>
      <c r="C3414" t="str">
        <f>+'[2]por cuent'!C3414</f>
        <v>CANTARELLI, JULIETA o FERNANDEZ, RAQUEL NELLY</v>
      </c>
      <c r="D3414" s="35">
        <f>+'[2]por cuent'!G3414</f>
        <v>4192.5</v>
      </c>
      <c r="E3414" s="35">
        <f>+'[2]por cuent'!H3414</f>
        <v>4192.5</v>
      </c>
      <c r="F3414" t="str">
        <f>+'[2]por cuent'!I3414</f>
        <v>834</v>
      </c>
    </row>
    <row r="3415" spans="1:6" x14ac:dyDescent="0.35">
      <c r="A3415" t="str">
        <f>+'[2]por cuent'!A3415</f>
        <v>ARS</v>
      </c>
      <c r="B3415" t="str">
        <f>+'[2]por cuent'!B3415</f>
        <v>834010546</v>
      </c>
      <c r="C3415" t="str">
        <f>+'[2]por cuent'!C3415</f>
        <v>MORELLO, JORGE LUIS</v>
      </c>
      <c r="D3415" s="35">
        <f>+'[2]por cuent'!G3415</f>
        <v>793683</v>
      </c>
      <c r="E3415" s="35">
        <f>+'[2]por cuent'!H3415</f>
        <v>793683</v>
      </c>
      <c r="F3415" t="str">
        <f>+'[2]por cuent'!I3415</f>
        <v>834</v>
      </c>
    </row>
    <row r="3416" spans="1:6" x14ac:dyDescent="0.35">
      <c r="A3416" t="str">
        <f>+'[2]por cuent'!A3416</f>
        <v>ARS</v>
      </c>
      <c r="B3416" t="str">
        <f>+'[2]por cuent'!B3416</f>
        <v>834010565</v>
      </c>
      <c r="C3416" t="str">
        <f>+'[2]por cuent'!C3416</f>
        <v xml:space="preserve">CAPRA, LUIS ENRIQUE </v>
      </c>
      <c r="D3416" s="35">
        <f>+'[2]por cuent'!G3416</f>
        <v>4190.5</v>
      </c>
      <c r="E3416" s="35">
        <f>+'[2]por cuent'!H3416</f>
        <v>4190.5</v>
      </c>
      <c r="F3416" t="str">
        <f>+'[2]por cuent'!I3416</f>
        <v>834</v>
      </c>
    </row>
    <row r="3417" spans="1:6" x14ac:dyDescent="0.35">
      <c r="A3417" t="str">
        <f>+'[2]por cuent'!A3417</f>
        <v>ARS</v>
      </c>
      <c r="B3417" t="str">
        <f>+'[2]por cuent'!B3417</f>
        <v>834010566</v>
      </c>
      <c r="C3417" t="str">
        <f>+'[2]por cuent'!C3417</f>
        <v xml:space="preserve">VIEJO, ERNESTO FRANCISCO </v>
      </c>
      <c r="D3417" s="35">
        <f>+'[2]por cuent'!G3417</f>
        <v>33578626.509999998</v>
      </c>
      <c r="E3417" s="35">
        <f>+'[2]por cuent'!H3417</f>
        <v>33578626.509999998</v>
      </c>
      <c r="F3417" t="str">
        <f>+'[2]por cuent'!I3417</f>
        <v>834</v>
      </c>
    </row>
    <row r="3418" spans="1:6" x14ac:dyDescent="0.35">
      <c r="A3418" t="str">
        <f>+'[2]por cuent'!A3418</f>
        <v>ARS</v>
      </c>
      <c r="B3418" t="str">
        <f>+'[2]por cuent'!B3418</f>
        <v>834010601</v>
      </c>
      <c r="C3418" t="str">
        <f>+'[2]por cuent'!C3418</f>
        <v xml:space="preserve">STUMBERGER, SONIA JULIA o ABREGO STUMBERGER, LUIS EMILIO </v>
      </c>
      <c r="D3418" s="35">
        <f>+'[2]por cuent'!G3418</f>
        <v>36635757.5</v>
      </c>
      <c r="E3418" s="35">
        <f>+'[2]por cuent'!H3418</f>
        <v>36635757.5</v>
      </c>
      <c r="F3418" t="str">
        <f>+'[2]por cuent'!I3418</f>
        <v>834</v>
      </c>
    </row>
    <row r="3419" spans="1:6" x14ac:dyDescent="0.35">
      <c r="A3419" t="str">
        <f>+'[2]por cuent'!A3419</f>
        <v>ARS</v>
      </c>
      <c r="B3419" t="str">
        <f>+'[2]por cuent'!B3419</f>
        <v>834010654</v>
      </c>
      <c r="C3419" t="str">
        <f>+'[2]por cuent'!C3419</f>
        <v>GOMEZ, RICARDO DANIEL</v>
      </c>
      <c r="D3419" s="35">
        <f>+'[2]por cuent'!G3419</f>
        <v>5034</v>
      </c>
      <c r="E3419" s="35">
        <f>+'[2]por cuent'!H3419</f>
        <v>5034</v>
      </c>
      <c r="F3419" t="str">
        <f>+'[2]por cuent'!I3419</f>
        <v>834</v>
      </c>
    </row>
    <row r="3420" spans="1:6" x14ac:dyDescent="0.35">
      <c r="A3420" t="str">
        <f>+'[2]por cuent'!A3420</f>
        <v>ARS</v>
      </c>
      <c r="B3420" t="str">
        <f>+'[2]por cuent'!B3420</f>
        <v>834010665</v>
      </c>
      <c r="C3420" t="str">
        <f>+'[2]por cuent'!C3420</f>
        <v>CUNIETTI, CRISTINA BEATRIZ o MENDOZA, SANTIAGO NICOLAS</v>
      </c>
      <c r="D3420" s="35">
        <f>+'[2]por cuent'!G3420</f>
        <v>18540</v>
      </c>
      <c r="E3420" s="35">
        <f>+'[2]por cuent'!H3420</f>
        <v>18540</v>
      </c>
      <c r="F3420" t="str">
        <f>+'[2]por cuent'!I3420</f>
        <v>834</v>
      </c>
    </row>
    <row r="3421" spans="1:6" x14ac:dyDescent="0.35">
      <c r="A3421" t="str">
        <f>+'[2]por cuent'!A3421</f>
        <v>ARS</v>
      </c>
      <c r="B3421" t="str">
        <f>+'[2]por cuent'!B3421</f>
        <v>834010672</v>
      </c>
      <c r="C3421" t="str">
        <f>+'[2]por cuent'!C3421</f>
        <v>LILLOY, JULIAN FRANCISCO</v>
      </c>
      <c r="D3421" s="35">
        <f>+'[2]por cuent'!G3421</f>
        <v>5000712.54</v>
      </c>
      <c r="E3421" s="35">
        <f>+'[2]por cuent'!H3421</f>
        <v>5000712.54</v>
      </c>
      <c r="F3421" t="str">
        <f>+'[2]por cuent'!I3421</f>
        <v>834</v>
      </c>
    </row>
    <row r="3422" spans="1:6" x14ac:dyDescent="0.35">
      <c r="A3422" t="str">
        <f>+'[2]por cuent'!A3422</f>
        <v>ARS</v>
      </c>
      <c r="B3422" t="str">
        <f>+'[2]por cuent'!B3422</f>
        <v>834010732</v>
      </c>
      <c r="C3422" t="str">
        <f>+'[2]por cuent'!C3422</f>
        <v>PARAMO, MARIA DE LOS ANGELES</v>
      </c>
      <c r="D3422" s="35">
        <f>+'[2]por cuent'!G3422</f>
        <v>3941340</v>
      </c>
      <c r="E3422" s="35">
        <f>+'[2]por cuent'!H3422</f>
        <v>3941340</v>
      </c>
      <c r="F3422" t="str">
        <f>+'[2]por cuent'!I3422</f>
        <v>834</v>
      </c>
    </row>
    <row r="3423" spans="1:6" x14ac:dyDescent="0.35">
      <c r="A3423" t="str">
        <f>+'[2]por cuent'!A3423</f>
        <v>ARS</v>
      </c>
      <c r="B3423" t="str">
        <f>+'[2]por cuent'!B3423</f>
        <v>834010744</v>
      </c>
      <c r="C3423" t="str">
        <f>+'[2]por cuent'!C3423</f>
        <v>MARTIN, NESTOR HUGO</v>
      </c>
      <c r="D3423" s="35">
        <f>+'[2]por cuent'!G3423</f>
        <v>79181905.200000003</v>
      </c>
      <c r="E3423" s="35">
        <f>+'[2]por cuent'!H3423</f>
        <v>79181905.200000003</v>
      </c>
      <c r="F3423" t="str">
        <f>+'[2]por cuent'!I3423</f>
        <v>834</v>
      </c>
    </row>
    <row r="3424" spans="1:6" x14ac:dyDescent="0.35">
      <c r="A3424" t="str">
        <f>+'[2]por cuent'!A3424</f>
        <v>ARS</v>
      </c>
      <c r="B3424" t="str">
        <f>+'[2]por cuent'!B3424</f>
        <v>834010747</v>
      </c>
      <c r="C3424" t="str">
        <f>+'[2]por cuent'!C3424</f>
        <v>VILLEGAS QUIROGA, ADOLFO DARIO o CASE, GRACIELA MARIA RAQUEL</v>
      </c>
      <c r="D3424" s="35">
        <f>+'[2]por cuent'!G3424</f>
        <v>14430512</v>
      </c>
      <c r="E3424" s="35">
        <f>+'[2]por cuent'!H3424</f>
        <v>14430512</v>
      </c>
      <c r="F3424" t="str">
        <f>+'[2]por cuent'!I3424</f>
        <v>834</v>
      </c>
    </row>
    <row r="3425" spans="1:6" x14ac:dyDescent="0.35">
      <c r="A3425" t="str">
        <f>+'[2]por cuent'!A3425</f>
        <v>ARS</v>
      </c>
      <c r="B3425" t="str">
        <f>+'[2]por cuent'!B3425</f>
        <v>834010749</v>
      </c>
      <c r="C3425" t="str">
        <f>+'[2]por cuent'!C3425</f>
        <v>VILLARROEL, DIEGO ALBERTO o ROSSETTO, DANIELA KARINA</v>
      </c>
      <c r="D3425" s="35">
        <f>+'[2]por cuent'!G3425</f>
        <v>16135010</v>
      </c>
      <c r="E3425" s="35">
        <f>+'[2]por cuent'!H3425</f>
        <v>16135010</v>
      </c>
      <c r="F3425" t="str">
        <f>+'[2]por cuent'!I3425</f>
        <v>834</v>
      </c>
    </row>
    <row r="3426" spans="1:6" x14ac:dyDescent="0.35">
      <c r="A3426" t="str">
        <f>+'[2]por cuent'!A3426</f>
        <v>ARS</v>
      </c>
      <c r="B3426" t="str">
        <f>+'[2]por cuent'!B3426</f>
        <v>834010752</v>
      </c>
      <c r="C3426" t="str">
        <f>+'[2]por cuent'!C3426</f>
        <v>CICCHITTI, JOSE ANTONIO</v>
      </c>
      <c r="D3426" s="35">
        <f>+'[2]por cuent'!G3426</f>
        <v>30652347.600000001</v>
      </c>
      <c r="E3426" s="35">
        <f>+'[2]por cuent'!H3426</f>
        <v>30652347.600000001</v>
      </c>
      <c r="F3426" t="str">
        <f>+'[2]por cuent'!I3426</f>
        <v>834</v>
      </c>
    </row>
    <row r="3427" spans="1:6" x14ac:dyDescent="0.35">
      <c r="A3427" t="str">
        <f>+'[2]por cuent'!A3427</f>
        <v>ARS</v>
      </c>
      <c r="B3427" t="str">
        <f>+'[2]por cuent'!B3427</f>
        <v>834010786</v>
      </c>
      <c r="C3427" t="str">
        <f>+'[2]por cuent'!C3427</f>
        <v>PRODUCTS STA ARGENTINA S.A.S.</v>
      </c>
      <c r="D3427" s="35">
        <f>+'[2]por cuent'!G3427</f>
        <v>75234954.950000003</v>
      </c>
      <c r="E3427" s="35">
        <f>+'[2]por cuent'!H3427</f>
        <v>75234954.950000003</v>
      </c>
      <c r="F3427" t="str">
        <f>+'[2]por cuent'!I3427</f>
        <v>834</v>
      </c>
    </row>
    <row r="3428" spans="1:6" x14ac:dyDescent="0.35">
      <c r="A3428" t="str">
        <f>+'[2]por cuent'!A3428</f>
        <v>ARS</v>
      </c>
      <c r="B3428" t="str">
        <f>+'[2]por cuent'!B3428</f>
        <v>834010787</v>
      </c>
      <c r="C3428" t="str">
        <f>+'[2]por cuent'!C3428</f>
        <v xml:space="preserve">RENZI, GUSTAVO JESUS </v>
      </c>
      <c r="D3428" s="35">
        <f>+'[2]por cuent'!G3428</f>
        <v>2932455</v>
      </c>
      <c r="E3428" s="35">
        <f>+'[2]por cuent'!H3428</f>
        <v>2932455</v>
      </c>
      <c r="F3428" t="str">
        <f>+'[2]por cuent'!I3428</f>
        <v>834</v>
      </c>
    </row>
    <row r="3429" spans="1:6" x14ac:dyDescent="0.35">
      <c r="A3429" t="str">
        <f>+'[2]por cuent'!A3429</f>
        <v>ARS</v>
      </c>
      <c r="B3429" t="str">
        <f>+'[2]por cuent'!B3429</f>
        <v>834010790</v>
      </c>
      <c r="C3429" t="str">
        <f>+'[2]por cuent'!C3429</f>
        <v>ABREGO STUMBERGER, ALEJANDRO JAVIER</v>
      </c>
      <c r="D3429" s="35">
        <f>+'[2]por cuent'!G3429</f>
        <v>32275213</v>
      </c>
      <c r="E3429" s="35">
        <f>+'[2]por cuent'!H3429</f>
        <v>32275213</v>
      </c>
      <c r="F3429" t="str">
        <f>+'[2]por cuent'!I3429</f>
        <v>834</v>
      </c>
    </row>
    <row r="3430" spans="1:6" x14ac:dyDescent="0.35">
      <c r="A3430" t="str">
        <f>+'[2]por cuent'!A3430</f>
        <v>ARS</v>
      </c>
      <c r="B3430" t="str">
        <f>+'[2]por cuent'!B3430</f>
        <v>834010796</v>
      </c>
      <c r="C3430" t="str">
        <f>+'[2]por cuent'!C3430</f>
        <v xml:space="preserve">ALBORNOZ, MIGUEL ANGEL </v>
      </c>
      <c r="D3430" s="35">
        <f>+'[2]por cuent'!G3430</f>
        <v>58116740</v>
      </c>
      <c r="E3430" s="35">
        <f>+'[2]por cuent'!H3430</f>
        <v>58116740</v>
      </c>
      <c r="F3430" t="str">
        <f>+'[2]por cuent'!I3430</f>
        <v>834</v>
      </c>
    </row>
    <row r="3431" spans="1:6" x14ac:dyDescent="0.35">
      <c r="A3431" t="str">
        <f>+'[2]por cuent'!A3431</f>
        <v>ARS</v>
      </c>
      <c r="B3431" t="str">
        <f>+'[2]por cuent'!B3431</f>
        <v>834010828</v>
      </c>
      <c r="C3431" t="str">
        <f>+'[2]por cuent'!C3431</f>
        <v>DI SANZO, GIOVANNI CARLO o DI SANZO, GIOVANNI PABLO o DI SANZO, FRANCO GABRIEL</v>
      </c>
      <c r="D3431" s="35">
        <f>+'[2]por cuent'!G3431</f>
        <v>194262450.93000001</v>
      </c>
      <c r="E3431" s="35">
        <f>+'[2]por cuent'!H3431</f>
        <v>194262450.93000001</v>
      </c>
      <c r="F3431" t="str">
        <f>+'[2]por cuent'!I3431</f>
        <v>834</v>
      </c>
    </row>
    <row r="3432" spans="1:6" x14ac:dyDescent="0.35">
      <c r="A3432" t="str">
        <f>+'[2]por cuent'!A3432</f>
        <v>ARS</v>
      </c>
      <c r="B3432" t="str">
        <f>+'[2]por cuent'!B3432</f>
        <v>834010831</v>
      </c>
      <c r="C3432" t="str">
        <f>+'[2]por cuent'!C3432</f>
        <v>LEMOS, EDUARDO JAVIER</v>
      </c>
      <c r="D3432" s="35">
        <f>+'[2]por cuent'!G3432</f>
        <v>383605</v>
      </c>
      <c r="E3432" s="35">
        <f>+'[2]por cuent'!H3432</f>
        <v>383605</v>
      </c>
      <c r="F3432" t="str">
        <f>+'[2]por cuent'!I3432</f>
        <v>834</v>
      </c>
    </row>
    <row r="3433" spans="1:6" x14ac:dyDescent="0.35">
      <c r="A3433" t="str">
        <f>+'[2]por cuent'!A3433</f>
        <v>ARS</v>
      </c>
      <c r="B3433" t="str">
        <f>+'[2]por cuent'!B3433</f>
        <v>834010836</v>
      </c>
      <c r="C3433" t="str">
        <f>+'[2]por cuent'!C3433</f>
        <v>DISSAN S.R.L.</v>
      </c>
      <c r="D3433" s="35">
        <f>+'[2]por cuent'!G3433</f>
        <v>5136975781.3000002</v>
      </c>
      <c r="E3433" s="35">
        <f>+'[2]por cuent'!H3433</f>
        <v>5136975781.3000002</v>
      </c>
      <c r="F3433" t="str">
        <f>+'[2]por cuent'!I3433</f>
        <v>834</v>
      </c>
    </row>
    <row r="3434" spans="1:6" x14ac:dyDescent="0.35">
      <c r="A3434" t="str">
        <f>+'[2]por cuent'!A3434</f>
        <v>ARS</v>
      </c>
      <c r="B3434" t="str">
        <f>+'[2]por cuent'!B3434</f>
        <v>834010853</v>
      </c>
      <c r="C3434" t="str">
        <f>+'[2]por cuent'!C3434</f>
        <v>DI SANZO, GIOVANNI PABLO o SANCHEZ TIVIROLI, SABRINA LETICIA</v>
      </c>
      <c r="D3434" s="35">
        <f>+'[2]por cuent'!G3434</f>
        <v>14208586</v>
      </c>
      <c r="E3434" s="35">
        <f>+'[2]por cuent'!H3434</f>
        <v>14208586</v>
      </c>
      <c r="F3434" t="str">
        <f>+'[2]por cuent'!I3434</f>
        <v>834</v>
      </c>
    </row>
    <row r="3435" spans="1:6" x14ac:dyDescent="0.35">
      <c r="A3435" t="str">
        <f>+'[2]por cuent'!A3435</f>
        <v>ARS</v>
      </c>
      <c r="B3435" t="str">
        <f>+'[2]por cuent'!B3435</f>
        <v>834010868</v>
      </c>
      <c r="C3435" t="str">
        <f>+'[2]por cuent'!C3435</f>
        <v>VIDELA, CARLOS ALBERTO o VIDELA, TATIANA INES</v>
      </c>
      <c r="D3435" s="35">
        <f>+'[2]por cuent'!G3435</f>
        <v>59299107</v>
      </c>
      <c r="E3435" s="35">
        <f>+'[2]por cuent'!H3435</f>
        <v>59299107</v>
      </c>
      <c r="F3435" t="str">
        <f>+'[2]por cuent'!I3435</f>
        <v>834</v>
      </c>
    </row>
    <row r="3436" spans="1:6" x14ac:dyDescent="0.35">
      <c r="A3436" t="str">
        <f>+'[2]por cuent'!A3436</f>
        <v>ARS</v>
      </c>
      <c r="B3436" t="str">
        <f>+'[2]por cuent'!B3436</f>
        <v>834010883</v>
      </c>
      <c r="C3436" t="str">
        <f>+'[2]por cuent'!C3436</f>
        <v>ELESPE, VERONICA INES o ELESPE, MARTIN GABRIEL</v>
      </c>
      <c r="D3436" s="35">
        <f>+'[2]por cuent'!G3436</f>
        <v>3664959.5</v>
      </c>
      <c r="E3436" s="35">
        <f>+'[2]por cuent'!H3436</f>
        <v>3664959.5</v>
      </c>
      <c r="F3436" t="str">
        <f>+'[2]por cuent'!I3436</f>
        <v>834</v>
      </c>
    </row>
    <row r="3437" spans="1:6" x14ac:dyDescent="0.35">
      <c r="A3437" t="str">
        <f>+'[2]por cuent'!A3437</f>
        <v>ARS</v>
      </c>
      <c r="B3437" t="str">
        <f>+'[2]por cuent'!B3437</f>
        <v>834010896</v>
      </c>
      <c r="C3437" t="str">
        <f>+'[2]por cuent'!C3437</f>
        <v>BERLOIN, ROBERTO ADRIAN</v>
      </c>
      <c r="D3437" s="35">
        <f>+'[2]por cuent'!G3437</f>
        <v>19872288</v>
      </c>
      <c r="E3437" s="35">
        <f>+'[2]por cuent'!H3437</f>
        <v>19872288</v>
      </c>
      <c r="F3437" t="str">
        <f>+'[2]por cuent'!I3437</f>
        <v>834</v>
      </c>
    </row>
    <row r="3438" spans="1:6" x14ac:dyDescent="0.35">
      <c r="A3438" t="str">
        <f>+'[2]por cuent'!A3438</f>
        <v>ARS</v>
      </c>
      <c r="B3438" t="str">
        <f>+'[2]por cuent'!B3438</f>
        <v>834010898</v>
      </c>
      <c r="C3438" t="str">
        <f>+'[2]por cuent'!C3438</f>
        <v>GAVIOLA, JORGE ANTONIO</v>
      </c>
      <c r="D3438" s="35">
        <f>+'[2]por cuent'!G3438</f>
        <v>14317469.74</v>
      </c>
      <c r="E3438" s="35">
        <f>+'[2]por cuent'!H3438</f>
        <v>14317469.74</v>
      </c>
      <c r="F3438" t="str">
        <f>+'[2]por cuent'!I3438</f>
        <v>834</v>
      </c>
    </row>
    <row r="3439" spans="1:6" x14ac:dyDescent="0.35">
      <c r="A3439" t="str">
        <f>+'[2]por cuent'!A3439</f>
        <v>ARS</v>
      </c>
      <c r="B3439" t="str">
        <f>+'[2]por cuent'!B3439</f>
        <v>834010901</v>
      </c>
      <c r="C3439" t="str">
        <f>+'[2]por cuent'!C3439</f>
        <v>FREIBERG, DEBORA MARCELA</v>
      </c>
      <c r="D3439" s="35">
        <f>+'[2]por cuent'!G3439</f>
        <v>813600</v>
      </c>
      <c r="E3439" s="35">
        <f>+'[2]por cuent'!H3439</f>
        <v>813600</v>
      </c>
      <c r="F3439" t="str">
        <f>+'[2]por cuent'!I3439</f>
        <v>834</v>
      </c>
    </row>
    <row r="3440" spans="1:6" x14ac:dyDescent="0.35">
      <c r="A3440" t="str">
        <f>+'[2]por cuent'!A3440</f>
        <v>ARS</v>
      </c>
      <c r="B3440" t="str">
        <f>+'[2]por cuent'!B3440</f>
        <v>834010904</v>
      </c>
      <c r="C3440" t="str">
        <f>+'[2]por cuent'!C3440</f>
        <v>LONGO, MONICA MARIA LAURA o BACARELLA, JORGE ALBERTO</v>
      </c>
      <c r="D3440" s="35">
        <f>+'[2]por cuent'!G3440</f>
        <v>26335434</v>
      </c>
      <c r="E3440" s="35">
        <f>+'[2]por cuent'!H3440</f>
        <v>26335434</v>
      </c>
      <c r="F3440" t="str">
        <f>+'[2]por cuent'!I3440</f>
        <v>834</v>
      </c>
    </row>
    <row r="3441" spans="1:6" x14ac:dyDescent="0.35">
      <c r="A3441" t="str">
        <f>+'[2]por cuent'!A3441</f>
        <v>ARS</v>
      </c>
      <c r="B3441" t="str">
        <f>+'[2]por cuent'!B3441</f>
        <v>834010905</v>
      </c>
      <c r="C3441" t="str">
        <f>+'[2]por cuent'!C3441</f>
        <v>IBAÑEZ, MARTA GRACIELA  o BRAGAGNOLO, GASTON MAURICIO</v>
      </c>
      <c r="D3441" s="35">
        <f>+'[2]por cuent'!G3441</f>
        <v>13675821</v>
      </c>
      <c r="E3441" s="35">
        <f>+'[2]por cuent'!H3441</f>
        <v>13675821</v>
      </c>
      <c r="F3441" t="str">
        <f>+'[2]por cuent'!I3441</f>
        <v>834</v>
      </c>
    </row>
    <row r="3442" spans="1:6" x14ac:dyDescent="0.35">
      <c r="A3442" t="str">
        <f>+'[2]por cuent'!A3442</f>
        <v>ARS</v>
      </c>
      <c r="B3442" t="str">
        <f>+'[2]por cuent'!B3442</f>
        <v>834010909</v>
      </c>
      <c r="C3442" t="str">
        <f>+'[2]por cuent'!C3442</f>
        <v>ASOCIACION MUTUAL FRANCO ANDINA REGIONALMENDOZA</v>
      </c>
      <c r="D3442" s="35">
        <f>+'[2]por cuent'!G3442</f>
        <v>76349223</v>
      </c>
      <c r="E3442" s="35">
        <f>+'[2]por cuent'!H3442</f>
        <v>76349223</v>
      </c>
      <c r="F3442" t="str">
        <f>+'[2]por cuent'!I3442</f>
        <v>834</v>
      </c>
    </row>
    <row r="3443" spans="1:6" x14ac:dyDescent="0.35">
      <c r="A3443" t="str">
        <f>+'[2]por cuent'!A3443</f>
        <v>ARS</v>
      </c>
      <c r="B3443" t="str">
        <f>+'[2]por cuent'!B3443</f>
        <v>834010911</v>
      </c>
      <c r="C3443" t="str">
        <f>+'[2]por cuent'!C3443</f>
        <v>MOLINA GUERRA, MATIAS MAURICIO</v>
      </c>
      <c r="D3443" s="35">
        <f>+'[2]por cuent'!G3443</f>
        <v>34622169</v>
      </c>
      <c r="E3443" s="35">
        <f>+'[2]por cuent'!H3443</f>
        <v>34622169</v>
      </c>
      <c r="F3443" t="str">
        <f>+'[2]por cuent'!I3443</f>
        <v>834</v>
      </c>
    </row>
    <row r="3444" spans="1:6" x14ac:dyDescent="0.35">
      <c r="A3444" t="str">
        <f>+'[2]por cuent'!A3444</f>
        <v>ARS</v>
      </c>
      <c r="B3444" t="str">
        <f>+'[2]por cuent'!B3444</f>
        <v>834010915</v>
      </c>
      <c r="C3444" t="str">
        <f>+'[2]por cuent'!C3444</f>
        <v>LEONARDI, MARIA EUGENIA</v>
      </c>
      <c r="D3444" s="35">
        <f>+'[2]por cuent'!G3444</f>
        <v>3774</v>
      </c>
      <c r="E3444" s="35">
        <f>+'[2]por cuent'!H3444</f>
        <v>3774</v>
      </c>
      <c r="F3444" t="str">
        <f>+'[2]por cuent'!I3444</f>
        <v>834</v>
      </c>
    </row>
    <row r="3445" spans="1:6" x14ac:dyDescent="0.35">
      <c r="A3445" t="str">
        <f>+'[2]por cuent'!A3445</f>
        <v>ARS</v>
      </c>
      <c r="B3445" t="str">
        <f>+'[2]por cuent'!B3445</f>
        <v>834010916</v>
      </c>
      <c r="C3445" t="str">
        <f>+'[2]por cuent'!C3445</f>
        <v>REDMOND LEONARDI, FACUNDO</v>
      </c>
      <c r="D3445" s="35">
        <f>+'[2]por cuent'!G3445</f>
        <v>199256</v>
      </c>
      <c r="E3445" s="35">
        <f>+'[2]por cuent'!H3445</f>
        <v>199256</v>
      </c>
      <c r="F3445" t="str">
        <f>+'[2]por cuent'!I3445</f>
        <v>834</v>
      </c>
    </row>
    <row r="3446" spans="1:6" x14ac:dyDescent="0.35">
      <c r="A3446" t="str">
        <f>+'[2]por cuent'!A3446</f>
        <v>ARS</v>
      </c>
      <c r="B3446" t="str">
        <f>+'[2]por cuent'!B3446</f>
        <v>834010918</v>
      </c>
      <c r="C3446" t="str">
        <f>+'[2]por cuent'!C3446</f>
        <v>BECE EMPAQUES Y SERVICIOS S.A.</v>
      </c>
      <c r="D3446" s="35">
        <f>+'[2]por cuent'!G3446</f>
        <v>168219268</v>
      </c>
      <c r="E3446" s="35">
        <f>+'[2]por cuent'!H3446</f>
        <v>168219268</v>
      </c>
      <c r="F3446" t="str">
        <f>+'[2]por cuent'!I3446</f>
        <v>834</v>
      </c>
    </row>
    <row r="3447" spans="1:6" x14ac:dyDescent="0.35">
      <c r="A3447" t="str">
        <f>+'[2]por cuent'!A3447</f>
        <v>ARS</v>
      </c>
      <c r="B3447" t="str">
        <f>+'[2]por cuent'!B3447</f>
        <v>834010925</v>
      </c>
      <c r="C3447" t="str">
        <f>+'[2]por cuent'!C3447</f>
        <v>LUCERO, ANGEL ANTONIO</v>
      </c>
      <c r="D3447" s="35">
        <f>+'[2]por cuent'!G3447</f>
        <v>136412.5</v>
      </c>
      <c r="E3447" s="35">
        <f>+'[2]por cuent'!H3447</f>
        <v>136412.5</v>
      </c>
      <c r="F3447" t="str">
        <f>+'[2]por cuent'!I3447</f>
        <v>834</v>
      </c>
    </row>
    <row r="3448" spans="1:6" x14ac:dyDescent="0.35">
      <c r="A3448" t="str">
        <f>+'[2]por cuent'!A3448</f>
        <v>ARS</v>
      </c>
      <c r="B3448" t="str">
        <f>+'[2]por cuent'!B3448</f>
        <v>834010930</v>
      </c>
      <c r="C3448" t="str">
        <f>+'[2]por cuent'!C3448</f>
        <v xml:space="preserve">ELESPE, FEDERICO CARLOS </v>
      </c>
      <c r="D3448" s="35">
        <f>+'[2]por cuent'!G3448</f>
        <v>35654186</v>
      </c>
      <c r="E3448" s="35">
        <f>+'[2]por cuent'!H3448</f>
        <v>35654186</v>
      </c>
      <c r="F3448" t="str">
        <f>+'[2]por cuent'!I3448</f>
        <v>834</v>
      </c>
    </row>
    <row r="3449" spans="1:6" x14ac:dyDescent="0.35">
      <c r="A3449" t="str">
        <f>+'[2]por cuent'!A3449</f>
        <v>ARS</v>
      </c>
      <c r="B3449" t="str">
        <f>+'[2]por cuent'!B3449</f>
        <v>834010932</v>
      </c>
      <c r="C3449" t="str">
        <f>+'[2]por cuent'!C3449</f>
        <v>FIDEICOMISO COMPLEJO VILLA CARTAGENA</v>
      </c>
      <c r="D3449" s="35">
        <f>+'[2]por cuent'!G3449</f>
        <v>147799318.09999999</v>
      </c>
      <c r="E3449" s="35">
        <f>+'[2]por cuent'!H3449</f>
        <v>147799318.09999999</v>
      </c>
      <c r="F3449" t="str">
        <f>+'[2]por cuent'!I3449</f>
        <v>834</v>
      </c>
    </row>
    <row r="3450" spans="1:6" x14ac:dyDescent="0.35">
      <c r="A3450" t="str">
        <f>+'[2]por cuent'!A3450</f>
        <v>ARS</v>
      </c>
      <c r="B3450" t="str">
        <f>+'[2]por cuent'!B3450</f>
        <v>834010937</v>
      </c>
      <c r="C3450" t="str">
        <f>+'[2]por cuent'!C3450</f>
        <v>SOLUS S.A</v>
      </c>
      <c r="D3450" s="35">
        <f>+'[2]por cuent'!G3450</f>
        <v>238728440.38999999</v>
      </c>
      <c r="E3450" s="35">
        <f>+'[2]por cuent'!H3450</f>
        <v>238728440.38999999</v>
      </c>
      <c r="F3450" t="str">
        <f>+'[2]por cuent'!I3450</f>
        <v>834</v>
      </c>
    </row>
    <row r="3451" spans="1:6" x14ac:dyDescent="0.35">
      <c r="A3451" t="str">
        <f>+'[2]por cuent'!A3451</f>
        <v>ARS</v>
      </c>
      <c r="B3451" t="str">
        <f>+'[2]por cuent'!B3451</f>
        <v>834010939</v>
      </c>
      <c r="C3451" t="str">
        <f>+'[2]por cuent'!C3451</f>
        <v>LOS MENUCOS S.A.S.</v>
      </c>
      <c r="D3451" s="35">
        <f>+'[2]por cuent'!G3451</f>
        <v>77479727</v>
      </c>
      <c r="E3451" s="35">
        <f>+'[2]por cuent'!H3451</f>
        <v>77479727</v>
      </c>
      <c r="F3451" t="str">
        <f>+'[2]por cuent'!I3451</f>
        <v>834</v>
      </c>
    </row>
    <row r="3452" spans="1:6" x14ac:dyDescent="0.35">
      <c r="A3452" t="str">
        <f>+'[2]por cuent'!A3452</f>
        <v>ARS</v>
      </c>
      <c r="B3452" t="str">
        <f>+'[2]por cuent'!B3452</f>
        <v>834010940</v>
      </c>
      <c r="C3452" t="str">
        <f>+'[2]por cuent'!C3452</f>
        <v>OVIEDO, MARIELA MARTA o GARCIA, ALEJANDRO JOSE MARIA</v>
      </c>
      <c r="D3452" s="35">
        <f>+'[2]por cuent'!G3452</f>
        <v>5889900</v>
      </c>
      <c r="E3452" s="35">
        <f>+'[2]por cuent'!H3452</f>
        <v>5889900</v>
      </c>
      <c r="F3452" t="str">
        <f>+'[2]por cuent'!I3452</f>
        <v>834</v>
      </c>
    </row>
    <row r="3453" spans="1:6" x14ac:dyDescent="0.35">
      <c r="A3453" t="str">
        <f>+'[2]por cuent'!A3453</f>
        <v>ARS</v>
      </c>
      <c r="B3453" t="str">
        <f>+'[2]por cuent'!B3453</f>
        <v>834010948</v>
      </c>
      <c r="C3453" t="str">
        <f>+'[2]por cuent'!C3453</f>
        <v>HIDALGO, JORGE MANUEL o HEREDIA, MARIA ELSA o HIDALGO, EMANUEL EMILIO</v>
      </c>
      <c r="D3453" s="35">
        <f>+'[2]por cuent'!G3453</f>
        <v>15026306</v>
      </c>
      <c r="E3453" s="35">
        <f>+'[2]por cuent'!H3453</f>
        <v>15026306</v>
      </c>
      <c r="F3453" t="str">
        <f>+'[2]por cuent'!I3453</f>
        <v>834</v>
      </c>
    </row>
    <row r="3454" spans="1:6" x14ac:dyDescent="0.35">
      <c r="A3454" t="str">
        <f>+'[2]por cuent'!A3454</f>
        <v>ARS</v>
      </c>
      <c r="B3454" t="str">
        <f>+'[2]por cuent'!B3454</f>
        <v>834010959</v>
      </c>
      <c r="C3454" t="str">
        <f>+'[2]por cuent'!C3454</f>
        <v>GARCIA, LUIS MARCELO</v>
      </c>
      <c r="D3454" s="35">
        <f>+'[2]por cuent'!G3454</f>
        <v>11478378</v>
      </c>
      <c r="E3454" s="35">
        <f>+'[2]por cuent'!H3454</f>
        <v>11478378</v>
      </c>
      <c r="F3454" t="str">
        <f>+'[2]por cuent'!I3454</f>
        <v>834</v>
      </c>
    </row>
    <row r="3455" spans="1:6" x14ac:dyDescent="0.35">
      <c r="A3455" t="str">
        <f>+'[2]por cuent'!A3455</f>
        <v>ARS</v>
      </c>
      <c r="B3455" t="str">
        <f>+'[2]por cuent'!B3455</f>
        <v>834010963</v>
      </c>
      <c r="C3455" t="str">
        <f>+'[2]por cuent'!C3455</f>
        <v>MIRANDA, SEBASTIAN XAVIER</v>
      </c>
      <c r="D3455" s="35">
        <f>+'[2]por cuent'!G3455</f>
        <v>6273453</v>
      </c>
      <c r="E3455" s="35">
        <f>+'[2]por cuent'!H3455</f>
        <v>6273453</v>
      </c>
      <c r="F3455" t="str">
        <f>+'[2]por cuent'!I3455</f>
        <v>834</v>
      </c>
    </row>
    <row r="3456" spans="1:6" x14ac:dyDescent="0.35">
      <c r="A3456" t="str">
        <f>+'[2]por cuent'!A3456</f>
        <v>ARS</v>
      </c>
      <c r="B3456" t="str">
        <f>+'[2]por cuent'!B3456</f>
        <v>834010997</v>
      </c>
      <c r="C3456" t="str">
        <f>+'[2]por cuent'!C3456</f>
        <v>GNAZZO, MARIA LUCIA o NAVEYRA, TOMAS</v>
      </c>
      <c r="D3456" s="35">
        <f>+'[2]por cuent'!G3456</f>
        <v>272395303</v>
      </c>
      <c r="E3456" s="35">
        <f>+'[2]por cuent'!H3456</f>
        <v>272395303</v>
      </c>
      <c r="F3456" t="str">
        <f>+'[2]por cuent'!I3456</f>
        <v>834</v>
      </c>
    </row>
    <row r="3457" spans="1:6" x14ac:dyDescent="0.35">
      <c r="A3457" t="str">
        <f>+'[2]por cuent'!A3457</f>
        <v>ARS</v>
      </c>
      <c r="B3457" t="str">
        <f>+'[2]por cuent'!B3457</f>
        <v>834010998</v>
      </c>
      <c r="C3457" t="str">
        <f>+'[2]por cuent'!C3457</f>
        <v>YACOMO, NICOLAS ARMANDO  o CORREA, MARIA LUCIANA</v>
      </c>
      <c r="D3457" s="35">
        <f>+'[2]por cuent'!G3457</f>
        <v>37016289</v>
      </c>
      <c r="E3457" s="35">
        <f>+'[2]por cuent'!H3457</f>
        <v>37016289</v>
      </c>
      <c r="F3457" t="str">
        <f>+'[2]por cuent'!I3457</f>
        <v>834</v>
      </c>
    </row>
    <row r="3458" spans="1:6" x14ac:dyDescent="0.35">
      <c r="A3458" t="str">
        <f>+'[2]por cuent'!A3458</f>
        <v>ARS</v>
      </c>
      <c r="B3458" t="str">
        <f>+'[2]por cuent'!B3458</f>
        <v>834011000</v>
      </c>
      <c r="C3458" t="str">
        <f>+'[2]por cuent'!C3458</f>
        <v>DEGIORGI, ESTEBAN RAUL o DEGIORGI, JUAN ANGEL</v>
      </c>
      <c r="D3458" s="35">
        <f>+'[2]por cuent'!G3458</f>
        <v>39316129.229999997</v>
      </c>
      <c r="E3458" s="35">
        <f>+'[2]por cuent'!H3458</f>
        <v>39316129.229999997</v>
      </c>
      <c r="F3458" t="str">
        <f>+'[2]por cuent'!I3458</f>
        <v>834</v>
      </c>
    </row>
    <row r="3459" spans="1:6" x14ac:dyDescent="0.35">
      <c r="A3459" t="str">
        <f>+'[2]por cuent'!A3459</f>
        <v>ARS</v>
      </c>
      <c r="B3459" t="str">
        <f>+'[2]por cuent'!B3459</f>
        <v>834011003</v>
      </c>
      <c r="C3459" t="str">
        <f>+'[2]por cuent'!C3459</f>
        <v>SANFILIPPO, RICARDO EMILIO o ABREGO, MARIA LAURA</v>
      </c>
      <c r="D3459" s="35">
        <f>+'[2]por cuent'!G3459</f>
        <v>304852</v>
      </c>
      <c r="E3459" s="35">
        <f>+'[2]por cuent'!H3459</f>
        <v>304852</v>
      </c>
      <c r="F3459" t="str">
        <f>+'[2]por cuent'!I3459</f>
        <v>834</v>
      </c>
    </row>
    <row r="3460" spans="1:6" x14ac:dyDescent="0.35">
      <c r="A3460" t="str">
        <f>+'[2]por cuent'!A3460</f>
        <v>ARS</v>
      </c>
      <c r="B3460" t="str">
        <f>+'[2]por cuent'!B3460</f>
        <v>834011004</v>
      </c>
      <c r="C3460" t="str">
        <f>+'[2]por cuent'!C3460</f>
        <v>CASTILLO, MARIA DE LOS ANGELES o MARIN CASTILLO, LUISANA VICTORIA o MARIN, SANTIAGO ARMANDO</v>
      </c>
      <c r="D3460" s="35">
        <f>+'[2]por cuent'!G3460</f>
        <v>437424</v>
      </c>
      <c r="E3460" s="35">
        <f>+'[2]por cuent'!H3460</f>
        <v>437424</v>
      </c>
      <c r="F3460" t="str">
        <f>+'[2]por cuent'!I3460</f>
        <v>834</v>
      </c>
    </row>
    <row r="3461" spans="1:6" x14ac:dyDescent="0.35">
      <c r="A3461" t="str">
        <f>+'[2]por cuent'!A3461</f>
        <v>ARS</v>
      </c>
      <c r="B3461" t="str">
        <f>+'[2]por cuent'!B3461</f>
        <v>834011005</v>
      </c>
      <c r="C3461" t="str">
        <f>+'[2]por cuent'!C3461</f>
        <v>BALMACEDA, ALCIDES VICTOR o BALMACEDA, ALCIDES DAMIAN</v>
      </c>
      <c r="D3461" s="35">
        <f>+'[2]por cuent'!G3461</f>
        <v>182929286</v>
      </c>
      <c r="E3461" s="35">
        <f>+'[2]por cuent'!H3461</f>
        <v>182929286</v>
      </c>
      <c r="F3461" t="str">
        <f>+'[2]por cuent'!I3461</f>
        <v>834</v>
      </c>
    </row>
    <row r="3462" spans="1:6" x14ac:dyDescent="0.35">
      <c r="A3462" t="str">
        <f>+'[2]por cuent'!A3462</f>
        <v>ARS</v>
      </c>
      <c r="B3462" t="str">
        <f>+'[2]por cuent'!B3462</f>
        <v>834011007</v>
      </c>
      <c r="C3462" t="str">
        <f>+'[2]por cuent'!C3462</f>
        <v>TORRES GIOVANNINI, LUDMILA VALENTINA IRIS o DEL VECCHIO, CESAR MATIAS</v>
      </c>
      <c r="D3462" s="35">
        <f>+'[2]por cuent'!G3462</f>
        <v>38110.5</v>
      </c>
      <c r="E3462" s="35">
        <f>+'[2]por cuent'!H3462</f>
        <v>38110.5</v>
      </c>
      <c r="F3462" t="str">
        <f>+'[2]por cuent'!I3462</f>
        <v>834</v>
      </c>
    </row>
    <row r="3463" spans="1:6" x14ac:dyDescent="0.35">
      <c r="A3463" t="str">
        <f>+'[2]por cuent'!A3463</f>
        <v>ARS</v>
      </c>
      <c r="B3463" t="str">
        <f>+'[2]por cuent'!B3463</f>
        <v>834011009</v>
      </c>
      <c r="C3463" t="str">
        <f>+'[2]por cuent'!C3463</f>
        <v>ARAUCO, MARIA LUCIANA o NANCLARES, MARIA CLAUDIA o ARAUCO, RUBEN CAMILO</v>
      </c>
      <c r="D3463" s="35">
        <f>+'[2]por cuent'!G3463</f>
        <v>177578.4</v>
      </c>
      <c r="E3463" s="35">
        <f>+'[2]por cuent'!H3463</f>
        <v>177578.4</v>
      </c>
      <c r="F3463" t="str">
        <f>+'[2]por cuent'!I3463</f>
        <v>834</v>
      </c>
    </row>
    <row r="3464" spans="1:6" x14ac:dyDescent="0.35">
      <c r="A3464" t="str">
        <f>+'[2]por cuent'!A3464</f>
        <v>ARS</v>
      </c>
      <c r="B3464" t="str">
        <f>+'[2]por cuent'!B3464</f>
        <v>834011010</v>
      </c>
      <c r="C3464" t="str">
        <f>+'[2]por cuent'!C3464</f>
        <v>GUILLEN, AMANDA JUDITH</v>
      </c>
      <c r="D3464" s="35">
        <f>+'[2]por cuent'!G3464</f>
        <v>18552300</v>
      </c>
      <c r="E3464" s="35">
        <f>+'[2]por cuent'!H3464</f>
        <v>18552300</v>
      </c>
      <c r="F3464" t="str">
        <f>+'[2]por cuent'!I3464</f>
        <v>834</v>
      </c>
    </row>
    <row r="3465" spans="1:6" x14ac:dyDescent="0.35">
      <c r="A3465" t="str">
        <f>+'[2]por cuent'!A3465</f>
        <v>ARS</v>
      </c>
      <c r="B3465" t="str">
        <f>+'[2]por cuent'!B3465</f>
        <v>852000005</v>
      </c>
      <c r="C3465" t="str">
        <f>+'[2]por cuent'!C3465</f>
        <v>MG ALFA</v>
      </c>
      <c r="D3465" s="35">
        <f>+'[2]por cuent'!G3465</f>
        <v>3213486429.0700002</v>
      </c>
      <c r="E3465" s="35">
        <f>+'[2]por cuent'!H3465</f>
        <v>3213486429.0700002</v>
      </c>
      <c r="F3465" t="str">
        <f>+'[2]por cuent'!I3465</f>
        <v>852</v>
      </c>
    </row>
    <row r="3466" spans="1:6" x14ac:dyDescent="0.35">
      <c r="A3466" t="str">
        <f>+'[2]por cuent'!A3466</f>
        <v>ARS</v>
      </c>
      <c r="B3466" t="str">
        <f>+'[2]por cuent'!B3466</f>
        <v>852000006</v>
      </c>
      <c r="C3466" t="str">
        <f>+'[2]por cuent'!C3466</f>
        <v>TERRALOTEOSCOM SA</v>
      </c>
      <c r="D3466" s="35">
        <f>+'[2]por cuent'!G3466</f>
        <v>489185498.11000001</v>
      </c>
      <c r="E3466" s="35">
        <f>+'[2]por cuent'!H3466</f>
        <v>489185498.11000001</v>
      </c>
      <c r="F3466" t="str">
        <f>+'[2]por cuent'!I3466</f>
        <v>852</v>
      </c>
    </row>
    <row r="3467" spans="1:6" x14ac:dyDescent="0.35">
      <c r="A3467" t="str">
        <f>+'[2]por cuent'!A3467</f>
        <v>ARS</v>
      </c>
      <c r="B3467" t="str">
        <f>+'[2]por cuent'!B3467</f>
        <v>852000007</v>
      </c>
      <c r="C3467" t="str">
        <f>+'[2]por cuent'!C3467</f>
        <v>MARANATHA SRL</v>
      </c>
      <c r="D3467" s="35">
        <f>+'[2]por cuent'!G3467</f>
        <v>386614651.41000003</v>
      </c>
      <c r="E3467" s="35">
        <f>+'[2]por cuent'!H3467</f>
        <v>386614651.41000003</v>
      </c>
      <c r="F3467" t="str">
        <f>+'[2]por cuent'!I3467</f>
        <v>852</v>
      </c>
    </row>
    <row r="3468" spans="1:6" x14ac:dyDescent="0.35">
      <c r="A3468" t="str">
        <f>+'[2]por cuent'!A3468</f>
        <v>ARS</v>
      </c>
      <c r="B3468" t="str">
        <f>+'[2]por cuent'!B3468</f>
        <v>852000012</v>
      </c>
      <c r="C3468" t="str">
        <f>+'[2]por cuent'!C3468</f>
        <v>Rizzi, Belen De Los Milagros</v>
      </c>
      <c r="D3468" s="35">
        <f>+'[2]por cuent'!G3468</f>
        <v>68726252.269999996</v>
      </c>
      <c r="E3468" s="35">
        <f>+'[2]por cuent'!H3468</f>
        <v>68726252.269999996</v>
      </c>
      <c r="F3468" t="str">
        <f>+'[2]por cuent'!I3468</f>
        <v>852</v>
      </c>
    </row>
    <row r="3469" spans="1:6" x14ac:dyDescent="0.35">
      <c r="A3469" t="str">
        <f>+'[2]por cuent'!A3469</f>
        <v>ARS</v>
      </c>
      <c r="B3469" t="str">
        <f>+'[2]por cuent'!B3469</f>
        <v>852000016</v>
      </c>
      <c r="C3469" t="str">
        <f>+'[2]por cuent'!C3469</f>
        <v>Cristal, Adrian Gonzalo</v>
      </c>
      <c r="D3469" s="35">
        <f>+'[2]por cuent'!G3469</f>
        <v>8922023.9600000009</v>
      </c>
      <c r="E3469" s="35">
        <f>+'[2]por cuent'!H3469</f>
        <v>8922023.9600000009</v>
      </c>
      <c r="F3469" t="str">
        <f>+'[2]por cuent'!I3469</f>
        <v>852</v>
      </c>
    </row>
    <row r="3470" spans="1:6" x14ac:dyDescent="0.35">
      <c r="A3470" t="str">
        <f>+'[2]por cuent'!A3470</f>
        <v>ARS</v>
      </c>
      <c r="B3470" t="str">
        <f>+'[2]por cuent'!B3470</f>
        <v>852000018</v>
      </c>
      <c r="C3470" t="str">
        <f>+'[2]por cuent'!C3470</f>
        <v xml:space="preserve">ARBITRA SA </v>
      </c>
      <c r="D3470" s="35">
        <f>+'[2]por cuent'!G3470</f>
        <v>74705968.150000006</v>
      </c>
      <c r="E3470" s="35">
        <f>+'[2]por cuent'!H3470</f>
        <v>74705968.150000006</v>
      </c>
      <c r="F3470" t="str">
        <f>+'[2]por cuent'!I3470</f>
        <v>852</v>
      </c>
    </row>
    <row r="3471" spans="1:6" x14ac:dyDescent="0.35">
      <c r="A3471" t="str">
        <f>+'[2]por cuent'!A3471</f>
        <v>ARS</v>
      </c>
      <c r="B3471" t="str">
        <f>+'[2]por cuent'!B3471</f>
        <v>852000021</v>
      </c>
      <c r="C3471" t="str">
        <f>+'[2]por cuent'!C3471</f>
        <v>Borgognone, Renata Carolina</v>
      </c>
      <c r="D3471" s="35">
        <f>+'[2]por cuent'!G3471</f>
        <v>29933134.93</v>
      </c>
      <c r="E3471" s="35">
        <f>+'[2]por cuent'!H3471</f>
        <v>29933134.93</v>
      </c>
      <c r="F3471" t="str">
        <f>+'[2]por cuent'!I3471</f>
        <v>852</v>
      </c>
    </row>
    <row r="3472" spans="1:6" x14ac:dyDescent="0.35">
      <c r="A3472" t="str">
        <f>+'[2]por cuent'!A3472</f>
        <v>ARS</v>
      </c>
      <c r="B3472" t="str">
        <f>+'[2]por cuent'!B3472</f>
        <v>852000022</v>
      </c>
      <c r="C3472" t="str">
        <f>+'[2]por cuent'!C3472</f>
        <v>AGROTRANSPORTE ALDAO SA</v>
      </c>
      <c r="D3472" s="35">
        <f>+'[2]por cuent'!G3472</f>
        <v>108104101.81</v>
      </c>
      <c r="E3472" s="35">
        <f>+'[2]por cuent'!H3472</f>
        <v>108104101.81</v>
      </c>
      <c r="F3472" t="str">
        <f>+'[2]por cuent'!I3472</f>
        <v>852</v>
      </c>
    </row>
    <row r="3473" spans="1:6" x14ac:dyDescent="0.35">
      <c r="A3473" t="str">
        <f>+'[2]por cuent'!A3473</f>
        <v>ARS</v>
      </c>
      <c r="B3473" t="str">
        <f>+'[2]por cuent'!B3473</f>
        <v>852000025</v>
      </c>
      <c r="C3473" t="str">
        <f>+'[2]por cuent'!C3473</f>
        <v>Araoz, Agustina</v>
      </c>
      <c r="D3473" s="35">
        <f>+'[2]por cuent'!G3473</f>
        <v>30000000</v>
      </c>
      <c r="E3473" s="35">
        <f>+'[2]por cuent'!H3473</f>
        <v>30000000</v>
      </c>
      <c r="F3473" t="str">
        <f>+'[2]por cuent'!I3473</f>
        <v>852</v>
      </c>
    </row>
    <row r="3474" spans="1:6" x14ac:dyDescent="0.35">
      <c r="A3474" t="str">
        <f>+'[2]por cuent'!A3474</f>
        <v>ARS</v>
      </c>
      <c r="B3474" t="str">
        <f>+'[2]por cuent'!B3474</f>
        <v>852000026</v>
      </c>
      <c r="C3474" t="str">
        <f>+'[2]por cuent'!C3474</f>
        <v>POLAND SA</v>
      </c>
      <c r="D3474" s="35">
        <f>+'[2]por cuent'!G3474</f>
        <v>26383877.059999999</v>
      </c>
      <c r="E3474" s="35">
        <f>+'[2]por cuent'!H3474</f>
        <v>26383877.059999999</v>
      </c>
      <c r="F3474" t="str">
        <f>+'[2]por cuent'!I3474</f>
        <v>852</v>
      </c>
    </row>
    <row r="3475" spans="1:6" x14ac:dyDescent="0.35">
      <c r="A3475" t="str">
        <f>+'[2]por cuent'!A3475</f>
        <v>ARS</v>
      </c>
      <c r="B3475" t="str">
        <f>+'[2]por cuent'!B3475</f>
        <v>852000027</v>
      </c>
      <c r="C3475" t="str">
        <f>+'[2]por cuent'!C3475</f>
        <v>SERGIO O GRIZUTTI SA</v>
      </c>
      <c r="D3475" s="35">
        <f>+'[2]por cuent'!G3475</f>
        <v>32748592.059999999</v>
      </c>
      <c r="E3475" s="35">
        <f>+'[2]por cuent'!H3475</f>
        <v>32748592.059999999</v>
      </c>
      <c r="F3475" t="str">
        <f>+'[2]por cuent'!I3475</f>
        <v>852</v>
      </c>
    </row>
    <row r="3476" spans="1:6" x14ac:dyDescent="0.35">
      <c r="A3476" t="str">
        <f>+'[2]por cuent'!A3476</f>
        <v>ARS</v>
      </c>
      <c r="B3476" t="str">
        <f>+'[2]por cuent'!B3476</f>
        <v>852000029</v>
      </c>
      <c r="C3476" t="str">
        <f>+'[2]por cuent'!C3476</f>
        <v>BANCO COMAFI SA Sociedad Depositaria AXIS FCI ABIERTO PYMES 3</v>
      </c>
      <c r="D3476" s="35">
        <f>+'[2]por cuent'!G3476</f>
        <v>1964238506.95</v>
      </c>
      <c r="E3476" s="35">
        <f>+'[2]por cuent'!H3476</f>
        <v>1964238506.95</v>
      </c>
      <c r="F3476" t="str">
        <f>+'[2]por cuent'!I3476</f>
        <v>852</v>
      </c>
    </row>
    <row r="3477" spans="1:6" x14ac:dyDescent="0.35">
      <c r="A3477" t="str">
        <f>+'[2]por cuent'!A3477</f>
        <v>ARS</v>
      </c>
      <c r="B3477" t="str">
        <f>+'[2]por cuent'!B3477</f>
        <v>852000031</v>
      </c>
      <c r="C3477" t="str">
        <f>+'[2]por cuent'!C3477</f>
        <v>Piñeiro, Sebastian</v>
      </c>
      <c r="D3477" s="35">
        <f>+'[2]por cuent'!G3477</f>
        <v>22945237.73</v>
      </c>
      <c r="E3477" s="35">
        <f>+'[2]por cuent'!H3477</f>
        <v>22945237.73</v>
      </c>
      <c r="F3477" t="str">
        <f>+'[2]por cuent'!I3477</f>
        <v>852</v>
      </c>
    </row>
    <row r="3478" spans="1:6" x14ac:dyDescent="0.35">
      <c r="A3478" t="str">
        <f>+'[2]por cuent'!A3478</f>
        <v>ARS</v>
      </c>
      <c r="B3478" t="str">
        <f>+'[2]por cuent'!B3478</f>
        <v>852000032</v>
      </c>
      <c r="C3478" t="str">
        <f>+'[2]por cuent'!C3478</f>
        <v>SION SA</v>
      </c>
      <c r="D3478" s="35">
        <f>+'[2]por cuent'!G3478</f>
        <v>92759948.090000004</v>
      </c>
      <c r="E3478" s="35">
        <f>+'[2]por cuent'!H3478</f>
        <v>92759948.090000004</v>
      </c>
      <c r="F3478" t="str">
        <f>+'[2]por cuent'!I3478</f>
        <v>852</v>
      </c>
    </row>
    <row r="3479" spans="1:6" x14ac:dyDescent="0.35">
      <c r="A3479" t="str">
        <f>+'[2]por cuent'!A3479</f>
        <v>ARS</v>
      </c>
      <c r="B3479" t="str">
        <f>+'[2]por cuent'!B3479</f>
        <v>852000035</v>
      </c>
      <c r="C3479" t="str">
        <f>+'[2]por cuent'!C3479</f>
        <v>Rovetto, Edgardo Daniel</v>
      </c>
      <c r="D3479" s="35">
        <f>+'[2]por cuent'!G3479</f>
        <v>67232157.799999997</v>
      </c>
      <c r="E3479" s="35">
        <f>+'[2]por cuent'!H3479</f>
        <v>67232157.799999997</v>
      </c>
      <c r="F3479" t="str">
        <f>+'[2]por cuent'!I3479</f>
        <v>852</v>
      </c>
    </row>
    <row r="3480" spans="1:6" x14ac:dyDescent="0.35">
      <c r="A3480" t="str">
        <f>+'[2]por cuent'!A3480</f>
        <v>ARS</v>
      </c>
      <c r="B3480" t="str">
        <f>+'[2]por cuent'!B3480</f>
        <v>852000036</v>
      </c>
      <c r="C3480" t="str">
        <f>+'[2]por cuent'!C3480</f>
        <v>CANARI CONSTRUCCIONES SRL</v>
      </c>
      <c r="D3480" s="35">
        <f>+'[2]por cuent'!G3480</f>
        <v>50970168.5</v>
      </c>
      <c r="E3480" s="35">
        <f>+'[2]por cuent'!H3480</f>
        <v>50970168.5</v>
      </c>
      <c r="F3480" t="str">
        <f>+'[2]por cuent'!I3480</f>
        <v>852</v>
      </c>
    </row>
    <row r="3481" spans="1:6" x14ac:dyDescent="0.35">
      <c r="A3481" t="str">
        <f>+'[2]por cuent'!A3481</f>
        <v>ARS</v>
      </c>
      <c r="B3481" t="str">
        <f>+'[2]por cuent'!B3481</f>
        <v>852000040</v>
      </c>
      <c r="C3481" t="str">
        <f>+'[2]por cuent'!C3481</f>
        <v>Foletti, Nicolas Agustin</v>
      </c>
      <c r="D3481" s="35">
        <f>+'[2]por cuent'!G3481</f>
        <v>2761879.77</v>
      </c>
      <c r="E3481" s="35">
        <f>+'[2]por cuent'!H3481</f>
        <v>2761879.77</v>
      </c>
      <c r="F3481" t="str">
        <f>+'[2]por cuent'!I3481</f>
        <v>852</v>
      </c>
    </row>
    <row r="3482" spans="1:6" x14ac:dyDescent="0.35">
      <c r="A3482" t="str">
        <f>+'[2]por cuent'!A3482</f>
        <v>ARS</v>
      </c>
      <c r="B3482" t="str">
        <f>+'[2]por cuent'!B3482</f>
        <v>852000043</v>
      </c>
      <c r="C3482" t="str">
        <f>+'[2]por cuent'!C3482</f>
        <v>RECI PROJECT SA</v>
      </c>
      <c r="D3482" s="35">
        <f>+'[2]por cuent'!G3482</f>
        <v>134224624.36000001</v>
      </c>
      <c r="E3482" s="35">
        <f>+'[2]por cuent'!H3482</f>
        <v>134224624.36000001</v>
      </c>
      <c r="F3482" t="str">
        <f>+'[2]por cuent'!I3482</f>
        <v>852</v>
      </c>
    </row>
    <row r="3483" spans="1:6" x14ac:dyDescent="0.35">
      <c r="A3483" t="str">
        <f>+'[2]por cuent'!A3483</f>
        <v>ARS</v>
      </c>
      <c r="B3483" t="str">
        <f>+'[2]por cuent'!B3483</f>
        <v>852000047</v>
      </c>
      <c r="C3483" t="str">
        <f>+'[2]por cuent'!C3483</f>
        <v>HOGARSTYLE SA</v>
      </c>
      <c r="D3483" s="35">
        <f>+'[2]por cuent'!G3483</f>
        <v>7460447.3700000001</v>
      </c>
      <c r="E3483" s="35">
        <f>+'[2]por cuent'!H3483</f>
        <v>7460447.3700000001</v>
      </c>
      <c r="F3483" t="str">
        <f>+'[2]por cuent'!I3483</f>
        <v>852</v>
      </c>
    </row>
    <row r="3484" spans="1:6" x14ac:dyDescent="0.35">
      <c r="A3484" t="str">
        <f>+'[2]por cuent'!A3484</f>
        <v>ARS</v>
      </c>
      <c r="B3484" t="str">
        <f>+'[2]por cuent'!B3484</f>
        <v>852000052</v>
      </c>
      <c r="C3484" t="str">
        <f>+'[2]por cuent'!C3484</f>
        <v>ECO TRADER IMPORT EXPORT SA</v>
      </c>
      <c r="D3484" s="35">
        <f>+'[2]por cuent'!G3484</f>
        <v>100436749.55</v>
      </c>
      <c r="E3484" s="35">
        <f>+'[2]por cuent'!H3484</f>
        <v>100436749.55</v>
      </c>
      <c r="F3484" t="str">
        <f>+'[2]por cuent'!I3484</f>
        <v>852</v>
      </c>
    </row>
    <row r="3485" spans="1:6" x14ac:dyDescent="0.35">
      <c r="A3485" t="str">
        <f>+'[2]por cuent'!A3485</f>
        <v>ARS</v>
      </c>
      <c r="B3485" t="str">
        <f>+'[2]por cuent'!B3485</f>
        <v>852000054</v>
      </c>
      <c r="C3485" t="str">
        <f>+'[2]por cuent'!C3485</f>
        <v>Sarasola, Hipolito Jose</v>
      </c>
      <c r="D3485" s="35">
        <f>+'[2]por cuent'!G3485</f>
        <v>21320845.09</v>
      </c>
      <c r="E3485" s="35">
        <f>+'[2]por cuent'!H3485</f>
        <v>21320845.09</v>
      </c>
      <c r="F3485" t="str">
        <f>+'[2]por cuent'!I3485</f>
        <v>852</v>
      </c>
    </row>
    <row r="3486" spans="1:6" x14ac:dyDescent="0.35">
      <c r="A3486" t="str">
        <f>+'[2]por cuent'!A3486</f>
        <v>ARS</v>
      </c>
      <c r="B3486" t="str">
        <f>+'[2]por cuent'!B3486</f>
        <v>852000056</v>
      </c>
      <c r="C3486" t="str">
        <f>+'[2]por cuent'!C3486</f>
        <v>Urrizmendi, Mateo Nicolas o gimenez, maria isabel</v>
      </c>
      <c r="D3486" s="35">
        <f>+'[2]por cuent'!G3486</f>
        <v>152649.60000000001</v>
      </c>
      <c r="E3486" s="35">
        <f>+'[2]por cuent'!H3486</f>
        <v>152649.60000000001</v>
      </c>
      <c r="F3486" t="str">
        <f>+'[2]por cuent'!I3486</f>
        <v>852</v>
      </c>
    </row>
    <row r="3487" spans="1:6" x14ac:dyDescent="0.35">
      <c r="A3487" t="str">
        <f>+'[2]por cuent'!A3487</f>
        <v>ARS</v>
      </c>
      <c r="B3487" t="str">
        <f>+'[2]por cuent'!B3487</f>
        <v>852000057</v>
      </c>
      <c r="C3487" t="str">
        <f>+'[2]por cuent'!C3487</f>
        <v>INDUSTRIAS FRIGORIFICAS JG SA</v>
      </c>
      <c r="D3487" s="35">
        <f>+'[2]por cuent'!G3487</f>
        <v>84689599.599999994</v>
      </c>
      <c r="E3487" s="35">
        <f>+'[2]por cuent'!H3487</f>
        <v>84689599.599999994</v>
      </c>
      <c r="F3487" t="str">
        <f>+'[2]por cuent'!I3487</f>
        <v>852</v>
      </c>
    </row>
    <row r="3488" spans="1:6" x14ac:dyDescent="0.35">
      <c r="A3488" t="str">
        <f>+'[2]por cuent'!A3488</f>
        <v>ARS</v>
      </c>
      <c r="B3488" t="str">
        <f>+'[2]por cuent'!B3488</f>
        <v>852000059</v>
      </c>
      <c r="C3488" t="str">
        <f>+'[2]por cuent'!C3488</f>
        <v>LABORATORIOS FERRINI SAICI</v>
      </c>
      <c r="D3488" s="35">
        <f>+'[2]por cuent'!G3488</f>
        <v>535804122.38999999</v>
      </c>
      <c r="E3488" s="35">
        <f>+'[2]por cuent'!H3488</f>
        <v>535804122.38999999</v>
      </c>
      <c r="F3488" t="str">
        <f>+'[2]por cuent'!I3488</f>
        <v>852</v>
      </c>
    </row>
    <row r="3489" spans="1:6" x14ac:dyDescent="0.35">
      <c r="A3489" t="str">
        <f>+'[2]por cuent'!A3489</f>
        <v>ARS</v>
      </c>
      <c r="B3489" t="str">
        <f>+'[2]por cuent'!B3489</f>
        <v>852000061</v>
      </c>
      <c r="C3489" t="str">
        <f>+'[2]por cuent'!C3489</f>
        <v>ARAMENDI Y ASOCIADOS SA</v>
      </c>
      <c r="D3489" s="35">
        <f>+'[2]por cuent'!G3489</f>
        <v>48910531.090000004</v>
      </c>
      <c r="E3489" s="35">
        <f>+'[2]por cuent'!H3489</f>
        <v>48910531.090000004</v>
      </c>
      <c r="F3489" t="str">
        <f>+'[2]por cuent'!I3489</f>
        <v>852</v>
      </c>
    </row>
    <row r="3490" spans="1:6" x14ac:dyDescent="0.35">
      <c r="A3490" t="str">
        <f>+'[2]por cuent'!A3490</f>
        <v>ARS</v>
      </c>
      <c r="B3490" t="str">
        <f>+'[2]por cuent'!B3490</f>
        <v>852000063</v>
      </c>
      <c r="C3490" t="str">
        <f>+'[2]por cuent'!C3490</f>
        <v>LACTEOS PREMIUM SA</v>
      </c>
      <c r="D3490" s="35">
        <f>+'[2]por cuent'!G3490</f>
        <v>95445290.680000007</v>
      </c>
      <c r="E3490" s="35">
        <f>+'[2]por cuent'!H3490</f>
        <v>95445290.680000007</v>
      </c>
      <c r="F3490" t="str">
        <f>+'[2]por cuent'!I3490</f>
        <v>852</v>
      </c>
    </row>
    <row r="3491" spans="1:6" x14ac:dyDescent="0.35">
      <c r="A3491" t="str">
        <f>+'[2]por cuent'!A3491</f>
        <v>ARS</v>
      </c>
      <c r="B3491" t="str">
        <f>+'[2]por cuent'!B3491</f>
        <v>852000065</v>
      </c>
      <c r="C3491" t="str">
        <f>+'[2]por cuent'!C3491</f>
        <v>MG ALFA OPERACIONES</v>
      </c>
      <c r="D3491" s="35">
        <f>+'[2]por cuent'!G3491</f>
        <v>1241784649.8499999</v>
      </c>
      <c r="E3491" s="35">
        <f>+'[2]por cuent'!H3491</f>
        <v>1241784649.8499999</v>
      </c>
      <c r="F3491" t="str">
        <f>+'[2]por cuent'!I3491</f>
        <v>852</v>
      </c>
    </row>
    <row r="3492" spans="1:6" x14ac:dyDescent="0.35">
      <c r="A3492" t="str">
        <f>+'[2]por cuent'!A3492</f>
        <v>ARS</v>
      </c>
      <c r="B3492" t="str">
        <f>+'[2]por cuent'!B3492</f>
        <v>852000066</v>
      </c>
      <c r="C3492" t="str">
        <f>+'[2]por cuent'!C3492</f>
        <v>FAMILY GROUP SA</v>
      </c>
      <c r="D3492" s="35">
        <f>+'[2]por cuent'!G3492</f>
        <v>412339285.66000003</v>
      </c>
      <c r="E3492" s="35">
        <f>+'[2]por cuent'!H3492</f>
        <v>412339285.66000003</v>
      </c>
      <c r="F3492" t="str">
        <f>+'[2]por cuent'!I3492</f>
        <v>852</v>
      </c>
    </row>
    <row r="3493" spans="1:6" x14ac:dyDescent="0.35">
      <c r="A3493" t="str">
        <f>+'[2]por cuent'!A3493</f>
        <v>ARS</v>
      </c>
      <c r="B3493" t="str">
        <f>+'[2]por cuent'!B3493</f>
        <v>852000070</v>
      </c>
      <c r="C3493" t="str">
        <f>+'[2]por cuent'!C3493</f>
        <v>SOL GROUP SAS</v>
      </c>
      <c r="D3493" s="35">
        <f>+'[2]por cuent'!G3493</f>
        <v>60745882.060000002</v>
      </c>
      <c r="E3493" s="35">
        <f>+'[2]por cuent'!H3493</f>
        <v>60745882.060000002</v>
      </c>
      <c r="F3493" t="str">
        <f>+'[2]por cuent'!I3493</f>
        <v>852</v>
      </c>
    </row>
    <row r="3494" spans="1:6" x14ac:dyDescent="0.35">
      <c r="A3494" t="str">
        <f>+'[2]por cuent'!A3494</f>
        <v>ARS</v>
      </c>
      <c r="B3494" t="str">
        <f>+'[2]por cuent'!B3494</f>
        <v>852000071</v>
      </c>
      <c r="C3494" t="str">
        <f>+'[2]por cuent'!C3494</f>
        <v>DECA SRL</v>
      </c>
      <c r="D3494" s="35">
        <f>+'[2]por cuent'!G3494</f>
        <v>73737981.040000007</v>
      </c>
      <c r="E3494" s="35">
        <f>+'[2]por cuent'!H3494</f>
        <v>73737981.040000007</v>
      </c>
      <c r="F3494" t="str">
        <f>+'[2]por cuent'!I3494</f>
        <v>852</v>
      </c>
    </row>
    <row r="3495" spans="1:6" x14ac:dyDescent="0.35">
      <c r="A3495" t="str">
        <f>+'[2]por cuent'!A3495</f>
        <v>ARS</v>
      </c>
      <c r="B3495" t="str">
        <f>+'[2]por cuent'!B3495</f>
        <v>852000072</v>
      </c>
      <c r="C3495" t="str">
        <f>+'[2]por cuent'!C3495</f>
        <v>BROOKLYN RIDERS SRL</v>
      </c>
      <c r="D3495" s="35">
        <f>+'[2]por cuent'!G3495</f>
        <v>30000000</v>
      </c>
      <c r="E3495" s="35">
        <f>+'[2]por cuent'!H3495</f>
        <v>30000000</v>
      </c>
      <c r="F3495" t="str">
        <f>+'[2]por cuent'!I3495</f>
        <v>852</v>
      </c>
    </row>
    <row r="3496" spans="1:6" x14ac:dyDescent="0.35">
      <c r="A3496" t="str">
        <f>+'[2]por cuent'!A3496</f>
        <v>ARS</v>
      </c>
      <c r="B3496" t="str">
        <f>+'[2]por cuent'!B3496</f>
        <v>865001002</v>
      </c>
      <c r="C3496" t="str">
        <f>+'[2]por cuent'!C3496</f>
        <v>PEÑA, JULIO JORGE o SOLORZA VUANELLO, MARIA LAURA</v>
      </c>
      <c r="D3496" s="35">
        <f>+'[2]por cuent'!G3496</f>
        <v>7031310.71</v>
      </c>
      <c r="E3496" s="35">
        <f>+'[2]por cuent'!H3496</f>
        <v>7031310.71</v>
      </c>
      <c r="F3496" t="str">
        <f>+'[2]por cuent'!I3496</f>
        <v>865</v>
      </c>
    </row>
    <row r="3497" spans="1:6" x14ac:dyDescent="0.35">
      <c r="A3497" t="str">
        <f>+'[2]por cuent'!A3497</f>
        <v>ARS</v>
      </c>
      <c r="B3497" t="str">
        <f>+'[2]por cuent'!B3497</f>
        <v>865001010</v>
      </c>
      <c r="C3497" t="str">
        <f>+'[2]por cuent'!C3497</f>
        <v>NOGUERA, MARIA ENCARNACION</v>
      </c>
      <c r="D3497" s="35">
        <f>+'[2]por cuent'!G3497</f>
        <v>975171.2</v>
      </c>
      <c r="E3497" s="35">
        <f>+'[2]por cuent'!H3497</f>
        <v>975171.2</v>
      </c>
      <c r="F3497" t="str">
        <f>+'[2]por cuent'!I3497</f>
        <v>865</v>
      </c>
    </row>
    <row r="3498" spans="1:6" x14ac:dyDescent="0.35">
      <c r="A3498" t="str">
        <f>+'[2]por cuent'!A3498</f>
        <v>ARS</v>
      </c>
      <c r="B3498" t="str">
        <f>+'[2]por cuent'!B3498</f>
        <v>865001077</v>
      </c>
      <c r="C3498" t="str">
        <f>+'[2]por cuent'!C3498</f>
        <v>MANRIQUE, FERNANDO ARTURO o COBOS, MARIA CRISTINA</v>
      </c>
      <c r="D3498" s="35">
        <f>+'[2]por cuent'!G3498</f>
        <v>16069732.880000001</v>
      </c>
      <c r="E3498" s="35">
        <f>+'[2]por cuent'!H3498</f>
        <v>16069732.880000001</v>
      </c>
      <c r="F3498" t="str">
        <f>+'[2]por cuent'!I3498</f>
        <v>865</v>
      </c>
    </row>
    <row r="3499" spans="1:6" x14ac:dyDescent="0.35">
      <c r="A3499" t="str">
        <f>+'[2]por cuent'!A3499</f>
        <v>ARS</v>
      </c>
      <c r="B3499" t="str">
        <f>+'[2]por cuent'!B3499</f>
        <v>865001097</v>
      </c>
      <c r="C3499" t="str">
        <f>+'[2]por cuent'!C3499</f>
        <v>FERRARI, NESTOR GENARO o GONZALEZ, GABRIELA MARINA</v>
      </c>
      <c r="D3499" s="35">
        <f>+'[2]por cuent'!G3499</f>
        <v>1629757610.0899999</v>
      </c>
      <c r="E3499" s="35">
        <f>+'[2]por cuent'!H3499</f>
        <v>1629757610.0899999</v>
      </c>
      <c r="F3499" t="str">
        <f>+'[2]por cuent'!I3499</f>
        <v>865</v>
      </c>
    </row>
    <row r="3500" spans="1:6" x14ac:dyDescent="0.35">
      <c r="A3500" t="str">
        <f>+'[2]por cuent'!A3500</f>
        <v>ARS</v>
      </c>
      <c r="B3500" t="str">
        <f>+'[2]por cuent'!B3500</f>
        <v>865001109</v>
      </c>
      <c r="C3500" t="str">
        <f>+'[2]por cuent'!C3500</f>
        <v>RODRIGUEZ NAVAS, ALICIA BEATRIZ o NAVAS, MARIA SILVIA o RODRIGUEZ NAVAS, SILVIA LILIANA</v>
      </c>
      <c r="D3500" s="35">
        <f>+'[2]por cuent'!G3500</f>
        <v>1351945.54</v>
      </c>
      <c r="E3500" s="35">
        <f>+'[2]por cuent'!H3500</f>
        <v>1351945.54</v>
      </c>
      <c r="F3500" t="str">
        <f>+'[2]por cuent'!I3500</f>
        <v>865</v>
      </c>
    </row>
    <row r="3501" spans="1:6" x14ac:dyDescent="0.35">
      <c r="A3501" t="str">
        <f>+'[2]por cuent'!A3501</f>
        <v>ARS</v>
      </c>
      <c r="B3501" t="str">
        <f>+'[2]por cuent'!B3501</f>
        <v>865001116</v>
      </c>
      <c r="C3501" t="str">
        <f>+'[2]por cuent'!C3501</f>
        <v>CASTRO, DANIEL ENRIQUE o JOFRE, ELENA ASCENCION o CASTRO, DANIEL ESTEBAN</v>
      </c>
      <c r="D3501" s="35">
        <f>+'[2]por cuent'!G3501</f>
        <v>11634750.800000001</v>
      </c>
      <c r="E3501" s="35">
        <f>+'[2]por cuent'!H3501</f>
        <v>11634750.800000001</v>
      </c>
      <c r="F3501" t="str">
        <f>+'[2]por cuent'!I3501</f>
        <v>865</v>
      </c>
    </row>
    <row r="3502" spans="1:6" x14ac:dyDescent="0.35">
      <c r="A3502" t="str">
        <f>+'[2]por cuent'!A3502</f>
        <v>ARS</v>
      </c>
      <c r="B3502" t="str">
        <f>+'[2]por cuent'!B3502</f>
        <v>865001124</v>
      </c>
      <c r="C3502" t="str">
        <f>+'[2]por cuent'!C3502</f>
        <v>GMI INVERSIONES S.A.</v>
      </c>
      <c r="D3502" s="35">
        <f>+'[2]por cuent'!G3502</f>
        <v>16051497599.290001</v>
      </c>
      <c r="E3502" s="35">
        <f>+'[2]por cuent'!H3502</f>
        <v>16051497599.290001</v>
      </c>
      <c r="F3502" t="str">
        <f>+'[2]por cuent'!I3502</f>
        <v>865</v>
      </c>
    </row>
    <row r="3503" spans="1:6" x14ac:dyDescent="0.35">
      <c r="A3503" t="str">
        <f>+'[2]por cuent'!A3503</f>
        <v>ARS</v>
      </c>
      <c r="B3503" t="str">
        <f>+'[2]por cuent'!B3503</f>
        <v>865001128</v>
      </c>
      <c r="C3503" t="str">
        <f>+'[2]por cuent'!C3503</f>
        <v>RIVAS, ANA MARIA o BASUALDO, ALFREDO EDUARDO</v>
      </c>
      <c r="D3503" s="35">
        <f>+'[2]por cuent'!G3503</f>
        <v>22729694.859999999</v>
      </c>
      <c r="E3503" s="35">
        <f>+'[2]por cuent'!H3503</f>
        <v>22729694.859999999</v>
      </c>
      <c r="F3503" t="str">
        <f>+'[2]por cuent'!I3503</f>
        <v>865</v>
      </c>
    </row>
    <row r="3504" spans="1:6" x14ac:dyDescent="0.35">
      <c r="A3504" t="str">
        <f>+'[2]por cuent'!A3504</f>
        <v>ARS</v>
      </c>
      <c r="B3504" t="str">
        <f>+'[2]por cuent'!B3504</f>
        <v>865001143</v>
      </c>
      <c r="C3504" t="str">
        <f>+'[2]por cuent'!C3504</f>
        <v>PEREZ, ELIZABETH o ROSALES, JULIO MANUEL</v>
      </c>
      <c r="D3504" s="35">
        <f>+'[2]por cuent'!G3504</f>
        <v>9217640.1400000006</v>
      </c>
      <c r="E3504" s="35">
        <f>+'[2]por cuent'!H3504</f>
        <v>9217640.1400000006</v>
      </c>
      <c r="F3504" t="str">
        <f>+'[2]por cuent'!I3504</f>
        <v>865</v>
      </c>
    </row>
    <row r="3505" spans="1:6" x14ac:dyDescent="0.35">
      <c r="A3505" t="str">
        <f>+'[2]por cuent'!A3505</f>
        <v>ARS</v>
      </c>
      <c r="B3505" t="str">
        <f>+'[2]por cuent'!B3505</f>
        <v>865001149</v>
      </c>
      <c r="C3505" t="str">
        <f>+'[2]por cuent'!C3505</f>
        <v>COLEGIO DE ABOGADOS DE SAN JUAN</v>
      </c>
      <c r="D3505" s="35">
        <f>+'[2]por cuent'!G3505</f>
        <v>45452553.420000002</v>
      </c>
      <c r="E3505" s="35">
        <f>+'[2]por cuent'!H3505</f>
        <v>45452553.420000002</v>
      </c>
      <c r="F3505" t="str">
        <f>+'[2]por cuent'!I3505</f>
        <v>865</v>
      </c>
    </row>
    <row r="3506" spans="1:6" x14ac:dyDescent="0.35">
      <c r="A3506" t="str">
        <f>+'[2]por cuent'!A3506</f>
        <v>ARS</v>
      </c>
      <c r="B3506" t="str">
        <f>+'[2]por cuent'!B3506</f>
        <v>865001155</v>
      </c>
      <c r="C3506" t="str">
        <f>+'[2]por cuent'!C3506</f>
        <v>AHUMADA, GUSTAVO OSCAR</v>
      </c>
      <c r="D3506" s="35">
        <f>+'[2]por cuent'!G3506</f>
        <v>5502388.9199999999</v>
      </c>
      <c r="E3506" s="35">
        <f>+'[2]por cuent'!H3506</f>
        <v>5502388.9199999999</v>
      </c>
      <c r="F3506" t="str">
        <f>+'[2]por cuent'!I3506</f>
        <v>865</v>
      </c>
    </row>
    <row r="3507" spans="1:6" x14ac:dyDescent="0.35">
      <c r="A3507" t="str">
        <f>+'[2]por cuent'!A3507</f>
        <v>ARS</v>
      </c>
      <c r="B3507" t="str">
        <f>+'[2]por cuent'!B3507</f>
        <v>865001157</v>
      </c>
      <c r="C3507" t="str">
        <f>+'[2]por cuent'!C3507</f>
        <v>JAIMEN, CARLOS LUIS o JAIMEN, AIDA INES</v>
      </c>
      <c r="D3507" s="35">
        <f>+'[2]por cuent'!G3507</f>
        <v>40736607.119999997</v>
      </c>
      <c r="E3507" s="35">
        <f>+'[2]por cuent'!H3507</f>
        <v>40736607.119999997</v>
      </c>
      <c r="F3507" t="str">
        <f>+'[2]por cuent'!I3507</f>
        <v>865</v>
      </c>
    </row>
    <row r="3508" spans="1:6" x14ac:dyDescent="0.35">
      <c r="A3508" t="str">
        <f>+'[2]por cuent'!A3508</f>
        <v>ARS</v>
      </c>
      <c r="B3508" t="str">
        <f>+'[2]por cuent'!B3508</f>
        <v>865001160</v>
      </c>
      <c r="C3508" t="str">
        <f>+'[2]por cuent'!C3508</f>
        <v>SPINELLI, LUIS ALBERTO</v>
      </c>
      <c r="D3508" s="35">
        <f>+'[2]por cuent'!G3508</f>
        <v>1232909606.0599999</v>
      </c>
      <c r="E3508" s="35">
        <f>+'[2]por cuent'!H3508</f>
        <v>1232909606.0599999</v>
      </c>
      <c r="F3508" t="str">
        <f>+'[2]por cuent'!I3508</f>
        <v>865</v>
      </c>
    </row>
    <row r="3509" spans="1:6" x14ac:dyDescent="0.35">
      <c r="A3509" t="str">
        <f>+'[2]por cuent'!A3509</f>
        <v>ARS</v>
      </c>
      <c r="B3509" t="str">
        <f>+'[2]por cuent'!B3509</f>
        <v>865001162</v>
      </c>
      <c r="C3509" t="str">
        <f>+'[2]por cuent'!C3509</f>
        <v>VILLARREAL, STELLA MARYS o MORENO, ELIAS RAUL  o MORENO LORENA</v>
      </c>
      <c r="D3509" s="35">
        <f>+'[2]por cuent'!G3509</f>
        <v>505896</v>
      </c>
      <c r="E3509" s="35">
        <f>+'[2]por cuent'!H3509</f>
        <v>505896</v>
      </c>
      <c r="F3509" t="str">
        <f>+'[2]por cuent'!I3509</f>
        <v>865</v>
      </c>
    </row>
    <row r="3510" spans="1:6" x14ac:dyDescent="0.35">
      <c r="A3510" t="str">
        <f>+'[2]por cuent'!A3510</f>
        <v>ARS</v>
      </c>
      <c r="B3510" t="str">
        <f>+'[2]por cuent'!B3510</f>
        <v>865001164</v>
      </c>
      <c r="C3510" t="str">
        <f>+'[2]por cuent'!C3510</f>
        <v>PEÑA, JUAN PABLO</v>
      </c>
      <c r="D3510" s="35">
        <f>+'[2]por cuent'!G3510</f>
        <v>1028922</v>
      </c>
      <c r="E3510" s="35">
        <f>+'[2]por cuent'!H3510</f>
        <v>1028922</v>
      </c>
      <c r="F3510" t="str">
        <f>+'[2]por cuent'!I3510</f>
        <v>865</v>
      </c>
    </row>
    <row r="3511" spans="1:6" x14ac:dyDescent="0.35">
      <c r="A3511" t="str">
        <f>+'[2]por cuent'!A3511</f>
        <v>ARS</v>
      </c>
      <c r="B3511" t="str">
        <f>+'[2]por cuent'!B3511</f>
        <v>865001181</v>
      </c>
      <c r="C3511" t="str">
        <f>+'[2]por cuent'!C3511</f>
        <v>HERNANDEZ, MARIA ANGEL o ZUCCOTTI, HORACIO GASTON</v>
      </c>
      <c r="D3511" s="35">
        <f>+'[2]por cuent'!G3511</f>
        <v>164351142.00999999</v>
      </c>
      <c r="E3511" s="35">
        <f>+'[2]por cuent'!H3511</f>
        <v>164351142.00999999</v>
      </c>
      <c r="F3511" t="str">
        <f>+'[2]por cuent'!I3511</f>
        <v>865</v>
      </c>
    </row>
    <row r="3512" spans="1:6" x14ac:dyDescent="0.35">
      <c r="A3512" t="str">
        <f>+'[2]por cuent'!A3512</f>
        <v>ARS</v>
      </c>
      <c r="B3512" t="str">
        <f>+'[2]por cuent'!B3512</f>
        <v>865001190</v>
      </c>
      <c r="C3512" t="str">
        <f>+'[2]por cuent'!C3512</f>
        <v>RUIZ, JORGE RICARDO</v>
      </c>
      <c r="D3512" s="35">
        <f>+'[2]por cuent'!G3512</f>
        <v>153473368.06</v>
      </c>
      <c r="E3512" s="35">
        <f>+'[2]por cuent'!H3512</f>
        <v>153473368.06</v>
      </c>
      <c r="F3512" t="str">
        <f>+'[2]por cuent'!I3512</f>
        <v>865</v>
      </c>
    </row>
    <row r="3513" spans="1:6" x14ac:dyDescent="0.35">
      <c r="A3513" t="str">
        <f>+'[2]por cuent'!A3513</f>
        <v>ARS</v>
      </c>
      <c r="B3513" t="str">
        <f>+'[2]por cuent'!B3513</f>
        <v>865001191</v>
      </c>
      <c r="C3513" t="str">
        <f>+'[2]por cuent'!C3513</f>
        <v>PEÑA, JULIO JORGE o QUIROGA, HILDA ADELA</v>
      </c>
      <c r="D3513" s="35">
        <f>+'[2]por cuent'!G3513</f>
        <v>1965637333.0699999</v>
      </c>
      <c r="E3513" s="35">
        <f>+'[2]por cuent'!H3513</f>
        <v>1965637333.0699999</v>
      </c>
      <c r="F3513" t="str">
        <f>+'[2]por cuent'!I3513</f>
        <v>865</v>
      </c>
    </row>
    <row r="3514" spans="1:6" x14ac:dyDescent="0.35">
      <c r="A3514" t="str">
        <f>+'[2]por cuent'!A3514</f>
        <v>ARS</v>
      </c>
      <c r="B3514" t="str">
        <f>+'[2]por cuent'!B3514</f>
        <v>865001192</v>
      </c>
      <c r="C3514" t="str">
        <f>+'[2]por cuent'!C3514</f>
        <v>MORENO, EDUARDO ROSENDO o BENEGAS, MARIA ESTELA</v>
      </c>
      <c r="D3514" s="35">
        <f>+'[2]por cuent'!G3514</f>
        <v>13326009.76</v>
      </c>
      <c r="E3514" s="35">
        <f>+'[2]por cuent'!H3514</f>
        <v>13326009.76</v>
      </c>
      <c r="F3514" t="str">
        <f>+'[2]por cuent'!I3514</f>
        <v>865</v>
      </c>
    </row>
    <row r="3515" spans="1:6" x14ac:dyDescent="0.35">
      <c r="A3515" t="str">
        <f>+'[2]por cuent'!A3515</f>
        <v>ARS</v>
      </c>
      <c r="B3515" t="str">
        <f>+'[2]por cuent'!B3515</f>
        <v>865001200</v>
      </c>
      <c r="C3515" t="str">
        <f>+'[2]por cuent'!C3515</f>
        <v>ALVAREZ, JOSE GERMAN</v>
      </c>
      <c r="D3515" s="35">
        <f>+'[2]por cuent'!G3515</f>
        <v>92222687.150000006</v>
      </c>
      <c r="E3515" s="35">
        <f>+'[2]por cuent'!H3515</f>
        <v>92222687.150000006</v>
      </c>
      <c r="F3515" t="str">
        <f>+'[2]por cuent'!I3515</f>
        <v>865</v>
      </c>
    </row>
    <row r="3516" spans="1:6" x14ac:dyDescent="0.35">
      <c r="A3516" t="str">
        <f>+'[2]por cuent'!A3516</f>
        <v>ARS</v>
      </c>
      <c r="B3516" t="str">
        <f>+'[2]por cuent'!B3516</f>
        <v>865001210</v>
      </c>
      <c r="C3516" t="str">
        <f>+'[2]por cuent'!C3516</f>
        <v>RUIZ Y ASOCIADOS CONSULTORA SRL</v>
      </c>
      <c r="D3516" s="35">
        <f>+'[2]por cuent'!G3516</f>
        <v>2372965804.8899999</v>
      </c>
      <c r="E3516" s="35">
        <f>+'[2]por cuent'!H3516</f>
        <v>2372965804.8899999</v>
      </c>
      <c r="F3516" t="str">
        <f>+'[2]por cuent'!I3516</f>
        <v>865</v>
      </c>
    </row>
    <row r="3517" spans="1:6" x14ac:dyDescent="0.35">
      <c r="A3517" t="str">
        <f>+'[2]por cuent'!A3517</f>
        <v>ARS</v>
      </c>
      <c r="B3517" t="str">
        <f>+'[2]por cuent'!B3517</f>
        <v>865001217</v>
      </c>
      <c r="C3517" t="str">
        <f>+'[2]por cuent'!C3517</f>
        <v>MARTIN, FRANCISCO ROBERTO o GODOY, MARIA EUGENIA o JOFRE PAEZ, SILVIA EDITH</v>
      </c>
      <c r="D3517" s="35">
        <f>+'[2]por cuent'!G3517</f>
        <v>18138859.539999999</v>
      </c>
      <c r="E3517" s="35">
        <f>+'[2]por cuent'!H3517</f>
        <v>18138859.539999999</v>
      </c>
      <c r="F3517" t="str">
        <f>+'[2]por cuent'!I3517</f>
        <v>865</v>
      </c>
    </row>
    <row r="3518" spans="1:6" x14ac:dyDescent="0.35">
      <c r="A3518" t="str">
        <f>+'[2]por cuent'!A3518</f>
        <v>ARS</v>
      </c>
      <c r="B3518" t="str">
        <f>+'[2]por cuent'!B3518</f>
        <v>865001232</v>
      </c>
      <c r="C3518" t="str">
        <f>+'[2]por cuent'!C3518</f>
        <v>GOUBAT, ADALBERTO ANIBAL</v>
      </c>
      <c r="D3518" s="35">
        <f>+'[2]por cuent'!G3518</f>
        <v>10287554.609999999</v>
      </c>
      <c r="E3518" s="35">
        <f>+'[2]por cuent'!H3518</f>
        <v>10287554.609999999</v>
      </c>
      <c r="F3518" t="str">
        <f>+'[2]por cuent'!I3518</f>
        <v>865</v>
      </c>
    </row>
    <row r="3519" spans="1:6" x14ac:dyDescent="0.35">
      <c r="A3519" t="str">
        <f>+'[2]por cuent'!A3519</f>
        <v>ARS</v>
      </c>
      <c r="B3519" t="str">
        <f>+'[2]por cuent'!B3519</f>
        <v>865001233</v>
      </c>
      <c r="C3519" t="str">
        <f>+'[2]por cuent'!C3519</f>
        <v>LUCATTO TRUJILLANO, SERGIO DANIEL</v>
      </c>
      <c r="D3519" s="35">
        <f>+'[2]por cuent'!G3519</f>
        <v>3857996.87</v>
      </c>
      <c r="E3519" s="35">
        <f>+'[2]por cuent'!H3519</f>
        <v>3857996.87</v>
      </c>
      <c r="F3519" t="str">
        <f>+'[2]por cuent'!I3519</f>
        <v>865</v>
      </c>
    </row>
    <row r="3520" spans="1:6" x14ac:dyDescent="0.35">
      <c r="A3520" t="str">
        <f>+'[2]por cuent'!A3520</f>
        <v>ARS</v>
      </c>
      <c r="B3520" t="str">
        <f>+'[2]por cuent'!B3520</f>
        <v>865001234</v>
      </c>
      <c r="C3520" t="str">
        <f>+'[2]por cuent'!C3520</f>
        <v>OLIVERA, SEBASTIAN</v>
      </c>
      <c r="D3520" s="35">
        <f>+'[2]por cuent'!G3520</f>
        <v>33679188.530000001</v>
      </c>
      <c r="E3520" s="35">
        <f>+'[2]por cuent'!H3520</f>
        <v>33679188.530000001</v>
      </c>
      <c r="F3520" t="str">
        <f>+'[2]por cuent'!I3520</f>
        <v>865</v>
      </c>
    </row>
    <row r="3521" spans="1:6" x14ac:dyDescent="0.35">
      <c r="A3521" t="str">
        <f>+'[2]por cuent'!A3521</f>
        <v>ARS</v>
      </c>
      <c r="B3521" t="str">
        <f>+'[2]por cuent'!B3521</f>
        <v>865001236</v>
      </c>
      <c r="C3521" t="str">
        <f>+'[2]por cuent'!C3521</f>
        <v>PERALTA, DANIEL ORLANDO o CASTRO, JUANA o CABRERA, ROSA NIDIA</v>
      </c>
      <c r="D3521" s="35">
        <f>+'[2]por cuent'!G3521</f>
        <v>82290772.540000007</v>
      </c>
      <c r="E3521" s="35">
        <f>+'[2]por cuent'!H3521</f>
        <v>82290772.540000007</v>
      </c>
      <c r="F3521" t="str">
        <f>+'[2]por cuent'!I3521</f>
        <v>865</v>
      </c>
    </row>
    <row r="3522" spans="1:6" x14ac:dyDescent="0.35">
      <c r="A3522" t="str">
        <f>+'[2]por cuent'!A3522</f>
        <v>ARS</v>
      </c>
      <c r="B3522" t="str">
        <f>+'[2]por cuent'!B3522</f>
        <v>865001237</v>
      </c>
      <c r="C3522" t="str">
        <f>+'[2]por cuent'!C3522</f>
        <v>MENCHETTI, SILVANA HAYDEE o LOPEZ MENCHETI, ARIANA</v>
      </c>
      <c r="D3522" s="35">
        <f>+'[2]por cuent'!G3522</f>
        <v>298105.46999999997</v>
      </c>
      <c r="E3522" s="35">
        <f>+'[2]por cuent'!H3522</f>
        <v>298105.46999999997</v>
      </c>
      <c r="F3522" t="str">
        <f>+'[2]por cuent'!I3522</f>
        <v>865</v>
      </c>
    </row>
    <row r="3523" spans="1:6" x14ac:dyDescent="0.35">
      <c r="A3523" t="str">
        <f>+'[2]por cuent'!A3523</f>
        <v>ARS</v>
      </c>
      <c r="B3523" t="str">
        <f>+'[2]por cuent'!B3523</f>
        <v>865001243</v>
      </c>
      <c r="C3523" t="str">
        <f>+'[2]por cuent'!C3523</f>
        <v>ROJAS, HAYDE LILIANA o DIAZ, OSCAR ANTONIO</v>
      </c>
      <c r="D3523" s="35">
        <f>+'[2]por cuent'!G3523</f>
        <v>148046318.18000001</v>
      </c>
      <c r="E3523" s="35">
        <f>+'[2]por cuent'!H3523</f>
        <v>148046318.18000001</v>
      </c>
      <c r="F3523" t="str">
        <f>+'[2]por cuent'!I3523</f>
        <v>865</v>
      </c>
    </row>
    <row r="3524" spans="1:6" x14ac:dyDescent="0.35">
      <c r="A3524" t="str">
        <f>+'[2]por cuent'!A3524</f>
        <v>ARS</v>
      </c>
      <c r="B3524" t="str">
        <f>+'[2]por cuent'!B3524</f>
        <v>865001265</v>
      </c>
      <c r="C3524" t="str">
        <f>+'[2]por cuent'!C3524</f>
        <v>LEONARDI GUERRERO, MARCELO AGUSTIN o RAMIREZ MARTIN, ANDREA ALEJANDRA</v>
      </c>
      <c r="D3524" s="35">
        <f>+'[2]por cuent'!G3524</f>
        <v>517488.29</v>
      </c>
      <c r="E3524" s="35">
        <f>+'[2]por cuent'!H3524</f>
        <v>517488.29</v>
      </c>
      <c r="F3524" t="str">
        <f>+'[2]por cuent'!I3524</f>
        <v>865</v>
      </c>
    </row>
    <row r="3525" spans="1:6" x14ac:dyDescent="0.35">
      <c r="A3525" t="str">
        <f>+'[2]por cuent'!A3525</f>
        <v>ARS</v>
      </c>
      <c r="B3525" t="str">
        <f>+'[2]por cuent'!B3525</f>
        <v>865001272</v>
      </c>
      <c r="C3525" t="str">
        <f>+'[2]por cuent'!C3525</f>
        <v>GROSSI YURKOVICH, IVAN DAVID o YURKOVICH, ANA LETICIA</v>
      </c>
      <c r="D3525" s="35">
        <f>+'[2]por cuent'!G3525</f>
        <v>393354343.82999998</v>
      </c>
      <c r="E3525" s="35">
        <f>+'[2]por cuent'!H3525</f>
        <v>393354343.82999998</v>
      </c>
      <c r="F3525" t="str">
        <f>+'[2]por cuent'!I3525</f>
        <v>865</v>
      </c>
    </row>
    <row r="3526" spans="1:6" x14ac:dyDescent="0.35">
      <c r="A3526" t="str">
        <f>+'[2]por cuent'!A3526</f>
        <v>ARS</v>
      </c>
      <c r="B3526" t="str">
        <f>+'[2]por cuent'!B3526</f>
        <v>865001277</v>
      </c>
      <c r="C3526" t="str">
        <f>+'[2]por cuent'!C3526</f>
        <v>SOLORZA VUANELLO, MARIA LAURA O PEÑA, JULIO JORGE</v>
      </c>
      <c r="D3526" s="35">
        <f>+'[2]por cuent'!G3526</f>
        <v>151582876.94999999</v>
      </c>
      <c r="E3526" s="35">
        <f>+'[2]por cuent'!H3526</f>
        <v>151582876.94999999</v>
      </c>
      <c r="F3526" t="str">
        <f>+'[2]por cuent'!I3526</f>
        <v>865</v>
      </c>
    </row>
    <row r="3527" spans="1:6" x14ac:dyDescent="0.35">
      <c r="A3527" t="str">
        <f>+'[2]por cuent'!A3527</f>
        <v>ARS</v>
      </c>
      <c r="B3527" t="str">
        <f>+'[2]por cuent'!B3527</f>
        <v>865001291</v>
      </c>
      <c r="C3527" t="str">
        <f>+'[2]por cuent'!C3527</f>
        <v>SOSA, ALFREDO JAVIER</v>
      </c>
      <c r="D3527" s="35">
        <f>+'[2]por cuent'!G3527</f>
        <v>7573957.3600000003</v>
      </c>
      <c r="E3527" s="35">
        <f>+'[2]por cuent'!H3527</f>
        <v>7573957.3600000003</v>
      </c>
      <c r="F3527" t="str">
        <f>+'[2]por cuent'!I3527</f>
        <v>865</v>
      </c>
    </row>
    <row r="3528" spans="1:6" x14ac:dyDescent="0.35">
      <c r="A3528" t="str">
        <f>+'[2]por cuent'!A3528</f>
        <v>ARS</v>
      </c>
      <c r="B3528" t="str">
        <f>+'[2]por cuent'!B3528</f>
        <v>865001298</v>
      </c>
      <c r="C3528" t="str">
        <f>+'[2]por cuent'!C3528</f>
        <v>VERA, OSCAR ALBERTO</v>
      </c>
      <c r="D3528" s="35">
        <f>+'[2]por cuent'!G3528</f>
        <v>17070023.07</v>
      </c>
      <c r="E3528" s="35">
        <f>+'[2]por cuent'!H3528</f>
        <v>17070023.07</v>
      </c>
      <c r="F3528" t="str">
        <f>+'[2]por cuent'!I3528</f>
        <v>865</v>
      </c>
    </row>
    <row r="3529" spans="1:6" x14ac:dyDescent="0.35">
      <c r="A3529" t="str">
        <f>+'[2]por cuent'!A3529</f>
        <v>ARS</v>
      </c>
      <c r="B3529" t="str">
        <f>+'[2]por cuent'!B3529</f>
        <v>865001301</v>
      </c>
      <c r="C3529" t="str">
        <f>+'[2]por cuent'!C3529</f>
        <v>PIZARRO, GUILLERMO DOMINGO</v>
      </c>
      <c r="D3529" s="35">
        <f>+'[2]por cuent'!G3529</f>
        <v>106094870.33</v>
      </c>
      <c r="E3529" s="35">
        <f>+'[2]por cuent'!H3529</f>
        <v>106094870.33</v>
      </c>
      <c r="F3529" t="str">
        <f>+'[2]por cuent'!I3529</f>
        <v>865</v>
      </c>
    </row>
    <row r="3530" spans="1:6" x14ac:dyDescent="0.35">
      <c r="A3530" t="str">
        <f>+'[2]por cuent'!A3530</f>
        <v>ARS</v>
      </c>
      <c r="B3530" t="str">
        <f>+'[2]por cuent'!B3530</f>
        <v>865001308</v>
      </c>
      <c r="C3530" t="str">
        <f>+'[2]por cuent'!C3530</f>
        <v>ROMEU, RENZO GERMAN o ROMEU, MELINA GEMA</v>
      </c>
      <c r="D3530" s="35">
        <f>+'[2]por cuent'!G3530</f>
        <v>2007762.85</v>
      </c>
      <c r="E3530" s="35">
        <f>+'[2]por cuent'!H3530</f>
        <v>2007762.85</v>
      </c>
      <c r="F3530" t="str">
        <f>+'[2]por cuent'!I3530</f>
        <v>865</v>
      </c>
    </row>
    <row r="3531" spans="1:6" x14ac:dyDescent="0.35">
      <c r="A3531" t="str">
        <f>+'[2]por cuent'!A3531</f>
        <v>ARS</v>
      </c>
      <c r="B3531" t="str">
        <f>+'[2]por cuent'!B3531</f>
        <v>865001309</v>
      </c>
      <c r="C3531" t="str">
        <f>+'[2]por cuent'!C3531</f>
        <v xml:space="preserve">SAGUA, MARIA DEL CARMEN </v>
      </c>
      <c r="D3531" s="35">
        <f>+'[2]por cuent'!G3531</f>
        <v>17740854.460000001</v>
      </c>
      <c r="E3531" s="35">
        <f>+'[2]por cuent'!H3531</f>
        <v>17740854.460000001</v>
      </c>
      <c r="F3531" t="str">
        <f>+'[2]por cuent'!I3531</f>
        <v>865</v>
      </c>
    </row>
    <row r="3532" spans="1:6" x14ac:dyDescent="0.35">
      <c r="A3532" t="str">
        <f>+'[2]por cuent'!A3532</f>
        <v>ARS</v>
      </c>
      <c r="B3532" t="str">
        <f>+'[2]por cuent'!B3532</f>
        <v>865001311</v>
      </c>
      <c r="C3532" t="str">
        <f>+'[2]por cuent'!C3532</f>
        <v>MARADONA, CARLOS ALBERTO</v>
      </c>
      <c r="D3532" s="35">
        <f>+'[2]por cuent'!G3532</f>
        <v>288600759.88999999</v>
      </c>
      <c r="E3532" s="35">
        <f>+'[2]por cuent'!H3532</f>
        <v>288600759.88999999</v>
      </c>
      <c r="F3532" t="str">
        <f>+'[2]por cuent'!I3532</f>
        <v>865</v>
      </c>
    </row>
    <row r="3533" spans="1:6" x14ac:dyDescent="0.35">
      <c r="A3533" t="str">
        <f>+'[2]por cuent'!A3533</f>
        <v>ARS</v>
      </c>
      <c r="B3533" t="str">
        <f>+'[2]por cuent'!B3533</f>
        <v>865001312</v>
      </c>
      <c r="C3533" t="str">
        <f>+'[2]por cuent'!C3533</f>
        <v>SOSA LEUZZI, EMANUEL JESUS MIGUEL</v>
      </c>
      <c r="D3533" s="35">
        <f>+'[2]por cuent'!G3533</f>
        <v>3375195.67</v>
      </c>
      <c r="E3533" s="35">
        <f>+'[2]por cuent'!H3533</f>
        <v>3375195.67</v>
      </c>
      <c r="F3533" t="str">
        <f>+'[2]por cuent'!I3533</f>
        <v>865</v>
      </c>
    </row>
    <row r="3534" spans="1:6" x14ac:dyDescent="0.35">
      <c r="A3534" t="str">
        <f>+'[2]por cuent'!A3534</f>
        <v>ARS</v>
      </c>
      <c r="B3534" t="str">
        <f>+'[2]por cuent'!B3534</f>
        <v>865001316</v>
      </c>
      <c r="C3534" t="str">
        <f>+'[2]por cuent'!C3534</f>
        <v>FEDERICO LOIACONO PABLO Y/O FEDERICO LOIACONO JUAN MANUEL</v>
      </c>
      <c r="D3534" s="35">
        <f>+'[2]por cuent'!G3534</f>
        <v>221044877.83000001</v>
      </c>
      <c r="E3534" s="35">
        <f>+'[2]por cuent'!H3534</f>
        <v>221044877.83000001</v>
      </c>
      <c r="F3534" t="str">
        <f>+'[2]por cuent'!I3534</f>
        <v>865</v>
      </c>
    </row>
    <row r="3535" spans="1:6" x14ac:dyDescent="0.35">
      <c r="A3535" t="str">
        <f>+'[2]por cuent'!A3535</f>
        <v>ARS</v>
      </c>
      <c r="B3535" t="str">
        <f>+'[2]por cuent'!B3535</f>
        <v>865001318</v>
      </c>
      <c r="C3535" t="str">
        <f>+'[2]por cuent'!C3535</f>
        <v>GUTIERREZ, PAMELA DAMIANA</v>
      </c>
      <c r="D3535" s="35">
        <f>+'[2]por cuent'!G3535</f>
        <v>23909905.960000001</v>
      </c>
      <c r="E3535" s="35">
        <f>+'[2]por cuent'!H3535</f>
        <v>23909905.960000001</v>
      </c>
      <c r="F3535" t="str">
        <f>+'[2]por cuent'!I3535</f>
        <v>865</v>
      </c>
    </row>
    <row r="3536" spans="1:6" x14ac:dyDescent="0.35">
      <c r="A3536" t="str">
        <f>+'[2]por cuent'!A3536</f>
        <v>ARS</v>
      </c>
      <c r="B3536" t="str">
        <f>+'[2]por cuent'!B3536</f>
        <v>865001322</v>
      </c>
      <c r="C3536" t="str">
        <f>+'[2]por cuent'!C3536</f>
        <v>ARMEGOM SA</v>
      </c>
      <c r="D3536" s="35">
        <f>+'[2]por cuent'!G3536</f>
        <v>4525006214.0699997</v>
      </c>
      <c r="E3536" s="35">
        <f>+'[2]por cuent'!H3536</f>
        <v>4525006214.0699997</v>
      </c>
      <c r="F3536" t="str">
        <f>+'[2]por cuent'!I3536</f>
        <v>865</v>
      </c>
    </row>
    <row r="3537" spans="1:6" x14ac:dyDescent="0.35">
      <c r="A3537" t="str">
        <f>+'[2]por cuent'!A3537</f>
        <v>ARS</v>
      </c>
      <c r="B3537" t="str">
        <f>+'[2]por cuent'!B3537</f>
        <v>865001323</v>
      </c>
      <c r="C3537" t="str">
        <f>+'[2]por cuent'!C3537</f>
        <v>MONTILLA, ESTELA ISABEL</v>
      </c>
      <c r="D3537" s="35">
        <f>+'[2]por cuent'!G3537</f>
        <v>147634020.52000001</v>
      </c>
      <c r="E3537" s="35">
        <f>+'[2]por cuent'!H3537</f>
        <v>147634020.52000001</v>
      </c>
      <c r="F3537" t="str">
        <f>+'[2]por cuent'!I3537</f>
        <v>865</v>
      </c>
    </row>
    <row r="3538" spans="1:6" x14ac:dyDescent="0.35">
      <c r="A3538" t="str">
        <f>+'[2]por cuent'!A3538</f>
        <v>ARS</v>
      </c>
      <c r="B3538" t="str">
        <f>+'[2]por cuent'!B3538</f>
        <v>865001326</v>
      </c>
      <c r="C3538" t="str">
        <f>+'[2]por cuent'!C3538</f>
        <v>MORENO ELIAS RAUL o VILLARREAL, STELLA MARYS o MORENO LORENA</v>
      </c>
      <c r="D3538" s="35">
        <f>+'[2]por cuent'!G3538</f>
        <v>8394138.8300000001</v>
      </c>
      <c r="E3538" s="35">
        <f>+'[2]por cuent'!H3538</f>
        <v>8394138.8300000001</v>
      </c>
      <c r="F3538" t="str">
        <f>+'[2]por cuent'!I3538</f>
        <v>865</v>
      </c>
    </row>
    <row r="3539" spans="1:6" x14ac:dyDescent="0.35">
      <c r="A3539" t="str">
        <f>+'[2]por cuent'!A3539</f>
        <v>ARS</v>
      </c>
      <c r="B3539" t="str">
        <f>+'[2]por cuent'!B3539</f>
        <v>865001329</v>
      </c>
      <c r="C3539" t="str">
        <f>+'[2]por cuent'!C3539</f>
        <v>ALVAREZ, GERMAN DANIEL</v>
      </c>
      <c r="D3539" s="35">
        <f>+'[2]por cuent'!G3539</f>
        <v>1537729.37</v>
      </c>
      <c r="E3539" s="35">
        <f>+'[2]por cuent'!H3539</f>
        <v>1537729.37</v>
      </c>
      <c r="F3539" t="str">
        <f>+'[2]por cuent'!I3539</f>
        <v>865</v>
      </c>
    </row>
    <row r="3540" spans="1:6" x14ac:dyDescent="0.35">
      <c r="A3540" t="str">
        <f>+'[2]por cuent'!A3540</f>
        <v>ARS</v>
      </c>
      <c r="B3540" t="str">
        <f>+'[2]por cuent'!B3540</f>
        <v>865001338</v>
      </c>
      <c r="C3540" t="str">
        <f>+'[2]por cuent'!C3540</f>
        <v>NAVAS ROSA JESUS Y O AGUILERA KARIN VANESA</v>
      </c>
      <c r="D3540" s="35">
        <f>+'[2]por cuent'!G3540</f>
        <v>3447759.05</v>
      </c>
      <c r="E3540" s="35">
        <f>+'[2]por cuent'!H3540</f>
        <v>3447759.05</v>
      </c>
      <c r="F3540" t="str">
        <f>+'[2]por cuent'!I3540</f>
        <v>865</v>
      </c>
    </row>
    <row r="3541" spans="1:6" x14ac:dyDescent="0.35">
      <c r="A3541" t="str">
        <f>+'[2]por cuent'!A3541</f>
        <v>ARS</v>
      </c>
      <c r="B3541" t="str">
        <f>+'[2]por cuent'!B3541</f>
        <v>865001339</v>
      </c>
      <c r="C3541" t="str">
        <f>+'[2]por cuent'!C3541</f>
        <v>ASMET, CAROLINA YASMIN</v>
      </c>
      <c r="D3541" s="35">
        <f>+'[2]por cuent'!G3541</f>
        <v>115730379.68000001</v>
      </c>
      <c r="E3541" s="35">
        <f>+'[2]por cuent'!H3541</f>
        <v>115730379.68000001</v>
      </c>
      <c r="F3541" t="str">
        <f>+'[2]por cuent'!I3541</f>
        <v>865</v>
      </c>
    </row>
    <row r="3542" spans="1:6" x14ac:dyDescent="0.35">
      <c r="A3542" t="str">
        <f>+'[2]por cuent'!A3542</f>
        <v>ARS</v>
      </c>
      <c r="B3542" t="str">
        <f>+'[2]por cuent'!B3542</f>
        <v>865001344</v>
      </c>
      <c r="C3542" t="str">
        <f>+'[2]por cuent'!C3542</f>
        <v xml:space="preserve">ALVAREZ GERMAN DANIEL </v>
      </c>
      <c r="D3542" s="35">
        <f>+'[2]por cuent'!G3542</f>
        <v>615624.55000000005</v>
      </c>
      <c r="E3542" s="35">
        <f>+'[2]por cuent'!H3542</f>
        <v>615624.55000000005</v>
      </c>
      <c r="F3542" t="str">
        <f>+'[2]por cuent'!I3542</f>
        <v>865</v>
      </c>
    </row>
    <row r="3543" spans="1:6" x14ac:dyDescent="0.35">
      <c r="A3543" t="str">
        <f>+'[2]por cuent'!A3543</f>
        <v>ARS</v>
      </c>
      <c r="B3543" t="str">
        <f>+'[2]por cuent'!B3543</f>
        <v>865001346</v>
      </c>
      <c r="C3543" t="str">
        <f>+'[2]por cuent'!C3543</f>
        <v>YUSTE, CLAUDIA ISABEL Y/O AHUMADA YUSTE, GERARDO SEBASTIAN</v>
      </c>
      <c r="D3543" s="35">
        <f>+'[2]por cuent'!G3543</f>
        <v>4588603.08</v>
      </c>
      <c r="E3543" s="35">
        <f>+'[2]por cuent'!H3543</f>
        <v>4588603.08</v>
      </c>
      <c r="F3543" t="str">
        <f>+'[2]por cuent'!I3543</f>
        <v>865</v>
      </c>
    </row>
    <row r="3544" spans="1:6" x14ac:dyDescent="0.35">
      <c r="A3544" t="str">
        <f>+'[2]por cuent'!A3544</f>
        <v>ARS</v>
      </c>
      <c r="B3544" t="str">
        <f>+'[2]por cuent'!B3544</f>
        <v>865001348</v>
      </c>
      <c r="C3544" t="str">
        <f>+'[2]por cuent'!C3544</f>
        <v xml:space="preserve">GROSSI YURKOVICH, PATRICIA IVANA y/o YURKOVICH, JUANA BEATRIZ y/o GROSSI YURKOVICH, IVAN DAVID </v>
      </c>
      <c r="D3544" s="35">
        <f>+'[2]por cuent'!G3544</f>
        <v>109287273.89</v>
      </c>
      <c r="E3544" s="35">
        <f>+'[2]por cuent'!H3544</f>
        <v>109287273.89</v>
      </c>
      <c r="F3544" t="str">
        <f>+'[2]por cuent'!I3544</f>
        <v>865</v>
      </c>
    </row>
    <row r="3545" spans="1:6" x14ac:dyDescent="0.35">
      <c r="A3545" t="str">
        <f>+'[2]por cuent'!A3545</f>
        <v>ARS</v>
      </c>
      <c r="B3545" t="str">
        <f>+'[2]por cuent'!B3545</f>
        <v>865001350</v>
      </c>
      <c r="C3545" t="str">
        <f>+'[2]por cuent'!C3545</f>
        <v>GARCIA SIERRA JOAQUIN y/o GROSSI YURKOVICH, PATRICIA IVANA</v>
      </c>
      <c r="D3545" s="35">
        <f>+'[2]por cuent'!G3545</f>
        <v>1398349.24</v>
      </c>
      <c r="E3545" s="35">
        <f>+'[2]por cuent'!H3545</f>
        <v>1398349.24</v>
      </c>
      <c r="F3545" t="str">
        <f>+'[2]por cuent'!I3545</f>
        <v>865</v>
      </c>
    </row>
    <row r="3546" spans="1:6" x14ac:dyDescent="0.35">
      <c r="A3546" t="str">
        <f>+'[2]por cuent'!A3546</f>
        <v>ARS</v>
      </c>
      <c r="B3546" t="str">
        <f>+'[2]por cuent'!B3546</f>
        <v>865001351</v>
      </c>
      <c r="C3546" t="str">
        <f>+'[2]por cuent'!C3546</f>
        <v>GROSSI YURKOVICH, PATRICIA IVANA y/o GROSSI YURKOVICH, IVAN DAVID</v>
      </c>
      <c r="D3546" s="35">
        <f>+'[2]por cuent'!G3546</f>
        <v>3287205.24</v>
      </c>
      <c r="E3546" s="35">
        <f>+'[2]por cuent'!H3546</f>
        <v>3287205.24</v>
      </c>
      <c r="F3546" t="str">
        <f>+'[2]por cuent'!I3546</f>
        <v>865</v>
      </c>
    </row>
    <row r="3547" spans="1:6" x14ac:dyDescent="0.35">
      <c r="A3547" t="str">
        <f>+'[2]por cuent'!A3547</f>
        <v>ARS</v>
      </c>
      <c r="B3547" t="str">
        <f>+'[2]por cuent'!B3547</f>
        <v>865001354</v>
      </c>
      <c r="C3547" t="str">
        <f>+'[2]por cuent'!C3547</f>
        <v>ARGAÑARAZ BLOIN, GRACIELA ADRIANA y PAEZ ARNALDO HUGO</v>
      </c>
      <c r="D3547" s="35">
        <f>+'[2]por cuent'!G3547</f>
        <v>25576602.690000001</v>
      </c>
      <c r="E3547" s="35">
        <f>+'[2]por cuent'!H3547</f>
        <v>25576602.690000001</v>
      </c>
      <c r="F3547" t="str">
        <f>+'[2]por cuent'!I3547</f>
        <v>865</v>
      </c>
    </row>
    <row r="3548" spans="1:6" x14ac:dyDescent="0.35">
      <c r="A3548" t="str">
        <f>+'[2]por cuent'!A3548</f>
        <v>ARS</v>
      </c>
      <c r="B3548" t="str">
        <f>+'[2]por cuent'!B3548</f>
        <v>865001356</v>
      </c>
      <c r="C3548" t="str">
        <f>+'[2]por cuent'!C3548</f>
        <v>SENDRA GLORIA BEATRIZ Y/O MADUEÑO SENDRA GLORIA FATIMA</v>
      </c>
      <c r="D3548" s="35">
        <f>+'[2]por cuent'!G3548</f>
        <v>313809047.81999999</v>
      </c>
      <c r="E3548" s="35">
        <f>+'[2]por cuent'!H3548</f>
        <v>313809047.81999999</v>
      </c>
      <c r="F3548" t="str">
        <f>+'[2]por cuent'!I3548</f>
        <v>865</v>
      </c>
    </row>
    <row r="3549" spans="1:6" x14ac:dyDescent="0.35">
      <c r="A3549" t="str">
        <f>+'[2]por cuent'!A3549</f>
        <v>ARS</v>
      </c>
      <c r="B3549" t="str">
        <f>+'[2]por cuent'!B3549</f>
        <v>865001357</v>
      </c>
      <c r="C3549" t="str">
        <f>+'[2]por cuent'!C3549</f>
        <v>DIAZ, ANGELA EMILCE</v>
      </c>
      <c r="D3549" s="35">
        <f>+'[2]por cuent'!G3549</f>
        <v>678584.77</v>
      </c>
      <c r="E3549" s="35">
        <f>+'[2]por cuent'!H3549</f>
        <v>678584.77</v>
      </c>
      <c r="F3549" t="str">
        <f>+'[2]por cuent'!I3549</f>
        <v>865</v>
      </c>
    </row>
    <row r="3550" spans="1:6" x14ac:dyDescent="0.35">
      <c r="A3550" t="str">
        <f>+'[2]por cuent'!A3550</f>
        <v>ARS</v>
      </c>
      <c r="B3550" t="str">
        <f>+'[2]por cuent'!B3550</f>
        <v>865001358</v>
      </c>
      <c r="C3550" t="str">
        <f>+'[2]por cuent'!C3550</f>
        <v>PAEZ ERIC WILIAM Y/O PAEZ JESUS HUGO</v>
      </c>
      <c r="D3550" s="35">
        <f>+'[2]por cuent'!G3550</f>
        <v>13351410.92</v>
      </c>
      <c r="E3550" s="35">
        <f>+'[2]por cuent'!H3550</f>
        <v>13351410.92</v>
      </c>
      <c r="F3550" t="str">
        <f>+'[2]por cuent'!I3550</f>
        <v>865</v>
      </c>
    </row>
    <row r="3551" spans="1:6" x14ac:dyDescent="0.35">
      <c r="A3551" t="str">
        <f>+'[2]por cuent'!A3551</f>
        <v>ARS</v>
      </c>
      <c r="B3551" t="str">
        <f>+'[2]por cuent'!B3551</f>
        <v>865001361</v>
      </c>
      <c r="C3551" t="str">
        <f>+'[2]por cuent'!C3551</f>
        <v>VARGAS TOLEDO, ARTURO BENJAMIN</v>
      </c>
      <c r="D3551" s="35">
        <f>+'[2]por cuent'!G3551</f>
        <v>623464.77</v>
      </c>
      <c r="E3551" s="35">
        <f>+'[2]por cuent'!H3551</f>
        <v>623464.77</v>
      </c>
      <c r="F3551" t="str">
        <f>+'[2]por cuent'!I3551</f>
        <v>865</v>
      </c>
    </row>
    <row r="3552" spans="1:6" x14ac:dyDescent="0.35">
      <c r="A3552" t="str">
        <f>+'[2]por cuent'!A3552</f>
        <v>ARS</v>
      </c>
      <c r="B3552" t="str">
        <f>+'[2]por cuent'!B3552</f>
        <v>865001362</v>
      </c>
      <c r="C3552" t="str">
        <f>+'[2]por cuent'!C3552</f>
        <v>DIAZ WILIAM ROBERTO</v>
      </c>
      <c r="D3552" s="35">
        <f>+'[2]por cuent'!G3552</f>
        <v>11553060.02</v>
      </c>
      <c r="E3552" s="35">
        <f>+'[2]por cuent'!H3552</f>
        <v>11553060.02</v>
      </c>
      <c r="F3552" t="str">
        <f>+'[2]por cuent'!I3552</f>
        <v>865</v>
      </c>
    </row>
    <row r="3553" spans="1:6" x14ac:dyDescent="0.35">
      <c r="A3553" t="str">
        <f>+'[2]por cuent'!A3553</f>
        <v>ARS</v>
      </c>
      <c r="B3553" t="str">
        <f>+'[2]por cuent'!B3553</f>
        <v>865001366</v>
      </c>
      <c r="C3553" t="str">
        <f>+'[2]por cuent'!C3553</f>
        <v xml:space="preserve">ARCHILLA, JOSE MANUEL </v>
      </c>
      <c r="D3553" s="35">
        <f>+'[2]por cuent'!G3553</f>
        <v>113991474.7</v>
      </c>
      <c r="E3553" s="35">
        <f>+'[2]por cuent'!H3553</f>
        <v>113991474.7</v>
      </c>
      <c r="F3553" t="str">
        <f>+'[2]por cuent'!I3553</f>
        <v>865</v>
      </c>
    </row>
    <row r="3554" spans="1:6" x14ac:dyDescent="0.35">
      <c r="A3554" t="str">
        <f>+'[2]por cuent'!A3554</f>
        <v>ARS</v>
      </c>
      <c r="B3554" t="str">
        <f>+'[2]por cuent'!B3554</f>
        <v>865001368</v>
      </c>
      <c r="C3554" t="str">
        <f>+'[2]por cuent'!C3554</f>
        <v>ARGAÑARAZ FIDEL ANIBAL Y/O BLOIN CLARA GRACIELA</v>
      </c>
      <c r="D3554" s="35">
        <f>+'[2]por cuent'!G3554</f>
        <v>32424629.460000001</v>
      </c>
      <c r="E3554" s="35">
        <f>+'[2]por cuent'!H3554</f>
        <v>32424629.460000001</v>
      </c>
      <c r="F3554" t="str">
        <f>+'[2]por cuent'!I3554</f>
        <v>865</v>
      </c>
    </row>
    <row r="3555" spans="1:6" x14ac:dyDescent="0.35">
      <c r="A3555" t="str">
        <f>+'[2]por cuent'!A3555</f>
        <v>ARS</v>
      </c>
      <c r="B3555" t="str">
        <f>+'[2]por cuent'!B3555</f>
        <v>865001371</v>
      </c>
      <c r="C3555" t="str">
        <f>+'[2]por cuent'!C3555</f>
        <v>CARRIZO, LUCAS EMANUEL Y/O AGUILERA KARIN VANESA</v>
      </c>
      <c r="D3555" s="35">
        <f>+'[2]por cuent'!G3555</f>
        <v>1023304.63</v>
      </c>
      <c r="E3555" s="35">
        <f>+'[2]por cuent'!H3555</f>
        <v>1023304.63</v>
      </c>
      <c r="F3555" t="str">
        <f>+'[2]por cuent'!I3555</f>
        <v>865</v>
      </c>
    </row>
    <row r="3556" spans="1:6" x14ac:dyDescent="0.35">
      <c r="A3556" t="str">
        <f>+'[2]por cuent'!A3556</f>
        <v>ARS</v>
      </c>
      <c r="B3556" t="str">
        <f>+'[2]por cuent'!B3556</f>
        <v>865001373</v>
      </c>
      <c r="C3556" t="str">
        <f>+'[2]por cuent'!C3556</f>
        <v>HERNANDEZ MARIA ANGEL o ZUCOTTI, HORACIO GASTON</v>
      </c>
      <c r="D3556" s="35">
        <f>+'[2]por cuent'!G3556</f>
        <v>15045656.83</v>
      </c>
      <c r="E3556" s="35">
        <f>+'[2]por cuent'!H3556</f>
        <v>15045656.83</v>
      </c>
      <c r="F3556" t="str">
        <f>+'[2]por cuent'!I3556</f>
        <v>865</v>
      </c>
    </row>
    <row r="3557" spans="1:6" x14ac:dyDescent="0.35">
      <c r="A3557" t="str">
        <f>+'[2]por cuent'!A3557</f>
        <v>ARS</v>
      </c>
      <c r="B3557" t="str">
        <f>+'[2]por cuent'!B3557</f>
        <v>865001374</v>
      </c>
      <c r="C3557" t="str">
        <f>+'[2]por cuent'!C3557</f>
        <v>BORDON, SERGIO FABIAN Y/O BRUNA TELLO, MARIA EUGENIA</v>
      </c>
      <c r="D3557" s="35">
        <f>+'[2]por cuent'!G3557</f>
        <v>3050313.49</v>
      </c>
      <c r="E3557" s="35">
        <f>+'[2]por cuent'!H3557</f>
        <v>3050313.49</v>
      </c>
      <c r="F3557" t="str">
        <f>+'[2]por cuent'!I3557</f>
        <v>865</v>
      </c>
    </row>
    <row r="3558" spans="1:6" x14ac:dyDescent="0.35">
      <c r="A3558" t="str">
        <f>+'[2]por cuent'!A3558</f>
        <v>ARS</v>
      </c>
      <c r="B3558" t="str">
        <f>+'[2]por cuent'!B3558</f>
        <v>865001376</v>
      </c>
      <c r="C3558" t="str">
        <f>+'[2]por cuent'!C3558</f>
        <v>GUERRERO, FEDERICO SAUL</v>
      </c>
      <c r="D3558" s="35">
        <f>+'[2]por cuent'!G3558</f>
        <v>829389.79</v>
      </c>
      <c r="E3558" s="35">
        <f>+'[2]por cuent'!H3558</f>
        <v>829389.79</v>
      </c>
      <c r="F3558" t="str">
        <f>+'[2]por cuent'!I3558</f>
        <v>865</v>
      </c>
    </row>
    <row r="3559" spans="1:6" x14ac:dyDescent="0.35">
      <c r="A3559" t="str">
        <f>+'[2]por cuent'!A3559</f>
        <v>ARS</v>
      </c>
      <c r="B3559" t="str">
        <f>+'[2]por cuent'!B3559</f>
        <v>865001379</v>
      </c>
      <c r="C3559" t="str">
        <f>+'[2]por cuent'!C3559</f>
        <v>GORANSKY, ETHEL RUTH</v>
      </c>
      <c r="D3559" s="35">
        <f>+'[2]por cuent'!G3559</f>
        <v>53651390.140000001</v>
      </c>
      <c r="E3559" s="35">
        <f>+'[2]por cuent'!H3559</f>
        <v>53651390.140000001</v>
      </c>
      <c r="F3559" t="str">
        <f>+'[2]por cuent'!I3559</f>
        <v>865</v>
      </c>
    </row>
    <row r="3560" spans="1:6" x14ac:dyDescent="0.35">
      <c r="A3560" t="str">
        <f>+'[2]por cuent'!A3560</f>
        <v>ARS</v>
      </c>
      <c r="B3560" t="str">
        <f>+'[2]por cuent'!B3560</f>
        <v>865001380</v>
      </c>
      <c r="C3560" t="str">
        <f>+'[2]por cuent'!C3560</f>
        <v>PAEZ, ANTONIO</v>
      </c>
      <c r="D3560" s="35">
        <f>+'[2]por cuent'!G3560</f>
        <v>4648913.03</v>
      </c>
      <c r="E3560" s="35">
        <f>+'[2]por cuent'!H3560</f>
        <v>4648913.03</v>
      </c>
      <c r="F3560" t="str">
        <f>+'[2]por cuent'!I3560</f>
        <v>865</v>
      </c>
    </row>
    <row r="3561" spans="1:6" x14ac:dyDescent="0.35">
      <c r="A3561" t="str">
        <f>+'[2]por cuent'!A3561</f>
        <v>ARS</v>
      </c>
      <c r="B3561" t="str">
        <f>+'[2]por cuent'!B3561</f>
        <v>865001383</v>
      </c>
      <c r="C3561" t="str">
        <f>+'[2]por cuent'!C3561</f>
        <v>GONZALO ARIEL, SANCHEZ</v>
      </c>
      <c r="D3561" s="35">
        <f>+'[2]por cuent'!G3561</f>
        <v>16016092.4</v>
      </c>
      <c r="E3561" s="35">
        <f>+'[2]por cuent'!H3561</f>
        <v>16016092.4</v>
      </c>
      <c r="F3561" t="str">
        <f>+'[2]por cuent'!I3561</f>
        <v>865</v>
      </c>
    </row>
    <row r="3562" spans="1:6" x14ac:dyDescent="0.35">
      <c r="A3562" t="str">
        <f>+'[2]por cuent'!A3562</f>
        <v>ARS</v>
      </c>
      <c r="B3562" t="str">
        <f>+'[2]por cuent'!B3562</f>
        <v>865001384</v>
      </c>
      <c r="C3562" t="str">
        <f>+'[2]por cuent'!C3562</f>
        <v>PELZER, NELVA HAYDEE o CORAGLIA, JUAN CARLOS</v>
      </c>
      <c r="D3562" s="35">
        <f>+'[2]por cuent'!G3562</f>
        <v>53101147.670000002</v>
      </c>
      <c r="E3562" s="35">
        <f>+'[2]por cuent'!H3562</f>
        <v>53101147.670000002</v>
      </c>
      <c r="F3562" t="str">
        <f>+'[2]por cuent'!I3562</f>
        <v>865</v>
      </c>
    </row>
    <row r="3563" spans="1:6" x14ac:dyDescent="0.35">
      <c r="A3563" t="str">
        <f>+'[2]por cuent'!A3563</f>
        <v>ARS</v>
      </c>
      <c r="B3563" t="str">
        <f>+'[2]por cuent'!B3563</f>
        <v>865001386</v>
      </c>
      <c r="C3563" t="str">
        <f>+'[2]por cuent'!C3563</f>
        <v>DATUM SA</v>
      </c>
      <c r="D3563" s="35">
        <f>+'[2]por cuent'!G3563</f>
        <v>1218122486.99</v>
      </c>
      <c r="E3563" s="35">
        <f>+'[2]por cuent'!H3563</f>
        <v>1218122486.99</v>
      </c>
      <c r="F3563" t="str">
        <f>+'[2]por cuent'!I3563</f>
        <v>865</v>
      </c>
    </row>
    <row r="3564" spans="1:6" x14ac:dyDescent="0.35">
      <c r="A3564" t="str">
        <f>+'[2]por cuent'!A3564</f>
        <v>ARS</v>
      </c>
      <c r="B3564" t="str">
        <f>+'[2]por cuent'!B3564</f>
        <v>865001387</v>
      </c>
      <c r="C3564" t="str">
        <f>+'[2]por cuent'!C3564</f>
        <v>MARTINEZ OLMOS, CARLOS ALBERTO o MARQUEZ, NATALIA VIVIANA</v>
      </c>
      <c r="D3564" s="35">
        <f>+'[2]por cuent'!G3564</f>
        <v>346463798.18000001</v>
      </c>
      <c r="E3564" s="35">
        <f>+'[2]por cuent'!H3564</f>
        <v>346463798.18000001</v>
      </c>
      <c r="F3564" t="str">
        <f>+'[2]por cuent'!I3564</f>
        <v>865</v>
      </c>
    </row>
    <row r="3565" spans="1:6" x14ac:dyDescent="0.35">
      <c r="A3565" t="str">
        <f>+'[2]por cuent'!A3565</f>
        <v>ARS</v>
      </c>
      <c r="B3565" t="str">
        <f>+'[2]por cuent'!B3565</f>
        <v>865001388</v>
      </c>
      <c r="C3565" t="str">
        <f>+'[2]por cuent'!C3565</f>
        <v>MELES, DAVID SEBASTIAN</v>
      </c>
      <c r="D3565" s="35">
        <f>+'[2]por cuent'!G3565</f>
        <v>10338793.17</v>
      </c>
      <c r="E3565" s="35">
        <f>+'[2]por cuent'!H3565</f>
        <v>10338793.17</v>
      </c>
      <c r="F3565" t="str">
        <f>+'[2]por cuent'!I3565</f>
        <v>865</v>
      </c>
    </row>
    <row r="3566" spans="1:6" x14ac:dyDescent="0.35">
      <c r="A3566" t="str">
        <f>+'[2]por cuent'!A3566</f>
        <v>ARS</v>
      </c>
      <c r="B3566" t="str">
        <f>+'[2]por cuent'!B3566</f>
        <v>865001389</v>
      </c>
      <c r="C3566" t="str">
        <f>+'[2]por cuent'!C3566</f>
        <v>ORO FARIAS, CLAUDIA BELEN o HERRERA, ENRIQUE MIGUEL</v>
      </c>
      <c r="D3566" s="35">
        <f>+'[2]por cuent'!G3566</f>
        <v>109594560.86</v>
      </c>
      <c r="E3566" s="35">
        <f>+'[2]por cuent'!H3566</f>
        <v>109594560.86</v>
      </c>
      <c r="F3566" t="str">
        <f>+'[2]por cuent'!I3566</f>
        <v>865</v>
      </c>
    </row>
    <row r="3567" spans="1:6" x14ac:dyDescent="0.35">
      <c r="A3567" t="str">
        <f>+'[2]por cuent'!A3567</f>
        <v>ARS</v>
      </c>
      <c r="B3567" t="str">
        <f>+'[2]por cuent'!B3567</f>
        <v>865001390</v>
      </c>
      <c r="C3567" t="str">
        <f>+'[2]por cuent'!C3567</f>
        <v>HERRERA, ENRIQUE MIGUEL u ORO FARIAS, CLAUDIA BELEN</v>
      </c>
      <c r="D3567" s="35">
        <f>+'[2]por cuent'!G3567</f>
        <v>31118514.620000001</v>
      </c>
      <c r="E3567" s="35">
        <f>+'[2]por cuent'!H3567</f>
        <v>31118514.620000001</v>
      </c>
      <c r="F3567" t="str">
        <f>+'[2]por cuent'!I3567</f>
        <v>865</v>
      </c>
    </row>
    <row r="3568" spans="1:6" x14ac:dyDescent="0.35">
      <c r="A3568" t="str">
        <f>+'[2]por cuent'!A3568</f>
        <v>ARS</v>
      </c>
      <c r="B3568" t="str">
        <f>+'[2]por cuent'!B3568</f>
        <v>865001391</v>
      </c>
      <c r="C3568" t="str">
        <f>+'[2]por cuent'!C3568</f>
        <v>MARTINEZ BOVE, DIANA MILAGROS</v>
      </c>
      <c r="D3568" s="35">
        <f>+'[2]por cuent'!G3568</f>
        <v>3209111.44</v>
      </c>
      <c r="E3568" s="35">
        <f>+'[2]por cuent'!H3568</f>
        <v>3209111.44</v>
      </c>
      <c r="F3568" t="str">
        <f>+'[2]por cuent'!I3568</f>
        <v>865</v>
      </c>
    </row>
    <row r="3569" spans="1:6" x14ac:dyDescent="0.35">
      <c r="A3569" t="str">
        <f>+'[2]por cuent'!A3569</f>
        <v>ARS</v>
      </c>
      <c r="B3569" t="str">
        <f>+'[2]por cuent'!B3569</f>
        <v>865001393</v>
      </c>
      <c r="C3569" t="str">
        <f>+'[2]por cuent'!C3569</f>
        <v>ACOSTA PEREZ, PABLO MAXIMILIANO Y BALMACEDA ROMINA</v>
      </c>
      <c r="D3569" s="35">
        <f>+'[2]por cuent'!G3569</f>
        <v>130553330.84</v>
      </c>
      <c r="E3569" s="35">
        <f>+'[2]por cuent'!H3569</f>
        <v>130553330.84</v>
      </c>
      <c r="F3569" t="str">
        <f>+'[2]por cuent'!I3569</f>
        <v>865</v>
      </c>
    </row>
    <row r="3570" spans="1:6" x14ac:dyDescent="0.35">
      <c r="A3570" t="str">
        <f>+'[2]por cuent'!A3570</f>
        <v>ARS</v>
      </c>
      <c r="B3570" t="str">
        <f>+'[2]por cuent'!B3570</f>
        <v>865001395</v>
      </c>
      <c r="C3570" t="str">
        <f>+'[2]por cuent'!C3570</f>
        <v>ROMEU, FRANCISCO EMILIO o ROMEU, RENZO GERMAN</v>
      </c>
      <c r="D3570" s="35">
        <f>+'[2]por cuent'!G3570</f>
        <v>31330438.969999999</v>
      </c>
      <c r="E3570" s="35">
        <f>+'[2]por cuent'!H3570</f>
        <v>31330438.969999999</v>
      </c>
      <c r="F3570" t="str">
        <f>+'[2]por cuent'!I3570</f>
        <v>865</v>
      </c>
    </row>
    <row r="3571" spans="1:6" x14ac:dyDescent="0.35">
      <c r="A3571" t="str">
        <f>+'[2]por cuent'!A3571</f>
        <v>ARS</v>
      </c>
      <c r="B3571" t="str">
        <f>+'[2]por cuent'!B3571</f>
        <v>865001398</v>
      </c>
      <c r="C3571" t="str">
        <f>+'[2]por cuent'!C3571</f>
        <v>CASTILLO , ROSANA FORTUNATA</v>
      </c>
      <c r="D3571" s="35">
        <f>+'[2]por cuent'!G3571</f>
        <v>13753270.99</v>
      </c>
      <c r="E3571" s="35">
        <f>+'[2]por cuent'!H3571</f>
        <v>13753270.99</v>
      </c>
      <c r="F3571" t="str">
        <f>+'[2]por cuent'!I3571</f>
        <v>865</v>
      </c>
    </row>
    <row r="3572" spans="1:6" x14ac:dyDescent="0.35">
      <c r="A3572" t="str">
        <f>+'[2]por cuent'!A3572</f>
        <v>ARS</v>
      </c>
      <c r="B3572" t="str">
        <f>+'[2]por cuent'!B3572</f>
        <v>865001400</v>
      </c>
      <c r="C3572" t="str">
        <f>+'[2]por cuent'!C3572</f>
        <v>MERCADO RIVEROS, DANISA EDITH</v>
      </c>
      <c r="D3572" s="35">
        <f>+'[2]por cuent'!G3572</f>
        <v>53851226.840000004</v>
      </c>
      <c r="E3572" s="35">
        <f>+'[2]por cuent'!H3572</f>
        <v>53851226.840000004</v>
      </c>
      <c r="F3572" t="str">
        <f>+'[2]por cuent'!I3572</f>
        <v>865</v>
      </c>
    </row>
    <row r="3573" spans="1:6" x14ac:dyDescent="0.35">
      <c r="A3573" t="str">
        <f>+'[2]por cuent'!A3573</f>
        <v>ARS</v>
      </c>
      <c r="B3573" t="str">
        <f>+'[2]por cuent'!B3573</f>
        <v>865001401</v>
      </c>
      <c r="C3573" t="str">
        <f>+'[2]por cuent'!C3573</f>
        <v>CORREA GINESTAR, MARIA CRISTINA DEL VALLE</v>
      </c>
      <c r="D3573" s="35">
        <f>+'[2]por cuent'!G3573</f>
        <v>6492329.29</v>
      </c>
      <c r="E3573" s="35">
        <f>+'[2]por cuent'!H3573</f>
        <v>6492329.29</v>
      </c>
      <c r="F3573" t="str">
        <f>+'[2]por cuent'!I3573</f>
        <v>865</v>
      </c>
    </row>
    <row r="3574" spans="1:6" x14ac:dyDescent="0.35">
      <c r="A3574" t="str">
        <f>+'[2]por cuent'!A3574</f>
        <v>ARS</v>
      </c>
      <c r="B3574" t="str">
        <f>+'[2]por cuent'!B3574</f>
        <v>865001403</v>
      </c>
      <c r="C3574" t="str">
        <f>+'[2]por cuent'!C3574</f>
        <v>MARTINEZ MARQUEZ, MAURICIO ANDRES o KEDI, VANINA ANDREA</v>
      </c>
      <c r="D3574" s="35">
        <f>+'[2]por cuent'!G3574</f>
        <v>54153480.130000003</v>
      </c>
      <c r="E3574" s="35">
        <f>+'[2]por cuent'!H3574</f>
        <v>54153480.130000003</v>
      </c>
      <c r="F3574" t="str">
        <f>+'[2]por cuent'!I3574</f>
        <v>865</v>
      </c>
    </row>
    <row r="3575" spans="1:6" x14ac:dyDescent="0.35">
      <c r="A3575" t="str">
        <f>+'[2]por cuent'!A3575</f>
        <v>ARS</v>
      </c>
      <c r="B3575" t="str">
        <f>+'[2]por cuent'!B3575</f>
        <v>865001405</v>
      </c>
      <c r="C3575" t="str">
        <f>+'[2]por cuent'!C3575</f>
        <v>RUIZ YACANTE, JOSE IGNACIO</v>
      </c>
      <c r="D3575" s="35">
        <f>+'[2]por cuent'!G3575</f>
        <v>43963371.140000001</v>
      </c>
      <c r="E3575" s="35">
        <f>+'[2]por cuent'!H3575</f>
        <v>43963371.140000001</v>
      </c>
      <c r="F3575" t="str">
        <f>+'[2]por cuent'!I3575</f>
        <v>865</v>
      </c>
    </row>
    <row r="3576" spans="1:6" x14ac:dyDescent="0.35">
      <c r="A3576" t="str">
        <f>+'[2]por cuent'!A3576</f>
        <v>ARS</v>
      </c>
      <c r="B3576" t="str">
        <f>+'[2]por cuent'!B3576</f>
        <v>865001406</v>
      </c>
      <c r="C3576" t="str">
        <f>+'[2]por cuent'!C3576</f>
        <v>HERRAMIENTAS SRL</v>
      </c>
      <c r="D3576" s="35">
        <f>+'[2]por cuent'!G3576</f>
        <v>894235307.09000003</v>
      </c>
      <c r="E3576" s="35">
        <f>+'[2]por cuent'!H3576</f>
        <v>894235307.09000003</v>
      </c>
      <c r="F3576" t="str">
        <f>+'[2]por cuent'!I3576</f>
        <v>865</v>
      </c>
    </row>
    <row r="3577" spans="1:6" x14ac:dyDescent="0.35">
      <c r="A3577" t="str">
        <f>+'[2]por cuent'!A3577</f>
        <v>ARS</v>
      </c>
      <c r="B3577" t="str">
        <f>+'[2]por cuent'!B3577</f>
        <v>865001407</v>
      </c>
      <c r="C3577" t="str">
        <f>+'[2]por cuent'!C3577</f>
        <v>FERNANDEZ, EDUARDO MARIO Y/O YUBEL JULIETA ANAHI</v>
      </c>
      <c r="D3577" s="35">
        <f>+'[2]por cuent'!G3577</f>
        <v>35657722.359999999</v>
      </c>
      <c r="E3577" s="35">
        <f>+'[2]por cuent'!H3577</f>
        <v>35657722.359999999</v>
      </c>
      <c r="F3577" t="str">
        <f>+'[2]por cuent'!I3577</f>
        <v>865</v>
      </c>
    </row>
    <row r="3578" spans="1:6" x14ac:dyDescent="0.35">
      <c r="A3578" t="str">
        <f>+'[2]por cuent'!A3578</f>
        <v>ARS</v>
      </c>
      <c r="B3578" t="str">
        <f>+'[2]por cuent'!B3578</f>
        <v>865001408</v>
      </c>
      <c r="C3578" t="str">
        <f>+'[2]por cuent'!C3578</f>
        <v xml:space="preserve"> GROSSI YURKOVICH, PATRICIA IVANA y/o GARCIA CASTRO ENRIQUE JAVIER</v>
      </c>
      <c r="D3578" s="35">
        <f>+'[2]por cuent'!G3578</f>
        <v>207759619.90000001</v>
      </c>
      <c r="E3578" s="35">
        <f>+'[2]por cuent'!H3578</f>
        <v>207759619.90000001</v>
      </c>
      <c r="F3578" t="str">
        <f>+'[2]por cuent'!I3578</f>
        <v>865</v>
      </c>
    </row>
    <row r="3579" spans="1:6" x14ac:dyDescent="0.35">
      <c r="A3579" t="str">
        <f>+'[2]por cuent'!A3579</f>
        <v>ARS</v>
      </c>
      <c r="B3579" t="str">
        <f>+'[2]por cuent'!B3579</f>
        <v>865001409</v>
      </c>
      <c r="C3579" t="str">
        <f>+'[2]por cuent'!C3579</f>
        <v>CASTRO CASTRO, MARITN ALBERTO</v>
      </c>
      <c r="D3579" s="35">
        <f>+'[2]por cuent'!G3579</f>
        <v>22690735.629999999</v>
      </c>
      <c r="E3579" s="35">
        <f>+'[2]por cuent'!H3579</f>
        <v>22690735.629999999</v>
      </c>
      <c r="F3579" t="str">
        <f>+'[2]por cuent'!I3579</f>
        <v>865</v>
      </c>
    </row>
    <row r="3580" spans="1:6" x14ac:dyDescent="0.35">
      <c r="A3580" t="str">
        <f>+'[2]por cuent'!A3580</f>
        <v>ARS</v>
      </c>
      <c r="B3580" t="str">
        <f>+'[2]por cuent'!B3580</f>
        <v>865001412</v>
      </c>
      <c r="C3580" t="str">
        <f>+'[2]por cuent'!C3580</f>
        <v>HERRAMIENTAS SRL</v>
      </c>
      <c r="D3580" s="35">
        <f>+'[2]por cuent'!G3580</f>
        <v>108466027.40000001</v>
      </c>
      <c r="E3580" s="35">
        <f>+'[2]por cuent'!H3580</f>
        <v>108466027.40000001</v>
      </c>
      <c r="F3580" t="str">
        <f>+'[2]por cuent'!I3580</f>
        <v>865</v>
      </c>
    </row>
    <row r="3581" spans="1:6" x14ac:dyDescent="0.35">
      <c r="A3581" t="str">
        <f>+'[2]por cuent'!A3581</f>
        <v>ARS</v>
      </c>
      <c r="B3581" t="str">
        <f>+'[2]por cuent'!B3581</f>
        <v>865020001</v>
      </c>
      <c r="C3581" t="str">
        <f>+'[2]por cuent'!C3581</f>
        <v>GLOBAL MARKET VALORES SA</v>
      </c>
      <c r="D3581" s="35">
        <f>+'[2]por cuent'!G3581</f>
        <v>11210085.18</v>
      </c>
      <c r="E3581" s="35">
        <f>+'[2]por cuent'!H3581</f>
        <v>11210085.18</v>
      </c>
      <c r="F3581" t="str">
        <f>+'[2]por cuent'!I3581</f>
        <v>865</v>
      </c>
    </row>
    <row r="3582" spans="1:6" x14ac:dyDescent="0.35">
      <c r="A3582" t="str">
        <f>+'[2]por cuent'!A3582</f>
        <v>ARS</v>
      </c>
      <c r="B3582" t="str">
        <f>+'[2]por cuent'!B3582</f>
        <v>868001007</v>
      </c>
      <c r="C3582" t="str">
        <f>+'[2]por cuent'!C3582</f>
        <v>Saiz, Carlos Francisco</v>
      </c>
      <c r="D3582" s="35">
        <f>+'[2]por cuent'!G3582</f>
        <v>1789149.91</v>
      </c>
      <c r="E3582" s="35">
        <f>+'[2]por cuent'!H3582</f>
        <v>1789149.91</v>
      </c>
      <c r="F3582" t="str">
        <f>+'[2]por cuent'!I3582</f>
        <v>868</v>
      </c>
    </row>
    <row r="3583" spans="1:6" x14ac:dyDescent="0.35">
      <c r="A3583" t="str">
        <f>+'[2]por cuent'!A3583</f>
        <v>ARS</v>
      </c>
      <c r="B3583" t="str">
        <f>+'[2]por cuent'!B3583</f>
        <v>868001011</v>
      </c>
      <c r="C3583" t="str">
        <f>+'[2]por cuent'!C3583</f>
        <v>PIETROPAOLO, Mario Luis</v>
      </c>
      <c r="D3583" s="35">
        <f>+'[2]por cuent'!G3583</f>
        <v>11641522.82</v>
      </c>
      <c r="E3583" s="35">
        <f>+'[2]por cuent'!H3583</f>
        <v>11641522.82</v>
      </c>
      <c r="F3583" t="str">
        <f>+'[2]por cuent'!I3583</f>
        <v>868</v>
      </c>
    </row>
    <row r="3584" spans="1:6" x14ac:dyDescent="0.35">
      <c r="A3584" t="str">
        <f>+'[2]por cuent'!A3584</f>
        <v>ARS</v>
      </c>
      <c r="B3584" t="str">
        <f>+'[2]por cuent'!B3584</f>
        <v>868001012</v>
      </c>
      <c r="C3584" t="str">
        <f>+'[2]por cuent'!C3584</f>
        <v>Dosam Agropecuaria S.A.</v>
      </c>
      <c r="D3584" s="35">
        <f>+'[2]por cuent'!G3584</f>
        <v>27999999.5</v>
      </c>
      <c r="E3584" s="35">
        <f>+'[2]por cuent'!H3584</f>
        <v>27999999.5</v>
      </c>
      <c r="F3584" t="str">
        <f>+'[2]por cuent'!I3584</f>
        <v>868</v>
      </c>
    </row>
    <row r="3585" spans="1:6" x14ac:dyDescent="0.35">
      <c r="A3585" t="str">
        <f>+'[2]por cuent'!A3585</f>
        <v>ARS</v>
      </c>
      <c r="B3585" t="str">
        <f>+'[2]por cuent'!B3585</f>
        <v>868001015</v>
      </c>
      <c r="C3585" t="str">
        <f>+'[2]por cuent'!C3585</f>
        <v>X LAS DUDAS S.A.S.</v>
      </c>
      <c r="D3585" s="35">
        <f>+'[2]por cuent'!G3585</f>
        <v>10127268</v>
      </c>
      <c r="E3585" s="35">
        <f>+'[2]por cuent'!H3585</f>
        <v>10127268</v>
      </c>
      <c r="F3585" t="str">
        <f>+'[2]por cuent'!I3585</f>
        <v>868</v>
      </c>
    </row>
    <row r="3586" spans="1:6" x14ac:dyDescent="0.35">
      <c r="A3586" t="str">
        <f>+'[2]por cuent'!A3586</f>
        <v>ARS</v>
      </c>
      <c r="B3586" t="str">
        <f>+'[2]por cuent'!B3586</f>
        <v>868001023</v>
      </c>
      <c r="C3586" t="str">
        <f>+'[2]por cuent'!C3586</f>
        <v>Marcelo Rossini S.A.</v>
      </c>
      <c r="D3586" s="35">
        <f>+'[2]por cuent'!G3586</f>
        <v>61822179.979999997</v>
      </c>
      <c r="E3586" s="35">
        <f>+'[2]por cuent'!H3586</f>
        <v>61822179.979999997</v>
      </c>
      <c r="F3586" t="str">
        <f>+'[2]por cuent'!I3586</f>
        <v>868</v>
      </c>
    </row>
    <row r="3587" spans="1:6" x14ac:dyDescent="0.35">
      <c r="A3587" t="str">
        <f>+'[2]por cuent'!A3587</f>
        <v>ARS</v>
      </c>
      <c r="B3587" t="str">
        <f>+'[2]por cuent'!B3587</f>
        <v>868001024</v>
      </c>
      <c r="C3587" t="str">
        <f>+'[2]por cuent'!C3587</f>
        <v>Desab SA</v>
      </c>
      <c r="D3587" s="35">
        <f>+'[2]por cuent'!G3587</f>
        <v>4304282700</v>
      </c>
      <c r="E3587" s="35">
        <f>+'[2]por cuent'!H3587</f>
        <v>4304282700</v>
      </c>
      <c r="F3587" t="str">
        <f>+'[2]por cuent'!I3587</f>
        <v>868</v>
      </c>
    </row>
    <row r="3588" spans="1:6" x14ac:dyDescent="0.35">
      <c r="A3588" t="str">
        <f>+'[2]por cuent'!A3588</f>
        <v>ARS</v>
      </c>
      <c r="B3588" t="str">
        <f>+'[2]por cuent'!B3588</f>
        <v>868001025</v>
      </c>
      <c r="C3588" t="str">
        <f>+'[2]por cuent'!C3588</f>
        <v>Fedea S.A.</v>
      </c>
      <c r="D3588" s="35">
        <f>+'[2]por cuent'!G3588</f>
        <v>621297268.79999995</v>
      </c>
      <c r="E3588" s="35">
        <f>+'[2]por cuent'!H3588</f>
        <v>621297268.79999995</v>
      </c>
      <c r="F3588" t="str">
        <f>+'[2]por cuent'!I3588</f>
        <v>868</v>
      </c>
    </row>
    <row r="3589" spans="1:6" x14ac:dyDescent="0.35">
      <c r="A3589" t="str">
        <f>+'[2]por cuent'!A3589</f>
        <v>ARS</v>
      </c>
      <c r="B3589" t="str">
        <f>+'[2]por cuent'!B3589</f>
        <v>868001030</v>
      </c>
      <c r="C3589" t="str">
        <f>+'[2]por cuent'!C3589</f>
        <v>PROYECTO CROPS S.A.S.</v>
      </c>
      <c r="D3589" s="35">
        <f>+'[2]por cuent'!G3589</f>
        <v>59625164.840000004</v>
      </c>
      <c r="E3589" s="35">
        <f>+'[2]por cuent'!H3589</f>
        <v>59625164.840000004</v>
      </c>
      <c r="F3589" t="str">
        <f>+'[2]por cuent'!I3589</f>
        <v>868</v>
      </c>
    </row>
    <row r="3590" spans="1:6" x14ac:dyDescent="0.35">
      <c r="A3590" t="str">
        <f>+'[2]por cuent'!A3590</f>
        <v>ARS</v>
      </c>
      <c r="B3590" t="str">
        <f>+'[2]por cuent'!B3590</f>
        <v>868001033</v>
      </c>
      <c r="C3590" t="str">
        <f>+'[2]por cuent'!C3590</f>
        <v>LUXURY CRYSTALS S.A.C. E I.</v>
      </c>
      <c r="D3590" s="35">
        <f>+'[2]por cuent'!G3590</f>
        <v>108256740.67</v>
      </c>
      <c r="E3590" s="35">
        <f>+'[2]por cuent'!H3590</f>
        <v>108256740.67</v>
      </c>
      <c r="F3590" t="str">
        <f>+'[2]por cuent'!I3590</f>
        <v>868</v>
      </c>
    </row>
    <row r="3591" spans="1:6" x14ac:dyDescent="0.35">
      <c r="A3591" t="str">
        <f>+'[2]por cuent'!A3591</f>
        <v>ARS</v>
      </c>
      <c r="B3591" t="str">
        <f>+'[2]por cuent'!B3591</f>
        <v>868001034</v>
      </c>
      <c r="C3591" t="str">
        <f>+'[2]por cuent'!C3591</f>
        <v>OSTROVSKY, MAXIMILIANO</v>
      </c>
      <c r="D3591" s="35">
        <f>+'[2]por cuent'!G3591</f>
        <v>89779475.540000007</v>
      </c>
      <c r="E3591" s="35">
        <f>+'[2]por cuent'!H3591</f>
        <v>89779475.540000007</v>
      </c>
      <c r="F3591" t="str">
        <f>+'[2]por cuent'!I3591</f>
        <v>868</v>
      </c>
    </row>
    <row r="3592" spans="1:6" x14ac:dyDescent="0.35">
      <c r="A3592" t="str">
        <f>+'[2]por cuent'!A3592</f>
        <v>ARS</v>
      </c>
      <c r="B3592" t="str">
        <f>+'[2]por cuent'!B3592</f>
        <v>868001036</v>
      </c>
      <c r="C3592" t="str">
        <f>+'[2]por cuent'!C3592</f>
        <v>GENTE CHICA S R L</v>
      </c>
      <c r="D3592" s="35">
        <f>+'[2]por cuent'!G3592</f>
        <v>1300128533.48</v>
      </c>
      <c r="E3592" s="35">
        <f>+'[2]por cuent'!H3592</f>
        <v>1300128533.48</v>
      </c>
      <c r="F3592" t="str">
        <f>+'[2]por cuent'!I3592</f>
        <v>868</v>
      </c>
    </row>
    <row r="3593" spans="1:6" x14ac:dyDescent="0.35">
      <c r="A3593" t="str">
        <f>+'[2]por cuent'!A3593</f>
        <v>ARS</v>
      </c>
      <c r="B3593" t="str">
        <f>+'[2]por cuent'!B3593</f>
        <v>868001037</v>
      </c>
      <c r="C3593" t="str">
        <f>+'[2]por cuent'!C3593</f>
        <v>BUSSOLATI, LUCAS AGUSTIN</v>
      </c>
      <c r="D3593" s="35">
        <f>+'[2]por cuent'!G3593</f>
        <v>19791026.59</v>
      </c>
      <c r="E3593" s="35">
        <f>+'[2]por cuent'!H3593</f>
        <v>19791026.59</v>
      </c>
      <c r="F3593" t="str">
        <f>+'[2]por cuent'!I3593</f>
        <v>868</v>
      </c>
    </row>
    <row r="3594" spans="1:6" x14ac:dyDescent="0.35">
      <c r="A3594" t="str">
        <f>+'[2]por cuent'!A3594</f>
        <v>ARS</v>
      </c>
      <c r="B3594" t="str">
        <f>+'[2]por cuent'!B3594</f>
        <v>868001038</v>
      </c>
      <c r="C3594" t="str">
        <f>+'[2]por cuent'!C3594</f>
        <v>LH TRADING SRL</v>
      </c>
      <c r="D3594" s="35">
        <f>+'[2]por cuent'!G3594</f>
        <v>26546537.609999999</v>
      </c>
      <c r="E3594" s="35">
        <f>+'[2]por cuent'!H3594</f>
        <v>26546537.609999999</v>
      </c>
      <c r="F3594" t="str">
        <f>+'[2]por cuent'!I3594</f>
        <v>868</v>
      </c>
    </row>
    <row r="3595" spans="1:6" x14ac:dyDescent="0.35">
      <c r="A3595" t="str">
        <f>+'[2]por cuent'!A3595</f>
        <v>ARS</v>
      </c>
      <c r="B3595" t="str">
        <f>+'[2]por cuent'!B3595</f>
        <v>868001039</v>
      </c>
      <c r="C3595" t="str">
        <f>+'[2]por cuent'!C3595</f>
        <v>Grifon SRL</v>
      </c>
      <c r="D3595" s="35">
        <f>+'[2]por cuent'!G3595</f>
        <v>35700000</v>
      </c>
      <c r="E3595" s="35">
        <f>+'[2]por cuent'!H3595</f>
        <v>35700000</v>
      </c>
      <c r="F3595" t="str">
        <f>+'[2]por cuent'!I3595</f>
        <v>868</v>
      </c>
    </row>
    <row r="3596" spans="1:6" x14ac:dyDescent="0.35">
      <c r="A3596" t="str">
        <f>+'[2]por cuent'!A3596</f>
        <v>ARS</v>
      </c>
      <c r="B3596" t="str">
        <f>+'[2]por cuent'!B3596</f>
        <v>868001040</v>
      </c>
      <c r="C3596" t="str">
        <f>+'[2]por cuent'!C3596</f>
        <v>REALICO AGROSOLUCIONES SRL</v>
      </c>
      <c r="D3596" s="35">
        <f>+'[2]por cuent'!G3596</f>
        <v>95210893.430000007</v>
      </c>
      <c r="E3596" s="35">
        <f>+'[2]por cuent'!H3596</f>
        <v>95210893.430000007</v>
      </c>
      <c r="F3596" t="str">
        <f>+'[2]por cuent'!I3596</f>
        <v>868</v>
      </c>
    </row>
    <row r="3597" spans="1:6" x14ac:dyDescent="0.35">
      <c r="A3597" t="str">
        <f>+'[2]por cuent'!A3597</f>
        <v>ARS</v>
      </c>
      <c r="B3597" t="str">
        <f>+'[2]por cuent'!B3597</f>
        <v>868001042</v>
      </c>
      <c r="C3597" t="str">
        <f>+'[2]por cuent'!C3597</f>
        <v>RATERO, MIGUEL ANTONIO</v>
      </c>
      <c r="D3597" s="35">
        <f>+'[2]por cuent'!G3597</f>
        <v>33370950.260000002</v>
      </c>
      <c r="E3597" s="35">
        <f>+'[2]por cuent'!H3597</f>
        <v>33370950.260000002</v>
      </c>
      <c r="F3597" t="str">
        <f>+'[2]por cuent'!I3597</f>
        <v>868</v>
      </c>
    </row>
    <row r="3598" spans="1:6" x14ac:dyDescent="0.35">
      <c r="A3598" t="str">
        <f>+'[2]por cuent'!A3598</f>
        <v>ARS</v>
      </c>
      <c r="B3598" t="str">
        <f>+'[2]por cuent'!B3598</f>
        <v>868001044</v>
      </c>
      <c r="C3598" t="str">
        <f>+'[2]por cuent'!C3598</f>
        <v>TRES PELOS S.A.S.</v>
      </c>
      <c r="D3598" s="35">
        <f>+'[2]por cuent'!G3598</f>
        <v>1934287.23</v>
      </c>
      <c r="E3598" s="35">
        <f>+'[2]por cuent'!H3598</f>
        <v>1934287.23</v>
      </c>
      <c r="F3598" t="str">
        <f>+'[2]por cuent'!I3598</f>
        <v>868</v>
      </c>
    </row>
    <row r="3599" spans="1:6" x14ac:dyDescent="0.35">
      <c r="A3599" t="str">
        <f>+'[2]por cuent'!A3599</f>
        <v>ARS</v>
      </c>
      <c r="B3599" t="str">
        <f>+'[2]por cuent'!B3599</f>
        <v>868001046</v>
      </c>
      <c r="C3599" t="str">
        <f>+'[2]por cuent'!C3599</f>
        <v>ASERRADEROS Y TRANSPORTES AVIA TERAI S.R.L.</v>
      </c>
      <c r="D3599" s="35">
        <f>+'[2]por cuent'!G3599</f>
        <v>22734158.289999999</v>
      </c>
      <c r="E3599" s="35">
        <f>+'[2]por cuent'!H3599</f>
        <v>22734158.289999999</v>
      </c>
      <c r="F3599" t="str">
        <f>+'[2]por cuent'!I3599</f>
        <v>868</v>
      </c>
    </row>
    <row r="3600" spans="1:6" x14ac:dyDescent="0.35">
      <c r="A3600" t="str">
        <f>+'[2]por cuent'!A3600</f>
        <v>ARS</v>
      </c>
      <c r="B3600" t="str">
        <f>+'[2]por cuent'!B3600</f>
        <v>875001001</v>
      </c>
      <c r="C3600" t="str">
        <f>+'[2]por cuent'!C3600</f>
        <v>MANTA COMPAÑIA INVERSORA SOCIEDAD DE BOLSA S.A.</v>
      </c>
      <c r="D3600" s="35">
        <f>+'[2]por cuent'!G3600</f>
        <v>18646458</v>
      </c>
      <c r="E3600" s="35">
        <f>+'[2]por cuent'!H3600</f>
        <v>18646458</v>
      </c>
      <c r="F3600" t="str">
        <f>+'[2]por cuent'!I3600</f>
        <v>875</v>
      </c>
    </row>
    <row r="3601" spans="1:6" x14ac:dyDescent="0.35">
      <c r="A3601" t="str">
        <f>+'[2]por cuent'!A3601</f>
        <v>ARS</v>
      </c>
      <c r="B3601" t="str">
        <f>+'[2]por cuent'!B3601</f>
        <v>875001051</v>
      </c>
      <c r="C3601" t="str">
        <f>+'[2]por cuent'!C3601</f>
        <v>Gimenez Agustina</v>
      </c>
      <c r="D3601" s="35">
        <f>+'[2]por cuent'!G3601</f>
        <v>21280188</v>
      </c>
      <c r="E3601" s="35">
        <f>+'[2]por cuent'!H3601</f>
        <v>21280188</v>
      </c>
      <c r="F3601" t="str">
        <f>+'[2]por cuent'!I3601</f>
        <v>875</v>
      </c>
    </row>
    <row r="3602" spans="1:6" x14ac:dyDescent="0.35">
      <c r="A3602" t="str">
        <f>+'[2]por cuent'!A3602</f>
        <v>ARS</v>
      </c>
      <c r="B3602" t="str">
        <f>+'[2]por cuent'!B3602</f>
        <v>875001065</v>
      </c>
      <c r="C3602" t="str">
        <f>+'[2]por cuent'!C3602</f>
        <v>Depietri, Nicolas</v>
      </c>
      <c r="D3602" s="35">
        <f>+'[2]por cuent'!G3602</f>
        <v>3457515</v>
      </c>
      <c r="E3602" s="35">
        <f>+'[2]por cuent'!H3602</f>
        <v>3457515</v>
      </c>
      <c r="F3602" t="str">
        <f>+'[2]por cuent'!I3602</f>
        <v>875</v>
      </c>
    </row>
    <row r="3603" spans="1:6" x14ac:dyDescent="0.35">
      <c r="A3603" t="str">
        <f>+'[2]por cuent'!A3603</f>
        <v>ARS</v>
      </c>
      <c r="B3603" t="str">
        <f>+'[2]por cuent'!B3603</f>
        <v>875001073</v>
      </c>
      <c r="C3603" t="str">
        <f>+'[2]por cuent'!C3603</f>
        <v>Somaschini, Luis Maria</v>
      </c>
      <c r="D3603" s="35">
        <f>+'[2]por cuent'!G3603</f>
        <v>24961840</v>
      </c>
      <c r="E3603" s="35">
        <f>+'[2]por cuent'!H3603</f>
        <v>24961840</v>
      </c>
      <c r="F3603" t="str">
        <f>+'[2]por cuent'!I3603</f>
        <v>875</v>
      </c>
    </row>
    <row r="3604" spans="1:6" x14ac:dyDescent="0.35">
      <c r="A3604" t="str">
        <f>+'[2]por cuent'!A3604</f>
        <v>ARS</v>
      </c>
      <c r="B3604" t="str">
        <f>+'[2]por cuent'!B3604</f>
        <v>875001103</v>
      </c>
      <c r="C3604" t="str">
        <f>+'[2]por cuent'!C3604</f>
        <v>Seggiaro Ana Carlota</v>
      </c>
      <c r="D3604" s="35">
        <f>+'[2]por cuent'!G3604</f>
        <v>88249823</v>
      </c>
      <c r="E3604" s="35">
        <f>+'[2]por cuent'!H3604</f>
        <v>88249823</v>
      </c>
      <c r="F3604" t="str">
        <f>+'[2]por cuent'!I3604</f>
        <v>875</v>
      </c>
    </row>
    <row r="3605" spans="1:6" x14ac:dyDescent="0.35">
      <c r="A3605" t="str">
        <f>+'[2]por cuent'!A3605</f>
        <v>ARS</v>
      </c>
      <c r="B3605" t="str">
        <f>+'[2]por cuent'!B3605</f>
        <v>875001113</v>
      </c>
      <c r="C3605" t="str">
        <f>+'[2]por cuent'!C3605</f>
        <v>Pardo Carranza Juan Antonio Rodolfo Pedro</v>
      </c>
      <c r="D3605" s="35">
        <f>+'[2]por cuent'!G3605</f>
        <v>13546820</v>
      </c>
      <c r="E3605" s="35">
        <f>+'[2]por cuent'!H3605</f>
        <v>13546820</v>
      </c>
      <c r="F3605" t="str">
        <f>+'[2]por cuent'!I3605</f>
        <v>875</v>
      </c>
    </row>
    <row r="3606" spans="1:6" x14ac:dyDescent="0.35">
      <c r="A3606" t="str">
        <f>+'[2]por cuent'!A3606</f>
        <v>ARS</v>
      </c>
      <c r="B3606" t="str">
        <f>+'[2]por cuent'!B3606</f>
        <v>875001118</v>
      </c>
      <c r="C3606" t="str">
        <f>+'[2]por cuent'!C3606</f>
        <v>Miguelez Cesar Fabian</v>
      </c>
      <c r="D3606" s="35">
        <f>+'[2]por cuent'!G3606</f>
        <v>12145648</v>
      </c>
      <c r="E3606" s="35">
        <f>+'[2]por cuent'!H3606</f>
        <v>12145648</v>
      </c>
      <c r="F3606" t="str">
        <f>+'[2]por cuent'!I3606</f>
        <v>875</v>
      </c>
    </row>
    <row r="3607" spans="1:6" x14ac:dyDescent="0.35">
      <c r="A3607" t="str">
        <f>+'[2]por cuent'!A3607</f>
        <v>ARS</v>
      </c>
      <c r="B3607" t="str">
        <f>+'[2]por cuent'!B3607</f>
        <v>875001121</v>
      </c>
      <c r="C3607" t="str">
        <f>+'[2]por cuent'!C3607</f>
        <v>Nerina Cian</v>
      </c>
      <c r="D3607" s="35">
        <f>+'[2]por cuent'!G3607</f>
        <v>10272182</v>
      </c>
      <c r="E3607" s="35">
        <f>+'[2]por cuent'!H3607</f>
        <v>10272182</v>
      </c>
      <c r="F3607" t="str">
        <f>+'[2]por cuent'!I3607</f>
        <v>875</v>
      </c>
    </row>
    <row r="3608" spans="1:6" x14ac:dyDescent="0.35">
      <c r="A3608" t="str">
        <f>+'[2]por cuent'!A3608</f>
        <v>ARS</v>
      </c>
      <c r="B3608" t="str">
        <f>+'[2]por cuent'!B3608</f>
        <v>875001131</v>
      </c>
      <c r="C3608" t="str">
        <f>+'[2]por cuent'!C3608</f>
        <v>Depietri Agustin</v>
      </c>
      <c r="D3608" s="35">
        <f>+'[2]por cuent'!G3608</f>
        <v>1691200.1</v>
      </c>
      <c r="E3608" s="35">
        <f>+'[2]por cuent'!H3608</f>
        <v>1691200.1</v>
      </c>
      <c r="F3608" t="str">
        <f>+'[2]por cuent'!I3608</f>
        <v>875</v>
      </c>
    </row>
    <row r="3609" spans="1:6" x14ac:dyDescent="0.35">
      <c r="A3609" t="str">
        <f>+'[2]por cuent'!A3609</f>
        <v>ARS</v>
      </c>
      <c r="B3609" t="str">
        <f>+'[2]por cuent'!B3609</f>
        <v>875001189</v>
      </c>
      <c r="C3609" t="str">
        <f>+'[2]por cuent'!C3609</f>
        <v>Litmanovich, Alejandro Leonel</v>
      </c>
      <c r="D3609" s="35">
        <f>+'[2]por cuent'!G3609</f>
        <v>4757407</v>
      </c>
      <c r="E3609" s="35">
        <f>+'[2]por cuent'!H3609</f>
        <v>4757407</v>
      </c>
      <c r="F3609" t="str">
        <f>+'[2]por cuent'!I3609</f>
        <v>875</v>
      </c>
    </row>
    <row r="3610" spans="1:6" x14ac:dyDescent="0.35">
      <c r="A3610" t="str">
        <f>+'[2]por cuent'!A3610</f>
        <v>ARS</v>
      </c>
      <c r="B3610" t="str">
        <f>+'[2]por cuent'!B3610</f>
        <v>875001264</v>
      </c>
      <c r="C3610" t="str">
        <f>+'[2]por cuent'!C3610</f>
        <v>Depietri, Matias</v>
      </c>
      <c r="D3610" s="35">
        <f>+'[2]por cuent'!G3610</f>
        <v>4933546</v>
      </c>
      <c r="E3610" s="35">
        <f>+'[2]por cuent'!H3610</f>
        <v>4933546</v>
      </c>
      <c r="F3610" t="str">
        <f>+'[2]por cuent'!I3610</f>
        <v>875</v>
      </c>
    </row>
    <row r="3611" spans="1:6" x14ac:dyDescent="0.35">
      <c r="A3611" t="str">
        <f>+'[2]por cuent'!A3611</f>
        <v>ARS</v>
      </c>
      <c r="B3611" t="str">
        <f>+'[2]por cuent'!B3611</f>
        <v>875001306</v>
      </c>
      <c r="C3611" t="str">
        <f>+'[2]por cuent'!C3611</f>
        <v>Pettiti, Walter Luis Y/O Condorelli, Maria Irene</v>
      </c>
      <c r="D3611" s="35">
        <f>+'[2]por cuent'!G3611</f>
        <v>85951394.400000006</v>
      </c>
      <c r="E3611" s="35">
        <f>+'[2]por cuent'!H3611</f>
        <v>85951394.400000006</v>
      </c>
      <c r="F3611" t="str">
        <f>+'[2]por cuent'!I3611</f>
        <v>875</v>
      </c>
    </row>
    <row r="3612" spans="1:6" x14ac:dyDescent="0.35">
      <c r="A3612" t="str">
        <f>+'[2]por cuent'!A3612</f>
        <v>USD</v>
      </c>
      <c r="B3612" t="str">
        <f>+'[2]por cuent'!B3612</f>
        <v>000000101</v>
      </c>
      <c r="C3612" t="str">
        <f>+'[2]por cuent'!C3612</f>
        <v>LERNER CAPITAL S.A.</v>
      </c>
      <c r="D3612" s="35">
        <f>+'[2]por cuent'!G3612</f>
        <v>102370.05</v>
      </c>
      <c r="E3612" s="35">
        <f>+'[2]por cuent'!H3612</f>
        <v>153102599.37900001</v>
      </c>
      <c r="F3612" t="str">
        <f>+'[2]por cuent'!I3612</f>
        <v>000</v>
      </c>
    </row>
    <row r="3613" spans="1:6" x14ac:dyDescent="0.35">
      <c r="A3613" t="str">
        <f>+'[2]por cuent'!A3613</f>
        <v>USD</v>
      </c>
      <c r="B3613" t="str">
        <f>+'[2]por cuent'!B3613</f>
        <v>114000114</v>
      </c>
      <c r="C3613" t="str">
        <f>+'[2]por cuent'!C3613</f>
        <v>Rosario Valores S.A. - Contrapartida</v>
      </c>
      <c r="D3613" s="35">
        <f>+'[2]por cuent'!G3613</f>
        <v>16088.69</v>
      </c>
      <c r="E3613" s="35">
        <f>+'[2]por cuent'!H3613</f>
        <v>24061922.990199998</v>
      </c>
      <c r="F3613" t="str">
        <f>+'[2]por cuent'!I3613</f>
        <v>114</v>
      </c>
    </row>
    <row r="3614" spans="1:6" x14ac:dyDescent="0.35">
      <c r="A3614" t="str">
        <f>+'[2]por cuent'!A3614</f>
        <v>USD</v>
      </c>
      <c r="B3614" t="str">
        <f>+'[2]por cuent'!B3614</f>
        <v>114000118</v>
      </c>
      <c r="C3614" t="str">
        <f>+'[2]por cuent'!C3614</f>
        <v>Rosario Derivados S.A.</v>
      </c>
      <c r="D3614" s="35">
        <f>+'[2]por cuent'!G3614</f>
        <v>32152.03</v>
      </c>
      <c r="E3614" s="35">
        <f>+'[2]por cuent'!H3614</f>
        <v>48085933.027399994</v>
      </c>
      <c r="F3614" t="str">
        <f>+'[2]por cuent'!I3614</f>
        <v>114</v>
      </c>
    </row>
    <row r="3615" spans="1:6" x14ac:dyDescent="0.35">
      <c r="A3615" t="str">
        <f>+'[2]por cuent'!A3615</f>
        <v>USD</v>
      </c>
      <c r="B3615" t="str">
        <f>+'[2]por cuent'!B3615</f>
        <v>114000593</v>
      </c>
      <c r="C3615" t="str">
        <f>+'[2]por cuent'!C3615</f>
        <v>Mercado Ganadero S.A.</v>
      </c>
      <c r="D3615" s="35">
        <f>+'[2]por cuent'!G3615</f>
        <v>5950.32</v>
      </c>
      <c r="E3615" s="35">
        <f>+'[2]por cuent'!H3615</f>
        <v>8899179.5855999999</v>
      </c>
      <c r="F3615" t="str">
        <f>+'[2]por cuent'!I3615</f>
        <v>114</v>
      </c>
    </row>
    <row r="3616" spans="1:6" x14ac:dyDescent="0.35">
      <c r="A3616" t="str">
        <f>+'[2]por cuent'!A3616</f>
        <v>USD</v>
      </c>
      <c r="B3616" t="str">
        <f>+'[2]por cuent'!B3616</f>
        <v>114114005</v>
      </c>
      <c r="C3616" t="str">
        <f>+'[2]por cuent'!C3616</f>
        <v>ROSVAL - Operaciones Mesa Trading</v>
      </c>
      <c r="D3616" s="35">
        <f>+'[2]por cuent'!G3616</f>
        <v>44585856.350000001</v>
      </c>
      <c r="E3616" s="35">
        <f>+'[2]por cuent'!H3616</f>
        <v>66681715039.932999</v>
      </c>
      <c r="F3616" t="str">
        <f>+'[2]por cuent'!I3616</f>
        <v>114</v>
      </c>
    </row>
    <row r="3617" spans="1:6" x14ac:dyDescent="0.35">
      <c r="A3617" t="str">
        <f>+'[2]por cuent'!A3617</f>
        <v>USD</v>
      </c>
      <c r="B3617" t="str">
        <f>+'[2]por cuent'!B3617</f>
        <v>114645004</v>
      </c>
      <c r="C3617" t="str">
        <f>+'[2]por cuent'!C3617</f>
        <v>Bolsa de Comercio de Rosario Asociación Civil</v>
      </c>
      <c r="D3617" s="35">
        <f>+'[2]por cuent'!G3617</f>
        <v>693480.95999999996</v>
      </c>
      <c r="E3617" s="35">
        <f>+'[2]por cuent'!H3617</f>
        <v>1037156254.1567999</v>
      </c>
      <c r="F3617" t="str">
        <f>+'[2]por cuent'!I3617</f>
        <v>114</v>
      </c>
    </row>
    <row r="3618" spans="1:6" x14ac:dyDescent="0.35">
      <c r="A3618" t="str">
        <f>+'[2]por cuent'!A3618</f>
        <v>USD</v>
      </c>
      <c r="B3618" t="str">
        <f>+'[2]por cuent'!B3618</f>
        <v>114646005</v>
      </c>
      <c r="C3618" t="str">
        <f>+'[2]por cuent'!C3618</f>
        <v>Mercado Argentino de Valores – Mesa Trading</v>
      </c>
      <c r="D3618" s="35">
        <f>+'[2]por cuent'!G3618</f>
        <v>1300000</v>
      </c>
      <c r="E3618" s="35">
        <f>+'[2]por cuent'!H3618</f>
        <v>1944254000</v>
      </c>
      <c r="F3618" t="str">
        <f>+'[2]por cuent'!I3618</f>
        <v>114</v>
      </c>
    </row>
    <row r="3619" spans="1:6" x14ac:dyDescent="0.35">
      <c r="A3619" t="str">
        <f>+'[2]por cuent'!A3619</f>
        <v>USD</v>
      </c>
      <c r="B3619" t="str">
        <f>+'[2]por cuent'!B3619</f>
        <v>278500113</v>
      </c>
      <c r="C3619" t="str">
        <f>+'[2]por cuent'!C3619</f>
        <v>Merep, Matias Ezequiel</v>
      </c>
      <c r="D3619" s="35">
        <f>+'[2]por cuent'!G3619</f>
        <v>969</v>
      </c>
      <c r="E3619" s="35">
        <f>+'[2]por cuent'!H3619</f>
        <v>1449217.02</v>
      </c>
      <c r="F3619" t="str">
        <f>+'[2]por cuent'!I3619</f>
        <v>278</v>
      </c>
    </row>
    <row r="3620" spans="1:6" x14ac:dyDescent="0.35">
      <c r="A3620" t="str">
        <f>+'[2]por cuent'!A3620</f>
        <v>USD</v>
      </c>
      <c r="B3620" t="str">
        <f>+'[2]por cuent'!B3620</f>
        <v>344000005</v>
      </c>
      <c r="C3620" t="str">
        <f>+'[2]por cuent'!C3620</f>
        <v>Bafomet SA</v>
      </c>
      <c r="D3620" s="35">
        <f>+'[2]por cuent'!G3620</f>
        <v>4082134.51</v>
      </c>
      <c r="E3620" s="35">
        <f>+'[2]por cuent'!H3620</f>
        <v>6105158730.4657993</v>
      </c>
      <c r="F3620" t="str">
        <f>+'[2]por cuent'!I3620</f>
        <v>344</v>
      </c>
    </row>
    <row r="3621" spans="1:6" x14ac:dyDescent="0.35">
      <c r="A3621" t="str">
        <f>+'[2]por cuent'!A3621</f>
        <v>USD</v>
      </c>
      <c r="B3621" t="str">
        <f>+'[2]por cuent'!B3621</f>
        <v>344000091</v>
      </c>
      <c r="C3621" t="str">
        <f>+'[2]por cuent'!C3621</f>
        <v>González Ortner, Lucas</v>
      </c>
      <c r="D3621" s="35">
        <f>+'[2]por cuent'!G3621</f>
        <v>1000.25</v>
      </c>
      <c r="E3621" s="35">
        <f>+'[2]por cuent'!H3621</f>
        <v>1495953.895</v>
      </c>
      <c r="F3621" t="str">
        <f>+'[2]por cuent'!I3621</f>
        <v>344</v>
      </c>
    </row>
    <row r="3622" spans="1:6" x14ac:dyDescent="0.35">
      <c r="A3622" t="str">
        <f>+'[2]por cuent'!A3622</f>
        <v>USD</v>
      </c>
      <c r="B3622" t="str">
        <f>+'[2]por cuent'!B3622</f>
        <v>344000126</v>
      </c>
      <c r="C3622" t="str">
        <f>+'[2]por cuent'!C3622</f>
        <v>Pedace, Liliana Rosa</v>
      </c>
      <c r="D3622" s="35">
        <f>+'[2]por cuent'!G3622</f>
        <v>35.08</v>
      </c>
      <c r="E3622" s="35">
        <f>+'[2]por cuent'!H3622</f>
        <v>52464.946399999993</v>
      </c>
      <c r="F3622" t="str">
        <f>+'[2]por cuent'!I3622</f>
        <v>344</v>
      </c>
    </row>
    <row r="3623" spans="1:6" x14ac:dyDescent="0.35">
      <c r="A3623" t="str">
        <f>+'[2]por cuent'!A3623</f>
        <v>USD</v>
      </c>
      <c r="B3623" t="str">
        <f>+'[2]por cuent'!B3623</f>
        <v>344000130</v>
      </c>
      <c r="C3623" t="str">
        <f>+'[2]por cuent'!C3623</f>
        <v>Bernardoni, Antonella Belen</v>
      </c>
      <c r="D3623" s="35">
        <f>+'[2]por cuent'!G3623</f>
        <v>100.69</v>
      </c>
      <c r="E3623" s="35">
        <f>+'[2]por cuent'!H3623</f>
        <v>150589.95019999999</v>
      </c>
      <c r="F3623" t="str">
        <f>+'[2]por cuent'!I3623</f>
        <v>344</v>
      </c>
    </row>
    <row r="3624" spans="1:6" x14ac:dyDescent="0.35">
      <c r="A3624" t="str">
        <f>+'[2]por cuent'!A3624</f>
        <v>USD</v>
      </c>
      <c r="B3624" t="str">
        <f>+'[2]por cuent'!B3624</f>
        <v>344000133</v>
      </c>
      <c r="C3624" t="str">
        <f>+'[2]por cuent'!C3624</f>
        <v>Lareo, Fernando Manuel</v>
      </c>
      <c r="D3624" s="35">
        <f>+'[2]por cuent'!G3624</f>
        <v>9938.4599999999991</v>
      </c>
      <c r="E3624" s="35">
        <f>+'[2]por cuent'!H3624</f>
        <v>14863762.006799998</v>
      </c>
      <c r="F3624" t="str">
        <f>+'[2]por cuent'!I3624</f>
        <v>344</v>
      </c>
    </row>
    <row r="3625" spans="1:6" x14ac:dyDescent="0.35">
      <c r="A3625" t="str">
        <f>+'[2]por cuent'!A3625</f>
        <v>USD</v>
      </c>
      <c r="B3625" t="str">
        <f>+'[2]por cuent'!B3625</f>
        <v>344000201</v>
      </c>
      <c r="C3625" t="str">
        <f>+'[2]por cuent'!C3625</f>
        <v>Marianela García Rossell y R. Mariano García Rossell</v>
      </c>
      <c r="D3625" s="35">
        <f>+'[2]por cuent'!G3625</f>
        <v>16975.7</v>
      </c>
      <c r="E3625" s="35">
        <f>+'[2]por cuent'!H3625</f>
        <v>25388517.405999999</v>
      </c>
      <c r="F3625" t="str">
        <f>+'[2]por cuent'!I3625</f>
        <v>344</v>
      </c>
    </row>
    <row r="3626" spans="1:6" x14ac:dyDescent="0.35">
      <c r="A3626" t="str">
        <f>+'[2]por cuent'!A3626</f>
        <v>USD</v>
      </c>
      <c r="B3626" t="str">
        <f>+'[2]por cuent'!B3626</f>
        <v>344000219</v>
      </c>
      <c r="C3626" t="str">
        <f>+'[2]por cuent'!C3626</f>
        <v>Bonzini, Hernan Javier</v>
      </c>
      <c r="D3626" s="35">
        <f>+'[2]por cuent'!G3626</f>
        <v>88048.1</v>
      </c>
      <c r="E3626" s="35">
        <f>+'[2]por cuent'!H3626</f>
        <v>131682977.398</v>
      </c>
      <c r="F3626" t="str">
        <f>+'[2]por cuent'!I3626</f>
        <v>344</v>
      </c>
    </row>
    <row r="3627" spans="1:6" x14ac:dyDescent="0.35">
      <c r="A3627" t="str">
        <f>+'[2]por cuent'!A3627</f>
        <v>USD</v>
      </c>
      <c r="B3627" t="str">
        <f>+'[2]por cuent'!B3627</f>
        <v>344000223</v>
      </c>
      <c r="C3627" t="str">
        <f>+'[2]por cuent'!C3627</f>
        <v>Coccia, Guido</v>
      </c>
      <c r="D3627" s="35">
        <f>+'[2]por cuent'!G3627</f>
        <v>1748.29</v>
      </c>
      <c r="E3627" s="35">
        <f>+'[2]por cuent'!H3627</f>
        <v>2614707.5581999999</v>
      </c>
      <c r="F3627" t="str">
        <f>+'[2]por cuent'!I3627</f>
        <v>344</v>
      </c>
    </row>
    <row r="3628" spans="1:6" x14ac:dyDescent="0.35">
      <c r="A3628" t="str">
        <f>+'[2]por cuent'!A3628</f>
        <v>USD</v>
      </c>
      <c r="B3628" t="str">
        <f>+'[2]por cuent'!B3628</f>
        <v>344000231</v>
      </c>
      <c r="C3628" t="str">
        <f>+'[2]por cuent'!C3628</f>
        <v>Metronos</v>
      </c>
      <c r="D3628" s="35">
        <f>+'[2]por cuent'!G3628</f>
        <v>165.36</v>
      </c>
      <c r="E3628" s="35">
        <f>+'[2]por cuent'!H3628</f>
        <v>247309.10880000002</v>
      </c>
      <c r="F3628" t="str">
        <f>+'[2]por cuent'!I3628</f>
        <v>344</v>
      </c>
    </row>
    <row r="3629" spans="1:6" x14ac:dyDescent="0.35">
      <c r="A3629" t="str">
        <f>+'[2]por cuent'!A3629</f>
        <v>USD</v>
      </c>
      <c r="B3629" t="str">
        <f>+'[2]por cuent'!B3629</f>
        <v>344000401</v>
      </c>
      <c r="C3629" t="str">
        <f>+'[2]por cuent'!C3629</f>
        <v>Ortner Andres Martin &amp; Schlenew Tatiana</v>
      </c>
      <c r="D3629" s="35">
        <f>+'[2]por cuent'!G3629</f>
        <v>3499.84</v>
      </c>
      <c r="E3629" s="35">
        <f>+'[2]por cuent'!H3629</f>
        <v>5234290.7072000001</v>
      </c>
      <c r="F3629" t="str">
        <f>+'[2]por cuent'!I3629</f>
        <v>344</v>
      </c>
    </row>
    <row r="3630" spans="1:6" x14ac:dyDescent="0.35">
      <c r="A3630" t="str">
        <f>+'[2]por cuent'!A3630</f>
        <v>USD</v>
      </c>
      <c r="B3630" t="str">
        <f>+'[2]por cuent'!B3630</f>
        <v>344000408</v>
      </c>
      <c r="C3630" t="str">
        <f>+'[2]por cuent'!C3630</f>
        <v>Teijeiro, Ricardo Augusto</v>
      </c>
      <c r="D3630" s="35">
        <f>+'[2]por cuent'!G3630</f>
        <v>5466.53</v>
      </c>
      <c r="E3630" s="35">
        <f>+'[2]por cuent'!H3630</f>
        <v>8175632.9373999992</v>
      </c>
      <c r="F3630" t="str">
        <f>+'[2]por cuent'!I3630</f>
        <v>344</v>
      </c>
    </row>
    <row r="3631" spans="1:6" x14ac:dyDescent="0.35">
      <c r="A3631" t="str">
        <f>+'[2]por cuent'!A3631</f>
        <v>USD</v>
      </c>
      <c r="B3631" t="str">
        <f>+'[2]por cuent'!B3631</f>
        <v>344000442</v>
      </c>
      <c r="C3631" t="str">
        <f>+'[2]por cuent'!C3631</f>
        <v>Grossi, Roxana Maria</v>
      </c>
      <c r="D3631" s="35">
        <f>+'[2]por cuent'!G3631</f>
        <v>1169.25</v>
      </c>
      <c r="E3631" s="35">
        <f>+'[2]por cuent'!H3631</f>
        <v>1748706.9149999998</v>
      </c>
      <c r="F3631" t="str">
        <f>+'[2]por cuent'!I3631</f>
        <v>344</v>
      </c>
    </row>
    <row r="3632" spans="1:6" x14ac:dyDescent="0.35">
      <c r="A3632" t="str">
        <f>+'[2]por cuent'!A3632</f>
        <v>USD</v>
      </c>
      <c r="B3632" t="str">
        <f>+'[2]por cuent'!B3632</f>
        <v>344000485</v>
      </c>
      <c r="C3632" t="str">
        <f>+'[2]por cuent'!C3632</f>
        <v>Blaquier, Dominique</v>
      </c>
      <c r="D3632" s="35">
        <f>+'[2]por cuent'!G3632</f>
        <v>634.69000000000005</v>
      </c>
      <c r="E3632" s="35">
        <f>+'[2]por cuent'!H3632</f>
        <v>949229.67020000005</v>
      </c>
      <c r="F3632" t="str">
        <f>+'[2]por cuent'!I3632</f>
        <v>344</v>
      </c>
    </row>
    <row r="3633" spans="1:6" x14ac:dyDescent="0.35">
      <c r="A3633" t="str">
        <f>+'[2]por cuent'!A3633</f>
        <v>USD</v>
      </c>
      <c r="B3633" t="str">
        <f>+'[2]por cuent'!B3633</f>
        <v>344000658</v>
      </c>
      <c r="C3633" t="str">
        <f>+'[2]por cuent'!C3633</f>
        <v>Allende Adolfo Tomas &amp; Allende Delia Maria</v>
      </c>
      <c r="D3633" s="35">
        <f>+'[2]por cuent'!G3633</f>
        <v>3857.03</v>
      </c>
      <c r="E3633" s="35">
        <f>+'[2]por cuent'!H3633</f>
        <v>5768496.9274000004</v>
      </c>
      <c r="F3633" t="str">
        <f>+'[2]por cuent'!I3633</f>
        <v>344</v>
      </c>
    </row>
    <row r="3634" spans="1:6" x14ac:dyDescent="0.35">
      <c r="A3634" t="str">
        <f>+'[2]por cuent'!A3634</f>
        <v>USD</v>
      </c>
      <c r="B3634" t="str">
        <f>+'[2]por cuent'!B3634</f>
        <v>344000661</v>
      </c>
      <c r="C3634" t="str">
        <f>+'[2]por cuent'!C3634</f>
        <v>Sastre, Alejandro</v>
      </c>
      <c r="D3634" s="35">
        <f>+'[2]por cuent'!G3634</f>
        <v>2.4300000000000002</v>
      </c>
      <c r="E3634" s="35">
        <f>+'[2]por cuent'!H3634</f>
        <v>3634.2593999999999</v>
      </c>
      <c r="F3634" t="str">
        <f>+'[2]por cuent'!I3634</f>
        <v>344</v>
      </c>
    </row>
    <row r="3635" spans="1:6" x14ac:dyDescent="0.35">
      <c r="A3635" t="str">
        <f>+'[2]por cuent'!A3635</f>
        <v>USD</v>
      </c>
      <c r="B3635" t="str">
        <f>+'[2]por cuent'!B3635</f>
        <v>344000683</v>
      </c>
      <c r="C3635" t="str">
        <f>+'[2]por cuent'!C3635</f>
        <v>Envíos-Digitales SA</v>
      </c>
      <c r="D3635" s="35">
        <f>+'[2]por cuent'!G3635</f>
        <v>91855.35</v>
      </c>
      <c r="E3635" s="35">
        <f>+'[2]por cuent'!H3635</f>
        <v>137377024.35300002</v>
      </c>
      <c r="F3635" t="str">
        <f>+'[2]por cuent'!I3635</f>
        <v>344</v>
      </c>
    </row>
    <row r="3636" spans="1:6" x14ac:dyDescent="0.35">
      <c r="A3636" t="str">
        <f>+'[2]por cuent'!A3636</f>
        <v>USD</v>
      </c>
      <c r="B3636" t="str">
        <f>+'[2]por cuent'!B3636</f>
        <v>344000703</v>
      </c>
      <c r="C3636" t="str">
        <f>+'[2]por cuent'!C3636</f>
        <v>Funes, Roberto Gustavo</v>
      </c>
      <c r="D3636" s="35">
        <f>+'[2]por cuent'!G3636</f>
        <v>5832.13</v>
      </c>
      <c r="E3636" s="35">
        <f>+'[2]por cuent'!H3636</f>
        <v>8722416.9854000006</v>
      </c>
      <c r="F3636" t="str">
        <f>+'[2]por cuent'!I3636</f>
        <v>344</v>
      </c>
    </row>
    <row r="3637" spans="1:6" x14ac:dyDescent="0.35">
      <c r="A3637" t="str">
        <f>+'[2]por cuent'!A3637</f>
        <v>USD</v>
      </c>
      <c r="B3637" t="str">
        <f>+'[2]por cuent'!B3637</f>
        <v>344000712</v>
      </c>
      <c r="C3637" t="str">
        <f>+'[2]por cuent'!C3637</f>
        <v>Saceip S.A.</v>
      </c>
      <c r="D3637" s="35">
        <f>+'[2]por cuent'!G3637</f>
        <v>27000.43</v>
      </c>
      <c r="E3637" s="35">
        <f>+'[2]por cuent'!H3637</f>
        <v>40381303.099399999</v>
      </c>
      <c r="F3637" t="str">
        <f>+'[2]por cuent'!I3637</f>
        <v>344</v>
      </c>
    </row>
    <row r="3638" spans="1:6" x14ac:dyDescent="0.35">
      <c r="A3638" t="str">
        <f>+'[2]por cuent'!A3638</f>
        <v>USD</v>
      </c>
      <c r="B3638" t="str">
        <f>+'[2]por cuent'!B3638</f>
        <v>344000713</v>
      </c>
      <c r="C3638" t="str">
        <f>+'[2]por cuent'!C3638</f>
        <v>Vasvari, Maria Fabiana</v>
      </c>
      <c r="D3638" s="35">
        <f>+'[2]por cuent'!G3638</f>
        <v>22747.56</v>
      </c>
      <c r="E3638" s="35">
        <f>+'[2]por cuent'!H3638</f>
        <v>34020795.7848</v>
      </c>
      <c r="F3638" t="str">
        <f>+'[2]por cuent'!I3638</f>
        <v>344</v>
      </c>
    </row>
    <row r="3639" spans="1:6" x14ac:dyDescent="0.35">
      <c r="A3639" t="str">
        <f>+'[2]por cuent'!A3639</f>
        <v>USD</v>
      </c>
      <c r="B3639" t="str">
        <f>+'[2]por cuent'!B3639</f>
        <v>344000729</v>
      </c>
      <c r="C3639" t="str">
        <f>+'[2]por cuent'!C3639</f>
        <v>Jarvis, Juan Pablo</v>
      </c>
      <c r="D3639" s="35">
        <f>+'[2]por cuent'!G3639</f>
        <v>47699.45</v>
      </c>
      <c r="E3639" s="35">
        <f>+'[2]por cuent'!H3639</f>
        <v>71338343.430999994</v>
      </c>
      <c r="F3639" t="str">
        <f>+'[2]por cuent'!I3639</f>
        <v>344</v>
      </c>
    </row>
    <row r="3640" spans="1:6" x14ac:dyDescent="0.35">
      <c r="A3640" t="str">
        <f>+'[2]por cuent'!A3640</f>
        <v>USD</v>
      </c>
      <c r="B3640" t="str">
        <f>+'[2]por cuent'!B3640</f>
        <v>344000733</v>
      </c>
      <c r="C3640" t="str">
        <f>+'[2]por cuent'!C3640</f>
        <v xml:space="preserve"> Ramullo Federico</v>
      </c>
      <c r="D3640" s="35">
        <f>+'[2]por cuent'!G3640</f>
        <v>1986.31</v>
      </c>
      <c r="E3640" s="35">
        <f>+'[2]por cuent'!H3640</f>
        <v>2970685.5097999997</v>
      </c>
      <c r="F3640" t="str">
        <f>+'[2]por cuent'!I3640</f>
        <v>344</v>
      </c>
    </row>
    <row r="3641" spans="1:6" x14ac:dyDescent="0.35">
      <c r="A3641" t="str">
        <f>+'[2]por cuent'!A3641</f>
        <v>USD</v>
      </c>
      <c r="B3641" t="str">
        <f>+'[2]por cuent'!B3641</f>
        <v>344000734</v>
      </c>
      <c r="C3641" t="str">
        <f>+'[2]por cuent'!C3641</f>
        <v>CONSORCIO DE EMPRESAS MENDOCINAS PARA POTRERILLOS S A </v>
      </c>
      <c r="D3641" s="35">
        <f>+'[2]por cuent'!G3641</f>
        <v>1999991.48</v>
      </c>
      <c r="E3641" s="35">
        <f>+'[2]por cuent'!H3641</f>
        <v>2991147257.6584001</v>
      </c>
      <c r="F3641" t="str">
        <f>+'[2]por cuent'!I3641</f>
        <v>344</v>
      </c>
    </row>
    <row r="3642" spans="1:6" x14ac:dyDescent="0.35">
      <c r="A3642" t="str">
        <f>+'[2]por cuent'!A3642</f>
        <v>USD</v>
      </c>
      <c r="B3642" t="str">
        <f>+'[2]por cuent'!B3642</f>
        <v>345000005</v>
      </c>
      <c r="C3642" t="str">
        <f>+'[2]por cuent'!C3642</f>
        <v>Beta Group Inversiones Cartera Propia</v>
      </c>
      <c r="D3642" s="35">
        <f>+'[2]por cuent'!G3642</f>
        <v>6199.33</v>
      </c>
      <c r="E3642" s="35">
        <f>+'[2]por cuent'!H3642</f>
        <v>9271593.9613999985</v>
      </c>
      <c r="F3642" t="str">
        <f>+'[2]por cuent'!I3642</f>
        <v>345</v>
      </c>
    </row>
    <row r="3643" spans="1:6" x14ac:dyDescent="0.35">
      <c r="A3643" t="str">
        <f>+'[2]por cuent'!A3643</f>
        <v>USD</v>
      </c>
      <c r="B3643" t="str">
        <f>+'[2]por cuent'!B3643</f>
        <v>345000007</v>
      </c>
      <c r="C3643" t="str">
        <f>+'[2]por cuent'!C3643</f>
        <v>Mainero, Gustavo Daniel</v>
      </c>
      <c r="D3643" s="35">
        <f>+'[2]por cuent'!G3643</f>
        <v>17182.57</v>
      </c>
      <c r="E3643" s="35">
        <f>+'[2]por cuent'!H3643</f>
        <v>25697908.040599998</v>
      </c>
      <c r="F3643" t="str">
        <f>+'[2]por cuent'!I3643</f>
        <v>345</v>
      </c>
    </row>
    <row r="3644" spans="1:6" x14ac:dyDescent="0.35">
      <c r="A3644" t="str">
        <f>+'[2]por cuent'!A3644</f>
        <v>USD</v>
      </c>
      <c r="B3644" t="str">
        <f>+'[2]por cuent'!B3644</f>
        <v>345000009</v>
      </c>
      <c r="C3644" t="str">
        <f>+'[2]por cuent'!C3644</f>
        <v>Federico Vazquez</v>
      </c>
      <c r="D3644" s="35">
        <f>+'[2]por cuent'!G3644</f>
        <v>24238.53</v>
      </c>
      <c r="E3644" s="35">
        <f>+'[2]por cuent'!H3644</f>
        <v>36250660.697399996</v>
      </c>
      <c r="F3644" t="str">
        <f>+'[2]por cuent'!I3644</f>
        <v>345</v>
      </c>
    </row>
    <row r="3645" spans="1:6" x14ac:dyDescent="0.35">
      <c r="A3645" t="str">
        <f>+'[2]por cuent'!A3645</f>
        <v>USD</v>
      </c>
      <c r="B3645" t="str">
        <f>+'[2]por cuent'!B3645</f>
        <v>345000013</v>
      </c>
      <c r="C3645" t="str">
        <f>+'[2]por cuent'!C3645</f>
        <v>Gonzalo, Nicolas Fornasieri</v>
      </c>
      <c r="D3645" s="35">
        <f>+'[2]por cuent'!G3645</f>
        <v>229.69</v>
      </c>
      <c r="E3645" s="35">
        <f>+'[2]por cuent'!H3645</f>
        <v>343519.77019999997</v>
      </c>
      <c r="F3645" t="str">
        <f>+'[2]por cuent'!I3645</f>
        <v>345</v>
      </c>
    </row>
    <row r="3646" spans="1:6" x14ac:dyDescent="0.35">
      <c r="A3646" t="str">
        <f>+'[2]por cuent'!A3646</f>
        <v>USD</v>
      </c>
      <c r="B3646" t="str">
        <f>+'[2]por cuent'!B3646</f>
        <v>345000030</v>
      </c>
      <c r="C3646" t="str">
        <f>+'[2]por cuent'!C3646</f>
        <v>Juan Maria Hugo Mees</v>
      </c>
      <c r="D3646" s="35">
        <f>+'[2]por cuent'!G3646</f>
        <v>1.9</v>
      </c>
      <c r="E3646" s="35">
        <f>+'[2]por cuent'!H3646</f>
        <v>2841.6019999999999</v>
      </c>
      <c r="F3646" t="str">
        <f>+'[2]por cuent'!I3646</f>
        <v>345</v>
      </c>
    </row>
    <row r="3647" spans="1:6" x14ac:dyDescent="0.35">
      <c r="A3647" t="str">
        <f>+'[2]por cuent'!A3647</f>
        <v>USD</v>
      </c>
      <c r="B3647" t="str">
        <f>+'[2]por cuent'!B3647</f>
        <v>345000171</v>
      </c>
      <c r="C3647" t="str">
        <f>+'[2]por cuent'!C3647</f>
        <v>Barbara Pamela Lencina</v>
      </c>
      <c r="D3647" s="35">
        <f>+'[2]por cuent'!G3647</f>
        <v>1.9</v>
      </c>
      <c r="E3647" s="35">
        <f>+'[2]por cuent'!H3647</f>
        <v>2841.6019999999999</v>
      </c>
      <c r="F3647" t="str">
        <f>+'[2]por cuent'!I3647</f>
        <v>345</v>
      </c>
    </row>
    <row r="3648" spans="1:6" x14ac:dyDescent="0.35">
      <c r="A3648" t="str">
        <f>+'[2]por cuent'!A3648</f>
        <v>USD</v>
      </c>
      <c r="B3648" t="str">
        <f>+'[2]por cuent'!B3648</f>
        <v>345000403</v>
      </c>
      <c r="C3648" t="str">
        <f>+'[2]por cuent'!C3648</f>
        <v>Jazmin Geist</v>
      </c>
      <c r="D3648" s="35">
        <f>+'[2]por cuent'!G3648</f>
        <v>538.83000000000004</v>
      </c>
      <c r="E3648" s="35">
        <f>+'[2]por cuent'!H3648</f>
        <v>805863.37140000006</v>
      </c>
      <c r="F3648" t="str">
        <f>+'[2]por cuent'!I3648</f>
        <v>345</v>
      </c>
    </row>
    <row r="3649" spans="1:6" x14ac:dyDescent="0.35">
      <c r="A3649" t="str">
        <f>+'[2]por cuent'!A3649</f>
        <v>USD</v>
      </c>
      <c r="B3649" t="str">
        <f>+'[2]por cuent'!B3649</f>
        <v>345000484</v>
      </c>
      <c r="C3649" t="str">
        <f>+'[2]por cuent'!C3649</f>
        <v>Araujo Obras Viales y Civiles SA</v>
      </c>
      <c r="D3649" s="35">
        <f>+'[2]por cuent'!G3649</f>
        <v>1939.92</v>
      </c>
      <c r="E3649" s="35">
        <f>+'[2]por cuent'!H3649</f>
        <v>2901305.5535999998</v>
      </c>
      <c r="F3649" t="str">
        <f>+'[2]por cuent'!I3649</f>
        <v>345</v>
      </c>
    </row>
    <row r="3650" spans="1:6" x14ac:dyDescent="0.35">
      <c r="A3650" t="str">
        <f>+'[2]por cuent'!A3650</f>
        <v>USD</v>
      </c>
      <c r="B3650" t="str">
        <f>+'[2]por cuent'!B3650</f>
        <v>345000620</v>
      </c>
      <c r="C3650" t="str">
        <f>+'[2]por cuent'!C3650</f>
        <v>Lucas Manuel Iturria</v>
      </c>
      <c r="D3650" s="35">
        <f>+'[2]por cuent'!G3650</f>
        <v>809.9</v>
      </c>
      <c r="E3650" s="35">
        <f>+'[2]por cuent'!H3650</f>
        <v>1211270.2419999999</v>
      </c>
      <c r="F3650" t="str">
        <f>+'[2]por cuent'!I3650</f>
        <v>345</v>
      </c>
    </row>
    <row r="3651" spans="1:6" x14ac:dyDescent="0.35">
      <c r="A3651" t="str">
        <f>+'[2]por cuent'!A3651</f>
        <v>USD</v>
      </c>
      <c r="B3651" t="str">
        <f>+'[2]por cuent'!B3651</f>
        <v>345000714</v>
      </c>
      <c r="C3651" t="str">
        <f>+'[2]por cuent'!C3651</f>
        <v>Oscar Antonio Turchak</v>
      </c>
      <c r="D3651" s="35">
        <f>+'[2]por cuent'!G3651</f>
        <v>705.96</v>
      </c>
      <c r="E3651" s="35">
        <f>+'[2]por cuent'!H3651</f>
        <v>1055819.6568</v>
      </c>
      <c r="F3651" t="str">
        <f>+'[2]por cuent'!I3651</f>
        <v>345</v>
      </c>
    </row>
    <row r="3652" spans="1:6" x14ac:dyDescent="0.35">
      <c r="A3652" t="str">
        <f>+'[2]por cuent'!A3652</f>
        <v>USD</v>
      </c>
      <c r="B3652" t="str">
        <f>+'[2]por cuent'!B3652</f>
        <v>345000724</v>
      </c>
      <c r="C3652" t="str">
        <f>+'[2]por cuent'!C3652</f>
        <v>[C.E.R.A.] Fornasieri Juan Cruz</v>
      </c>
      <c r="D3652" s="35">
        <f>+'[2]por cuent'!G3652</f>
        <v>1747.34</v>
      </c>
      <c r="E3652" s="35">
        <f>+'[2]por cuent'!H3652</f>
        <v>2613286.7571999999</v>
      </c>
      <c r="F3652" t="str">
        <f>+'[2]por cuent'!I3652</f>
        <v>345</v>
      </c>
    </row>
    <row r="3653" spans="1:6" x14ac:dyDescent="0.35">
      <c r="A3653" t="str">
        <f>+'[2]por cuent'!A3653</f>
        <v>USD</v>
      </c>
      <c r="B3653" t="str">
        <f>+'[2]por cuent'!B3653</f>
        <v>345000725</v>
      </c>
      <c r="C3653" t="str">
        <f>+'[2]por cuent'!C3653</f>
        <v>[C.E.R.A.]  Fornasieri Gonzalo Nicolas</v>
      </c>
      <c r="D3653" s="35">
        <f>+'[2]por cuent'!G3653</f>
        <v>624.41999999999996</v>
      </c>
      <c r="E3653" s="35">
        <f>+'[2]por cuent'!H3653</f>
        <v>933870.06359999988</v>
      </c>
      <c r="F3653" t="str">
        <f>+'[2]por cuent'!I3653</f>
        <v>345</v>
      </c>
    </row>
    <row r="3654" spans="1:6" x14ac:dyDescent="0.35">
      <c r="A3654" t="str">
        <f>+'[2]por cuent'!A3654</f>
        <v>USD</v>
      </c>
      <c r="B3654" t="str">
        <f>+'[2]por cuent'!B3654</f>
        <v>345000748</v>
      </c>
      <c r="C3654" t="str">
        <f>+'[2]por cuent'!C3654</f>
        <v>Nancy Beatriz Muras</v>
      </c>
      <c r="D3654" s="35">
        <f>+'[2]por cuent'!G3654</f>
        <v>6838.09</v>
      </c>
      <c r="E3654" s="35">
        <f>+'[2]por cuent'!H3654</f>
        <v>10226910.642200001</v>
      </c>
      <c r="F3654" t="str">
        <f>+'[2]por cuent'!I3654</f>
        <v>345</v>
      </c>
    </row>
    <row r="3655" spans="1:6" x14ac:dyDescent="0.35">
      <c r="A3655" t="str">
        <f>+'[2]por cuent'!A3655</f>
        <v>USD</v>
      </c>
      <c r="B3655" t="str">
        <f>+'[2]por cuent'!B3655</f>
        <v>345000769</v>
      </c>
      <c r="C3655" t="str">
        <f>+'[2]por cuent'!C3655</f>
        <v xml:space="preserve">[C.E.R.A.] Diego Andres Cymberknoh </v>
      </c>
      <c r="D3655" s="35">
        <f>+'[2]por cuent'!G3655</f>
        <v>600669.03</v>
      </c>
      <c r="E3655" s="35">
        <f>+'[2]por cuent'!H3655</f>
        <v>898348587.88740003</v>
      </c>
      <c r="F3655" t="str">
        <f>+'[2]por cuent'!I3655</f>
        <v>345</v>
      </c>
    </row>
    <row r="3656" spans="1:6" x14ac:dyDescent="0.35">
      <c r="A3656" t="str">
        <f>+'[2]por cuent'!A3656</f>
        <v>USD</v>
      </c>
      <c r="B3656" t="str">
        <f>+'[2]por cuent'!B3656</f>
        <v>345000783</v>
      </c>
      <c r="C3656" t="str">
        <f>+'[2]por cuent'!C3656</f>
        <v xml:space="preserve">[C.E.R.A.] Roberto Alfredo Ramos </v>
      </c>
      <c r="D3656" s="35">
        <f>+'[2]por cuent'!G3656</f>
        <v>1.9</v>
      </c>
      <c r="E3656" s="35">
        <f>+'[2]por cuent'!H3656</f>
        <v>2841.6019999999999</v>
      </c>
      <c r="F3656" t="str">
        <f>+'[2]por cuent'!I3656</f>
        <v>345</v>
      </c>
    </row>
    <row r="3657" spans="1:6" x14ac:dyDescent="0.35">
      <c r="A3657" t="str">
        <f>+'[2]por cuent'!A3657</f>
        <v>USD</v>
      </c>
      <c r="B3657" t="str">
        <f>+'[2]por cuent'!B3657</f>
        <v>345000794</v>
      </c>
      <c r="C3657" t="str">
        <f>+'[2]por cuent'!C3657</f>
        <v>Marta Graciela Blasco</v>
      </c>
      <c r="D3657" s="35">
        <f>+'[2]por cuent'!G3657</f>
        <v>1.9</v>
      </c>
      <c r="E3657" s="35">
        <f>+'[2]por cuent'!H3657</f>
        <v>2841.6019999999999</v>
      </c>
      <c r="F3657" t="str">
        <f>+'[2]por cuent'!I3657</f>
        <v>345</v>
      </c>
    </row>
    <row r="3658" spans="1:6" x14ac:dyDescent="0.35">
      <c r="A3658" t="str">
        <f>+'[2]por cuent'!A3658</f>
        <v>USD</v>
      </c>
      <c r="B3658" t="str">
        <f>+'[2]por cuent'!B3658</f>
        <v>345000848</v>
      </c>
      <c r="C3658" t="str">
        <f>+'[2]por cuent'!C3658</f>
        <v>Marcelo Muerza</v>
      </c>
      <c r="D3658" s="35">
        <f>+'[2]por cuent'!G3658</f>
        <v>39880.26</v>
      </c>
      <c r="E3658" s="35">
        <f>+'[2]por cuent'!H3658</f>
        <v>59644119.250799999</v>
      </c>
      <c r="F3658" t="str">
        <f>+'[2]por cuent'!I3658</f>
        <v>345</v>
      </c>
    </row>
    <row r="3659" spans="1:6" x14ac:dyDescent="0.35">
      <c r="A3659" t="str">
        <f>+'[2]por cuent'!A3659</f>
        <v>USD</v>
      </c>
      <c r="B3659" t="str">
        <f>+'[2]por cuent'!B3659</f>
        <v>345000875</v>
      </c>
      <c r="C3659" t="str">
        <f>+'[2]por cuent'!C3659</f>
        <v>Roberto Osvaldo Lestingi y Maria Elena Castro</v>
      </c>
      <c r="D3659" s="35">
        <f>+'[2]por cuent'!G3659</f>
        <v>59434.21</v>
      </c>
      <c r="E3659" s="35">
        <f>+'[2]por cuent'!H3659</f>
        <v>88888615.791799992</v>
      </c>
      <c r="F3659" t="str">
        <f>+'[2]por cuent'!I3659</f>
        <v>345</v>
      </c>
    </row>
    <row r="3660" spans="1:6" x14ac:dyDescent="0.35">
      <c r="A3660" t="str">
        <f>+'[2]por cuent'!A3660</f>
        <v>USD</v>
      </c>
      <c r="B3660" t="str">
        <f>+'[2]por cuent'!B3660</f>
        <v>346000033</v>
      </c>
      <c r="C3660" t="str">
        <f>+'[2]por cuent'!C3660</f>
        <v xml:space="preserve">COOPERATIVAS AGROPECUARIAS FEDERADAS DE ENTRE RIOS </v>
      </c>
      <c r="D3660" s="35">
        <f>+'[2]por cuent'!G3660</f>
        <v>2925.33</v>
      </c>
      <c r="E3660" s="35">
        <f>+'[2]por cuent'!H3660</f>
        <v>4375065.0413999995</v>
      </c>
      <c r="F3660" t="str">
        <f>+'[2]por cuent'!I3660</f>
        <v>346</v>
      </c>
    </row>
    <row r="3661" spans="1:6" x14ac:dyDescent="0.35">
      <c r="A3661" t="str">
        <f>+'[2]por cuent'!A3661</f>
        <v>USD</v>
      </c>
      <c r="B3661" t="str">
        <f>+'[2]por cuent'!B3661</f>
        <v>346070000</v>
      </c>
      <c r="C3661" t="str">
        <f>+'[2]por cuent'!C3661</f>
        <v>COOPERATIVA DE SERVICIOS PÚBLICOS GRAL. JOSÉ DE SAN MARTÍN LTDA.</v>
      </c>
      <c r="D3661" s="35">
        <f>+'[2]por cuent'!G3661</f>
        <v>162062.46</v>
      </c>
      <c r="E3661" s="35">
        <f>+'[2]por cuent'!H3661</f>
        <v>242377373.92679998</v>
      </c>
      <c r="F3661" t="str">
        <f>+'[2]por cuent'!I3661</f>
        <v>346</v>
      </c>
    </row>
    <row r="3662" spans="1:6" x14ac:dyDescent="0.35">
      <c r="A3662" t="str">
        <f>+'[2]por cuent'!A3662</f>
        <v>USD</v>
      </c>
      <c r="B3662" t="str">
        <f>+'[2]por cuent'!B3662</f>
        <v>346070005</v>
      </c>
      <c r="C3662" t="str">
        <f>+'[2]por cuent'!C3662</f>
        <v>Schaab, Daniel Aníbal</v>
      </c>
      <c r="D3662" s="35">
        <f>+'[2]por cuent'!G3662</f>
        <v>64</v>
      </c>
      <c r="E3662" s="35">
        <f>+'[2]por cuent'!H3662</f>
        <v>95717.119999999995</v>
      </c>
      <c r="F3662" t="str">
        <f>+'[2]por cuent'!I3662</f>
        <v>346</v>
      </c>
    </row>
    <row r="3663" spans="1:6" x14ac:dyDescent="0.35">
      <c r="A3663" t="str">
        <f>+'[2]por cuent'!A3663</f>
        <v>USD</v>
      </c>
      <c r="B3663" t="str">
        <f>+'[2]por cuent'!B3663</f>
        <v>346070006</v>
      </c>
      <c r="C3663" t="str">
        <f>+'[2]por cuent'!C3663</f>
        <v>Franco, Silvia María del Carmen</v>
      </c>
      <c r="D3663" s="35">
        <f>+'[2]por cuent'!G3663</f>
        <v>609</v>
      </c>
      <c r="E3663" s="35">
        <f>+'[2]por cuent'!H3663</f>
        <v>910808.22</v>
      </c>
      <c r="F3663" t="str">
        <f>+'[2]por cuent'!I3663</f>
        <v>346</v>
      </c>
    </row>
    <row r="3664" spans="1:6" x14ac:dyDescent="0.35">
      <c r="A3664" t="str">
        <f>+'[2]por cuent'!A3664</f>
        <v>USD</v>
      </c>
      <c r="B3664" t="str">
        <f>+'[2]por cuent'!B3664</f>
        <v>346070008</v>
      </c>
      <c r="C3664" t="str">
        <f>+'[2]por cuent'!C3664</f>
        <v>SOLVENCIA - Mutual de Consejeros, Síndicos y Empleados de entidades cooperativas de Seguí, Entre Ríos</v>
      </c>
      <c r="D3664" s="35">
        <f>+'[2]por cuent'!G3664</f>
        <v>17867</v>
      </c>
      <c r="E3664" s="35">
        <f>+'[2]por cuent'!H3664</f>
        <v>26721527.859999999</v>
      </c>
      <c r="F3664" t="str">
        <f>+'[2]por cuent'!I3664</f>
        <v>346</v>
      </c>
    </row>
    <row r="3665" spans="1:6" x14ac:dyDescent="0.35">
      <c r="A3665" t="str">
        <f>+'[2]por cuent'!A3665</f>
        <v>USD</v>
      </c>
      <c r="B3665" t="str">
        <f>+'[2]por cuent'!B3665</f>
        <v>346070010</v>
      </c>
      <c r="C3665" t="str">
        <f>+'[2]por cuent'!C3665</f>
        <v>Moro, Guillermo Luís</v>
      </c>
      <c r="D3665" s="35">
        <f>+'[2]por cuent'!G3665</f>
        <v>31076</v>
      </c>
      <c r="E3665" s="35">
        <f>+'[2]por cuent'!H3665</f>
        <v>46476644.079999998</v>
      </c>
      <c r="F3665" t="str">
        <f>+'[2]por cuent'!I3665</f>
        <v>346</v>
      </c>
    </row>
    <row r="3666" spans="1:6" x14ac:dyDescent="0.35">
      <c r="A3666" t="str">
        <f>+'[2]por cuent'!A3666</f>
        <v>USD</v>
      </c>
      <c r="B3666" t="str">
        <f>+'[2]por cuent'!B3666</f>
        <v>346200001</v>
      </c>
      <c r="C3666" t="str">
        <f>+'[2]por cuent'!C3666</f>
        <v>Espinosa, Rodrigo Fernando</v>
      </c>
      <c r="D3666" s="35">
        <f>+'[2]por cuent'!G3666</f>
        <v>9042.06</v>
      </c>
      <c r="E3666" s="35">
        <f>+'[2]por cuent'!H3666</f>
        <v>13523124.094799999</v>
      </c>
      <c r="F3666" t="str">
        <f>+'[2]por cuent'!I3666</f>
        <v>346</v>
      </c>
    </row>
    <row r="3667" spans="1:6" x14ac:dyDescent="0.35">
      <c r="A3667" t="str">
        <f>+'[2]por cuent'!A3667</f>
        <v>USD</v>
      </c>
      <c r="B3667" t="str">
        <f>+'[2]por cuent'!B3667</f>
        <v>346200002</v>
      </c>
      <c r="C3667" t="str">
        <f>+'[2]por cuent'!C3667</f>
        <v>Espinosa, Karina Elizabeth</v>
      </c>
      <c r="D3667" s="35">
        <f>+'[2]por cuent'!G3667</f>
        <v>6606</v>
      </c>
      <c r="E3667" s="35">
        <f>+'[2]por cuent'!H3667</f>
        <v>9879801.4800000004</v>
      </c>
      <c r="F3667" t="str">
        <f>+'[2]por cuent'!I3667</f>
        <v>346</v>
      </c>
    </row>
    <row r="3668" spans="1:6" x14ac:dyDescent="0.35">
      <c r="A3668" t="str">
        <f>+'[2]por cuent'!A3668</f>
        <v>USD</v>
      </c>
      <c r="B3668" t="str">
        <f>+'[2]por cuent'!B3668</f>
        <v>346200003</v>
      </c>
      <c r="C3668" t="str">
        <f>+'[2]por cuent'!C3668</f>
        <v>Tramontina, Mauro Alejandro</v>
      </c>
      <c r="D3668" s="35">
        <f>+'[2]por cuent'!G3668</f>
        <v>4735.3599999999997</v>
      </c>
      <c r="E3668" s="35">
        <f>+'[2]por cuent'!H3668</f>
        <v>7082109.7087999992</v>
      </c>
      <c r="F3668" t="str">
        <f>+'[2]por cuent'!I3668</f>
        <v>346</v>
      </c>
    </row>
    <row r="3669" spans="1:6" x14ac:dyDescent="0.35">
      <c r="A3669" t="str">
        <f>+'[2]por cuent'!A3669</f>
        <v>USD</v>
      </c>
      <c r="B3669" t="str">
        <f>+'[2]por cuent'!B3669</f>
        <v>346200010</v>
      </c>
      <c r="C3669" t="str">
        <f>+'[2]por cuent'!C3669</f>
        <v>Cinalli, Telma Cora</v>
      </c>
      <c r="D3669" s="35">
        <f>+'[2]por cuent'!G3669</f>
        <v>1526</v>
      </c>
      <c r="E3669" s="35">
        <f>+'[2]por cuent'!H3669</f>
        <v>2282255.08</v>
      </c>
      <c r="F3669" t="str">
        <f>+'[2]por cuent'!I3669</f>
        <v>346</v>
      </c>
    </row>
    <row r="3670" spans="1:6" x14ac:dyDescent="0.35">
      <c r="A3670" t="str">
        <f>+'[2]por cuent'!A3670</f>
        <v>USD</v>
      </c>
      <c r="B3670" t="str">
        <f>+'[2]por cuent'!B3670</f>
        <v>346310009</v>
      </c>
      <c r="C3670" t="str">
        <f>+'[2]por cuent'!C3670</f>
        <v>Leiss, Jonathan</v>
      </c>
      <c r="D3670" s="35">
        <f>+'[2]por cuent'!G3670</f>
        <v>9168</v>
      </c>
      <c r="E3670" s="35">
        <f>+'[2]por cuent'!H3670</f>
        <v>13711477.439999999</v>
      </c>
      <c r="F3670" t="str">
        <f>+'[2]por cuent'!I3670</f>
        <v>346</v>
      </c>
    </row>
    <row r="3671" spans="1:6" x14ac:dyDescent="0.35">
      <c r="A3671" t="str">
        <f>+'[2]por cuent'!A3671</f>
        <v>USD</v>
      </c>
      <c r="B3671" t="str">
        <f>+'[2]por cuent'!B3671</f>
        <v>346310010</v>
      </c>
      <c r="C3671" t="str">
        <f>+'[2]por cuent'!C3671</f>
        <v>Favero, Johana Belén</v>
      </c>
      <c r="D3671" s="35">
        <f>+'[2]por cuent'!G3671</f>
        <v>175</v>
      </c>
      <c r="E3671" s="35">
        <f>+'[2]por cuent'!H3671</f>
        <v>261726.5</v>
      </c>
      <c r="F3671" t="str">
        <f>+'[2]por cuent'!I3671</f>
        <v>346</v>
      </c>
    </row>
    <row r="3672" spans="1:6" x14ac:dyDescent="0.35">
      <c r="A3672" t="str">
        <f>+'[2]por cuent'!A3672</f>
        <v>USD</v>
      </c>
      <c r="B3672" t="str">
        <f>+'[2]por cuent'!B3672</f>
        <v>346310019</v>
      </c>
      <c r="C3672" t="str">
        <f>+'[2]por cuent'!C3672</f>
        <v>VITAL CAMPO S.R.L.</v>
      </c>
      <c r="D3672" s="35">
        <f>+'[2]por cuent'!G3672</f>
        <v>2446.19</v>
      </c>
      <c r="E3672" s="35">
        <f>+'[2]por cuent'!H3672</f>
        <v>3658472.8402</v>
      </c>
      <c r="F3672" t="str">
        <f>+'[2]por cuent'!I3672</f>
        <v>346</v>
      </c>
    </row>
    <row r="3673" spans="1:6" x14ac:dyDescent="0.35">
      <c r="A3673" t="str">
        <f>+'[2]por cuent'!A3673</f>
        <v>USD</v>
      </c>
      <c r="B3673" t="str">
        <f>+'[2]por cuent'!B3673</f>
        <v>346310020</v>
      </c>
      <c r="C3673" t="str">
        <f>+'[2]por cuent'!C3673</f>
        <v>Camuñas, Isabel Susana Inés</v>
      </c>
      <c r="D3673" s="35">
        <f>+'[2]por cuent'!G3673</f>
        <v>144712</v>
      </c>
      <c r="E3673" s="35">
        <f>+'[2]por cuent'!H3673</f>
        <v>216428372.95999998</v>
      </c>
      <c r="F3673" t="str">
        <f>+'[2]por cuent'!I3673</f>
        <v>346</v>
      </c>
    </row>
    <row r="3674" spans="1:6" x14ac:dyDescent="0.35">
      <c r="A3674" t="str">
        <f>+'[2]por cuent'!A3674</f>
        <v>USD</v>
      </c>
      <c r="B3674" t="str">
        <f>+'[2]por cuent'!B3674</f>
        <v>346310033</v>
      </c>
      <c r="C3674" t="str">
        <f>+'[2]por cuent'!C3674</f>
        <v>Darrichon, Viviana Amelia</v>
      </c>
      <c r="D3674" s="35">
        <f>+'[2]por cuent'!G3674</f>
        <v>1250.58</v>
      </c>
      <c r="E3674" s="35">
        <f>+'[2]por cuent'!H3674</f>
        <v>1870342.4363999998</v>
      </c>
      <c r="F3674" t="str">
        <f>+'[2]por cuent'!I3674</f>
        <v>346</v>
      </c>
    </row>
    <row r="3675" spans="1:6" x14ac:dyDescent="0.35">
      <c r="A3675" t="str">
        <f>+'[2]por cuent'!A3675</f>
        <v>USD</v>
      </c>
      <c r="B3675" t="str">
        <f>+'[2]por cuent'!B3675</f>
        <v>346310038</v>
      </c>
      <c r="C3675" t="str">
        <f>+'[2]por cuent'!C3675</f>
        <v>Vallejo, Raúl Gustavo</v>
      </c>
      <c r="D3675" s="35">
        <f>+'[2]por cuent'!G3675</f>
        <v>348</v>
      </c>
      <c r="E3675" s="35">
        <f>+'[2]por cuent'!H3675</f>
        <v>520461.83999999997</v>
      </c>
      <c r="F3675" t="str">
        <f>+'[2]por cuent'!I3675</f>
        <v>346</v>
      </c>
    </row>
    <row r="3676" spans="1:6" x14ac:dyDescent="0.35">
      <c r="A3676" t="str">
        <f>+'[2]por cuent'!A3676</f>
        <v>USD</v>
      </c>
      <c r="B3676" t="str">
        <f>+'[2]por cuent'!B3676</f>
        <v>346310042</v>
      </c>
      <c r="C3676" t="str">
        <f>+'[2]por cuent'!C3676</f>
        <v>Schwarzkopf, Alicia Noemí</v>
      </c>
      <c r="D3676" s="35">
        <f>+'[2]por cuent'!G3676</f>
        <v>531.72</v>
      </c>
      <c r="E3676" s="35">
        <f>+'[2]por cuent'!H3676</f>
        <v>795229.79760000005</v>
      </c>
      <c r="F3676" t="str">
        <f>+'[2]por cuent'!I3676</f>
        <v>346</v>
      </c>
    </row>
    <row r="3677" spans="1:6" x14ac:dyDescent="0.35">
      <c r="A3677" t="str">
        <f>+'[2]por cuent'!A3677</f>
        <v>USD</v>
      </c>
      <c r="B3677" t="str">
        <f>+'[2]por cuent'!B3677</f>
        <v>346310045</v>
      </c>
      <c r="C3677" t="str">
        <f>+'[2]por cuent'!C3677</f>
        <v>Romero, Walter Emanuel</v>
      </c>
      <c r="D3677" s="35">
        <f>+'[2]por cuent'!G3677</f>
        <v>95684.58</v>
      </c>
      <c r="E3677" s="35">
        <f>+'[2]por cuent'!H3677</f>
        <v>143103944.1564</v>
      </c>
      <c r="F3677" t="str">
        <f>+'[2]por cuent'!I3677</f>
        <v>346</v>
      </c>
    </row>
    <row r="3678" spans="1:6" x14ac:dyDescent="0.35">
      <c r="A3678" t="str">
        <f>+'[2]por cuent'!A3678</f>
        <v>USD</v>
      </c>
      <c r="B3678" t="str">
        <f>+'[2]por cuent'!B3678</f>
        <v>346311000</v>
      </c>
      <c r="C3678" t="str">
        <f>+'[2]por cuent'!C3678</f>
        <v>Dabin, Ignacio Pablo</v>
      </c>
      <c r="D3678" s="35">
        <f>+'[2]por cuent'!G3678</f>
        <v>692.02</v>
      </c>
      <c r="E3678" s="35">
        <f>+'[2]por cuent'!H3678</f>
        <v>1034971.2716</v>
      </c>
      <c r="F3678" t="str">
        <f>+'[2]por cuent'!I3678</f>
        <v>346</v>
      </c>
    </row>
    <row r="3679" spans="1:6" x14ac:dyDescent="0.35">
      <c r="A3679" t="str">
        <f>+'[2]por cuent'!A3679</f>
        <v>USD</v>
      </c>
      <c r="B3679" t="str">
        <f>+'[2]por cuent'!B3679</f>
        <v>346311001</v>
      </c>
      <c r="C3679" t="str">
        <f>+'[2]por cuent'!C3679</f>
        <v>Berta, Juliana Gisela</v>
      </c>
      <c r="D3679" s="35">
        <f>+'[2]por cuent'!G3679</f>
        <v>240.06</v>
      </c>
      <c r="E3679" s="35">
        <f>+'[2]por cuent'!H3679</f>
        <v>359028.93479999999</v>
      </c>
      <c r="F3679" t="str">
        <f>+'[2]por cuent'!I3679</f>
        <v>346</v>
      </c>
    </row>
    <row r="3680" spans="1:6" x14ac:dyDescent="0.35">
      <c r="A3680" t="str">
        <f>+'[2]por cuent'!A3680</f>
        <v>USD</v>
      </c>
      <c r="B3680" t="str">
        <f>+'[2]por cuent'!B3680</f>
        <v>346311005</v>
      </c>
      <c r="C3680" t="str">
        <f>+'[2]por cuent'!C3680</f>
        <v>Dittler, Mariano Pablo</v>
      </c>
      <c r="D3680" s="35">
        <f>+'[2]por cuent'!G3680</f>
        <v>528</v>
      </c>
      <c r="E3680" s="35">
        <f>+'[2]por cuent'!H3680</f>
        <v>789666.24</v>
      </c>
      <c r="F3680" t="str">
        <f>+'[2]por cuent'!I3680</f>
        <v>346</v>
      </c>
    </row>
    <row r="3681" spans="1:6" x14ac:dyDescent="0.35">
      <c r="A3681" t="str">
        <f>+'[2]por cuent'!A3681</f>
        <v>USD</v>
      </c>
      <c r="B3681" t="str">
        <f>+'[2]por cuent'!B3681</f>
        <v>346311007</v>
      </c>
      <c r="C3681" t="str">
        <f>+'[2]por cuent'!C3681</f>
        <v>Tentor, Silvia Guadalupe</v>
      </c>
      <c r="D3681" s="35">
        <f>+'[2]por cuent'!G3681</f>
        <v>5382.8</v>
      </c>
      <c r="E3681" s="35">
        <f>+'[2]por cuent'!H3681</f>
        <v>8050408.0240000002</v>
      </c>
      <c r="F3681" t="str">
        <f>+'[2]por cuent'!I3681</f>
        <v>346</v>
      </c>
    </row>
    <row r="3682" spans="1:6" x14ac:dyDescent="0.35">
      <c r="A3682" t="str">
        <f>+'[2]por cuent'!A3682</f>
        <v>USD</v>
      </c>
      <c r="B3682" t="str">
        <f>+'[2]por cuent'!B3682</f>
        <v>346311009</v>
      </c>
      <c r="C3682" t="str">
        <f>+'[2]por cuent'!C3682</f>
        <v>Balbi, Juan Adolfo</v>
      </c>
      <c r="D3682" s="35">
        <f>+'[2]por cuent'!G3682</f>
        <v>10902.57</v>
      </c>
      <c r="E3682" s="35">
        <f>+'[2]por cuent'!H3682</f>
        <v>16305665.6406</v>
      </c>
      <c r="F3682" t="str">
        <f>+'[2]por cuent'!I3682</f>
        <v>346</v>
      </c>
    </row>
    <row r="3683" spans="1:6" x14ac:dyDescent="0.35">
      <c r="A3683" t="str">
        <f>+'[2]por cuent'!A3683</f>
        <v>USD</v>
      </c>
      <c r="B3683" t="str">
        <f>+'[2]por cuent'!B3683</f>
        <v>346311011</v>
      </c>
      <c r="C3683" t="str">
        <f>+'[2]por cuent'!C3683</f>
        <v>Martinessi, Luciano Andrés</v>
      </c>
      <c r="D3683" s="35">
        <f>+'[2]por cuent'!G3683</f>
        <v>8569.1200000000008</v>
      </c>
      <c r="E3683" s="35">
        <f>+'[2]por cuent'!H3683</f>
        <v>12815804.489600001</v>
      </c>
      <c r="F3683" t="str">
        <f>+'[2]por cuent'!I3683</f>
        <v>346</v>
      </c>
    </row>
    <row r="3684" spans="1:6" x14ac:dyDescent="0.35">
      <c r="A3684" t="str">
        <f>+'[2]por cuent'!A3684</f>
        <v>USD</v>
      </c>
      <c r="B3684" t="str">
        <f>+'[2]por cuent'!B3684</f>
        <v>346311012</v>
      </c>
      <c r="C3684" t="str">
        <f>+'[2]por cuent'!C3684</f>
        <v>Peña, Lucy Guadalupe</v>
      </c>
      <c r="D3684" s="35">
        <f>+'[2]por cuent'!G3684</f>
        <v>107</v>
      </c>
      <c r="E3684" s="35">
        <f>+'[2]por cuent'!H3684</f>
        <v>160027.06</v>
      </c>
      <c r="F3684" t="str">
        <f>+'[2]por cuent'!I3684</f>
        <v>346</v>
      </c>
    </row>
    <row r="3685" spans="1:6" x14ac:dyDescent="0.35">
      <c r="A3685" t="str">
        <f>+'[2]por cuent'!A3685</f>
        <v>USD</v>
      </c>
      <c r="B3685" t="str">
        <f>+'[2]por cuent'!B3685</f>
        <v>346311013</v>
      </c>
      <c r="C3685" t="str">
        <f>+'[2]por cuent'!C3685</f>
        <v>Bel, Alfredo Fabián</v>
      </c>
      <c r="D3685" s="35">
        <f>+'[2]por cuent'!G3685</f>
        <v>2112</v>
      </c>
      <c r="E3685" s="35">
        <f>+'[2]por cuent'!H3685</f>
        <v>3158664.96</v>
      </c>
      <c r="F3685" t="str">
        <f>+'[2]por cuent'!I3685</f>
        <v>346</v>
      </c>
    </row>
    <row r="3686" spans="1:6" x14ac:dyDescent="0.35">
      <c r="A3686" t="str">
        <f>+'[2]por cuent'!A3686</f>
        <v>USD</v>
      </c>
      <c r="B3686" t="str">
        <f>+'[2]por cuent'!B3686</f>
        <v>346320101</v>
      </c>
      <c r="C3686" t="str">
        <f>+'[2]por cuent'!C3686</f>
        <v>Arce, Gabriel Arnoldo</v>
      </c>
      <c r="D3686" s="35">
        <f>+'[2]por cuent'!G3686</f>
        <v>6016.98</v>
      </c>
      <c r="E3686" s="35">
        <f>+'[2]por cuent'!H3686</f>
        <v>8998874.9483999982</v>
      </c>
      <c r="F3686" t="str">
        <f>+'[2]por cuent'!I3686</f>
        <v>346</v>
      </c>
    </row>
    <row r="3687" spans="1:6" x14ac:dyDescent="0.35">
      <c r="A3687" t="str">
        <f>+'[2]por cuent'!A3687</f>
        <v>USD</v>
      </c>
      <c r="B3687" t="str">
        <f>+'[2]por cuent'!B3687</f>
        <v>346320103</v>
      </c>
      <c r="C3687" t="str">
        <f>+'[2]por cuent'!C3687</f>
        <v>Maidana, Flavia Gisela</v>
      </c>
      <c r="D3687" s="35">
        <f>+'[2]por cuent'!G3687</f>
        <v>2122.98</v>
      </c>
      <c r="E3687" s="35">
        <f>+'[2]por cuent'!H3687</f>
        <v>3175086.4284000001</v>
      </c>
      <c r="F3687" t="str">
        <f>+'[2]por cuent'!I3687</f>
        <v>346</v>
      </c>
    </row>
    <row r="3688" spans="1:6" x14ac:dyDescent="0.35">
      <c r="A3688" t="str">
        <f>+'[2]por cuent'!A3688</f>
        <v>USD</v>
      </c>
      <c r="B3688" t="str">
        <f>+'[2]por cuent'!B3688</f>
        <v>346320301</v>
      </c>
      <c r="C3688" t="str">
        <f>+'[2]por cuent'!C3688</f>
        <v>Díaz, Pedro Omar</v>
      </c>
      <c r="D3688" s="35">
        <f>+'[2]por cuent'!G3688</f>
        <v>149</v>
      </c>
      <c r="E3688" s="35">
        <f>+'[2]por cuent'!H3688</f>
        <v>222841.41999999998</v>
      </c>
      <c r="F3688" t="str">
        <f>+'[2]por cuent'!I3688</f>
        <v>346</v>
      </c>
    </row>
    <row r="3689" spans="1:6" x14ac:dyDescent="0.35">
      <c r="A3689" t="str">
        <f>+'[2]por cuent'!A3689</f>
        <v>USD</v>
      </c>
      <c r="B3689" t="str">
        <f>+'[2]por cuent'!B3689</f>
        <v>346800006</v>
      </c>
      <c r="C3689" t="str">
        <f>+'[2]por cuent'!C3689</f>
        <v>Aladio, Adolfo Juan Pedro</v>
      </c>
      <c r="D3689" s="35">
        <f>+'[2]por cuent'!G3689</f>
        <v>8032</v>
      </c>
      <c r="E3689" s="35">
        <f>+'[2]por cuent'!H3689</f>
        <v>12012498.559999999</v>
      </c>
      <c r="F3689" t="str">
        <f>+'[2]por cuent'!I3689</f>
        <v>346</v>
      </c>
    </row>
    <row r="3690" spans="1:6" x14ac:dyDescent="0.35">
      <c r="A3690" t="str">
        <f>+'[2]por cuent'!A3690</f>
        <v>USD</v>
      </c>
      <c r="B3690" t="str">
        <f>+'[2]por cuent'!B3690</f>
        <v>401000007</v>
      </c>
      <c r="C3690" t="str">
        <f>+'[2]por cuent'!C3690</f>
        <v>MACIEL ENRIQUE</v>
      </c>
      <c r="D3690" s="35">
        <f>+'[2]por cuent'!G3690</f>
        <v>998873</v>
      </c>
      <c r="E3690" s="35">
        <f>+'[2]por cuent'!H3690</f>
        <v>1493894481.3399999</v>
      </c>
      <c r="F3690" t="str">
        <f>+'[2]por cuent'!I3690</f>
        <v>401</v>
      </c>
    </row>
    <row r="3691" spans="1:6" x14ac:dyDescent="0.35">
      <c r="A3691" t="str">
        <f>+'[2]por cuent'!A3691</f>
        <v>USD</v>
      </c>
      <c r="B3691" t="str">
        <f>+'[2]por cuent'!B3691</f>
        <v>401000008</v>
      </c>
      <c r="C3691" t="str">
        <f>+'[2]por cuent'!C3691</f>
        <v>AVANTIA VALORES SA</v>
      </c>
      <c r="D3691" s="35">
        <f>+'[2]por cuent'!G3691</f>
        <v>2605024.73</v>
      </c>
      <c r="E3691" s="35">
        <f>+'[2]por cuent'!H3691</f>
        <v>3896022885.6933999</v>
      </c>
      <c r="F3691" t="str">
        <f>+'[2]por cuent'!I3691</f>
        <v>401</v>
      </c>
    </row>
    <row r="3692" spans="1:6" x14ac:dyDescent="0.35">
      <c r="A3692" t="str">
        <f>+'[2]por cuent'!A3692</f>
        <v>USD</v>
      </c>
      <c r="B3692" t="str">
        <f>+'[2]por cuent'!B3692</f>
        <v>401000011</v>
      </c>
      <c r="C3692" t="str">
        <f>+'[2]por cuent'!C3692</f>
        <v>MICOLAND S.A.</v>
      </c>
      <c r="D3692" s="35">
        <f>+'[2]por cuent'!G3692</f>
        <v>8416.08</v>
      </c>
      <c r="E3692" s="35">
        <f>+'[2]por cuent'!H3692</f>
        <v>12586920.926399998</v>
      </c>
      <c r="F3692" t="str">
        <f>+'[2]por cuent'!I3692</f>
        <v>401</v>
      </c>
    </row>
    <row r="3693" spans="1:6" x14ac:dyDescent="0.35">
      <c r="A3693" t="str">
        <f>+'[2]por cuent'!A3693</f>
        <v>USD</v>
      </c>
      <c r="B3693" t="str">
        <f>+'[2]por cuent'!B3693</f>
        <v>401000012</v>
      </c>
      <c r="C3693" t="str">
        <f>+'[2]por cuent'!C3693</f>
        <v>GUNDESEN PEDRO NICOLAS</v>
      </c>
      <c r="D3693" s="35">
        <f>+'[2]por cuent'!G3693</f>
        <v>5.79</v>
      </c>
      <c r="E3693" s="35">
        <f>+'[2]por cuent'!H3693</f>
        <v>8659.4081999999999</v>
      </c>
      <c r="F3693" t="str">
        <f>+'[2]por cuent'!I3693</f>
        <v>401</v>
      </c>
    </row>
    <row r="3694" spans="1:6" x14ac:dyDescent="0.35">
      <c r="A3694" t="str">
        <f>+'[2]por cuent'!A3694</f>
        <v>USD</v>
      </c>
      <c r="B3694" t="str">
        <f>+'[2]por cuent'!B3694</f>
        <v>401000022</v>
      </c>
      <c r="C3694" t="str">
        <f>+'[2]por cuent'!C3694</f>
        <v>BENITEZ GUILLERMO</v>
      </c>
      <c r="D3694" s="35">
        <f>+'[2]por cuent'!G3694</f>
        <v>1055763</v>
      </c>
      <c r="E3694" s="35">
        <f>+'[2]por cuent'!H3694</f>
        <v>1578978027.54</v>
      </c>
      <c r="F3694" t="str">
        <f>+'[2]por cuent'!I3694</f>
        <v>401</v>
      </c>
    </row>
    <row r="3695" spans="1:6" x14ac:dyDescent="0.35">
      <c r="A3695" t="str">
        <f>+'[2]por cuent'!A3695</f>
        <v>USD</v>
      </c>
      <c r="B3695" t="str">
        <f>+'[2]por cuent'!B3695</f>
        <v>401000027</v>
      </c>
      <c r="C3695" t="str">
        <f>+'[2]por cuent'!C3695</f>
        <v>LP AGROPECUARIA S.R.L.</v>
      </c>
      <c r="D3695" s="35">
        <f>+'[2]por cuent'!G3695</f>
        <v>50455.14</v>
      </c>
      <c r="E3695" s="35">
        <f>+'[2]por cuent'!H3695</f>
        <v>75459698.281199992</v>
      </c>
      <c r="F3695" t="str">
        <f>+'[2]por cuent'!I3695</f>
        <v>401</v>
      </c>
    </row>
    <row r="3696" spans="1:6" x14ac:dyDescent="0.35">
      <c r="A3696" t="str">
        <f>+'[2]por cuent'!A3696</f>
        <v>USD</v>
      </c>
      <c r="B3696" t="str">
        <f>+'[2]por cuent'!B3696</f>
        <v>401000036</v>
      </c>
      <c r="C3696" t="str">
        <f>+'[2]por cuent'!C3696</f>
        <v>MISCELIO S.A.</v>
      </c>
      <c r="D3696" s="35">
        <f>+'[2]por cuent'!G3696</f>
        <v>21001.32</v>
      </c>
      <c r="E3696" s="35">
        <f>+'[2]por cuent'!H3696</f>
        <v>31409154.165599998</v>
      </c>
      <c r="F3696" t="str">
        <f>+'[2]por cuent'!I3696</f>
        <v>401</v>
      </c>
    </row>
    <row r="3697" spans="1:6" x14ac:dyDescent="0.35">
      <c r="A3697" t="str">
        <f>+'[2]por cuent'!A3697</f>
        <v>USD</v>
      </c>
      <c r="B3697" t="str">
        <f>+'[2]por cuent'!B3697</f>
        <v>401000037</v>
      </c>
      <c r="C3697" t="str">
        <f>+'[2]por cuent'!C3697</f>
        <v>GOTION ARGENTINA S.A.</v>
      </c>
      <c r="D3697" s="35">
        <f>+'[2]por cuent'!G3697</f>
        <v>183541.99</v>
      </c>
      <c r="E3697" s="35">
        <f>+'[2]por cuent'!H3697</f>
        <v>274501729.40419996</v>
      </c>
      <c r="F3697" t="str">
        <f>+'[2]por cuent'!I3697</f>
        <v>401</v>
      </c>
    </row>
    <row r="3698" spans="1:6" x14ac:dyDescent="0.35">
      <c r="A3698" t="str">
        <f>+'[2]por cuent'!A3698</f>
        <v>USD</v>
      </c>
      <c r="B3698" t="str">
        <f>+'[2]por cuent'!B3698</f>
        <v>401000051</v>
      </c>
      <c r="C3698" t="str">
        <f>+'[2]por cuent'!C3698</f>
        <v>EMPRESA NAVIERA PETROLERA ATLANTICA S.A.</v>
      </c>
      <c r="D3698" s="35">
        <f>+'[2]por cuent'!G3698</f>
        <v>42438724</v>
      </c>
      <c r="E3698" s="35">
        <f>+'[2]por cuent'!H3698</f>
        <v>63470506839.919998</v>
      </c>
      <c r="F3698" t="str">
        <f>+'[2]por cuent'!I3698</f>
        <v>401</v>
      </c>
    </row>
    <row r="3699" spans="1:6" x14ac:dyDescent="0.35">
      <c r="A3699" t="str">
        <f>+'[2]por cuent'!A3699</f>
        <v>USD</v>
      </c>
      <c r="B3699" t="str">
        <f>+'[2]por cuent'!B3699</f>
        <v>401000052</v>
      </c>
      <c r="C3699" t="str">
        <f>+'[2]por cuent'!C3699</f>
        <v>LA COMODA S.A.</v>
      </c>
      <c r="D3699" s="35">
        <f>+'[2]por cuent'!G3699</f>
        <v>4381676</v>
      </c>
      <c r="E3699" s="35">
        <f>+'[2]por cuent'!H3699</f>
        <v>6553146992.0799999</v>
      </c>
      <c r="F3699" t="str">
        <f>+'[2]por cuent'!I3699</f>
        <v>401</v>
      </c>
    </row>
    <row r="3700" spans="1:6" x14ac:dyDescent="0.35">
      <c r="A3700" t="str">
        <f>+'[2]por cuent'!A3700</f>
        <v>USD</v>
      </c>
      <c r="B3700" t="str">
        <f>+'[2]por cuent'!B3700</f>
        <v>401000076</v>
      </c>
      <c r="C3700" t="str">
        <f>+'[2]por cuent'!C3700</f>
        <v>GARCIA COLOMBINI MARIA JOSEFINA</v>
      </c>
      <c r="D3700" s="35">
        <f>+'[2]por cuent'!G3700</f>
        <v>5543303.2199999997</v>
      </c>
      <c r="E3700" s="35">
        <f>+'[2]por cuent'!H3700</f>
        <v>8290453429.7675991</v>
      </c>
      <c r="F3700" t="str">
        <f>+'[2]por cuent'!I3700</f>
        <v>401</v>
      </c>
    </row>
    <row r="3701" spans="1:6" x14ac:dyDescent="0.35">
      <c r="A3701" t="str">
        <f>+'[2]por cuent'!A3701</f>
        <v>USD</v>
      </c>
      <c r="B3701" t="str">
        <f>+'[2]por cuent'!B3701</f>
        <v>401000078</v>
      </c>
      <c r="C3701" t="str">
        <f>+'[2]por cuent'!C3701</f>
        <v>GROENENBERG HUMBERTO JACOBO</v>
      </c>
      <c r="D3701" s="35">
        <f>+'[2]por cuent'!G3701</f>
        <v>20953.599999999999</v>
      </c>
      <c r="E3701" s="35">
        <f>+'[2]por cuent'!H3701</f>
        <v>31337785.087999996</v>
      </c>
      <c r="F3701" t="str">
        <f>+'[2]por cuent'!I3701</f>
        <v>401</v>
      </c>
    </row>
    <row r="3702" spans="1:6" x14ac:dyDescent="0.35">
      <c r="A3702" t="str">
        <f>+'[2]por cuent'!A3702</f>
        <v>USD</v>
      </c>
      <c r="B3702" t="str">
        <f>+'[2]por cuent'!B3702</f>
        <v>401000097</v>
      </c>
      <c r="C3702" t="str">
        <f>+'[2]por cuent'!C3702</f>
        <v>CASA DEMARIA TEOFILO RAUL</v>
      </c>
      <c r="D3702" s="35">
        <f>+'[2]por cuent'!G3702</f>
        <v>7229264.21</v>
      </c>
      <c r="E3702" s="35">
        <f>+'[2]por cuent'!H3702</f>
        <v>10811942967.191799</v>
      </c>
      <c r="F3702" t="str">
        <f>+'[2]por cuent'!I3702</f>
        <v>401</v>
      </c>
    </row>
    <row r="3703" spans="1:6" x14ac:dyDescent="0.35">
      <c r="A3703" t="str">
        <f>+'[2]por cuent'!A3703</f>
        <v>USD</v>
      </c>
      <c r="B3703" t="str">
        <f>+'[2]por cuent'!B3703</f>
        <v>401000111</v>
      </c>
      <c r="C3703" t="str">
        <f>+'[2]por cuent'!C3703</f>
        <v>FANTASÍA JORGE LUIS</v>
      </c>
      <c r="D3703" s="35">
        <f>+'[2]por cuent'!G3703</f>
        <v>16377.09</v>
      </c>
      <c r="E3703" s="35">
        <f>+'[2]por cuent'!H3703</f>
        <v>24493248.262199998</v>
      </c>
      <c r="F3703" t="str">
        <f>+'[2]por cuent'!I3703</f>
        <v>401</v>
      </c>
    </row>
    <row r="3704" spans="1:6" x14ac:dyDescent="0.35">
      <c r="A3704" t="str">
        <f>+'[2]por cuent'!A3704</f>
        <v>USD</v>
      </c>
      <c r="B3704" t="str">
        <f>+'[2]por cuent'!B3704</f>
        <v>401000116</v>
      </c>
      <c r="C3704" t="str">
        <f>+'[2]por cuent'!C3704</f>
        <v>ITZCOVICH MARIANA</v>
      </c>
      <c r="D3704" s="35">
        <f>+'[2]por cuent'!G3704</f>
        <v>31.32</v>
      </c>
      <c r="E3704" s="35">
        <f>+'[2]por cuent'!H3704</f>
        <v>46841.565600000002</v>
      </c>
      <c r="F3704" t="str">
        <f>+'[2]por cuent'!I3704</f>
        <v>401</v>
      </c>
    </row>
    <row r="3705" spans="1:6" x14ac:dyDescent="0.35">
      <c r="A3705" t="str">
        <f>+'[2]por cuent'!A3705</f>
        <v>USD</v>
      </c>
      <c r="B3705" t="str">
        <f>+'[2]por cuent'!B3705</f>
        <v>401000134</v>
      </c>
      <c r="C3705" t="str">
        <f>+'[2]por cuent'!C3705</f>
        <v>ROJAS PANELO FERNANDO MARIO</v>
      </c>
      <c r="D3705" s="35">
        <f>+'[2]por cuent'!G3705</f>
        <v>71321.350000000006</v>
      </c>
      <c r="E3705" s="35">
        <f>+'[2]por cuent'!H3705</f>
        <v>106666784.633</v>
      </c>
      <c r="F3705" t="str">
        <f>+'[2]por cuent'!I3705</f>
        <v>401</v>
      </c>
    </row>
    <row r="3706" spans="1:6" x14ac:dyDescent="0.35">
      <c r="A3706" t="str">
        <f>+'[2]por cuent'!A3706</f>
        <v>USD</v>
      </c>
      <c r="B3706" t="str">
        <f>+'[2]por cuent'!B3706</f>
        <v>401000151</v>
      </c>
      <c r="C3706" t="str">
        <f>+'[2]por cuent'!C3706</f>
        <v>ZUBIAURRE MARIA  FLORENTINA</v>
      </c>
      <c r="D3706" s="35">
        <f>+'[2]por cuent'!G3706</f>
        <v>521.27</v>
      </c>
      <c r="E3706" s="35">
        <f>+'[2]por cuent'!H3706</f>
        <v>779600.98659999995</v>
      </c>
      <c r="F3706" t="str">
        <f>+'[2]por cuent'!I3706</f>
        <v>401</v>
      </c>
    </row>
    <row r="3707" spans="1:6" x14ac:dyDescent="0.35">
      <c r="A3707" t="str">
        <f>+'[2]por cuent'!A3707</f>
        <v>USD</v>
      </c>
      <c r="B3707" t="str">
        <f>+'[2]por cuent'!B3707</f>
        <v>401000153</v>
      </c>
      <c r="C3707" t="str">
        <f>+'[2]por cuent'!C3707</f>
        <v xml:space="preserve">AVANTIA VALORES SA - CUENTA ERROR </v>
      </c>
      <c r="D3707" s="35">
        <f>+'[2]por cuent'!G3707</f>
        <v>20.79</v>
      </c>
      <c r="E3707" s="35">
        <f>+'[2]por cuent'!H3707</f>
        <v>31093.108199999999</v>
      </c>
      <c r="F3707" t="str">
        <f>+'[2]por cuent'!I3707</f>
        <v>401</v>
      </c>
    </row>
    <row r="3708" spans="1:6" x14ac:dyDescent="0.35">
      <c r="A3708" t="str">
        <f>+'[2]por cuent'!A3708</f>
        <v>USD</v>
      </c>
      <c r="B3708" t="str">
        <f>+'[2]por cuent'!B3708</f>
        <v>401000154</v>
      </c>
      <c r="C3708" t="str">
        <f>+'[2]por cuent'!C3708</f>
        <v>SCHAER JUAN JOSE  Y FERNANDEZ MARIA DE LAS MERCEDES</v>
      </c>
      <c r="D3708" s="35">
        <f>+'[2]por cuent'!G3708</f>
        <v>124020.69</v>
      </c>
      <c r="E3708" s="35">
        <f>+'[2]por cuent'!H3708</f>
        <v>185482863.55019999</v>
      </c>
      <c r="F3708" t="str">
        <f>+'[2]por cuent'!I3708</f>
        <v>401</v>
      </c>
    </row>
    <row r="3709" spans="1:6" x14ac:dyDescent="0.35">
      <c r="A3709" t="str">
        <f>+'[2]por cuent'!A3709</f>
        <v>USD</v>
      </c>
      <c r="B3709" t="str">
        <f>+'[2]por cuent'!B3709</f>
        <v>401000155</v>
      </c>
      <c r="C3709" t="str">
        <f>+'[2]por cuent'!C3709</f>
        <v>SCALA LUIS MARTÍN</v>
      </c>
      <c r="D3709" s="35">
        <f>+'[2]por cuent'!G3709</f>
        <v>1264.21</v>
      </c>
      <c r="E3709" s="35">
        <f>+'[2]por cuent'!H3709</f>
        <v>1890727.1917999999</v>
      </c>
      <c r="F3709" t="str">
        <f>+'[2]por cuent'!I3709</f>
        <v>401</v>
      </c>
    </row>
    <row r="3710" spans="1:6" x14ac:dyDescent="0.35">
      <c r="A3710" t="str">
        <f>+'[2]por cuent'!A3710</f>
        <v>USD</v>
      </c>
      <c r="B3710" t="str">
        <f>+'[2]por cuent'!B3710</f>
        <v>401000205</v>
      </c>
      <c r="C3710" t="str">
        <f>+'[2]por cuent'!C3710</f>
        <v>REYNAL ESTEBAN</v>
      </c>
      <c r="D3710" s="35">
        <f>+'[2]por cuent'!G3710</f>
        <v>113990</v>
      </c>
      <c r="E3710" s="35">
        <f>+'[2]por cuent'!H3710</f>
        <v>170481164.19999999</v>
      </c>
      <c r="F3710" t="str">
        <f>+'[2]por cuent'!I3710</f>
        <v>401</v>
      </c>
    </row>
    <row r="3711" spans="1:6" x14ac:dyDescent="0.35">
      <c r="A3711" t="str">
        <f>+'[2]por cuent'!A3711</f>
        <v>USD</v>
      </c>
      <c r="B3711" t="str">
        <f>+'[2]por cuent'!B3711</f>
        <v>401000222</v>
      </c>
      <c r="C3711" t="str">
        <f>+'[2]por cuent'!C3711</f>
        <v>AVANTIA VALORES SA - PROP</v>
      </c>
      <c r="D3711" s="35">
        <f>+'[2]por cuent'!G3711</f>
        <v>2341015.36</v>
      </c>
      <c r="E3711" s="35">
        <f>+'[2]por cuent'!H3711</f>
        <v>3501175752.1087995</v>
      </c>
      <c r="F3711" t="str">
        <f>+'[2]por cuent'!I3711</f>
        <v>401</v>
      </c>
    </row>
    <row r="3712" spans="1:6" x14ac:dyDescent="0.35">
      <c r="A3712" t="str">
        <f>+'[2]por cuent'!A3712</f>
        <v>USD</v>
      </c>
      <c r="B3712" t="str">
        <f>+'[2]por cuent'!B3712</f>
        <v>401000239</v>
      </c>
      <c r="C3712" t="str">
        <f>+'[2]por cuent'!C3712</f>
        <v>MADA POY S.A</v>
      </c>
      <c r="D3712" s="35">
        <f>+'[2]por cuent'!G3712</f>
        <v>280.20999999999998</v>
      </c>
      <c r="E3712" s="35">
        <f>+'[2]por cuent'!H3712</f>
        <v>419076.47179999994</v>
      </c>
      <c r="F3712" t="str">
        <f>+'[2]por cuent'!I3712</f>
        <v>401</v>
      </c>
    </row>
    <row r="3713" spans="1:6" x14ac:dyDescent="0.35">
      <c r="A3713" t="str">
        <f>+'[2]por cuent'!A3713</f>
        <v>USD</v>
      </c>
      <c r="B3713" t="str">
        <f>+'[2]por cuent'!B3713</f>
        <v>401000244</v>
      </c>
      <c r="C3713" t="str">
        <f>+'[2]por cuent'!C3713</f>
        <v>DELFANTE VARELA LORENA SOLEDAD</v>
      </c>
      <c r="D3713" s="35">
        <f>+'[2]por cuent'!G3713</f>
        <v>486.18</v>
      </c>
      <c r="E3713" s="35">
        <f>+'[2]por cuent'!H3713</f>
        <v>727121.08439999993</v>
      </c>
      <c r="F3713" t="str">
        <f>+'[2]por cuent'!I3713</f>
        <v>401</v>
      </c>
    </row>
    <row r="3714" spans="1:6" x14ac:dyDescent="0.35">
      <c r="A3714" t="str">
        <f>+'[2]por cuent'!A3714</f>
        <v>USD</v>
      </c>
      <c r="B3714" t="str">
        <f>+'[2]por cuent'!B3714</f>
        <v>401000246</v>
      </c>
      <c r="C3714" t="str">
        <f>+'[2]por cuent'!C3714</f>
        <v>CAMPION IRENE MARTA</v>
      </c>
      <c r="D3714" s="35">
        <f>+'[2]por cuent'!G3714</f>
        <v>1267.47</v>
      </c>
      <c r="E3714" s="35">
        <f>+'[2]por cuent'!H3714</f>
        <v>1895602.7826</v>
      </c>
      <c r="F3714" t="str">
        <f>+'[2]por cuent'!I3714</f>
        <v>401</v>
      </c>
    </row>
    <row r="3715" spans="1:6" x14ac:dyDescent="0.35">
      <c r="A3715" t="str">
        <f>+'[2]por cuent'!A3715</f>
        <v>USD</v>
      </c>
      <c r="B3715" t="str">
        <f>+'[2]por cuent'!B3715</f>
        <v>401000261</v>
      </c>
      <c r="C3715" t="str">
        <f>+'[2]por cuent'!C3715</f>
        <v>TANCO CARLOS ARIEL</v>
      </c>
      <c r="D3715" s="35">
        <f>+'[2]por cuent'!G3715</f>
        <v>5268.63</v>
      </c>
      <c r="E3715" s="35">
        <f>+'[2]por cuent'!H3715</f>
        <v>7879657.6553999996</v>
      </c>
      <c r="F3715" t="str">
        <f>+'[2]por cuent'!I3715</f>
        <v>401</v>
      </c>
    </row>
    <row r="3716" spans="1:6" x14ac:dyDescent="0.35">
      <c r="A3716" t="str">
        <f>+'[2]por cuent'!A3716</f>
        <v>USD</v>
      </c>
      <c r="B3716" t="str">
        <f>+'[2]por cuent'!B3716</f>
        <v>401000269</v>
      </c>
      <c r="C3716" t="str">
        <f>+'[2]por cuent'!C3716</f>
        <v>MONTES DE OCA DOLORES MARIA</v>
      </c>
      <c r="D3716" s="35">
        <f>+'[2]por cuent'!G3716</f>
        <v>519.52</v>
      </c>
      <c r="E3716" s="35">
        <f>+'[2]por cuent'!H3716</f>
        <v>776983.72159999993</v>
      </c>
      <c r="F3716" t="str">
        <f>+'[2]por cuent'!I3716</f>
        <v>401</v>
      </c>
    </row>
    <row r="3717" spans="1:6" x14ac:dyDescent="0.35">
      <c r="A3717" t="str">
        <f>+'[2]por cuent'!A3717</f>
        <v>USD</v>
      </c>
      <c r="B3717" t="str">
        <f>+'[2]por cuent'!B3717</f>
        <v>401000278</v>
      </c>
      <c r="C3717" t="str">
        <f>+'[2]por cuent'!C3717</f>
        <v>FINELLI FERRAZZINI JAVIER</v>
      </c>
      <c r="D3717" s="35">
        <f>+'[2]por cuent'!G3717</f>
        <v>161</v>
      </c>
      <c r="E3717" s="35">
        <f>+'[2]por cuent'!H3717</f>
        <v>240788.37999999998</v>
      </c>
      <c r="F3717" t="str">
        <f>+'[2]por cuent'!I3717</f>
        <v>401</v>
      </c>
    </row>
    <row r="3718" spans="1:6" x14ac:dyDescent="0.35">
      <c r="A3718" t="str">
        <f>+'[2]por cuent'!A3718</f>
        <v>USD</v>
      </c>
      <c r="B3718" t="str">
        <f>+'[2]por cuent'!B3718</f>
        <v>401000292</v>
      </c>
      <c r="C3718" t="str">
        <f>+'[2]por cuent'!C3718</f>
        <v>FOSSATI EDUARDO</v>
      </c>
      <c r="D3718" s="35">
        <f>+'[2]por cuent'!G3718</f>
        <v>12065.99</v>
      </c>
      <c r="E3718" s="35">
        <f>+'[2]por cuent'!H3718</f>
        <v>18045653.324200001</v>
      </c>
      <c r="F3718" t="str">
        <f>+'[2]por cuent'!I3718</f>
        <v>401</v>
      </c>
    </row>
    <row r="3719" spans="1:6" x14ac:dyDescent="0.35">
      <c r="A3719" t="str">
        <f>+'[2]por cuent'!A3719</f>
        <v>USD</v>
      </c>
      <c r="B3719" t="str">
        <f>+'[2]por cuent'!B3719</f>
        <v>401000293</v>
      </c>
      <c r="C3719" t="str">
        <f>+'[2]por cuent'!C3719</f>
        <v>PENSANDO EN GRANDE S.A.S.</v>
      </c>
      <c r="D3719" s="35">
        <f>+'[2]por cuent'!G3719</f>
        <v>7.28</v>
      </c>
      <c r="E3719" s="35">
        <f>+'[2]por cuent'!H3719</f>
        <v>10887.822399999999</v>
      </c>
      <c r="F3719" t="str">
        <f>+'[2]por cuent'!I3719</f>
        <v>401</v>
      </c>
    </row>
    <row r="3720" spans="1:6" x14ac:dyDescent="0.35">
      <c r="A3720" t="str">
        <f>+'[2]por cuent'!A3720</f>
        <v>USD</v>
      </c>
      <c r="B3720" t="str">
        <f>+'[2]por cuent'!B3720</f>
        <v>401000355</v>
      </c>
      <c r="C3720" t="str">
        <f>+'[2]por cuent'!C3720</f>
        <v>LINEAS DE TRANSMISION DEL LITORAL SA S. A.</v>
      </c>
      <c r="D3720" s="35">
        <f>+'[2]por cuent'!G3720</f>
        <v>1000000</v>
      </c>
      <c r="E3720" s="35">
        <f>+'[2]por cuent'!H3720</f>
        <v>1495580000</v>
      </c>
      <c r="F3720" t="str">
        <f>+'[2]por cuent'!I3720</f>
        <v>401</v>
      </c>
    </row>
    <row r="3721" spans="1:6" x14ac:dyDescent="0.35">
      <c r="A3721" t="str">
        <f>+'[2]por cuent'!A3721</f>
        <v>USD</v>
      </c>
      <c r="B3721" t="str">
        <f>+'[2]por cuent'!B3721</f>
        <v>401000367</v>
      </c>
      <c r="C3721" t="str">
        <f>+'[2]por cuent'!C3721</f>
        <v xml:space="preserve">LUPONE ALBANO SEBASTIAN </v>
      </c>
      <c r="D3721" s="35">
        <f>+'[2]por cuent'!G3721</f>
        <v>34805.699999999997</v>
      </c>
      <c r="E3721" s="35">
        <f>+'[2]por cuent'!H3721</f>
        <v>52054708.805999994</v>
      </c>
      <c r="F3721" t="str">
        <f>+'[2]por cuent'!I3721</f>
        <v>401</v>
      </c>
    </row>
    <row r="3722" spans="1:6" x14ac:dyDescent="0.35">
      <c r="A3722" t="str">
        <f>+'[2]por cuent'!A3722</f>
        <v>USD</v>
      </c>
      <c r="B3722" t="str">
        <f>+'[2]por cuent'!B3722</f>
        <v>401000374</v>
      </c>
      <c r="C3722" t="str">
        <f>+'[2]por cuent'!C3722</f>
        <v>PADILLA TIBURCIO</v>
      </c>
      <c r="D3722" s="35">
        <f>+'[2]por cuent'!G3722</f>
        <v>66.34</v>
      </c>
      <c r="E3722" s="35">
        <f>+'[2]por cuent'!H3722</f>
        <v>99216.777199999997</v>
      </c>
      <c r="F3722" t="str">
        <f>+'[2]por cuent'!I3722</f>
        <v>401</v>
      </c>
    </row>
    <row r="3723" spans="1:6" x14ac:dyDescent="0.35">
      <c r="A3723" t="str">
        <f>+'[2]por cuent'!A3723</f>
        <v>USD</v>
      </c>
      <c r="B3723" t="str">
        <f>+'[2]por cuent'!B3723</f>
        <v>405000006</v>
      </c>
      <c r="C3723" t="str">
        <f>+'[2]por cuent'!C3723</f>
        <v>PUERTOS SRL (CARTERA PROPIA)</v>
      </c>
      <c r="D3723" s="35">
        <f>+'[2]por cuent'!G3723</f>
        <v>187029.99</v>
      </c>
      <c r="E3723" s="35">
        <f>+'[2]por cuent'!H3723</f>
        <v>279718312.44419998</v>
      </c>
      <c r="F3723" t="str">
        <f>+'[2]por cuent'!I3723</f>
        <v>405</v>
      </c>
    </row>
    <row r="3724" spans="1:6" x14ac:dyDescent="0.35">
      <c r="A3724" t="str">
        <f>+'[2]por cuent'!A3724</f>
        <v>USD</v>
      </c>
      <c r="B3724" t="str">
        <f>+'[2]por cuent'!B3724</f>
        <v>405000012</v>
      </c>
      <c r="C3724" t="str">
        <f>+'[2]por cuent'!C3724</f>
        <v>Galleano, Juan Pablo, Gabetta Matta, Georgina Mariela y/o Galleano, Bautista</v>
      </c>
      <c r="D3724" s="35">
        <f>+'[2]por cuent'!G3724</f>
        <v>47063.91</v>
      </c>
      <c r="E3724" s="35">
        <f>+'[2]por cuent'!H3724</f>
        <v>70387842.517800003</v>
      </c>
      <c r="F3724" t="str">
        <f>+'[2]por cuent'!I3724</f>
        <v>405</v>
      </c>
    </row>
    <row r="3725" spans="1:6" x14ac:dyDescent="0.35">
      <c r="A3725" t="str">
        <f>+'[2]por cuent'!A3725</f>
        <v>USD</v>
      </c>
      <c r="B3725" t="str">
        <f>+'[2]por cuent'!B3725</f>
        <v>405000016</v>
      </c>
      <c r="C3725" t="str">
        <f>+'[2]por cuent'!C3725</f>
        <v>SPEZIALI, ANDRES</v>
      </c>
      <c r="D3725" s="35">
        <f>+'[2]por cuent'!G3725</f>
        <v>10363.459999999999</v>
      </c>
      <c r="E3725" s="35">
        <f>+'[2]por cuent'!H3725</f>
        <v>15499383.506799998</v>
      </c>
      <c r="F3725" t="str">
        <f>+'[2]por cuent'!I3725</f>
        <v>405</v>
      </c>
    </row>
    <row r="3726" spans="1:6" x14ac:dyDescent="0.35">
      <c r="A3726" t="str">
        <f>+'[2]por cuent'!A3726</f>
        <v>USD</v>
      </c>
      <c r="B3726" t="str">
        <f>+'[2]por cuent'!B3726</f>
        <v>405000029</v>
      </c>
      <c r="C3726" t="str">
        <f>+'[2]por cuent'!C3726</f>
        <v>VINES &amp; CO S.A.S.</v>
      </c>
      <c r="D3726" s="35">
        <f>+'[2]por cuent'!G3726</f>
        <v>1360.88</v>
      </c>
      <c r="E3726" s="35">
        <f>+'[2]por cuent'!H3726</f>
        <v>2035304.9104000002</v>
      </c>
      <c r="F3726" t="str">
        <f>+'[2]por cuent'!I3726</f>
        <v>405</v>
      </c>
    </row>
    <row r="3727" spans="1:6" x14ac:dyDescent="0.35">
      <c r="A3727" t="str">
        <f>+'[2]por cuent'!A3727</f>
        <v>USD</v>
      </c>
      <c r="B3727" t="str">
        <f>+'[2]por cuent'!B3727</f>
        <v>405000070</v>
      </c>
      <c r="C3727" t="str">
        <f>+'[2]por cuent'!C3727</f>
        <v>Juan Pablo Gobbo</v>
      </c>
      <c r="D3727" s="35">
        <f>+'[2]por cuent'!G3727</f>
        <v>915.56</v>
      </c>
      <c r="E3727" s="35">
        <f>+'[2]por cuent'!H3727</f>
        <v>1369293.2248</v>
      </c>
      <c r="F3727" t="str">
        <f>+'[2]por cuent'!I3727</f>
        <v>405</v>
      </c>
    </row>
    <row r="3728" spans="1:6" x14ac:dyDescent="0.35">
      <c r="A3728" t="str">
        <f>+'[2]por cuent'!A3728</f>
        <v>USD</v>
      </c>
      <c r="B3728" t="str">
        <f>+'[2]por cuent'!B3728</f>
        <v>405000072</v>
      </c>
      <c r="C3728" t="str">
        <f>+'[2]por cuent'!C3728</f>
        <v>MARTIN , PAULO MIGUEL</v>
      </c>
      <c r="D3728" s="35">
        <f>+'[2]por cuent'!G3728</f>
        <v>1002.45</v>
      </c>
      <c r="E3728" s="35">
        <f>+'[2]por cuent'!H3728</f>
        <v>1499244.1710000001</v>
      </c>
      <c r="F3728" t="str">
        <f>+'[2]por cuent'!I3728</f>
        <v>405</v>
      </c>
    </row>
    <row r="3729" spans="1:6" x14ac:dyDescent="0.35">
      <c r="A3729" t="str">
        <f>+'[2]por cuent'!A3729</f>
        <v>USD</v>
      </c>
      <c r="B3729" t="str">
        <f>+'[2]por cuent'!B3729</f>
        <v>405000110</v>
      </c>
      <c r="C3729" t="str">
        <f>+'[2]por cuent'!C3729</f>
        <v>Reiton SRL</v>
      </c>
      <c r="D3729" s="35">
        <f>+'[2]por cuent'!G3729</f>
        <v>301.04000000000002</v>
      </c>
      <c r="E3729" s="35">
        <f>+'[2]por cuent'!H3729</f>
        <v>450229.4032</v>
      </c>
      <c r="F3729" t="str">
        <f>+'[2]por cuent'!I3729</f>
        <v>405</v>
      </c>
    </row>
    <row r="3730" spans="1:6" x14ac:dyDescent="0.35">
      <c r="A3730" t="str">
        <f>+'[2]por cuent'!A3730</f>
        <v>USD</v>
      </c>
      <c r="B3730" t="str">
        <f>+'[2]por cuent'!B3730</f>
        <v>405000140</v>
      </c>
      <c r="C3730" t="str">
        <f>+'[2]por cuent'!C3730</f>
        <v>CANNES FIDEICOMISO</v>
      </c>
      <c r="D3730" s="35">
        <f>+'[2]por cuent'!G3730</f>
        <v>27099.83</v>
      </c>
      <c r="E3730" s="35">
        <f>+'[2]por cuent'!H3730</f>
        <v>40529963.751400001</v>
      </c>
      <c r="F3730" t="str">
        <f>+'[2]por cuent'!I3730</f>
        <v>405</v>
      </c>
    </row>
    <row r="3731" spans="1:6" x14ac:dyDescent="0.35">
      <c r="A3731" t="str">
        <f>+'[2]por cuent'!A3731</f>
        <v>USD</v>
      </c>
      <c r="B3731" t="str">
        <f>+'[2]por cuent'!B3731</f>
        <v>410101010</v>
      </c>
      <c r="C3731" t="str">
        <f>+'[2]por cuent'!C3731</f>
        <v>Natali, Omar Emilio Ramon</v>
      </c>
      <c r="D3731" s="35">
        <f>+'[2]por cuent'!G3731</f>
        <v>9673.4500000000007</v>
      </c>
      <c r="E3731" s="35">
        <f>+'[2]por cuent'!H3731</f>
        <v>14467418.351</v>
      </c>
      <c r="F3731" t="str">
        <f>+'[2]por cuent'!I3731</f>
        <v>410</v>
      </c>
    </row>
    <row r="3732" spans="1:6" x14ac:dyDescent="0.35">
      <c r="A3732" t="str">
        <f>+'[2]por cuent'!A3732</f>
        <v>USD</v>
      </c>
      <c r="B3732" t="str">
        <f>+'[2]por cuent'!B3732</f>
        <v>410149190</v>
      </c>
      <c r="C3732" t="str">
        <f>+'[2]por cuent'!C3732</f>
        <v>Natali Ruben Dario Ramón</v>
      </c>
      <c r="D3732" s="35">
        <f>+'[2]por cuent'!G3732</f>
        <v>8112.49</v>
      </c>
      <c r="E3732" s="35">
        <f>+'[2]por cuent'!H3732</f>
        <v>12132877.794199999</v>
      </c>
      <c r="F3732" t="str">
        <f>+'[2]por cuent'!I3732</f>
        <v>410</v>
      </c>
    </row>
    <row r="3733" spans="1:6" x14ac:dyDescent="0.35">
      <c r="A3733" t="str">
        <f>+'[2]por cuent'!A3733</f>
        <v>USD</v>
      </c>
      <c r="B3733" t="str">
        <f>+'[2]por cuent'!B3733</f>
        <v>417001013</v>
      </c>
      <c r="C3733" t="str">
        <f>+'[2]por cuent'!C3733</f>
        <v>LEMESOFF IVAN</v>
      </c>
      <c r="D3733" s="35">
        <f>+'[2]por cuent'!G3733</f>
        <v>2262.81</v>
      </c>
      <c r="E3733" s="35">
        <f>+'[2]por cuent'!H3733</f>
        <v>3384213.3797999998</v>
      </c>
      <c r="F3733" t="str">
        <f>+'[2]por cuent'!I3733</f>
        <v>417</v>
      </c>
    </row>
    <row r="3734" spans="1:6" x14ac:dyDescent="0.35">
      <c r="A3734" t="str">
        <f>+'[2]por cuent'!A3734</f>
        <v>USD</v>
      </c>
      <c r="B3734" t="str">
        <f>+'[2]por cuent'!B3734</f>
        <v>423001013</v>
      </c>
      <c r="C3734" t="str">
        <f>+'[2]por cuent'!C3734</f>
        <v>PIATTI, CRISTIAN LEONARDO</v>
      </c>
      <c r="D3734" s="35">
        <f>+'[2]por cuent'!G3734</f>
        <v>1117</v>
      </c>
      <c r="E3734" s="35">
        <f>+'[2]por cuent'!H3734</f>
        <v>1670562.8599999999</v>
      </c>
      <c r="F3734" t="str">
        <f>+'[2]por cuent'!I3734</f>
        <v>423</v>
      </c>
    </row>
    <row r="3735" spans="1:6" x14ac:dyDescent="0.35">
      <c r="A3735" t="str">
        <f>+'[2]por cuent'!A3735</f>
        <v>USD</v>
      </c>
      <c r="B3735" t="str">
        <f>+'[2]por cuent'!B3735</f>
        <v>423001016</v>
      </c>
      <c r="C3735" t="str">
        <f>+'[2]por cuent'!C3735</f>
        <v>BRIGNONE, PABLO</v>
      </c>
      <c r="D3735" s="35">
        <f>+'[2]por cuent'!G3735</f>
        <v>1002.94</v>
      </c>
      <c r="E3735" s="35">
        <f>+'[2]por cuent'!H3735</f>
        <v>1499977.0052</v>
      </c>
      <c r="F3735" t="str">
        <f>+'[2]por cuent'!I3735</f>
        <v>423</v>
      </c>
    </row>
    <row r="3736" spans="1:6" x14ac:dyDescent="0.35">
      <c r="A3736" t="str">
        <f>+'[2]por cuent'!A3736</f>
        <v>USD</v>
      </c>
      <c r="B3736" t="str">
        <f>+'[2]por cuent'!B3736</f>
        <v>423001018</v>
      </c>
      <c r="C3736" t="str">
        <f>+'[2]por cuent'!C3736</f>
        <v xml:space="preserve">VRANICICH, MARIA CECILIA </v>
      </c>
      <c r="D3736" s="35">
        <f>+'[2]por cuent'!G3736</f>
        <v>137.25</v>
      </c>
      <c r="E3736" s="35">
        <f>+'[2]por cuent'!H3736</f>
        <v>205268.35499999998</v>
      </c>
      <c r="F3736" t="str">
        <f>+'[2]por cuent'!I3736</f>
        <v>423</v>
      </c>
    </row>
    <row r="3737" spans="1:6" x14ac:dyDescent="0.35">
      <c r="A3737" t="str">
        <f>+'[2]por cuent'!A3737</f>
        <v>USD</v>
      </c>
      <c r="B3737" t="str">
        <f>+'[2]por cuent'!B3737</f>
        <v>423001026</v>
      </c>
      <c r="C3737" t="str">
        <f>+'[2]por cuent'!C3737</f>
        <v>AUDISALUD SRL</v>
      </c>
      <c r="D3737" s="35">
        <f>+'[2]por cuent'!G3737</f>
        <v>2600.6999999999998</v>
      </c>
      <c r="E3737" s="35">
        <f>+'[2]por cuent'!H3737</f>
        <v>3889554.9059999995</v>
      </c>
      <c r="F3737" t="str">
        <f>+'[2]por cuent'!I3737</f>
        <v>423</v>
      </c>
    </row>
    <row r="3738" spans="1:6" x14ac:dyDescent="0.35">
      <c r="A3738" t="str">
        <f>+'[2]por cuent'!A3738</f>
        <v>USD</v>
      </c>
      <c r="B3738" t="str">
        <f>+'[2]por cuent'!B3738</f>
        <v>423001040</v>
      </c>
      <c r="C3738" t="str">
        <f>+'[2]por cuent'!C3738</f>
        <v>BOERIS, DIEGO NICOLAS</v>
      </c>
      <c r="D3738" s="35">
        <f>+'[2]por cuent'!G3738</f>
        <v>3015.69</v>
      </c>
      <c r="E3738" s="35">
        <f>+'[2]por cuent'!H3738</f>
        <v>4510205.6502</v>
      </c>
      <c r="F3738" t="str">
        <f>+'[2]por cuent'!I3738</f>
        <v>423</v>
      </c>
    </row>
    <row r="3739" spans="1:6" x14ac:dyDescent="0.35">
      <c r="A3739" t="str">
        <f>+'[2]por cuent'!A3739</f>
        <v>USD</v>
      </c>
      <c r="B3739" t="str">
        <f>+'[2]por cuent'!B3739</f>
        <v>423001083</v>
      </c>
      <c r="C3739" t="str">
        <f>+'[2]por cuent'!C3739</f>
        <v>ALBERDI, CARLOS RUBEN</v>
      </c>
      <c r="D3739" s="35">
        <f>+'[2]por cuent'!G3739</f>
        <v>31000.21</v>
      </c>
      <c r="E3739" s="35">
        <f>+'[2]por cuent'!H3739</f>
        <v>46363294.071799994</v>
      </c>
      <c r="F3739" t="str">
        <f>+'[2]por cuent'!I3739</f>
        <v>423</v>
      </c>
    </row>
    <row r="3740" spans="1:6" x14ac:dyDescent="0.35">
      <c r="A3740" t="str">
        <f>+'[2]por cuent'!A3740</f>
        <v>USD</v>
      </c>
      <c r="B3740" t="str">
        <f>+'[2]por cuent'!B3740</f>
        <v>423001084</v>
      </c>
      <c r="C3740" t="str">
        <f>+'[2]por cuent'!C3740</f>
        <v>ARAMBURU, JORGE LUIS</v>
      </c>
      <c r="D3740" s="35">
        <f>+'[2]por cuent'!G3740</f>
        <v>2999.74</v>
      </c>
      <c r="E3740" s="35">
        <f>+'[2]por cuent'!H3740</f>
        <v>4486351.1491999999</v>
      </c>
      <c r="F3740" t="str">
        <f>+'[2]por cuent'!I3740</f>
        <v>423</v>
      </c>
    </row>
    <row r="3741" spans="1:6" x14ac:dyDescent="0.35">
      <c r="A3741" t="str">
        <f>+'[2]por cuent'!A3741</f>
        <v>USD</v>
      </c>
      <c r="B3741" t="str">
        <f>+'[2]por cuent'!B3741</f>
        <v>423001123</v>
      </c>
      <c r="C3741" t="str">
        <f>+'[2]por cuent'!C3741</f>
        <v>FUNDACION PARA EL ESTUDIO E INVESTIGACION DE LOS SISTEMAS DE SALUD</v>
      </c>
      <c r="D3741" s="35">
        <f>+'[2]por cuent'!G3741</f>
        <v>400</v>
      </c>
      <c r="E3741" s="35">
        <f>+'[2]por cuent'!H3741</f>
        <v>598232</v>
      </c>
      <c r="F3741" t="str">
        <f>+'[2]por cuent'!I3741</f>
        <v>423</v>
      </c>
    </row>
    <row r="3742" spans="1:6" x14ac:dyDescent="0.35">
      <c r="A3742" t="str">
        <f>+'[2]por cuent'!A3742</f>
        <v>USD</v>
      </c>
      <c r="B3742" t="str">
        <f>+'[2]por cuent'!B3742</f>
        <v>423001126</v>
      </c>
      <c r="C3742" t="str">
        <f>+'[2]por cuent'!C3742</f>
        <v>LOSADA, IMANOL</v>
      </c>
      <c r="D3742" s="35">
        <f>+'[2]por cuent'!G3742</f>
        <v>1931.2</v>
      </c>
      <c r="E3742" s="35">
        <f>+'[2]por cuent'!H3742</f>
        <v>2888264.0959999999</v>
      </c>
      <c r="F3742" t="str">
        <f>+'[2]por cuent'!I3742</f>
        <v>423</v>
      </c>
    </row>
    <row r="3743" spans="1:6" x14ac:dyDescent="0.35">
      <c r="A3743" t="str">
        <f>+'[2]por cuent'!A3743</f>
        <v>USD</v>
      </c>
      <c r="B3743" t="str">
        <f>+'[2]por cuent'!B3743</f>
        <v>423001155</v>
      </c>
      <c r="C3743" t="str">
        <f>+'[2]por cuent'!C3743</f>
        <v>VENINI, JULIA</v>
      </c>
      <c r="D3743" s="35">
        <f>+'[2]por cuent'!G3743</f>
        <v>2285.21</v>
      </c>
      <c r="E3743" s="35">
        <f>+'[2]por cuent'!H3743</f>
        <v>3417714.3717999998</v>
      </c>
      <c r="F3743" t="str">
        <f>+'[2]por cuent'!I3743</f>
        <v>423</v>
      </c>
    </row>
    <row r="3744" spans="1:6" x14ac:dyDescent="0.35">
      <c r="A3744" t="str">
        <f>+'[2]por cuent'!A3744</f>
        <v>USD</v>
      </c>
      <c r="B3744" t="str">
        <f>+'[2]por cuent'!B3744</f>
        <v>423001204</v>
      </c>
      <c r="C3744" t="str">
        <f>+'[2]por cuent'!C3744</f>
        <v>CLERICI, EZEQUIEL ALBERTO | DE LOS SANTOS, GERMAN | CONTI, ANDRES</v>
      </c>
      <c r="D3744" s="35">
        <f>+'[2]por cuent'!G3744</f>
        <v>100.49</v>
      </c>
      <c r="E3744" s="35">
        <f>+'[2]por cuent'!H3744</f>
        <v>150290.83419999998</v>
      </c>
      <c r="F3744" t="str">
        <f>+'[2]por cuent'!I3744</f>
        <v>423</v>
      </c>
    </row>
    <row r="3745" spans="1:6" x14ac:dyDescent="0.35">
      <c r="A3745" t="str">
        <f>+'[2]por cuent'!A3745</f>
        <v>USD</v>
      </c>
      <c r="B3745" t="str">
        <f>+'[2]por cuent'!B3745</f>
        <v>424000006</v>
      </c>
      <c r="C3745" t="str">
        <f>+'[2]por cuent'!C3745</f>
        <v>Katz, Marcelo Horacio</v>
      </c>
      <c r="D3745" s="35">
        <f>+'[2]por cuent'!G3745</f>
        <v>22287.71</v>
      </c>
      <c r="E3745" s="35">
        <f>+'[2]por cuent'!H3745</f>
        <v>33333053.321799997</v>
      </c>
      <c r="F3745" t="str">
        <f>+'[2]por cuent'!I3745</f>
        <v>424</v>
      </c>
    </row>
    <row r="3746" spans="1:6" x14ac:dyDescent="0.35">
      <c r="A3746" t="str">
        <f>+'[2]por cuent'!A3746</f>
        <v>USD</v>
      </c>
      <c r="B3746" t="str">
        <f>+'[2]por cuent'!B3746</f>
        <v>424000032</v>
      </c>
      <c r="C3746" t="str">
        <f>+'[2]por cuent'!C3746</f>
        <v>Diego Yabes</v>
      </c>
      <c r="D3746" s="35">
        <f>+'[2]por cuent'!G3746</f>
        <v>0.55000000000000004</v>
      </c>
      <c r="E3746" s="35">
        <f>+'[2]por cuent'!H3746</f>
        <v>822.56900000000007</v>
      </c>
      <c r="F3746" t="str">
        <f>+'[2]por cuent'!I3746</f>
        <v>424</v>
      </c>
    </row>
    <row r="3747" spans="1:6" x14ac:dyDescent="0.35">
      <c r="A3747" t="str">
        <f>+'[2]por cuent'!A3747</f>
        <v>USD</v>
      </c>
      <c r="B3747" t="str">
        <f>+'[2]por cuent'!B3747</f>
        <v>424000036</v>
      </c>
      <c r="C3747" t="str">
        <f>+'[2]por cuent'!C3747</f>
        <v>Damian Ciocan</v>
      </c>
      <c r="D3747" s="35">
        <f>+'[2]por cuent'!G3747</f>
        <v>50.82</v>
      </c>
      <c r="E3747" s="35">
        <f>+'[2]por cuent'!H3747</f>
        <v>76005.375599999999</v>
      </c>
      <c r="F3747" t="str">
        <f>+'[2]por cuent'!I3747</f>
        <v>424</v>
      </c>
    </row>
    <row r="3748" spans="1:6" x14ac:dyDescent="0.35">
      <c r="A3748" t="str">
        <f>+'[2]por cuent'!A3748</f>
        <v>USD</v>
      </c>
      <c r="B3748" t="str">
        <f>+'[2]por cuent'!B3748</f>
        <v>424000054</v>
      </c>
      <c r="C3748" t="str">
        <f>+'[2]por cuent'!C3748</f>
        <v>Eco Box Int Group</v>
      </c>
      <c r="D3748" s="35">
        <f>+'[2]por cuent'!G3748</f>
        <v>337585.38</v>
      </c>
      <c r="E3748" s="35">
        <f>+'[2]por cuent'!H3748</f>
        <v>504885942.62040001</v>
      </c>
      <c r="F3748" t="str">
        <f>+'[2]por cuent'!I3748</f>
        <v>424</v>
      </c>
    </row>
    <row r="3749" spans="1:6" x14ac:dyDescent="0.35">
      <c r="A3749" t="str">
        <f>+'[2]por cuent'!A3749</f>
        <v>USD</v>
      </c>
      <c r="B3749" t="str">
        <f>+'[2]por cuent'!B3749</f>
        <v>424000069</v>
      </c>
      <c r="C3749" t="str">
        <f>+'[2]por cuent'!C3749</f>
        <v>Humboldt Inversiones S.A.</v>
      </c>
      <c r="D3749" s="35">
        <f>+'[2]por cuent'!G3749</f>
        <v>9000.74</v>
      </c>
      <c r="E3749" s="35">
        <f>+'[2]por cuent'!H3749</f>
        <v>13461326.7292</v>
      </c>
      <c r="F3749" t="str">
        <f>+'[2]por cuent'!I3749</f>
        <v>424</v>
      </c>
    </row>
    <row r="3750" spans="1:6" x14ac:dyDescent="0.35">
      <c r="A3750" t="str">
        <f>+'[2]por cuent'!A3750</f>
        <v>USD</v>
      </c>
      <c r="B3750" t="str">
        <f>+'[2]por cuent'!B3750</f>
        <v>424000074</v>
      </c>
      <c r="C3750" t="str">
        <f>+'[2]por cuent'!C3750</f>
        <v>Maria Dolores Sarobe</v>
      </c>
      <c r="D3750" s="35">
        <f>+'[2]por cuent'!G3750</f>
        <v>125.4</v>
      </c>
      <c r="E3750" s="35">
        <f>+'[2]por cuent'!H3750</f>
        <v>187545.73199999999</v>
      </c>
      <c r="F3750" t="str">
        <f>+'[2]por cuent'!I3750</f>
        <v>424</v>
      </c>
    </row>
    <row r="3751" spans="1:6" x14ac:dyDescent="0.35">
      <c r="A3751" t="str">
        <f>+'[2]por cuent'!A3751</f>
        <v>USD</v>
      </c>
      <c r="B3751" t="str">
        <f>+'[2]por cuent'!B3751</f>
        <v>424000086</v>
      </c>
      <c r="C3751" t="str">
        <f>+'[2]por cuent'!C3751</f>
        <v>Alberto Cabuli</v>
      </c>
      <c r="D3751" s="35">
        <f>+'[2]por cuent'!G3751</f>
        <v>38858.050000000003</v>
      </c>
      <c r="E3751" s="35">
        <f>+'[2]por cuent'!H3751</f>
        <v>58115322.419</v>
      </c>
      <c r="F3751" t="str">
        <f>+'[2]por cuent'!I3751</f>
        <v>424</v>
      </c>
    </row>
    <row r="3752" spans="1:6" x14ac:dyDescent="0.35">
      <c r="A3752" t="str">
        <f>+'[2]por cuent'!A3752</f>
        <v>USD</v>
      </c>
      <c r="B3752" t="str">
        <f>+'[2]por cuent'!B3752</f>
        <v>424000109</v>
      </c>
      <c r="C3752" t="str">
        <f>+'[2]por cuent'!C3752</f>
        <v>Eduardo, Weisz</v>
      </c>
      <c r="D3752" s="35">
        <f>+'[2]por cuent'!G3752</f>
        <v>3001.86</v>
      </c>
      <c r="E3752" s="35">
        <f>+'[2]por cuent'!H3752</f>
        <v>4489521.7788000004</v>
      </c>
      <c r="F3752" t="str">
        <f>+'[2]por cuent'!I3752</f>
        <v>424</v>
      </c>
    </row>
    <row r="3753" spans="1:6" x14ac:dyDescent="0.35">
      <c r="A3753" t="str">
        <f>+'[2]por cuent'!A3753</f>
        <v>USD</v>
      </c>
      <c r="B3753" t="str">
        <f>+'[2]por cuent'!B3753</f>
        <v>424000129</v>
      </c>
      <c r="C3753" t="str">
        <f>+'[2]por cuent'!C3753</f>
        <v>Maria Andrea Riquelme</v>
      </c>
      <c r="D3753" s="35">
        <f>+'[2]por cuent'!G3753</f>
        <v>5529.1</v>
      </c>
      <c r="E3753" s="35">
        <f>+'[2]por cuent'!H3753</f>
        <v>8269211.3780000005</v>
      </c>
      <c r="F3753" t="str">
        <f>+'[2]por cuent'!I3753</f>
        <v>424</v>
      </c>
    </row>
    <row r="3754" spans="1:6" x14ac:dyDescent="0.35">
      <c r="A3754" t="str">
        <f>+'[2]por cuent'!A3754</f>
        <v>USD</v>
      </c>
      <c r="B3754" t="str">
        <f>+'[2]por cuent'!B3754</f>
        <v>424000139</v>
      </c>
      <c r="C3754" t="str">
        <f>+'[2]por cuent'!C3754</f>
        <v>Bartolomé Doiny</v>
      </c>
      <c r="D3754" s="35">
        <f>+'[2]por cuent'!G3754</f>
        <v>504.89</v>
      </c>
      <c r="E3754" s="35">
        <f>+'[2]por cuent'!H3754</f>
        <v>755103.38619999995</v>
      </c>
      <c r="F3754" t="str">
        <f>+'[2]por cuent'!I3754</f>
        <v>424</v>
      </c>
    </row>
    <row r="3755" spans="1:6" x14ac:dyDescent="0.35">
      <c r="A3755" t="str">
        <f>+'[2]por cuent'!A3755</f>
        <v>USD</v>
      </c>
      <c r="B3755" t="str">
        <f>+'[2]por cuent'!B3755</f>
        <v>424000201</v>
      </c>
      <c r="C3755" t="str">
        <f>+'[2]por cuent'!C3755</f>
        <v>Scheimberg Sebastian Alberto</v>
      </c>
      <c r="D3755" s="35">
        <f>+'[2]por cuent'!G3755</f>
        <v>1036.9100000000001</v>
      </c>
      <c r="E3755" s="35">
        <f>+'[2]por cuent'!H3755</f>
        <v>1550781.8578000001</v>
      </c>
      <c r="F3755" t="str">
        <f>+'[2]por cuent'!I3755</f>
        <v>424</v>
      </c>
    </row>
    <row r="3756" spans="1:6" x14ac:dyDescent="0.35">
      <c r="A3756" t="str">
        <f>+'[2]por cuent'!A3756</f>
        <v>USD</v>
      </c>
      <c r="B3756" t="str">
        <f>+'[2]por cuent'!B3756</f>
        <v>424000222</v>
      </c>
      <c r="C3756" t="str">
        <f>+'[2]por cuent'!C3756</f>
        <v>Paula Claudia Budich</v>
      </c>
      <c r="D3756" s="35">
        <f>+'[2]por cuent'!G3756</f>
        <v>4006.82</v>
      </c>
      <c r="E3756" s="35">
        <f>+'[2]por cuent'!H3756</f>
        <v>5992519.8556000004</v>
      </c>
      <c r="F3756" t="str">
        <f>+'[2]por cuent'!I3756</f>
        <v>424</v>
      </c>
    </row>
    <row r="3757" spans="1:6" x14ac:dyDescent="0.35">
      <c r="A3757" t="str">
        <f>+'[2]por cuent'!A3757</f>
        <v>USD</v>
      </c>
      <c r="B3757" t="str">
        <f>+'[2]por cuent'!B3757</f>
        <v>424000228</v>
      </c>
      <c r="C3757" t="str">
        <f>+'[2]por cuent'!C3757</f>
        <v>Lorenzo Azicri</v>
      </c>
      <c r="D3757" s="35">
        <f>+'[2]por cuent'!G3757</f>
        <v>237.52</v>
      </c>
      <c r="E3757" s="35">
        <f>+'[2]por cuent'!H3757</f>
        <v>355230.16159999999</v>
      </c>
      <c r="F3757" t="str">
        <f>+'[2]por cuent'!I3757</f>
        <v>424</v>
      </c>
    </row>
    <row r="3758" spans="1:6" x14ac:dyDescent="0.35">
      <c r="A3758" t="str">
        <f>+'[2]por cuent'!A3758</f>
        <v>USD</v>
      </c>
      <c r="B3758" t="str">
        <f>+'[2]por cuent'!B3758</f>
        <v>424000239</v>
      </c>
      <c r="C3758" t="str">
        <f>+'[2]por cuent'!C3758</f>
        <v>Mariano Teubal</v>
      </c>
      <c r="D3758" s="35">
        <f>+'[2]por cuent'!G3758</f>
        <v>46074.09</v>
      </c>
      <c r="E3758" s="35">
        <f>+'[2]por cuent'!H3758</f>
        <v>68907487.522199988</v>
      </c>
      <c r="F3758" t="str">
        <f>+'[2]por cuent'!I3758</f>
        <v>424</v>
      </c>
    </row>
    <row r="3759" spans="1:6" x14ac:dyDescent="0.35">
      <c r="A3759" t="str">
        <f>+'[2]por cuent'!A3759</f>
        <v>USD</v>
      </c>
      <c r="B3759" t="str">
        <f>+'[2]por cuent'!B3759</f>
        <v>424000243</v>
      </c>
      <c r="C3759" t="str">
        <f>+'[2]por cuent'!C3759</f>
        <v>FIDEICOMISO CIPRESALES</v>
      </c>
      <c r="D3759" s="35">
        <f>+'[2]por cuent'!G3759</f>
        <v>69999.509999999995</v>
      </c>
      <c r="E3759" s="35">
        <f>+'[2]por cuent'!H3759</f>
        <v>104689867.16579999</v>
      </c>
      <c r="F3759" t="str">
        <f>+'[2]por cuent'!I3759</f>
        <v>424</v>
      </c>
    </row>
    <row r="3760" spans="1:6" x14ac:dyDescent="0.35">
      <c r="A3760" t="str">
        <f>+'[2]por cuent'!A3760</f>
        <v>USD</v>
      </c>
      <c r="B3760" t="str">
        <f>+'[2]por cuent'!B3760</f>
        <v>424000300</v>
      </c>
      <c r="C3760" t="str">
        <f>+'[2]por cuent'!C3760</f>
        <v>[C.E.R.A.] Hugo Enrique Doiny</v>
      </c>
      <c r="D3760" s="35">
        <f>+'[2]por cuent'!G3760</f>
        <v>40397.79</v>
      </c>
      <c r="E3760" s="35">
        <f>+'[2]por cuent'!H3760</f>
        <v>60418126.768199995</v>
      </c>
      <c r="F3760" t="str">
        <f>+'[2]por cuent'!I3760</f>
        <v>424</v>
      </c>
    </row>
    <row r="3761" spans="1:6" x14ac:dyDescent="0.35">
      <c r="A3761" t="str">
        <f>+'[2]por cuent'!A3761</f>
        <v>USD</v>
      </c>
      <c r="B3761" t="str">
        <f>+'[2]por cuent'!B3761</f>
        <v>424001000</v>
      </c>
      <c r="C3761" t="str">
        <f>+'[2]por cuent'!C3761</f>
        <v>Vector Investments S.A.</v>
      </c>
      <c r="D3761" s="35">
        <f>+'[2]por cuent'!G3761</f>
        <v>4353.5200000000004</v>
      </c>
      <c r="E3761" s="35">
        <f>+'[2]por cuent'!H3761</f>
        <v>6511037.4416000005</v>
      </c>
      <c r="F3761" t="str">
        <f>+'[2]por cuent'!I3761</f>
        <v>424</v>
      </c>
    </row>
    <row r="3762" spans="1:6" x14ac:dyDescent="0.35">
      <c r="A3762" t="str">
        <f>+'[2]por cuent'!A3762</f>
        <v>USD</v>
      </c>
      <c r="B3762" t="str">
        <f>+'[2]por cuent'!B3762</f>
        <v>432000006</v>
      </c>
      <c r="C3762" t="str">
        <f>+'[2]por cuent'!C3762</f>
        <v>Cristiá, Pedro Alejandro</v>
      </c>
      <c r="D3762" s="35">
        <f>+'[2]por cuent'!G3762</f>
        <v>33120.629999999997</v>
      </c>
      <c r="E3762" s="35">
        <f>+'[2]por cuent'!H3762</f>
        <v>49534551.815399997</v>
      </c>
      <c r="F3762" t="str">
        <f>+'[2]por cuent'!I3762</f>
        <v>432</v>
      </c>
    </row>
    <row r="3763" spans="1:6" x14ac:dyDescent="0.35">
      <c r="A3763" t="str">
        <f>+'[2]por cuent'!A3763</f>
        <v>USD</v>
      </c>
      <c r="B3763" t="str">
        <f>+'[2]por cuent'!B3763</f>
        <v>432000007</v>
      </c>
      <c r="C3763" t="str">
        <f>+'[2]por cuent'!C3763</f>
        <v>Garófalo, José Luis</v>
      </c>
      <c r="D3763" s="35">
        <f>+'[2]por cuent'!G3763</f>
        <v>792981.92</v>
      </c>
      <c r="E3763" s="35">
        <f>+'[2]por cuent'!H3763</f>
        <v>1185967899.9136</v>
      </c>
      <c r="F3763" t="str">
        <f>+'[2]por cuent'!I3763</f>
        <v>432</v>
      </c>
    </row>
    <row r="3764" spans="1:6" x14ac:dyDescent="0.35">
      <c r="A3764" t="str">
        <f>+'[2]por cuent'!A3764</f>
        <v>USD</v>
      </c>
      <c r="B3764" t="str">
        <f>+'[2]por cuent'!B3764</f>
        <v>432000008</v>
      </c>
      <c r="C3764" t="str">
        <f>+'[2]por cuent'!C3764</f>
        <v>Arrigoni, Miguel Angel</v>
      </c>
      <c r="D3764" s="35">
        <f>+'[2]por cuent'!G3764</f>
        <v>1449911.64</v>
      </c>
      <c r="E3764" s="35">
        <f>+'[2]por cuent'!H3764</f>
        <v>2168458850.5511999</v>
      </c>
      <c r="F3764" t="str">
        <f>+'[2]por cuent'!I3764</f>
        <v>432</v>
      </c>
    </row>
    <row r="3765" spans="1:6" x14ac:dyDescent="0.35">
      <c r="A3765" t="str">
        <f>+'[2]por cuent'!A3765</f>
        <v>USD</v>
      </c>
      <c r="B3765" t="str">
        <f>+'[2]por cuent'!B3765</f>
        <v>432000010</v>
      </c>
      <c r="C3765" t="str">
        <f>+'[2]por cuent'!C3765</f>
        <v>First Capital Markets SA</v>
      </c>
      <c r="D3765" s="35">
        <f>+'[2]por cuent'!G3765</f>
        <v>1448932.07</v>
      </c>
      <c r="E3765" s="35">
        <f>+'[2]por cuent'!H3765</f>
        <v>2166993825.2505999</v>
      </c>
      <c r="F3765" t="str">
        <f>+'[2]por cuent'!I3765</f>
        <v>432</v>
      </c>
    </row>
    <row r="3766" spans="1:6" x14ac:dyDescent="0.35">
      <c r="A3766" t="str">
        <f>+'[2]por cuent'!A3766</f>
        <v>USD</v>
      </c>
      <c r="B3766" t="str">
        <f>+'[2]por cuent'!B3766</f>
        <v>432000011</v>
      </c>
      <c r="C3766" t="str">
        <f>+'[2]por cuent'!C3766</f>
        <v>Caramella, Alejandro Diego</v>
      </c>
      <c r="D3766" s="35">
        <f>+'[2]por cuent'!G3766</f>
        <v>675.5</v>
      </c>
      <c r="E3766" s="35">
        <f>+'[2]por cuent'!H3766</f>
        <v>1010264.2899999999</v>
      </c>
      <c r="F3766" t="str">
        <f>+'[2]por cuent'!I3766</f>
        <v>432</v>
      </c>
    </row>
    <row r="3767" spans="1:6" x14ac:dyDescent="0.35">
      <c r="A3767" t="str">
        <f>+'[2]por cuent'!A3767</f>
        <v>USD</v>
      </c>
      <c r="B3767" t="str">
        <f>+'[2]por cuent'!B3767</f>
        <v>432000012</v>
      </c>
      <c r="C3767" t="str">
        <f>+'[2]por cuent'!C3767</f>
        <v>Barbero, Guillermo Alberto</v>
      </c>
      <c r="D3767" s="35">
        <f>+'[2]por cuent'!G3767</f>
        <v>22484.67</v>
      </c>
      <c r="E3767" s="35">
        <f>+'[2]por cuent'!H3767</f>
        <v>33627622.758599997</v>
      </c>
      <c r="F3767" t="str">
        <f>+'[2]por cuent'!I3767</f>
        <v>432</v>
      </c>
    </row>
    <row r="3768" spans="1:6" x14ac:dyDescent="0.35">
      <c r="A3768" t="str">
        <f>+'[2]por cuent'!A3768</f>
        <v>USD</v>
      </c>
      <c r="B3768" t="str">
        <f>+'[2]por cuent'!B3768</f>
        <v>432000021</v>
      </c>
      <c r="C3768" t="str">
        <f>+'[2]por cuent'!C3768</f>
        <v>Dubiski, Luis Alberto o Gherman, Teresa Estefania</v>
      </c>
      <c r="D3768" s="35">
        <f>+'[2]por cuent'!G3768</f>
        <v>1200.27</v>
      </c>
      <c r="E3768" s="35">
        <f>+'[2]por cuent'!H3768</f>
        <v>1795099.8065999998</v>
      </c>
      <c r="F3768" t="str">
        <f>+'[2]por cuent'!I3768</f>
        <v>432</v>
      </c>
    </row>
    <row r="3769" spans="1:6" x14ac:dyDescent="0.35">
      <c r="A3769" t="str">
        <f>+'[2]por cuent'!A3769</f>
        <v>USD</v>
      </c>
      <c r="B3769" t="str">
        <f>+'[2]por cuent'!B3769</f>
        <v>432000043</v>
      </c>
      <c r="C3769" t="str">
        <f>+'[2]por cuent'!C3769</f>
        <v>Buyatti, Cristian Andres o De Abaroa, Florencia</v>
      </c>
      <c r="D3769" s="35">
        <f>+'[2]por cuent'!G3769</f>
        <v>673654.44</v>
      </c>
      <c r="E3769" s="35">
        <f>+'[2]por cuent'!H3769</f>
        <v>1007504107.3751999</v>
      </c>
      <c r="F3769" t="str">
        <f>+'[2]por cuent'!I3769</f>
        <v>432</v>
      </c>
    </row>
    <row r="3770" spans="1:6" x14ac:dyDescent="0.35">
      <c r="A3770" t="str">
        <f>+'[2]por cuent'!A3770</f>
        <v>USD</v>
      </c>
      <c r="B3770" t="str">
        <f>+'[2]por cuent'!B3770</f>
        <v>432000111</v>
      </c>
      <c r="C3770" t="str">
        <f>+'[2]por cuent'!C3770</f>
        <v xml:space="preserve">Alberio, Sebastián  </v>
      </c>
      <c r="D3770" s="35">
        <f>+'[2]por cuent'!G3770</f>
        <v>438224.73</v>
      </c>
      <c r="E3770" s="35">
        <f>+'[2]por cuent'!H3770</f>
        <v>655400141.69339991</v>
      </c>
      <c r="F3770" t="str">
        <f>+'[2]por cuent'!I3770</f>
        <v>432</v>
      </c>
    </row>
    <row r="3771" spans="1:6" x14ac:dyDescent="0.35">
      <c r="A3771" t="str">
        <f>+'[2]por cuent'!A3771</f>
        <v>USD</v>
      </c>
      <c r="B3771" t="str">
        <f>+'[2]por cuent'!B3771</f>
        <v>432000125</v>
      </c>
      <c r="C3771" t="str">
        <f>+'[2]por cuent'!C3771</f>
        <v>Oyarzabal, Fermín o Ferranti, María Eugenia</v>
      </c>
      <c r="D3771" s="35">
        <f>+'[2]por cuent'!G3771</f>
        <v>7184.01</v>
      </c>
      <c r="E3771" s="35">
        <f>+'[2]por cuent'!H3771</f>
        <v>10744261.675799999</v>
      </c>
      <c r="F3771" t="str">
        <f>+'[2]por cuent'!I3771</f>
        <v>432</v>
      </c>
    </row>
    <row r="3772" spans="1:6" x14ac:dyDescent="0.35">
      <c r="A3772" t="str">
        <f>+'[2]por cuent'!A3772</f>
        <v>USD</v>
      </c>
      <c r="B3772" t="str">
        <f>+'[2]por cuent'!B3772</f>
        <v>432000128</v>
      </c>
      <c r="C3772" t="str">
        <f>+'[2]por cuent'!C3772</f>
        <v>Petrolo, Eduardo Alberto (CARTERA)</v>
      </c>
      <c r="D3772" s="35">
        <f>+'[2]por cuent'!G3772</f>
        <v>18.8</v>
      </c>
      <c r="E3772" s="35">
        <f>+'[2]por cuent'!H3772</f>
        <v>28116.903999999999</v>
      </c>
      <c r="F3772" t="str">
        <f>+'[2]por cuent'!I3772</f>
        <v>432</v>
      </c>
    </row>
    <row r="3773" spans="1:6" x14ac:dyDescent="0.35">
      <c r="A3773" t="str">
        <f>+'[2]por cuent'!A3773</f>
        <v>USD</v>
      </c>
      <c r="B3773" t="str">
        <f>+'[2]por cuent'!B3773</f>
        <v>432000129</v>
      </c>
      <c r="C3773" t="str">
        <f>+'[2]por cuent'!C3773</f>
        <v>Fittante, Luciano</v>
      </c>
      <c r="D3773" s="35">
        <f>+'[2]por cuent'!G3773</f>
        <v>120.76</v>
      </c>
      <c r="E3773" s="35">
        <f>+'[2]por cuent'!H3773</f>
        <v>180606.2408</v>
      </c>
      <c r="F3773" t="str">
        <f>+'[2]por cuent'!I3773</f>
        <v>432</v>
      </c>
    </row>
    <row r="3774" spans="1:6" x14ac:dyDescent="0.35">
      <c r="A3774" t="str">
        <f>+'[2]por cuent'!A3774</f>
        <v>USD</v>
      </c>
      <c r="B3774" t="str">
        <f>+'[2]por cuent'!B3774</f>
        <v>432000161</v>
      </c>
      <c r="C3774" t="str">
        <f>+'[2]por cuent'!C3774</f>
        <v>Novo, Gonzalo Martín</v>
      </c>
      <c r="D3774" s="35">
        <f>+'[2]por cuent'!G3774</f>
        <v>393.4</v>
      </c>
      <c r="E3774" s="35">
        <f>+'[2]por cuent'!H3774</f>
        <v>588361.1719999999</v>
      </c>
      <c r="F3774" t="str">
        <f>+'[2]por cuent'!I3774</f>
        <v>432</v>
      </c>
    </row>
    <row r="3775" spans="1:6" x14ac:dyDescent="0.35">
      <c r="A3775" t="str">
        <f>+'[2]por cuent'!A3775</f>
        <v>USD</v>
      </c>
      <c r="B3775" t="str">
        <f>+'[2]por cuent'!B3775</f>
        <v>432000168</v>
      </c>
      <c r="C3775" t="str">
        <f>+'[2]por cuent'!C3775</f>
        <v xml:space="preserve">Sanchez, Guillermo Alejandro o REY, SANDRA ELIZABETH </v>
      </c>
      <c r="D3775" s="35">
        <f>+'[2]por cuent'!G3775</f>
        <v>1750</v>
      </c>
      <c r="E3775" s="35">
        <f>+'[2]por cuent'!H3775</f>
        <v>2617265</v>
      </c>
      <c r="F3775" t="str">
        <f>+'[2]por cuent'!I3775</f>
        <v>432</v>
      </c>
    </row>
    <row r="3776" spans="1:6" x14ac:dyDescent="0.35">
      <c r="A3776" t="str">
        <f>+'[2]por cuent'!A3776</f>
        <v>USD</v>
      </c>
      <c r="B3776" t="str">
        <f>+'[2]por cuent'!B3776</f>
        <v>432000192</v>
      </c>
      <c r="C3776" t="str">
        <f>+'[2]por cuent'!C3776</f>
        <v>Alassia, Alejandro Jesús o Alassia, Marcelo Gustavo</v>
      </c>
      <c r="D3776" s="35">
        <f>+'[2]por cuent'!G3776</f>
        <v>211215.26</v>
      </c>
      <c r="E3776" s="35">
        <f>+'[2]por cuent'!H3776</f>
        <v>315889318.55080003</v>
      </c>
      <c r="F3776" t="str">
        <f>+'[2]por cuent'!I3776</f>
        <v>432</v>
      </c>
    </row>
    <row r="3777" spans="1:6" x14ac:dyDescent="0.35">
      <c r="A3777" t="str">
        <f>+'[2]por cuent'!A3777</f>
        <v>USD</v>
      </c>
      <c r="B3777" t="str">
        <f>+'[2]por cuent'!B3777</f>
        <v>432000248</v>
      </c>
      <c r="C3777" t="str">
        <f>+'[2]por cuent'!C3777</f>
        <v>Rebecchi, Sergio Ricardo (CARTERA)</v>
      </c>
      <c r="D3777" s="35">
        <f>+'[2]por cuent'!G3777</f>
        <v>157.53</v>
      </c>
      <c r="E3777" s="35">
        <f>+'[2]por cuent'!H3777</f>
        <v>235598.71739999999</v>
      </c>
      <c r="F3777" t="str">
        <f>+'[2]por cuent'!I3777</f>
        <v>432</v>
      </c>
    </row>
    <row r="3778" spans="1:6" x14ac:dyDescent="0.35">
      <c r="A3778" t="str">
        <f>+'[2]por cuent'!A3778</f>
        <v>USD</v>
      </c>
      <c r="B3778" t="str">
        <f>+'[2]por cuent'!B3778</f>
        <v>432000286</v>
      </c>
      <c r="C3778" t="str">
        <f>+'[2]por cuent'!C3778</f>
        <v>Huayra Camargo, Cristian Abelardo</v>
      </c>
      <c r="D3778" s="35">
        <f>+'[2]por cuent'!G3778</f>
        <v>9161.52</v>
      </c>
      <c r="E3778" s="35">
        <f>+'[2]por cuent'!H3778</f>
        <v>13701786.081599999</v>
      </c>
      <c r="F3778" t="str">
        <f>+'[2]por cuent'!I3778</f>
        <v>432</v>
      </c>
    </row>
    <row r="3779" spans="1:6" x14ac:dyDescent="0.35">
      <c r="A3779" t="str">
        <f>+'[2]por cuent'!A3779</f>
        <v>USD</v>
      </c>
      <c r="B3779" t="str">
        <f>+'[2]por cuent'!B3779</f>
        <v>432000297</v>
      </c>
      <c r="C3779" t="str">
        <f>+'[2]por cuent'!C3779</f>
        <v>Boveda, Roberto Fabian o Infantil, Daniela Alejandra</v>
      </c>
      <c r="D3779" s="35">
        <f>+'[2]por cuent'!G3779</f>
        <v>365278.49</v>
      </c>
      <c r="E3779" s="35">
        <f>+'[2]por cuent'!H3779</f>
        <v>546303204.07419991</v>
      </c>
      <c r="F3779" t="str">
        <f>+'[2]por cuent'!I3779</f>
        <v>432</v>
      </c>
    </row>
    <row r="3780" spans="1:6" x14ac:dyDescent="0.35">
      <c r="A3780" t="str">
        <f>+'[2]por cuent'!A3780</f>
        <v>USD</v>
      </c>
      <c r="B3780" t="str">
        <f>+'[2]por cuent'!B3780</f>
        <v>432000319</v>
      </c>
      <c r="C3780" t="str">
        <f>+'[2]por cuent'!C3780</f>
        <v>Dalla Bona Maini, Guido</v>
      </c>
      <c r="D3780" s="35">
        <f>+'[2]por cuent'!G3780</f>
        <v>38117.47</v>
      </c>
      <c r="E3780" s="35">
        <f>+'[2]por cuent'!H3780</f>
        <v>57007725.782600001</v>
      </c>
      <c r="F3780" t="str">
        <f>+'[2]por cuent'!I3780</f>
        <v>432</v>
      </c>
    </row>
    <row r="3781" spans="1:6" x14ac:dyDescent="0.35">
      <c r="A3781" t="str">
        <f>+'[2]por cuent'!A3781</f>
        <v>USD</v>
      </c>
      <c r="B3781" t="str">
        <f>+'[2]por cuent'!B3781</f>
        <v>432000335</v>
      </c>
      <c r="C3781" t="str">
        <f>+'[2]por cuent'!C3781</f>
        <v>Alberio, Guillermo Roberto</v>
      </c>
      <c r="D3781" s="35">
        <f>+'[2]por cuent'!G3781</f>
        <v>8000.36</v>
      </c>
      <c r="E3781" s="35">
        <f>+'[2]por cuent'!H3781</f>
        <v>11965178.408799998</v>
      </c>
      <c r="F3781" t="str">
        <f>+'[2]por cuent'!I3781</f>
        <v>432</v>
      </c>
    </row>
    <row r="3782" spans="1:6" x14ac:dyDescent="0.35">
      <c r="A3782" t="str">
        <f>+'[2]por cuent'!A3782</f>
        <v>USD</v>
      </c>
      <c r="B3782" t="str">
        <f>+'[2]por cuent'!B3782</f>
        <v>432000384</v>
      </c>
      <c r="C3782" t="str">
        <f>+'[2]por cuent'!C3782</f>
        <v>Fundación Nuevo Hogar y Centro de Ancianos para la Comunidad Judía</v>
      </c>
      <c r="D3782" s="35">
        <f>+'[2]por cuent'!G3782</f>
        <v>119999.87</v>
      </c>
      <c r="E3782" s="35">
        <f>+'[2]por cuent'!H3782</f>
        <v>179469405.57459998</v>
      </c>
      <c r="F3782" t="str">
        <f>+'[2]por cuent'!I3782</f>
        <v>432</v>
      </c>
    </row>
    <row r="3783" spans="1:6" x14ac:dyDescent="0.35">
      <c r="A3783" t="str">
        <f>+'[2]por cuent'!A3783</f>
        <v>USD</v>
      </c>
      <c r="B3783" t="str">
        <f>+'[2]por cuent'!B3783</f>
        <v>432000399</v>
      </c>
      <c r="C3783" t="str">
        <f>+'[2]por cuent'!C3783</f>
        <v>Di Loreto, Héctor Emir (CARTERA)</v>
      </c>
      <c r="D3783" s="35">
        <f>+'[2]por cuent'!G3783</f>
        <v>19.36</v>
      </c>
      <c r="E3783" s="35">
        <f>+'[2]por cuent'!H3783</f>
        <v>28954.428799999998</v>
      </c>
      <c r="F3783" t="str">
        <f>+'[2]por cuent'!I3783</f>
        <v>432</v>
      </c>
    </row>
    <row r="3784" spans="1:6" x14ac:dyDescent="0.35">
      <c r="A3784" t="str">
        <f>+'[2]por cuent'!A3784</f>
        <v>USD</v>
      </c>
      <c r="B3784" t="str">
        <f>+'[2]por cuent'!B3784</f>
        <v>432000533</v>
      </c>
      <c r="C3784" t="str">
        <f>+'[2]por cuent'!C3784</f>
        <v>Martinolich, Alejandro o Magri, María Soledad</v>
      </c>
      <c r="D3784" s="35">
        <f>+'[2]por cuent'!G3784</f>
        <v>9023.93</v>
      </c>
      <c r="E3784" s="35">
        <f>+'[2]por cuent'!H3784</f>
        <v>13496009.2294</v>
      </c>
      <c r="F3784" t="str">
        <f>+'[2]por cuent'!I3784</f>
        <v>432</v>
      </c>
    </row>
    <row r="3785" spans="1:6" x14ac:dyDescent="0.35">
      <c r="A3785" t="str">
        <f>+'[2]por cuent'!A3785</f>
        <v>USD</v>
      </c>
      <c r="B3785" t="str">
        <f>+'[2]por cuent'!B3785</f>
        <v>432000554</v>
      </c>
      <c r="C3785" t="str">
        <f>+'[2]por cuent'!C3785</f>
        <v>De Lorenzo, Carina Susana</v>
      </c>
      <c r="D3785" s="35">
        <f>+'[2]por cuent'!G3785</f>
        <v>400</v>
      </c>
      <c r="E3785" s="35">
        <f>+'[2]por cuent'!H3785</f>
        <v>598232</v>
      </c>
      <c r="F3785" t="str">
        <f>+'[2]por cuent'!I3785</f>
        <v>432</v>
      </c>
    </row>
    <row r="3786" spans="1:6" x14ac:dyDescent="0.35">
      <c r="A3786" t="str">
        <f>+'[2]por cuent'!A3786</f>
        <v>USD</v>
      </c>
      <c r="B3786" t="str">
        <f>+'[2]por cuent'!B3786</f>
        <v>432000594</v>
      </c>
      <c r="C3786" t="str">
        <f>+'[2]por cuent'!C3786</f>
        <v>Montemurri, David Eduardo o Cisneros, Sonia del Carmen</v>
      </c>
      <c r="D3786" s="35">
        <f>+'[2]por cuent'!G3786</f>
        <v>9000.06</v>
      </c>
      <c r="E3786" s="35">
        <f>+'[2]por cuent'!H3786</f>
        <v>13460309.734799998</v>
      </c>
      <c r="F3786" t="str">
        <f>+'[2]por cuent'!I3786</f>
        <v>432</v>
      </c>
    </row>
    <row r="3787" spans="1:6" x14ac:dyDescent="0.35">
      <c r="A3787" t="str">
        <f>+'[2]por cuent'!A3787</f>
        <v>USD</v>
      </c>
      <c r="B3787" t="str">
        <f>+'[2]por cuent'!B3787</f>
        <v>432000597</v>
      </c>
      <c r="C3787" t="str">
        <f>+'[2]por cuent'!C3787</f>
        <v>Tenaglia, Mauro Nicolás</v>
      </c>
      <c r="D3787" s="35">
        <f>+'[2]por cuent'!G3787</f>
        <v>4997.79</v>
      </c>
      <c r="E3787" s="35">
        <f>+'[2]por cuent'!H3787</f>
        <v>7474594.7681999998</v>
      </c>
      <c r="F3787" t="str">
        <f>+'[2]por cuent'!I3787</f>
        <v>432</v>
      </c>
    </row>
    <row r="3788" spans="1:6" x14ac:dyDescent="0.35">
      <c r="A3788" t="str">
        <f>+'[2]por cuent'!A3788</f>
        <v>USD</v>
      </c>
      <c r="B3788" t="str">
        <f>+'[2]por cuent'!B3788</f>
        <v>432000605</v>
      </c>
      <c r="C3788" t="str">
        <f>+'[2]por cuent'!C3788</f>
        <v xml:space="preserve">Bonino, Alicia Mónica </v>
      </c>
      <c r="D3788" s="35">
        <f>+'[2]por cuent'!G3788</f>
        <v>462.55</v>
      </c>
      <c r="E3788" s="35">
        <f>+'[2]por cuent'!H3788</f>
        <v>691780.52899999998</v>
      </c>
      <c r="F3788" t="str">
        <f>+'[2]por cuent'!I3788</f>
        <v>432</v>
      </c>
    </row>
    <row r="3789" spans="1:6" x14ac:dyDescent="0.35">
      <c r="A3789" t="str">
        <f>+'[2]por cuent'!A3789</f>
        <v>USD</v>
      </c>
      <c r="B3789" t="str">
        <f>+'[2]por cuent'!B3789</f>
        <v>432000677</v>
      </c>
      <c r="C3789" t="str">
        <f>+'[2]por cuent'!C3789</f>
        <v>FIRST CORPORATE FINANCE ADVISORS S.A.</v>
      </c>
      <c r="D3789" s="35">
        <f>+'[2]por cuent'!G3789</f>
        <v>131336.18</v>
      </c>
      <c r="E3789" s="35">
        <f>+'[2]por cuent'!H3789</f>
        <v>196423764.08439997</v>
      </c>
      <c r="F3789" t="str">
        <f>+'[2]por cuent'!I3789</f>
        <v>432</v>
      </c>
    </row>
    <row r="3790" spans="1:6" x14ac:dyDescent="0.35">
      <c r="A3790" t="str">
        <f>+'[2]por cuent'!A3790</f>
        <v>USD</v>
      </c>
      <c r="B3790" t="str">
        <f>+'[2]por cuent'!B3790</f>
        <v>432000679</v>
      </c>
      <c r="C3790" t="str">
        <f>+'[2]por cuent'!C3790</f>
        <v>Castagnino, Mario Alejandro</v>
      </c>
      <c r="D3790" s="35">
        <f>+'[2]por cuent'!G3790</f>
        <v>791</v>
      </c>
      <c r="E3790" s="35">
        <f>+'[2]por cuent'!H3790</f>
        <v>1183003.78</v>
      </c>
      <c r="F3790" t="str">
        <f>+'[2]por cuent'!I3790</f>
        <v>432</v>
      </c>
    </row>
    <row r="3791" spans="1:6" x14ac:dyDescent="0.35">
      <c r="A3791" t="str">
        <f>+'[2]por cuent'!A3791</f>
        <v>USD</v>
      </c>
      <c r="B3791" t="str">
        <f>+'[2]por cuent'!B3791</f>
        <v>432000714</v>
      </c>
      <c r="C3791" t="str">
        <f>+'[2]por cuent'!C3791</f>
        <v>Oportunidad Microfinanciera Latinoamericana OMLA S.A</v>
      </c>
      <c r="D3791" s="35">
        <f>+'[2]por cuent'!G3791</f>
        <v>35000</v>
      </c>
      <c r="E3791" s="35">
        <f>+'[2]por cuent'!H3791</f>
        <v>52345300</v>
      </c>
      <c r="F3791" t="str">
        <f>+'[2]por cuent'!I3791</f>
        <v>432</v>
      </c>
    </row>
    <row r="3792" spans="1:6" x14ac:dyDescent="0.35">
      <c r="A3792" t="str">
        <f>+'[2]por cuent'!A3792</f>
        <v>USD</v>
      </c>
      <c r="B3792" t="str">
        <f>+'[2]por cuent'!B3792</f>
        <v>432000744</v>
      </c>
      <c r="C3792" t="str">
        <f>+'[2]por cuent'!C3792</f>
        <v>OYARZABAL , MARIA INES</v>
      </c>
      <c r="D3792" s="35">
        <f>+'[2]por cuent'!G3792</f>
        <v>4958.8999999999996</v>
      </c>
      <c r="E3792" s="35">
        <f>+'[2]por cuent'!H3792</f>
        <v>7416431.6619999995</v>
      </c>
      <c r="F3792" t="str">
        <f>+'[2]por cuent'!I3792</f>
        <v>432</v>
      </c>
    </row>
    <row r="3793" spans="1:6" x14ac:dyDescent="0.35">
      <c r="A3793" t="str">
        <f>+'[2]por cuent'!A3793</f>
        <v>USD</v>
      </c>
      <c r="B3793" t="str">
        <f>+'[2]por cuent'!B3793</f>
        <v>432000747</v>
      </c>
      <c r="C3793" t="str">
        <f>+'[2]por cuent'!C3793</f>
        <v>Seineldin, Fidel o Corbo, Daniela Claudia</v>
      </c>
      <c r="D3793" s="35">
        <f>+'[2]por cuent'!G3793</f>
        <v>8400.2099999999991</v>
      </c>
      <c r="E3793" s="35">
        <f>+'[2]por cuent'!H3793</f>
        <v>12563186.071799997</v>
      </c>
      <c r="F3793" t="str">
        <f>+'[2]por cuent'!I3793</f>
        <v>432</v>
      </c>
    </row>
    <row r="3794" spans="1:6" x14ac:dyDescent="0.35">
      <c r="A3794" t="str">
        <f>+'[2]por cuent'!A3794</f>
        <v>USD</v>
      </c>
      <c r="B3794" t="str">
        <f>+'[2]por cuent'!B3794</f>
        <v>432000799</v>
      </c>
      <c r="C3794" t="str">
        <f>+'[2]por cuent'!C3794</f>
        <v>Perez Edgardo Enrique Y Dolce Pablo Adrián Sociedad de Hecho</v>
      </c>
      <c r="D3794" s="35">
        <f>+'[2]por cuent'!G3794</f>
        <v>1628.13</v>
      </c>
      <c r="E3794" s="35">
        <f>+'[2]por cuent'!H3794</f>
        <v>2434998.6653999998</v>
      </c>
      <c r="F3794" t="str">
        <f>+'[2]por cuent'!I3794</f>
        <v>432</v>
      </c>
    </row>
    <row r="3795" spans="1:6" x14ac:dyDescent="0.35">
      <c r="A3795" t="str">
        <f>+'[2]por cuent'!A3795</f>
        <v>USD</v>
      </c>
      <c r="B3795" t="str">
        <f>+'[2]por cuent'!B3795</f>
        <v>432000867</v>
      </c>
      <c r="C3795" t="str">
        <f>+'[2]por cuent'!C3795</f>
        <v>OTOK SA</v>
      </c>
      <c r="D3795" s="35">
        <f>+'[2]por cuent'!G3795</f>
        <v>72087815.969999999</v>
      </c>
      <c r="E3795" s="35">
        <f>+'[2]por cuent'!H3795</f>
        <v>107813095808.4126</v>
      </c>
      <c r="F3795" t="str">
        <f>+'[2]por cuent'!I3795</f>
        <v>432</v>
      </c>
    </row>
    <row r="3796" spans="1:6" x14ac:dyDescent="0.35">
      <c r="A3796" t="str">
        <f>+'[2]por cuent'!A3796</f>
        <v>USD</v>
      </c>
      <c r="B3796" t="str">
        <f>+'[2]por cuent'!B3796</f>
        <v>432000868</v>
      </c>
      <c r="C3796" t="str">
        <f>+'[2]por cuent'!C3796</f>
        <v>Dellarossa, Maria Betina</v>
      </c>
      <c r="D3796" s="35">
        <f>+'[2]por cuent'!G3796</f>
        <v>5199.79</v>
      </c>
      <c r="E3796" s="35">
        <f>+'[2]por cuent'!H3796</f>
        <v>7776701.9282</v>
      </c>
      <c r="F3796" t="str">
        <f>+'[2]por cuent'!I3796</f>
        <v>432</v>
      </c>
    </row>
    <row r="3797" spans="1:6" x14ac:dyDescent="0.35">
      <c r="A3797" t="str">
        <f>+'[2]por cuent'!A3797</f>
        <v>USD</v>
      </c>
      <c r="B3797" t="str">
        <f>+'[2]por cuent'!B3797</f>
        <v>432000876</v>
      </c>
      <c r="C3797" t="str">
        <f>+'[2]por cuent'!C3797</f>
        <v>Giancaterino, Graciela Ethel</v>
      </c>
      <c r="D3797" s="35">
        <f>+'[2]por cuent'!G3797</f>
        <v>13962.34</v>
      </c>
      <c r="E3797" s="35">
        <f>+'[2]por cuent'!H3797</f>
        <v>20881796.457199998</v>
      </c>
      <c r="F3797" t="str">
        <f>+'[2]por cuent'!I3797</f>
        <v>432</v>
      </c>
    </row>
    <row r="3798" spans="1:6" x14ac:dyDescent="0.35">
      <c r="A3798" t="str">
        <f>+'[2]por cuent'!A3798</f>
        <v>USD</v>
      </c>
      <c r="B3798" t="str">
        <f>+'[2]por cuent'!B3798</f>
        <v>432000878</v>
      </c>
      <c r="C3798" t="str">
        <f>+'[2]por cuent'!C3798</f>
        <v>MARCON, SUSANA BEATRIZ</v>
      </c>
      <c r="D3798" s="35">
        <f>+'[2]por cuent'!G3798</f>
        <v>1400.3</v>
      </c>
      <c r="E3798" s="35">
        <f>+'[2]por cuent'!H3798</f>
        <v>2094260.6739999999</v>
      </c>
      <c r="F3798" t="str">
        <f>+'[2]por cuent'!I3798</f>
        <v>432</v>
      </c>
    </row>
    <row r="3799" spans="1:6" x14ac:dyDescent="0.35">
      <c r="A3799" t="str">
        <f>+'[2]por cuent'!A3799</f>
        <v>USD</v>
      </c>
      <c r="B3799" t="str">
        <f>+'[2]por cuent'!B3799</f>
        <v>432000885</v>
      </c>
      <c r="C3799" t="str">
        <f>+'[2]por cuent'!C3799</f>
        <v>JAWORSKI, MARIA EUGENIA</v>
      </c>
      <c r="D3799" s="35">
        <f>+'[2]por cuent'!G3799</f>
        <v>212657.85</v>
      </c>
      <c r="E3799" s="35">
        <f>+'[2]por cuent'!H3799</f>
        <v>318046827.30299997</v>
      </c>
      <c r="F3799" t="str">
        <f>+'[2]por cuent'!I3799</f>
        <v>432</v>
      </c>
    </row>
    <row r="3800" spans="1:6" x14ac:dyDescent="0.35">
      <c r="A3800" t="str">
        <f>+'[2]por cuent'!A3800</f>
        <v>USD</v>
      </c>
      <c r="B3800" t="str">
        <f>+'[2]por cuent'!B3800</f>
        <v>432000890</v>
      </c>
      <c r="C3800" t="str">
        <f>+'[2]por cuent'!C3800</f>
        <v>Jaworski, Maria Lucia</v>
      </c>
      <c r="D3800" s="35">
        <f>+'[2]por cuent'!G3800</f>
        <v>116888.22</v>
      </c>
      <c r="E3800" s="35">
        <f>+'[2]por cuent'!H3800</f>
        <v>174815684.06759998</v>
      </c>
      <c r="F3800" t="str">
        <f>+'[2]por cuent'!I3800</f>
        <v>432</v>
      </c>
    </row>
    <row r="3801" spans="1:6" x14ac:dyDescent="0.35">
      <c r="A3801" t="str">
        <f>+'[2]por cuent'!A3801</f>
        <v>USD</v>
      </c>
      <c r="B3801" t="str">
        <f>+'[2]por cuent'!B3801</f>
        <v>432000927</v>
      </c>
      <c r="C3801" t="str">
        <f>+'[2]por cuent'!C3801</f>
        <v>STAGNARO DI CROCE, CAMILA</v>
      </c>
      <c r="D3801" s="35">
        <f>+'[2]por cuent'!G3801</f>
        <v>10353.14</v>
      </c>
      <c r="E3801" s="35">
        <f>+'[2]por cuent'!H3801</f>
        <v>15483949.121199999</v>
      </c>
      <c r="F3801" t="str">
        <f>+'[2]por cuent'!I3801</f>
        <v>432</v>
      </c>
    </row>
    <row r="3802" spans="1:6" x14ac:dyDescent="0.35">
      <c r="A3802" t="str">
        <f>+'[2]por cuent'!A3802</f>
        <v>USD</v>
      </c>
      <c r="B3802" t="str">
        <f>+'[2]por cuent'!B3802</f>
        <v>432000946</v>
      </c>
      <c r="C3802" t="str">
        <f>+'[2]por cuent'!C3802</f>
        <v>BUYATTI, GERARDO LUIS</v>
      </c>
      <c r="D3802" s="35">
        <f>+'[2]por cuent'!G3802</f>
        <v>10397.280000000001</v>
      </c>
      <c r="E3802" s="35">
        <f>+'[2]por cuent'!H3802</f>
        <v>15549964.022400001</v>
      </c>
      <c r="F3802" t="str">
        <f>+'[2]por cuent'!I3802</f>
        <v>432</v>
      </c>
    </row>
    <row r="3803" spans="1:6" x14ac:dyDescent="0.35">
      <c r="A3803" t="str">
        <f>+'[2]por cuent'!A3803</f>
        <v>USD</v>
      </c>
      <c r="B3803" t="str">
        <f>+'[2]por cuent'!B3803</f>
        <v>432001020</v>
      </c>
      <c r="C3803" t="str">
        <f>+'[2]por cuent'!C3803</f>
        <v>DELL' ELCE, DANTE ALEJANDRO</v>
      </c>
      <c r="D3803" s="35">
        <f>+'[2]por cuent'!G3803</f>
        <v>40000</v>
      </c>
      <c r="E3803" s="35">
        <f>+'[2]por cuent'!H3803</f>
        <v>59823200</v>
      </c>
      <c r="F3803" t="str">
        <f>+'[2]por cuent'!I3803</f>
        <v>432</v>
      </c>
    </row>
    <row r="3804" spans="1:6" x14ac:dyDescent="0.35">
      <c r="A3804" t="str">
        <f>+'[2]por cuent'!A3804</f>
        <v>USD</v>
      </c>
      <c r="B3804" t="str">
        <f>+'[2]por cuent'!B3804</f>
        <v>432001029</v>
      </c>
      <c r="C3804" t="str">
        <f>+'[2]por cuent'!C3804</f>
        <v>DISEÑO, LUZ Y SENTIDO S.R.L.</v>
      </c>
      <c r="D3804" s="35">
        <f>+'[2]por cuent'!G3804</f>
        <v>30499.52</v>
      </c>
      <c r="E3804" s="35">
        <f>+'[2]por cuent'!H3804</f>
        <v>45614472.121600002</v>
      </c>
      <c r="F3804" t="str">
        <f>+'[2]por cuent'!I3804</f>
        <v>432</v>
      </c>
    </row>
    <row r="3805" spans="1:6" x14ac:dyDescent="0.35">
      <c r="A3805" t="str">
        <f>+'[2]por cuent'!A3805</f>
        <v>USD</v>
      </c>
      <c r="B3805" t="str">
        <f>+'[2]por cuent'!B3805</f>
        <v>432001120</v>
      </c>
      <c r="C3805" t="str">
        <f>+'[2]por cuent'!C3805</f>
        <v>SOLOVEI, THIAGO TOMAS</v>
      </c>
      <c r="D3805" s="35">
        <f>+'[2]por cuent'!G3805</f>
        <v>4201.62</v>
      </c>
      <c r="E3805" s="35">
        <f>+'[2]por cuent'!H3805</f>
        <v>6283858.8395999996</v>
      </c>
      <c r="F3805" t="str">
        <f>+'[2]por cuent'!I3805</f>
        <v>432</v>
      </c>
    </row>
    <row r="3806" spans="1:6" x14ac:dyDescent="0.35">
      <c r="A3806" t="str">
        <f>+'[2]por cuent'!A3806</f>
        <v>USD</v>
      </c>
      <c r="B3806" t="str">
        <f>+'[2]por cuent'!B3806</f>
        <v>432001162</v>
      </c>
      <c r="C3806" t="str">
        <f>+'[2]por cuent'!C3806</f>
        <v>FABRE, HECTOR EDUARDO o DIAZ, ANA MARIA</v>
      </c>
      <c r="D3806" s="35">
        <f>+'[2]por cuent'!G3806</f>
        <v>6992.94</v>
      </c>
      <c r="E3806" s="35">
        <f>+'[2]por cuent'!H3806</f>
        <v>10458501.2052</v>
      </c>
      <c r="F3806" t="str">
        <f>+'[2]por cuent'!I3806</f>
        <v>432</v>
      </c>
    </row>
    <row r="3807" spans="1:6" x14ac:dyDescent="0.35">
      <c r="A3807" t="str">
        <f>+'[2]por cuent'!A3807</f>
        <v>USD</v>
      </c>
      <c r="B3807" t="str">
        <f>+'[2]por cuent'!B3807</f>
        <v>432001164</v>
      </c>
      <c r="C3807" t="str">
        <f>+'[2]por cuent'!C3807</f>
        <v>BASSANINI, DIEGO OMAR</v>
      </c>
      <c r="D3807" s="35">
        <f>+'[2]por cuent'!G3807</f>
        <v>102418.86</v>
      </c>
      <c r="E3807" s="35">
        <f>+'[2]por cuent'!H3807</f>
        <v>153175598.6388</v>
      </c>
      <c r="F3807" t="str">
        <f>+'[2]por cuent'!I3807</f>
        <v>432</v>
      </c>
    </row>
    <row r="3808" spans="1:6" x14ac:dyDescent="0.35">
      <c r="A3808" t="str">
        <f>+'[2]por cuent'!A3808</f>
        <v>USD</v>
      </c>
      <c r="B3808" t="str">
        <f>+'[2]por cuent'!B3808</f>
        <v>432001165</v>
      </c>
      <c r="C3808" t="str">
        <f>+'[2]por cuent'!C3808</f>
        <v>BASSANINI, VANINA PAOLA</v>
      </c>
      <c r="D3808" s="35">
        <f>+'[2]por cuent'!G3808</f>
        <v>102646.04</v>
      </c>
      <c r="E3808" s="35">
        <f>+'[2]por cuent'!H3808</f>
        <v>153515364.50319999</v>
      </c>
      <c r="F3808" t="str">
        <f>+'[2]por cuent'!I3808</f>
        <v>432</v>
      </c>
    </row>
    <row r="3809" spans="1:6" x14ac:dyDescent="0.35">
      <c r="A3809" t="str">
        <f>+'[2]por cuent'!A3809</f>
        <v>USD</v>
      </c>
      <c r="B3809" t="str">
        <f>+'[2]por cuent'!B3809</f>
        <v>432001189</v>
      </c>
      <c r="C3809" t="str">
        <f>+'[2]por cuent'!C3809</f>
        <v xml:space="preserve">OPTILINK S.R.L. </v>
      </c>
      <c r="D3809" s="35">
        <f>+'[2]por cuent'!G3809</f>
        <v>47158.23</v>
      </c>
      <c r="E3809" s="35">
        <f>+'[2]por cuent'!H3809</f>
        <v>70528905.623400003</v>
      </c>
      <c r="F3809" t="str">
        <f>+'[2]por cuent'!I3809</f>
        <v>432</v>
      </c>
    </row>
    <row r="3810" spans="1:6" x14ac:dyDescent="0.35">
      <c r="A3810" t="str">
        <f>+'[2]por cuent'!A3810</f>
        <v>USD</v>
      </c>
      <c r="B3810" t="str">
        <f>+'[2]por cuent'!B3810</f>
        <v>432001207</v>
      </c>
      <c r="C3810" t="str">
        <f>+'[2]por cuent'!C3810</f>
        <v>ARRIGONI, BARBARA o ARRIGONI MIGUEL o BALMAS CLAUDIA</v>
      </c>
      <c r="D3810" s="35">
        <f>+'[2]por cuent'!G3810</f>
        <v>7861.05</v>
      </c>
      <c r="E3810" s="35">
        <f>+'[2]por cuent'!H3810</f>
        <v>11756829.159</v>
      </c>
      <c r="F3810" t="str">
        <f>+'[2]por cuent'!I3810</f>
        <v>432</v>
      </c>
    </row>
    <row r="3811" spans="1:6" x14ac:dyDescent="0.35">
      <c r="A3811" t="str">
        <f>+'[2]por cuent'!A3811</f>
        <v>USD</v>
      </c>
      <c r="B3811" t="str">
        <f>+'[2]por cuent'!B3811</f>
        <v>432001214</v>
      </c>
      <c r="C3811" t="str">
        <f>+'[2]por cuent'!C3811</f>
        <v xml:space="preserve"> [C.E.R.A] Carsa S.A.</v>
      </c>
      <c r="D3811" s="35">
        <f>+'[2]por cuent'!G3811</f>
        <v>203494.44</v>
      </c>
      <c r="E3811" s="35">
        <f>+'[2]por cuent'!H3811</f>
        <v>304342214.57519996</v>
      </c>
      <c r="F3811" t="str">
        <f>+'[2]por cuent'!I3811</f>
        <v>432</v>
      </c>
    </row>
    <row r="3812" spans="1:6" x14ac:dyDescent="0.35">
      <c r="A3812" t="str">
        <f>+'[2]por cuent'!A3812</f>
        <v>USD</v>
      </c>
      <c r="B3812" t="str">
        <f>+'[2]por cuent'!B3812</f>
        <v>432001247</v>
      </c>
      <c r="C3812" t="str">
        <f>+'[2]por cuent'!C3812</f>
        <v>Bo, Diego Maximiliano</v>
      </c>
      <c r="D3812" s="35">
        <f>+'[2]por cuent'!G3812</f>
        <v>805.23</v>
      </c>
      <c r="E3812" s="35">
        <f>+'[2]por cuent'!H3812</f>
        <v>1204285.8833999999</v>
      </c>
      <c r="F3812" t="str">
        <f>+'[2]por cuent'!I3812</f>
        <v>432</v>
      </c>
    </row>
    <row r="3813" spans="1:6" x14ac:dyDescent="0.35">
      <c r="A3813" t="str">
        <f>+'[2]por cuent'!A3813</f>
        <v>USD</v>
      </c>
      <c r="B3813" t="str">
        <f>+'[2]por cuent'!B3813</f>
        <v>432001250</v>
      </c>
      <c r="C3813" t="str">
        <f>+'[2]por cuent'!C3813</f>
        <v>H&amp;S MANAGEMENT S. A. S.</v>
      </c>
      <c r="D3813" s="35">
        <f>+'[2]por cuent'!G3813</f>
        <v>1500</v>
      </c>
      <c r="E3813" s="35">
        <f>+'[2]por cuent'!H3813</f>
        <v>2243370</v>
      </c>
      <c r="F3813" t="str">
        <f>+'[2]por cuent'!I3813</f>
        <v>432</v>
      </c>
    </row>
    <row r="3814" spans="1:6" x14ac:dyDescent="0.35">
      <c r="A3814" t="str">
        <f>+'[2]por cuent'!A3814</f>
        <v>USD</v>
      </c>
      <c r="B3814" t="str">
        <f>+'[2]por cuent'!B3814</f>
        <v>432001251</v>
      </c>
      <c r="C3814" t="str">
        <f>+'[2]por cuent'!C3814</f>
        <v>RODRIGUEZ, HUGO FERNANDO o Mendes Novo, Maisa</v>
      </c>
      <c r="D3814" s="35">
        <f>+'[2]por cuent'!G3814</f>
        <v>1979.52</v>
      </c>
      <c r="E3814" s="35">
        <f>+'[2]por cuent'!H3814</f>
        <v>2960530.5215999996</v>
      </c>
      <c r="F3814" t="str">
        <f>+'[2]por cuent'!I3814</f>
        <v>432</v>
      </c>
    </row>
    <row r="3815" spans="1:6" x14ac:dyDescent="0.35">
      <c r="A3815" t="str">
        <f>+'[2]por cuent'!A3815</f>
        <v>USD</v>
      </c>
      <c r="B3815" t="str">
        <f>+'[2]por cuent'!B3815</f>
        <v>432001256</v>
      </c>
      <c r="C3815" t="str">
        <f>+'[2]por cuent'!C3815</f>
        <v>LINGUA, ENRIQUE MARIO o DE NICOLA, MIRTA SUSANA</v>
      </c>
      <c r="D3815" s="35">
        <f>+'[2]por cuent'!G3815</f>
        <v>20000</v>
      </c>
      <c r="E3815" s="35">
        <f>+'[2]por cuent'!H3815</f>
        <v>29911600</v>
      </c>
      <c r="F3815" t="str">
        <f>+'[2]por cuent'!I3815</f>
        <v>432</v>
      </c>
    </row>
    <row r="3816" spans="1:6" x14ac:dyDescent="0.35">
      <c r="A3816" t="str">
        <f>+'[2]por cuent'!A3816</f>
        <v>USD</v>
      </c>
      <c r="B3816" t="str">
        <f>+'[2]por cuent'!B3816</f>
        <v>432001257</v>
      </c>
      <c r="C3816" t="str">
        <f>+'[2]por cuent'!C3816</f>
        <v>ESBORRAZ, DIEGO</v>
      </c>
      <c r="D3816" s="35">
        <f>+'[2]por cuent'!G3816</f>
        <v>20633</v>
      </c>
      <c r="E3816" s="35">
        <f>+'[2]por cuent'!H3816</f>
        <v>30858302.139999997</v>
      </c>
      <c r="F3816" t="str">
        <f>+'[2]por cuent'!I3816</f>
        <v>432</v>
      </c>
    </row>
    <row r="3817" spans="1:6" x14ac:dyDescent="0.35">
      <c r="A3817" t="str">
        <f>+'[2]por cuent'!A3817</f>
        <v>USD</v>
      </c>
      <c r="B3817" t="str">
        <f>+'[2]por cuent'!B3817</f>
        <v>432001263</v>
      </c>
      <c r="C3817" t="str">
        <f>+'[2]por cuent'!C3817</f>
        <v>CASTAGNINO, TOMAS OCTAVIO</v>
      </c>
      <c r="D3817" s="35">
        <f>+'[2]por cuent'!G3817</f>
        <v>85043.79</v>
      </c>
      <c r="E3817" s="35">
        <f>+'[2]por cuent'!H3817</f>
        <v>127189791.44819999</v>
      </c>
      <c r="F3817" t="str">
        <f>+'[2]por cuent'!I3817</f>
        <v>432</v>
      </c>
    </row>
    <row r="3818" spans="1:6" x14ac:dyDescent="0.35">
      <c r="A3818" t="str">
        <f>+'[2]por cuent'!A3818</f>
        <v>USD</v>
      </c>
      <c r="B3818" t="str">
        <f>+'[2]por cuent'!B3818</f>
        <v>432001265</v>
      </c>
      <c r="C3818" t="str">
        <f>+'[2]por cuent'!C3818</f>
        <v xml:space="preserve">ALMARAZ, EDUARDO OSCAR </v>
      </c>
      <c r="D3818" s="35">
        <f>+'[2]por cuent'!G3818</f>
        <v>20329</v>
      </c>
      <c r="E3818" s="35">
        <f>+'[2]por cuent'!H3818</f>
        <v>30403645.82</v>
      </c>
      <c r="F3818" t="str">
        <f>+'[2]por cuent'!I3818</f>
        <v>432</v>
      </c>
    </row>
    <row r="3819" spans="1:6" x14ac:dyDescent="0.35">
      <c r="A3819" t="str">
        <f>+'[2]por cuent'!A3819</f>
        <v>USD</v>
      </c>
      <c r="B3819" t="str">
        <f>+'[2]por cuent'!B3819</f>
        <v>432001272</v>
      </c>
      <c r="C3819" t="str">
        <f>+'[2]por cuent'!C3819</f>
        <v>DI CROCE, SUSANA BEATRIZ</v>
      </c>
      <c r="D3819" s="35">
        <f>+'[2]por cuent'!G3819</f>
        <v>99.96</v>
      </c>
      <c r="E3819" s="35">
        <f>+'[2]por cuent'!H3819</f>
        <v>149498.17679999999</v>
      </c>
      <c r="F3819" t="str">
        <f>+'[2]por cuent'!I3819</f>
        <v>432</v>
      </c>
    </row>
    <row r="3820" spans="1:6" x14ac:dyDescent="0.35">
      <c r="A3820" t="str">
        <f>+'[2]por cuent'!A3820</f>
        <v>USD</v>
      </c>
      <c r="B3820" t="str">
        <f>+'[2]por cuent'!B3820</f>
        <v>432001273</v>
      </c>
      <c r="C3820" t="str">
        <f>+'[2]por cuent'!C3820</f>
        <v>STAGNARO, RANDY PAUL</v>
      </c>
      <c r="D3820" s="35">
        <f>+'[2]por cuent'!G3820</f>
        <v>60093.63</v>
      </c>
      <c r="E3820" s="35">
        <f>+'[2]por cuent'!H3820</f>
        <v>89874831.155399993</v>
      </c>
      <c r="F3820" t="str">
        <f>+'[2]por cuent'!I3820</f>
        <v>432</v>
      </c>
    </row>
    <row r="3821" spans="1:6" x14ac:dyDescent="0.35">
      <c r="A3821" t="str">
        <f>+'[2]por cuent'!A3821</f>
        <v>USD</v>
      </c>
      <c r="B3821" t="str">
        <f>+'[2]por cuent'!B3821</f>
        <v>435000005</v>
      </c>
      <c r="C3821" t="str">
        <f>+'[2]por cuent'!C3821</f>
        <v>Inverstart S.A.- Contrapartida Líquida -</v>
      </c>
      <c r="D3821" s="35">
        <f>+'[2]por cuent'!G3821</f>
        <v>438.36</v>
      </c>
      <c r="E3821" s="35">
        <f>+'[2]por cuent'!H3821</f>
        <v>655602.44880000001</v>
      </c>
      <c r="F3821" t="str">
        <f>+'[2]por cuent'!I3821</f>
        <v>435</v>
      </c>
    </row>
    <row r="3822" spans="1:6" x14ac:dyDescent="0.35">
      <c r="A3822" t="str">
        <f>+'[2]por cuent'!A3822</f>
        <v>USD</v>
      </c>
      <c r="B3822" t="str">
        <f>+'[2]por cuent'!B3822</f>
        <v>435000006</v>
      </c>
      <c r="C3822" t="str">
        <f>+'[2]por cuent'!C3822</f>
        <v>Inverstart S.A.</v>
      </c>
      <c r="D3822" s="35">
        <f>+'[2]por cuent'!G3822</f>
        <v>275038.2</v>
      </c>
      <c r="E3822" s="35">
        <f>+'[2]por cuent'!H3822</f>
        <v>411341631.15600002</v>
      </c>
      <c r="F3822" t="str">
        <f>+'[2]por cuent'!I3822</f>
        <v>435</v>
      </c>
    </row>
    <row r="3823" spans="1:6" x14ac:dyDescent="0.35">
      <c r="A3823" t="str">
        <f>+'[2]por cuent'!A3823</f>
        <v>USD</v>
      </c>
      <c r="B3823" t="str">
        <f>+'[2]por cuent'!B3823</f>
        <v>435000007</v>
      </c>
      <c r="C3823" t="str">
        <f>+'[2]por cuent'!C3823</f>
        <v>Conti, Sergio Horacio o Dominguez, Viviana Beatriz</v>
      </c>
      <c r="D3823" s="35">
        <f>+'[2]por cuent'!G3823</f>
        <v>17995.75</v>
      </c>
      <c r="E3823" s="35">
        <f>+'[2]por cuent'!H3823</f>
        <v>26914083.785</v>
      </c>
      <c r="F3823" t="str">
        <f>+'[2]por cuent'!I3823</f>
        <v>435</v>
      </c>
    </row>
    <row r="3824" spans="1:6" x14ac:dyDescent="0.35">
      <c r="A3824" t="str">
        <f>+'[2]por cuent'!A3824</f>
        <v>USD</v>
      </c>
      <c r="B3824" t="str">
        <f>+'[2]por cuent'!B3824</f>
        <v>435000010</v>
      </c>
      <c r="C3824" t="str">
        <f>+'[2]por cuent'!C3824</f>
        <v>Romero, Raúl Javier</v>
      </c>
      <c r="D3824" s="35">
        <f>+'[2]por cuent'!G3824</f>
        <v>2228.77</v>
      </c>
      <c r="E3824" s="35">
        <f>+'[2]por cuent'!H3824</f>
        <v>3333303.8366</v>
      </c>
      <c r="F3824" t="str">
        <f>+'[2]por cuent'!I3824</f>
        <v>435</v>
      </c>
    </row>
    <row r="3825" spans="1:6" x14ac:dyDescent="0.35">
      <c r="A3825" t="str">
        <f>+'[2]por cuent'!A3825</f>
        <v>USD</v>
      </c>
      <c r="B3825" t="str">
        <f>+'[2]por cuent'!B3825</f>
        <v>435000014</v>
      </c>
      <c r="C3825" t="str">
        <f>+'[2]por cuent'!C3825</f>
        <v>Muñoz, Leandro Adrián Evaristo  o Boulet, Marisol Liliana</v>
      </c>
      <c r="D3825" s="35">
        <f>+'[2]por cuent'!G3825</f>
        <v>4997.22</v>
      </c>
      <c r="E3825" s="35">
        <f>+'[2]por cuent'!H3825</f>
        <v>7473742.2876000004</v>
      </c>
      <c r="F3825" t="str">
        <f>+'[2]por cuent'!I3825</f>
        <v>435</v>
      </c>
    </row>
    <row r="3826" spans="1:6" x14ac:dyDescent="0.35">
      <c r="A3826" t="str">
        <f>+'[2]por cuent'!A3826</f>
        <v>USD</v>
      </c>
      <c r="B3826" t="str">
        <f>+'[2]por cuent'!B3826</f>
        <v>435000015</v>
      </c>
      <c r="C3826" t="str">
        <f>+'[2]por cuent'!C3826</f>
        <v>Nieto, Lucio Edgardo</v>
      </c>
      <c r="D3826" s="35">
        <f>+'[2]por cuent'!G3826</f>
        <v>45758.22</v>
      </c>
      <c r="E3826" s="35">
        <f>+'[2]por cuent'!H3826</f>
        <v>68435078.667600006</v>
      </c>
      <c r="F3826" t="str">
        <f>+'[2]por cuent'!I3826</f>
        <v>435</v>
      </c>
    </row>
    <row r="3827" spans="1:6" x14ac:dyDescent="0.35">
      <c r="A3827" t="str">
        <f>+'[2]por cuent'!A3827</f>
        <v>USD</v>
      </c>
      <c r="B3827" t="str">
        <f>+'[2]por cuent'!B3827</f>
        <v>435000023</v>
      </c>
      <c r="C3827" t="str">
        <f>+'[2]por cuent'!C3827</f>
        <v>Instecmec S.A.</v>
      </c>
      <c r="D3827" s="35">
        <f>+'[2]por cuent'!G3827</f>
        <v>834.57</v>
      </c>
      <c r="E3827" s="35">
        <f>+'[2]por cuent'!H3827</f>
        <v>1248166.2006000001</v>
      </c>
      <c r="F3827" t="str">
        <f>+'[2]por cuent'!I3827</f>
        <v>435</v>
      </c>
    </row>
    <row r="3828" spans="1:6" x14ac:dyDescent="0.35">
      <c r="A3828" t="str">
        <f>+'[2]por cuent'!A3828</f>
        <v>USD</v>
      </c>
      <c r="B3828" t="str">
        <f>+'[2]por cuent'!B3828</f>
        <v>435000024</v>
      </c>
      <c r="C3828" t="str">
        <f>+'[2]por cuent'!C3828</f>
        <v xml:space="preserve">Aguilera, Domingo Vicente o Hidalgo, Susana </v>
      </c>
      <c r="D3828" s="35">
        <f>+'[2]por cuent'!G3828</f>
        <v>107406.38</v>
      </c>
      <c r="E3828" s="35">
        <f>+'[2]por cuent'!H3828</f>
        <v>160634833.80039999</v>
      </c>
      <c r="F3828" t="str">
        <f>+'[2]por cuent'!I3828</f>
        <v>435</v>
      </c>
    </row>
    <row r="3829" spans="1:6" x14ac:dyDescent="0.35">
      <c r="A3829" t="str">
        <f>+'[2]por cuent'!A3829</f>
        <v>USD</v>
      </c>
      <c r="B3829" t="str">
        <f>+'[2]por cuent'!B3829</f>
        <v>435000032</v>
      </c>
      <c r="C3829" t="str">
        <f>+'[2]por cuent'!C3829</f>
        <v>Muñoz, Leandro Adrián Evaristo  o Nieto, Lucio Edgardo o Salaceta, Alberto Orlando</v>
      </c>
      <c r="D3829" s="35">
        <f>+'[2]por cuent'!G3829</f>
        <v>9066.7999999999993</v>
      </c>
      <c r="E3829" s="35">
        <f>+'[2]por cuent'!H3829</f>
        <v>13560124.743999999</v>
      </c>
      <c r="F3829" t="str">
        <f>+'[2]por cuent'!I3829</f>
        <v>435</v>
      </c>
    </row>
    <row r="3830" spans="1:6" x14ac:dyDescent="0.35">
      <c r="A3830" t="str">
        <f>+'[2]por cuent'!A3830</f>
        <v>USD</v>
      </c>
      <c r="B3830" t="str">
        <f>+'[2]por cuent'!B3830</f>
        <v>435000035</v>
      </c>
      <c r="C3830" t="str">
        <f>+'[2]por cuent'!C3830</f>
        <v>[C.E.R.A.] Conti, Sergio Horacio</v>
      </c>
      <c r="D3830" s="35">
        <f>+'[2]por cuent'!G3830</f>
        <v>7622.8</v>
      </c>
      <c r="E3830" s="35">
        <f>+'[2]por cuent'!H3830</f>
        <v>11400507.223999999</v>
      </c>
      <c r="F3830" t="str">
        <f>+'[2]por cuent'!I3830</f>
        <v>435</v>
      </c>
    </row>
    <row r="3831" spans="1:6" x14ac:dyDescent="0.35">
      <c r="A3831" t="str">
        <f>+'[2]por cuent'!A3831</f>
        <v>USD</v>
      </c>
      <c r="B3831" t="str">
        <f>+'[2]por cuent'!B3831</f>
        <v>435000036</v>
      </c>
      <c r="C3831" t="str">
        <f>+'[2]por cuent'!C3831</f>
        <v>[C.E.R.A.] De Marchi Alejandra</v>
      </c>
      <c r="D3831" s="35">
        <f>+'[2]por cuent'!G3831</f>
        <v>2510</v>
      </c>
      <c r="E3831" s="35">
        <f>+'[2]por cuent'!H3831</f>
        <v>3753905.8</v>
      </c>
      <c r="F3831" t="str">
        <f>+'[2]por cuent'!I3831</f>
        <v>435</v>
      </c>
    </row>
    <row r="3832" spans="1:6" x14ac:dyDescent="0.35">
      <c r="A3832" t="str">
        <f>+'[2]por cuent'!A3832</f>
        <v>USD</v>
      </c>
      <c r="B3832" t="str">
        <f>+'[2]por cuent'!B3832</f>
        <v>435000037</v>
      </c>
      <c r="C3832" t="str">
        <f>+'[2]por cuent'!C3832</f>
        <v xml:space="preserve"> [C.E.R.A.] De Marchi, Gabriel Luis</v>
      </c>
      <c r="D3832" s="35">
        <f>+'[2]por cuent'!G3832</f>
        <v>2510</v>
      </c>
      <c r="E3832" s="35">
        <f>+'[2]por cuent'!H3832</f>
        <v>3753905.8</v>
      </c>
      <c r="F3832" t="str">
        <f>+'[2]por cuent'!I3832</f>
        <v>435</v>
      </c>
    </row>
    <row r="3833" spans="1:6" x14ac:dyDescent="0.35">
      <c r="A3833" t="str">
        <f>+'[2]por cuent'!A3833</f>
        <v>USD</v>
      </c>
      <c r="B3833" t="str">
        <f>+'[2]por cuent'!B3833</f>
        <v>435000038</v>
      </c>
      <c r="C3833" t="str">
        <f>+'[2]por cuent'!C3833</f>
        <v>[C.E.R.A.] Proyectar AC SRL</v>
      </c>
      <c r="D3833" s="35">
        <f>+'[2]por cuent'!G3833</f>
        <v>2384.5</v>
      </c>
      <c r="E3833" s="35">
        <f>+'[2]por cuent'!H3833</f>
        <v>3566210.51</v>
      </c>
      <c r="F3833" t="str">
        <f>+'[2]por cuent'!I3833</f>
        <v>435</v>
      </c>
    </row>
    <row r="3834" spans="1:6" x14ac:dyDescent="0.35">
      <c r="A3834" t="str">
        <f>+'[2]por cuent'!A3834</f>
        <v>USD</v>
      </c>
      <c r="B3834" t="str">
        <f>+'[2]por cuent'!B3834</f>
        <v>435000091</v>
      </c>
      <c r="C3834" t="str">
        <f>+'[2]por cuent'!C3834</f>
        <v>Garcia, Oscar Alberto o Garcia, Natacha Jimena del Rosario o Volpe, Darío Javier</v>
      </c>
      <c r="D3834" s="35">
        <f>+'[2]por cuent'!G3834</f>
        <v>83505</v>
      </c>
      <c r="E3834" s="35">
        <f>+'[2]por cuent'!H3834</f>
        <v>124888407.89999999</v>
      </c>
      <c r="F3834" t="str">
        <f>+'[2]por cuent'!I3834</f>
        <v>435</v>
      </c>
    </row>
    <row r="3835" spans="1:6" x14ac:dyDescent="0.35">
      <c r="A3835" t="str">
        <f>+'[2]por cuent'!A3835</f>
        <v>USD</v>
      </c>
      <c r="B3835" t="str">
        <f>+'[2]por cuent'!B3835</f>
        <v>435000101</v>
      </c>
      <c r="C3835" t="str">
        <f>+'[2]por cuent'!C3835</f>
        <v>Fabre, Eduardo Anselmo o Fabre, Paula</v>
      </c>
      <c r="D3835" s="35">
        <f>+'[2]por cuent'!G3835</f>
        <v>19568.04</v>
      </c>
      <c r="E3835" s="35">
        <f>+'[2]por cuent'!H3835</f>
        <v>29265569.2632</v>
      </c>
      <c r="F3835" t="str">
        <f>+'[2]por cuent'!I3835</f>
        <v>435</v>
      </c>
    </row>
    <row r="3836" spans="1:6" x14ac:dyDescent="0.35">
      <c r="A3836" t="str">
        <f>+'[2]por cuent'!A3836</f>
        <v>USD</v>
      </c>
      <c r="B3836" t="str">
        <f>+'[2]por cuent'!B3836</f>
        <v>435000104</v>
      </c>
      <c r="C3836" t="str">
        <f>+'[2]por cuent'!C3836</f>
        <v>Peralta, Osvaldo Darío o Capotosti, Daniela</v>
      </c>
      <c r="D3836" s="35">
        <f>+'[2]por cuent'!G3836</f>
        <v>36606</v>
      </c>
      <c r="E3836" s="35">
        <f>+'[2]por cuent'!H3836</f>
        <v>54747201.479999997</v>
      </c>
      <c r="F3836" t="str">
        <f>+'[2]por cuent'!I3836</f>
        <v>435</v>
      </c>
    </row>
    <row r="3837" spans="1:6" x14ac:dyDescent="0.35">
      <c r="A3837" t="str">
        <f>+'[2]por cuent'!A3837</f>
        <v>USD</v>
      </c>
      <c r="B3837" t="str">
        <f>+'[2]por cuent'!B3837</f>
        <v>435000112</v>
      </c>
      <c r="C3837" t="str">
        <f>+'[2]por cuent'!C3837</f>
        <v>Karup, Nora Cristina o Coletto, Federico Enrique o Coletto, Gianina Anabella</v>
      </c>
      <c r="D3837" s="35">
        <f>+'[2]por cuent'!G3837</f>
        <v>30411</v>
      </c>
      <c r="E3837" s="35">
        <f>+'[2]por cuent'!H3837</f>
        <v>45482083.379999995</v>
      </c>
      <c r="F3837" t="str">
        <f>+'[2]por cuent'!I3837</f>
        <v>435</v>
      </c>
    </row>
    <row r="3838" spans="1:6" x14ac:dyDescent="0.35">
      <c r="A3838" t="str">
        <f>+'[2]por cuent'!A3838</f>
        <v>USD</v>
      </c>
      <c r="B3838" t="str">
        <f>+'[2]por cuent'!B3838</f>
        <v>435000129</v>
      </c>
      <c r="C3838" t="str">
        <f>+'[2]por cuent'!C3838</f>
        <v>Orozco, Pedro Efrayn o Martinez, Brian Ariel u Olmos, Maria Rosa</v>
      </c>
      <c r="D3838" s="35">
        <f>+'[2]por cuent'!G3838</f>
        <v>7074.43</v>
      </c>
      <c r="E3838" s="35">
        <f>+'[2]por cuent'!H3838</f>
        <v>10580376.019400001</v>
      </c>
      <c r="F3838" t="str">
        <f>+'[2]por cuent'!I3838</f>
        <v>435</v>
      </c>
    </row>
    <row r="3839" spans="1:6" x14ac:dyDescent="0.35">
      <c r="A3839" t="str">
        <f>+'[2]por cuent'!A3839</f>
        <v>USD</v>
      </c>
      <c r="B3839" t="str">
        <f>+'[2]por cuent'!B3839</f>
        <v>435000145</v>
      </c>
      <c r="C3839" t="str">
        <f>+'[2]por cuent'!C3839</f>
        <v>Gomila, Pedro Lorenzo</v>
      </c>
      <c r="D3839" s="35">
        <f>+'[2]por cuent'!G3839</f>
        <v>629.41</v>
      </c>
      <c r="E3839" s="35">
        <f>+'[2]por cuent'!H3839</f>
        <v>941333.0077999999</v>
      </c>
      <c r="F3839" t="str">
        <f>+'[2]por cuent'!I3839</f>
        <v>435</v>
      </c>
    </row>
    <row r="3840" spans="1:6" x14ac:dyDescent="0.35">
      <c r="A3840" t="str">
        <f>+'[2]por cuent'!A3840</f>
        <v>USD</v>
      </c>
      <c r="B3840" t="str">
        <f>+'[2]por cuent'!B3840</f>
        <v>435000156</v>
      </c>
      <c r="C3840" t="str">
        <f>+'[2]por cuent'!C3840</f>
        <v>Boulet, Vanesa Lidia o Boulet, Magali Isabel</v>
      </c>
      <c r="D3840" s="35">
        <f>+'[2]por cuent'!G3840</f>
        <v>371.74</v>
      </c>
      <c r="E3840" s="35">
        <f>+'[2]por cuent'!H3840</f>
        <v>555966.90919999999</v>
      </c>
      <c r="F3840" t="str">
        <f>+'[2]por cuent'!I3840</f>
        <v>435</v>
      </c>
    </row>
    <row r="3841" spans="1:6" x14ac:dyDescent="0.35">
      <c r="A3841" t="str">
        <f>+'[2]por cuent'!A3841</f>
        <v>USD</v>
      </c>
      <c r="B3841" t="str">
        <f>+'[2]por cuent'!B3841</f>
        <v>435000158</v>
      </c>
      <c r="C3841" t="str">
        <f>+'[2]por cuent'!C3841</f>
        <v>Los Virreyes S.A.</v>
      </c>
      <c r="D3841" s="35">
        <f>+'[2]por cuent'!G3841</f>
        <v>53522.89</v>
      </c>
      <c r="E3841" s="35">
        <f>+'[2]por cuent'!H3841</f>
        <v>80047763.826199993</v>
      </c>
      <c r="F3841" t="str">
        <f>+'[2]por cuent'!I3841</f>
        <v>435</v>
      </c>
    </row>
    <row r="3842" spans="1:6" x14ac:dyDescent="0.35">
      <c r="A3842" t="str">
        <f>+'[2]por cuent'!A3842</f>
        <v>USD</v>
      </c>
      <c r="B3842" t="str">
        <f>+'[2]por cuent'!B3842</f>
        <v>435000164</v>
      </c>
      <c r="C3842" t="str">
        <f>+'[2]por cuent'!C3842</f>
        <v xml:space="preserve">Ortiz, Myrna Beatriz o Salaceta Ortiz, Emilio Nicolas </v>
      </c>
      <c r="D3842" s="35">
        <f>+'[2]por cuent'!G3842</f>
        <v>200.1</v>
      </c>
      <c r="E3842" s="35">
        <f>+'[2]por cuent'!H3842</f>
        <v>299265.55799999996</v>
      </c>
      <c r="F3842" t="str">
        <f>+'[2]por cuent'!I3842</f>
        <v>435</v>
      </c>
    </row>
    <row r="3843" spans="1:6" x14ac:dyDescent="0.35">
      <c r="A3843" t="str">
        <f>+'[2]por cuent'!A3843</f>
        <v>USD</v>
      </c>
      <c r="B3843" t="str">
        <f>+'[2]por cuent'!B3843</f>
        <v>435000189</v>
      </c>
      <c r="C3843" t="str">
        <f>+'[2]por cuent'!C3843</f>
        <v>Castillo, Eduardo Ulises o Romero Hernandez, Gloria Helena</v>
      </c>
      <c r="D3843" s="35">
        <f>+'[2]por cuent'!G3843</f>
        <v>4000.04</v>
      </c>
      <c r="E3843" s="35">
        <f>+'[2]por cuent'!H3843</f>
        <v>5982379.8231999995</v>
      </c>
      <c r="F3843" t="str">
        <f>+'[2]por cuent'!I3843</f>
        <v>435</v>
      </c>
    </row>
    <row r="3844" spans="1:6" x14ac:dyDescent="0.35">
      <c r="A3844" t="str">
        <f>+'[2]por cuent'!A3844</f>
        <v>USD</v>
      </c>
      <c r="B3844" t="str">
        <f>+'[2]por cuent'!B3844</f>
        <v>435000191</v>
      </c>
      <c r="C3844" t="str">
        <f>+'[2]por cuent'!C3844</f>
        <v>Coletto, Mario Enrique o Coletto, Federico Enrique</v>
      </c>
      <c r="D3844" s="35">
        <f>+'[2]por cuent'!G3844</f>
        <v>23817</v>
      </c>
      <c r="E3844" s="35">
        <f>+'[2]por cuent'!H3844</f>
        <v>35620228.859999999</v>
      </c>
      <c r="F3844" t="str">
        <f>+'[2]por cuent'!I3844</f>
        <v>435</v>
      </c>
    </row>
    <row r="3845" spans="1:6" x14ac:dyDescent="0.35">
      <c r="A3845" t="str">
        <f>+'[2]por cuent'!A3845</f>
        <v>USD</v>
      </c>
      <c r="B3845" t="str">
        <f>+'[2]por cuent'!B3845</f>
        <v>435000192</v>
      </c>
      <c r="C3845" t="str">
        <f>+'[2]por cuent'!C3845</f>
        <v>Zaniuk, Juan Ignacio Nicolas o Martin, Norma Susana Angelica</v>
      </c>
      <c r="D3845" s="35">
        <f>+'[2]por cuent'!G3845</f>
        <v>999.63</v>
      </c>
      <c r="E3845" s="35">
        <f>+'[2]por cuent'!H3845</f>
        <v>1495026.6354</v>
      </c>
      <c r="F3845" t="str">
        <f>+'[2]por cuent'!I3845</f>
        <v>435</v>
      </c>
    </row>
    <row r="3846" spans="1:6" x14ac:dyDescent="0.35">
      <c r="A3846" t="str">
        <f>+'[2]por cuent'!A3846</f>
        <v>USD</v>
      </c>
      <c r="B3846" t="str">
        <f>+'[2]por cuent'!B3846</f>
        <v>435000222</v>
      </c>
      <c r="C3846" t="str">
        <f>+'[2]por cuent'!C3846</f>
        <v>Paez, Oscar Alexander o Lencina, Nancy Susana</v>
      </c>
      <c r="D3846" s="35">
        <f>+'[2]por cuent'!G3846</f>
        <v>42.75</v>
      </c>
      <c r="E3846" s="35">
        <f>+'[2]por cuent'!H3846</f>
        <v>63936.044999999998</v>
      </c>
      <c r="F3846" t="str">
        <f>+'[2]por cuent'!I3846</f>
        <v>435</v>
      </c>
    </row>
    <row r="3847" spans="1:6" x14ac:dyDescent="0.35">
      <c r="A3847" t="str">
        <f>+'[2]por cuent'!A3847</f>
        <v>USD</v>
      </c>
      <c r="B3847" t="str">
        <f>+'[2]por cuent'!B3847</f>
        <v>435000257</v>
      </c>
      <c r="C3847" t="str">
        <f>+'[2]por cuent'!C3847</f>
        <v>Muscara, Lorena Alejandra o Muscara, Sandra Elisabeth o Romano, Anunciada Carmela</v>
      </c>
      <c r="D3847" s="35">
        <f>+'[2]por cuent'!G3847</f>
        <v>3008.26</v>
      </c>
      <c r="E3847" s="35">
        <f>+'[2]por cuent'!H3847</f>
        <v>4499093.4907999998</v>
      </c>
      <c r="F3847" t="str">
        <f>+'[2]por cuent'!I3847</f>
        <v>435</v>
      </c>
    </row>
    <row r="3848" spans="1:6" x14ac:dyDescent="0.35">
      <c r="A3848" t="str">
        <f>+'[2]por cuent'!A3848</f>
        <v>USD</v>
      </c>
      <c r="B3848" t="str">
        <f>+'[2]por cuent'!B3848</f>
        <v>435000260</v>
      </c>
      <c r="C3848" t="str">
        <f>+'[2]por cuent'!C3848</f>
        <v>Papaianni Pose, Alejandro Raul</v>
      </c>
      <c r="D3848" s="35">
        <f>+'[2]por cuent'!G3848</f>
        <v>115604.07</v>
      </c>
      <c r="E3848" s="35">
        <f>+'[2]por cuent'!H3848</f>
        <v>172895135.0106</v>
      </c>
      <c r="F3848" t="str">
        <f>+'[2]por cuent'!I3848</f>
        <v>435</v>
      </c>
    </row>
    <row r="3849" spans="1:6" x14ac:dyDescent="0.35">
      <c r="A3849" t="str">
        <f>+'[2]por cuent'!A3849</f>
        <v>USD</v>
      </c>
      <c r="B3849" t="str">
        <f>+'[2]por cuent'!B3849</f>
        <v>435000272</v>
      </c>
      <c r="C3849" t="str">
        <f>+'[2]por cuent'!C3849</f>
        <v xml:space="preserve">Olagaray, Esther Patricia </v>
      </c>
      <c r="D3849" s="35">
        <f>+'[2]por cuent'!G3849</f>
        <v>1603.72</v>
      </c>
      <c r="E3849" s="35">
        <f>+'[2]por cuent'!H3849</f>
        <v>2398491.5575999999</v>
      </c>
      <c r="F3849" t="str">
        <f>+'[2]por cuent'!I3849</f>
        <v>435</v>
      </c>
    </row>
    <row r="3850" spans="1:6" x14ac:dyDescent="0.35">
      <c r="A3850" t="str">
        <f>+'[2]por cuent'!A3850</f>
        <v>USD</v>
      </c>
      <c r="B3850" t="str">
        <f>+'[2]por cuent'!B3850</f>
        <v>435000276</v>
      </c>
      <c r="C3850" t="str">
        <f>+'[2]por cuent'!C3850</f>
        <v>Gibbs, Jose Guillermo o Gibbs Moreira, Guillermo Damian o Gibbs Moreira, Andres Enrique</v>
      </c>
      <c r="D3850" s="35">
        <f>+'[2]por cuent'!G3850</f>
        <v>42714</v>
      </c>
      <c r="E3850" s="35">
        <f>+'[2]por cuent'!H3850</f>
        <v>63882204.119999997</v>
      </c>
      <c r="F3850" t="str">
        <f>+'[2]por cuent'!I3850</f>
        <v>435</v>
      </c>
    </row>
    <row r="3851" spans="1:6" x14ac:dyDescent="0.35">
      <c r="A3851" t="str">
        <f>+'[2]por cuent'!A3851</f>
        <v>USD</v>
      </c>
      <c r="B3851" t="str">
        <f>+'[2]por cuent'!B3851</f>
        <v>435000291</v>
      </c>
      <c r="C3851" t="str">
        <f>+'[2]por cuent'!C3851</f>
        <v>Rutas del Sol S.A.</v>
      </c>
      <c r="D3851" s="35">
        <f>+'[2]por cuent'!G3851</f>
        <v>239331</v>
      </c>
      <c r="E3851" s="35">
        <f>+'[2]por cuent'!H3851</f>
        <v>357938656.97999996</v>
      </c>
      <c r="F3851" t="str">
        <f>+'[2]por cuent'!I3851</f>
        <v>435</v>
      </c>
    </row>
    <row r="3852" spans="1:6" x14ac:dyDescent="0.35">
      <c r="A3852" t="str">
        <f>+'[2]por cuent'!A3852</f>
        <v>USD</v>
      </c>
      <c r="B3852" t="str">
        <f>+'[2]por cuent'!B3852</f>
        <v>435000292</v>
      </c>
      <c r="C3852" t="str">
        <f>+'[2]por cuent'!C3852</f>
        <v>Vignoni, Susana Vicenta o Gonzalez, Juan Horacio</v>
      </c>
      <c r="D3852" s="35">
        <f>+'[2]por cuent'!G3852</f>
        <v>92083</v>
      </c>
      <c r="E3852" s="35">
        <f>+'[2]por cuent'!H3852</f>
        <v>137717493.13999999</v>
      </c>
      <c r="F3852" t="str">
        <f>+'[2]por cuent'!I3852</f>
        <v>435</v>
      </c>
    </row>
    <row r="3853" spans="1:6" x14ac:dyDescent="0.35">
      <c r="A3853" t="str">
        <f>+'[2]por cuent'!A3853</f>
        <v>USD</v>
      </c>
      <c r="B3853" t="str">
        <f>+'[2]por cuent'!B3853</f>
        <v>435000293</v>
      </c>
      <c r="C3853" t="str">
        <f>+'[2]por cuent'!C3853</f>
        <v>G y V S.A.</v>
      </c>
      <c r="D3853" s="35">
        <f>+'[2]por cuent'!G3853</f>
        <v>1122.75</v>
      </c>
      <c r="E3853" s="35">
        <f>+'[2]por cuent'!H3853</f>
        <v>1679162.4449999998</v>
      </c>
      <c r="F3853" t="str">
        <f>+'[2]por cuent'!I3853</f>
        <v>435</v>
      </c>
    </row>
    <row r="3854" spans="1:6" x14ac:dyDescent="0.35">
      <c r="A3854" t="str">
        <f>+'[2]por cuent'!A3854</f>
        <v>USD</v>
      </c>
      <c r="B3854" t="str">
        <f>+'[2]por cuent'!B3854</f>
        <v>435000298</v>
      </c>
      <c r="C3854" t="str">
        <f>+'[2]por cuent'!C3854</f>
        <v>Volpe, Domingo Américo o Volpe, Darío Javier</v>
      </c>
      <c r="D3854" s="35">
        <f>+'[2]por cuent'!G3854</f>
        <v>9775</v>
      </c>
      <c r="E3854" s="35">
        <f>+'[2]por cuent'!H3854</f>
        <v>14619294.5</v>
      </c>
      <c r="F3854" t="str">
        <f>+'[2]por cuent'!I3854</f>
        <v>435</v>
      </c>
    </row>
    <row r="3855" spans="1:6" x14ac:dyDescent="0.35">
      <c r="A3855" t="str">
        <f>+'[2]por cuent'!A3855</f>
        <v>USD</v>
      </c>
      <c r="B3855" t="str">
        <f>+'[2]por cuent'!B3855</f>
        <v>435000299</v>
      </c>
      <c r="C3855" t="str">
        <f>+'[2]por cuent'!C3855</f>
        <v>Pefer Construcciones S.A.</v>
      </c>
      <c r="D3855" s="35">
        <f>+'[2]por cuent'!G3855</f>
        <v>58.24</v>
      </c>
      <c r="E3855" s="35">
        <f>+'[2]por cuent'!H3855</f>
        <v>87102.579199999993</v>
      </c>
      <c r="F3855" t="str">
        <f>+'[2]por cuent'!I3855</f>
        <v>435</v>
      </c>
    </row>
    <row r="3856" spans="1:6" x14ac:dyDescent="0.35">
      <c r="A3856" t="str">
        <f>+'[2]por cuent'!A3856</f>
        <v>USD</v>
      </c>
      <c r="B3856" t="str">
        <f>+'[2]por cuent'!B3856</f>
        <v>435000305</v>
      </c>
      <c r="C3856" t="str">
        <f>+'[2]por cuent'!C3856</f>
        <v>Fredes, Adriana Cecilia  o Llaver, Rodolfo Jesus o Llaver Fredes, Fatima Yamila u otros</v>
      </c>
      <c r="D3856" s="35">
        <f>+'[2]por cuent'!G3856</f>
        <v>21882</v>
      </c>
      <c r="E3856" s="35">
        <f>+'[2]por cuent'!H3856</f>
        <v>32726281.559999999</v>
      </c>
      <c r="F3856" t="str">
        <f>+'[2]por cuent'!I3856</f>
        <v>435</v>
      </c>
    </row>
    <row r="3857" spans="1:6" x14ac:dyDescent="0.35">
      <c r="A3857" t="str">
        <f>+'[2]por cuent'!A3857</f>
        <v>USD</v>
      </c>
      <c r="B3857" t="str">
        <f>+'[2]por cuent'!B3857</f>
        <v>435000311</v>
      </c>
      <c r="C3857" t="str">
        <f>+'[2]por cuent'!C3857</f>
        <v>Yanzon, Roberto Horacio</v>
      </c>
      <c r="D3857" s="35">
        <f>+'[2]por cuent'!G3857</f>
        <v>47931</v>
      </c>
      <c r="E3857" s="35">
        <f>+'[2]por cuent'!H3857</f>
        <v>71684644.979999989</v>
      </c>
      <c r="F3857" t="str">
        <f>+'[2]por cuent'!I3857</f>
        <v>435</v>
      </c>
    </row>
    <row r="3858" spans="1:6" x14ac:dyDescent="0.35">
      <c r="A3858" t="str">
        <f>+'[2]por cuent'!A3858</f>
        <v>USD</v>
      </c>
      <c r="B3858" t="str">
        <f>+'[2]por cuent'!B3858</f>
        <v>435000322</v>
      </c>
      <c r="C3858" t="str">
        <f>+'[2]por cuent'!C3858</f>
        <v>Pozzi, Andres o Pozzi, Carolina</v>
      </c>
      <c r="D3858" s="35">
        <f>+'[2]por cuent'!G3858</f>
        <v>138991.93</v>
      </c>
      <c r="E3858" s="35">
        <f>+'[2]por cuent'!H3858</f>
        <v>207873550.66939998</v>
      </c>
      <c r="F3858" t="str">
        <f>+'[2]por cuent'!I3858</f>
        <v>435</v>
      </c>
    </row>
    <row r="3859" spans="1:6" x14ac:dyDescent="0.35">
      <c r="A3859" t="str">
        <f>+'[2]por cuent'!A3859</f>
        <v>USD</v>
      </c>
      <c r="B3859" t="str">
        <f>+'[2]por cuent'!B3859</f>
        <v>435000326</v>
      </c>
      <c r="C3859" t="str">
        <f>+'[2]por cuent'!C3859</f>
        <v xml:space="preserve">Amerio, Andrea Fabiana </v>
      </c>
      <c r="D3859" s="35">
        <f>+'[2]por cuent'!G3859</f>
        <v>271.93</v>
      </c>
      <c r="E3859" s="35">
        <f>+'[2]por cuent'!H3859</f>
        <v>406693.06939999998</v>
      </c>
      <c r="F3859" t="str">
        <f>+'[2]por cuent'!I3859</f>
        <v>435</v>
      </c>
    </row>
    <row r="3860" spans="1:6" x14ac:dyDescent="0.35">
      <c r="A3860" t="str">
        <f>+'[2]por cuent'!A3860</f>
        <v>USD</v>
      </c>
      <c r="B3860" t="str">
        <f>+'[2]por cuent'!B3860</f>
        <v>435000338</v>
      </c>
      <c r="C3860" t="str">
        <f>+'[2]por cuent'!C3860</f>
        <v>Piulats, Elsa Libertad o Marin, Norma Beatriz</v>
      </c>
      <c r="D3860" s="35">
        <f>+'[2]por cuent'!G3860</f>
        <v>3629.57</v>
      </c>
      <c r="E3860" s="35">
        <f>+'[2]por cuent'!H3860</f>
        <v>5428312.3005999997</v>
      </c>
      <c r="F3860" t="str">
        <f>+'[2]por cuent'!I3860</f>
        <v>435</v>
      </c>
    </row>
    <row r="3861" spans="1:6" x14ac:dyDescent="0.35">
      <c r="A3861" t="str">
        <f>+'[2]por cuent'!A3861</f>
        <v>USD</v>
      </c>
      <c r="B3861" t="str">
        <f>+'[2]por cuent'!B3861</f>
        <v>435000347</v>
      </c>
      <c r="C3861" t="str">
        <f>+'[2]por cuent'!C3861</f>
        <v>Tecno Service S.R.L.</v>
      </c>
      <c r="D3861" s="35">
        <f>+'[2]por cuent'!G3861</f>
        <v>32488</v>
      </c>
      <c r="E3861" s="35">
        <f>+'[2]por cuent'!H3861</f>
        <v>48588403.039999999</v>
      </c>
      <c r="F3861" t="str">
        <f>+'[2]por cuent'!I3861</f>
        <v>435</v>
      </c>
    </row>
    <row r="3862" spans="1:6" x14ac:dyDescent="0.35">
      <c r="A3862" t="str">
        <f>+'[2]por cuent'!A3862</f>
        <v>USD</v>
      </c>
      <c r="B3862" t="str">
        <f>+'[2]por cuent'!B3862</f>
        <v>435000370</v>
      </c>
      <c r="C3862" t="str">
        <f>+'[2]por cuent'!C3862</f>
        <v>Frutofe SA</v>
      </c>
      <c r="D3862" s="35">
        <f>+'[2]por cuent'!G3862</f>
        <v>41499.129999999997</v>
      </c>
      <c r="E3862" s="35">
        <f>+'[2]por cuent'!H3862</f>
        <v>62065268.845399991</v>
      </c>
      <c r="F3862" t="str">
        <f>+'[2]por cuent'!I3862</f>
        <v>435</v>
      </c>
    </row>
    <row r="3863" spans="1:6" x14ac:dyDescent="0.35">
      <c r="A3863" t="str">
        <f>+'[2]por cuent'!A3863</f>
        <v>USD</v>
      </c>
      <c r="B3863" t="str">
        <f>+'[2]por cuent'!B3863</f>
        <v>435000372</v>
      </c>
      <c r="C3863" t="str">
        <f>+'[2]por cuent'!C3863</f>
        <v>Vicino, Esteban David</v>
      </c>
      <c r="D3863" s="35">
        <f>+'[2]por cuent'!G3863</f>
        <v>498.43</v>
      </c>
      <c r="E3863" s="35">
        <f>+'[2]por cuent'!H3863</f>
        <v>745441.93940000003</v>
      </c>
      <c r="F3863" t="str">
        <f>+'[2]por cuent'!I3863</f>
        <v>435</v>
      </c>
    </row>
    <row r="3864" spans="1:6" x14ac:dyDescent="0.35">
      <c r="A3864" t="str">
        <f>+'[2]por cuent'!A3864</f>
        <v>USD</v>
      </c>
      <c r="B3864" t="str">
        <f>+'[2]por cuent'!B3864</f>
        <v>435000379</v>
      </c>
      <c r="C3864" t="str">
        <f>+'[2]por cuent'!C3864</f>
        <v>ML Lonas y Carpas Maipú S.A.</v>
      </c>
      <c r="D3864" s="35">
        <f>+'[2]por cuent'!G3864</f>
        <v>4109.32</v>
      </c>
      <c r="E3864" s="35">
        <f>+'[2]por cuent'!H3864</f>
        <v>6145816.8055999996</v>
      </c>
      <c r="F3864" t="str">
        <f>+'[2]por cuent'!I3864</f>
        <v>435</v>
      </c>
    </row>
    <row r="3865" spans="1:6" x14ac:dyDescent="0.35">
      <c r="A3865" t="str">
        <f>+'[2]por cuent'!A3865</f>
        <v>USD</v>
      </c>
      <c r="B3865" t="str">
        <f>+'[2]por cuent'!B3865</f>
        <v>435000385</v>
      </c>
      <c r="C3865" t="str">
        <f>+'[2]por cuent'!C3865</f>
        <v>Malnis, Alejandro Antonio</v>
      </c>
      <c r="D3865" s="35">
        <f>+'[2]por cuent'!G3865</f>
        <v>143.31</v>
      </c>
      <c r="E3865" s="35">
        <f>+'[2]por cuent'!H3865</f>
        <v>214331.5698</v>
      </c>
      <c r="F3865" t="str">
        <f>+'[2]por cuent'!I3865</f>
        <v>435</v>
      </c>
    </row>
    <row r="3866" spans="1:6" x14ac:dyDescent="0.35">
      <c r="A3866" t="str">
        <f>+'[2]por cuent'!A3866</f>
        <v>USD</v>
      </c>
      <c r="B3866" t="str">
        <f>+'[2]por cuent'!B3866</f>
        <v>435000402</v>
      </c>
      <c r="C3866" t="str">
        <f>+'[2]por cuent'!C3866</f>
        <v>Boninu, Silvia Rosana</v>
      </c>
      <c r="D3866" s="35">
        <f>+'[2]por cuent'!G3866</f>
        <v>4607.24</v>
      </c>
      <c r="E3866" s="35">
        <f>+'[2]por cuent'!H3866</f>
        <v>6890495.9991999995</v>
      </c>
      <c r="F3866" t="str">
        <f>+'[2]por cuent'!I3866</f>
        <v>435</v>
      </c>
    </row>
    <row r="3867" spans="1:6" x14ac:dyDescent="0.35">
      <c r="A3867" t="str">
        <f>+'[2]por cuent'!A3867</f>
        <v>USD</v>
      </c>
      <c r="B3867" t="str">
        <f>+'[2]por cuent'!B3867</f>
        <v>435000409</v>
      </c>
      <c r="C3867" t="str">
        <f>+'[2]por cuent'!C3867</f>
        <v>Pellerano, Carlos Nicolas o Cunsolo, Antonella</v>
      </c>
      <c r="D3867" s="35">
        <f>+'[2]por cuent'!G3867</f>
        <v>24804</v>
      </c>
      <c r="E3867" s="35">
        <f>+'[2]por cuent'!H3867</f>
        <v>37096366.32</v>
      </c>
      <c r="F3867" t="str">
        <f>+'[2]por cuent'!I3867</f>
        <v>435</v>
      </c>
    </row>
    <row r="3868" spans="1:6" x14ac:dyDescent="0.35">
      <c r="A3868" t="str">
        <f>+'[2]por cuent'!A3868</f>
        <v>USD</v>
      </c>
      <c r="B3868" t="str">
        <f>+'[2]por cuent'!B3868</f>
        <v>435000417</v>
      </c>
      <c r="C3868" t="str">
        <f>+'[2]por cuent'!C3868</f>
        <v xml:space="preserve">Aguilera, Natalia Carina </v>
      </c>
      <c r="D3868" s="35">
        <f>+'[2]por cuent'!G3868</f>
        <v>7328</v>
      </c>
      <c r="E3868" s="35">
        <f>+'[2]por cuent'!H3868</f>
        <v>10959610.24</v>
      </c>
      <c r="F3868" t="str">
        <f>+'[2]por cuent'!I3868</f>
        <v>435</v>
      </c>
    </row>
    <row r="3869" spans="1:6" x14ac:dyDescent="0.35">
      <c r="A3869" t="str">
        <f>+'[2]por cuent'!A3869</f>
        <v>USD</v>
      </c>
      <c r="B3869" t="str">
        <f>+'[2]por cuent'!B3869</f>
        <v>435000422</v>
      </c>
      <c r="C3869" t="str">
        <f>+'[2]por cuent'!C3869</f>
        <v>Gil, Hector Jesus o Miranda, Mariela Alejandra</v>
      </c>
      <c r="D3869" s="35">
        <f>+'[2]por cuent'!G3869</f>
        <v>1078.82</v>
      </c>
      <c r="E3869" s="35">
        <f>+'[2]por cuent'!H3869</f>
        <v>1613461.6155999999</v>
      </c>
      <c r="F3869" t="str">
        <f>+'[2]por cuent'!I3869</f>
        <v>435</v>
      </c>
    </row>
    <row r="3870" spans="1:6" x14ac:dyDescent="0.35">
      <c r="A3870" t="str">
        <f>+'[2]por cuent'!A3870</f>
        <v>USD</v>
      </c>
      <c r="B3870" t="str">
        <f>+'[2]por cuent'!B3870</f>
        <v>435000426</v>
      </c>
      <c r="C3870" t="str">
        <f>+'[2]por cuent'!C3870</f>
        <v>Robello, Andrés Leonardo</v>
      </c>
      <c r="D3870" s="35">
        <f>+'[2]por cuent'!G3870</f>
        <v>168.6</v>
      </c>
      <c r="E3870" s="35">
        <f>+'[2]por cuent'!H3870</f>
        <v>252154.78799999997</v>
      </c>
      <c r="F3870" t="str">
        <f>+'[2]por cuent'!I3870</f>
        <v>435</v>
      </c>
    </row>
    <row r="3871" spans="1:6" x14ac:dyDescent="0.35">
      <c r="A3871" t="str">
        <f>+'[2]por cuent'!A3871</f>
        <v>USD</v>
      </c>
      <c r="B3871" t="str">
        <f>+'[2]por cuent'!B3871</f>
        <v>435000437</v>
      </c>
      <c r="C3871" t="str">
        <f>+'[2]por cuent'!C3871</f>
        <v>Muscara, Sandra Elisabeth</v>
      </c>
      <c r="D3871" s="35">
        <f>+'[2]por cuent'!G3871</f>
        <v>1592.09</v>
      </c>
      <c r="E3871" s="35">
        <f>+'[2]por cuent'!H3871</f>
        <v>2381097.9622</v>
      </c>
      <c r="F3871" t="str">
        <f>+'[2]por cuent'!I3871</f>
        <v>435</v>
      </c>
    </row>
    <row r="3872" spans="1:6" x14ac:dyDescent="0.35">
      <c r="A3872" t="str">
        <f>+'[2]por cuent'!A3872</f>
        <v>USD</v>
      </c>
      <c r="B3872" t="str">
        <f>+'[2]por cuent'!B3872</f>
        <v>435000447</v>
      </c>
      <c r="C3872" t="str">
        <f>+'[2]por cuent'!C3872</f>
        <v>Muñoz, Rosana Emilce o Dellabarba, Agustin Daniel</v>
      </c>
      <c r="D3872" s="35">
        <f>+'[2]por cuent'!G3872</f>
        <v>1266.99</v>
      </c>
      <c r="E3872" s="35">
        <f>+'[2]por cuent'!H3872</f>
        <v>1894884.9042</v>
      </c>
      <c r="F3872" t="str">
        <f>+'[2]por cuent'!I3872</f>
        <v>435</v>
      </c>
    </row>
    <row r="3873" spans="1:6" x14ac:dyDescent="0.35">
      <c r="A3873" t="str">
        <f>+'[2]por cuent'!A3873</f>
        <v>USD</v>
      </c>
      <c r="B3873" t="str">
        <f>+'[2]por cuent'!B3873</f>
        <v>435000451</v>
      </c>
      <c r="C3873" t="str">
        <f>+'[2]por cuent'!C3873</f>
        <v>Seoane, Federico Martin o Duarte, Sabrina Elizabeth</v>
      </c>
      <c r="D3873" s="35">
        <f>+'[2]por cuent'!G3873</f>
        <v>10155.16</v>
      </c>
      <c r="E3873" s="35">
        <f>+'[2]por cuent'!H3873</f>
        <v>15187854.192799998</v>
      </c>
      <c r="F3873" t="str">
        <f>+'[2]por cuent'!I3873</f>
        <v>435</v>
      </c>
    </row>
    <row r="3874" spans="1:6" x14ac:dyDescent="0.35">
      <c r="A3874" t="str">
        <f>+'[2]por cuent'!A3874</f>
        <v>USD</v>
      </c>
      <c r="B3874" t="str">
        <f>+'[2]por cuent'!B3874</f>
        <v>435000453</v>
      </c>
      <c r="C3874" t="str">
        <f>+'[2]por cuent'!C3874</f>
        <v>Atencio, Anabela Janet o Atencio, Osvaldo Juan</v>
      </c>
      <c r="D3874" s="35">
        <f>+'[2]por cuent'!G3874</f>
        <v>5942.54</v>
      </c>
      <c r="E3874" s="35">
        <f>+'[2]por cuent'!H3874</f>
        <v>8887543.973199999</v>
      </c>
      <c r="F3874" t="str">
        <f>+'[2]por cuent'!I3874</f>
        <v>435</v>
      </c>
    </row>
    <row r="3875" spans="1:6" x14ac:dyDescent="0.35">
      <c r="A3875" t="str">
        <f>+'[2]por cuent'!A3875</f>
        <v>USD</v>
      </c>
      <c r="B3875" t="str">
        <f>+'[2]por cuent'!B3875</f>
        <v>435000455</v>
      </c>
      <c r="C3875" t="str">
        <f>+'[2]por cuent'!C3875</f>
        <v>Berman, Julieta o Berman, Andres</v>
      </c>
      <c r="D3875" s="35">
        <f>+'[2]por cuent'!G3875</f>
        <v>52727</v>
      </c>
      <c r="E3875" s="35">
        <f>+'[2]por cuent'!H3875</f>
        <v>78857446.659999996</v>
      </c>
      <c r="F3875" t="str">
        <f>+'[2]por cuent'!I3875</f>
        <v>435</v>
      </c>
    </row>
    <row r="3876" spans="1:6" x14ac:dyDescent="0.35">
      <c r="A3876" t="str">
        <f>+'[2]por cuent'!A3876</f>
        <v>USD</v>
      </c>
      <c r="B3876" t="str">
        <f>+'[2]por cuent'!B3876</f>
        <v>435000456</v>
      </c>
      <c r="C3876" t="str">
        <f>+'[2]por cuent'!C3876</f>
        <v>Gibbs Moreira, Guillermo Damian o Gibbs Moreira, Andres Enrique</v>
      </c>
      <c r="D3876" s="35">
        <f>+'[2]por cuent'!G3876</f>
        <v>57693</v>
      </c>
      <c r="E3876" s="35">
        <f>+'[2]por cuent'!H3876</f>
        <v>86284496.939999998</v>
      </c>
      <c r="F3876" t="str">
        <f>+'[2]por cuent'!I3876</f>
        <v>435</v>
      </c>
    </row>
    <row r="3877" spans="1:6" x14ac:dyDescent="0.35">
      <c r="A3877" t="str">
        <f>+'[2]por cuent'!A3877</f>
        <v>USD</v>
      </c>
      <c r="B3877" t="str">
        <f>+'[2]por cuent'!B3877</f>
        <v>435000472</v>
      </c>
      <c r="C3877" t="str">
        <f>+'[2]por cuent'!C3877</f>
        <v xml:space="preserve"> COOP DE VIVIENDA, URBANIZACION, SERVICIOS PUBLICOS Y CONSUMO TRABAJADORES DE FECOVITA LTDA </v>
      </c>
      <c r="D3877" s="35">
        <f>+'[2]por cuent'!G3877</f>
        <v>22632.85</v>
      </c>
      <c r="E3877" s="35">
        <f>+'[2]por cuent'!H3877</f>
        <v>33849237.802999996</v>
      </c>
      <c r="F3877" t="str">
        <f>+'[2]por cuent'!I3877</f>
        <v>435</v>
      </c>
    </row>
    <row r="3878" spans="1:6" x14ac:dyDescent="0.35">
      <c r="A3878" t="str">
        <f>+'[2]por cuent'!A3878</f>
        <v>USD</v>
      </c>
      <c r="B3878" t="str">
        <f>+'[2]por cuent'!B3878</f>
        <v>435000480</v>
      </c>
      <c r="C3878" t="str">
        <f>+'[2]por cuent'!C3878</f>
        <v>Liberatore, Maria Eugenia o Bertolani, German Antonio</v>
      </c>
      <c r="D3878" s="35">
        <f>+'[2]por cuent'!G3878</f>
        <v>1059.25</v>
      </c>
      <c r="E3878" s="35">
        <f>+'[2]por cuent'!H3878</f>
        <v>1584193.115</v>
      </c>
      <c r="F3878" t="str">
        <f>+'[2]por cuent'!I3878</f>
        <v>435</v>
      </c>
    </row>
    <row r="3879" spans="1:6" x14ac:dyDescent="0.35">
      <c r="A3879" t="str">
        <f>+'[2]por cuent'!A3879</f>
        <v>USD</v>
      </c>
      <c r="B3879" t="str">
        <f>+'[2]por cuent'!B3879</f>
        <v>435000497</v>
      </c>
      <c r="C3879" t="str">
        <f>+'[2]por cuent'!C3879</f>
        <v>Musri, María Cecilia o Aranega, Guadalupe Camila</v>
      </c>
      <c r="D3879" s="35">
        <f>+'[2]por cuent'!G3879</f>
        <v>1567.86</v>
      </c>
      <c r="E3879" s="35">
        <f>+'[2]por cuent'!H3879</f>
        <v>2344860.0587999998</v>
      </c>
      <c r="F3879" t="str">
        <f>+'[2]por cuent'!I3879</f>
        <v>435</v>
      </c>
    </row>
    <row r="3880" spans="1:6" x14ac:dyDescent="0.35">
      <c r="A3880" t="str">
        <f>+'[2]por cuent'!A3880</f>
        <v>USD</v>
      </c>
      <c r="B3880" t="str">
        <f>+'[2]por cuent'!B3880</f>
        <v>435000499</v>
      </c>
      <c r="C3880" t="str">
        <f>+'[2]por cuent'!C3880</f>
        <v>Ferroner Argentina S.A.</v>
      </c>
      <c r="D3880" s="35">
        <f>+'[2]por cuent'!G3880</f>
        <v>3000</v>
      </c>
      <c r="E3880" s="35">
        <f>+'[2]por cuent'!H3880</f>
        <v>4486740</v>
      </c>
      <c r="F3880" t="str">
        <f>+'[2]por cuent'!I3880</f>
        <v>435</v>
      </c>
    </row>
    <row r="3881" spans="1:6" x14ac:dyDescent="0.35">
      <c r="A3881" t="str">
        <f>+'[2]por cuent'!A3881</f>
        <v>USD</v>
      </c>
      <c r="B3881" t="str">
        <f>+'[2]por cuent'!B3881</f>
        <v>435000510</v>
      </c>
      <c r="C3881" t="str">
        <f>+'[2]por cuent'!C3881</f>
        <v>Costigliolo, Enrique Andrés o Rodriguez, Claudia Patricia</v>
      </c>
      <c r="D3881" s="35">
        <f>+'[2]por cuent'!G3881</f>
        <v>6614</v>
      </c>
      <c r="E3881" s="35">
        <f>+'[2]por cuent'!H3881</f>
        <v>9891766.1199999992</v>
      </c>
      <c r="F3881" t="str">
        <f>+'[2]por cuent'!I3881</f>
        <v>435</v>
      </c>
    </row>
    <row r="3882" spans="1:6" x14ac:dyDescent="0.35">
      <c r="A3882" t="str">
        <f>+'[2]por cuent'!A3882</f>
        <v>USD</v>
      </c>
      <c r="B3882" t="str">
        <f>+'[2]por cuent'!B3882</f>
        <v>435000511</v>
      </c>
      <c r="C3882" t="str">
        <f>+'[2]por cuent'!C3882</f>
        <v>Villarruel, Carmen Graciela</v>
      </c>
      <c r="D3882" s="35">
        <f>+'[2]por cuent'!G3882</f>
        <v>1595.53</v>
      </c>
      <c r="E3882" s="35">
        <f>+'[2]por cuent'!H3882</f>
        <v>2386242.7574</v>
      </c>
      <c r="F3882" t="str">
        <f>+'[2]por cuent'!I3882</f>
        <v>435</v>
      </c>
    </row>
    <row r="3883" spans="1:6" x14ac:dyDescent="0.35">
      <c r="A3883" t="str">
        <f>+'[2]por cuent'!A3883</f>
        <v>USD</v>
      </c>
      <c r="B3883" t="str">
        <f>+'[2]por cuent'!B3883</f>
        <v>435000512</v>
      </c>
      <c r="C3883" t="str">
        <f>+'[2]por cuent'!C3883</f>
        <v>Barrera Oro, Elena Maria o Troncoso Flores, Paulo Roberto</v>
      </c>
      <c r="D3883" s="35">
        <f>+'[2]por cuent'!G3883</f>
        <v>408.71</v>
      </c>
      <c r="E3883" s="35">
        <f>+'[2]por cuent'!H3883</f>
        <v>611258.50179999997</v>
      </c>
      <c r="F3883" t="str">
        <f>+'[2]por cuent'!I3883</f>
        <v>435</v>
      </c>
    </row>
    <row r="3884" spans="1:6" x14ac:dyDescent="0.35">
      <c r="A3884" t="str">
        <f>+'[2]por cuent'!A3884</f>
        <v>USD</v>
      </c>
      <c r="B3884" t="str">
        <f>+'[2]por cuent'!B3884</f>
        <v>435000517</v>
      </c>
      <c r="C3884" t="str">
        <f>+'[2]por cuent'!C3884</f>
        <v xml:space="preserve">Muñoz, Karen Valeria o Muñoz, Leandro Adrián Evaristo </v>
      </c>
      <c r="D3884" s="35">
        <f>+'[2]por cuent'!G3884</f>
        <v>2419.77</v>
      </c>
      <c r="E3884" s="35">
        <f>+'[2]por cuent'!H3884</f>
        <v>3618959.6165999998</v>
      </c>
      <c r="F3884" t="str">
        <f>+'[2]por cuent'!I3884</f>
        <v>435</v>
      </c>
    </row>
    <row r="3885" spans="1:6" x14ac:dyDescent="0.35">
      <c r="A3885" t="str">
        <f>+'[2]por cuent'!A3885</f>
        <v>USD</v>
      </c>
      <c r="B3885" t="str">
        <f>+'[2]por cuent'!B3885</f>
        <v>435000518</v>
      </c>
      <c r="C3885" t="str">
        <f>+'[2]por cuent'!C3885</f>
        <v>Cerraro, Pablo Alberto o Vidal, Maria Alejandra</v>
      </c>
      <c r="D3885" s="35">
        <f>+'[2]por cuent'!G3885</f>
        <v>364.8</v>
      </c>
      <c r="E3885" s="35">
        <f>+'[2]por cuent'!H3885</f>
        <v>545587.58400000003</v>
      </c>
      <c r="F3885" t="str">
        <f>+'[2]por cuent'!I3885</f>
        <v>435</v>
      </c>
    </row>
    <row r="3886" spans="1:6" x14ac:dyDescent="0.35">
      <c r="A3886" t="str">
        <f>+'[2]por cuent'!A3886</f>
        <v>USD</v>
      </c>
      <c r="B3886" t="str">
        <f>+'[2]por cuent'!B3886</f>
        <v>435000521</v>
      </c>
      <c r="C3886" t="str">
        <f>+'[2]por cuent'!C3886</f>
        <v>Marti, Gustavo Horacio</v>
      </c>
      <c r="D3886" s="35">
        <f>+'[2]por cuent'!G3886</f>
        <v>33141.49</v>
      </c>
      <c r="E3886" s="35">
        <f>+'[2]por cuent'!H3886</f>
        <v>49565749.614199996</v>
      </c>
      <c r="F3886" t="str">
        <f>+'[2]por cuent'!I3886</f>
        <v>435</v>
      </c>
    </row>
    <row r="3887" spans="1:6" x14ac:dyDescent="0.35">
      <c r="A3887" t="str">
        <f>+'[2]por cuent'!A3887</f>
        <v>USD</v>
      </c>
      <c r="B3887" t="str">
        <f>+'[2]por cuent'!B3887</f>
        <v>435000522</v>
      </c>
      <c r="C3887" t="str">
        <f>+'[2]por cuent'!C3887</f>
        <v>Portabella, Roberto Juán</v>
      </c>
      <c r="D3887" s="35">
        <f>+'[2]por cuent'!G3887</f>
        <v>681.8</v>
      </c>
      <c r="E3887" s="35">
        <f>+'[2]por cuent'!H3887</f>
        <v>1019686.4439999999</v>
      </c>
      <c r="F3887" t="str">
        <f>+'[2]por cuent'!I3887</f>
        <v>435</v>
      </c>
    </row>
    <row r="3888" spans="1:6" x14ac:dyDescent="0.35">
      <c r="A3888" t="str">
        <f>+'[2]por cuent'!A3888</f>
        <v>USD</v>
      </c>
      <c r="B3888" t="str">
        <f>+'[2]por cuent'!B3888</f>
        <v>435000525</v>
      </c>
      <c r="C3888" t="str">
        <f>+'[2]por cuent'!C3888</f>
        <v>Lanati, Alberto Luis o Javier, Nahuel Emilio o Lanati Volpe, Victoria De Los Angeles</v>
      </c>
      <c r="D3888" s="35">
        <f>+'[2]por cuent'!G3888</f>
        <v>399.21</v>
      </c>
      <c r="E3888" s="35">
        <f>+'[2]por cuent'!H3888</f>
        <v>597050.49179999996</v>
      </c>
      <c r="F3888" t="str">
        <f>+'[2]por cuent'!I3888</f>
        <v>435</v>
      </c>
    </row>
    <row r="3889" spans="1:6" x14ac:dyDescent="0.35">
      <c r="A3889" t="str">
        <f>+'[2]por cuent'!A3889</f>
        <v>USD</v>
      </c>
      <c r="B3889" t="str">
        <f>+'[2]por cuent'!B3889</f>
        <v>447000023</v>
      </c>
      <c r="C3889" t="str">
        <f>+'[2]por cuent'!C3889</f>
        <v>COOPERATIVA DE PROVISION DE SERVICIOS AGRICOLAS CRIADERO SANTA ROSA LIMITADA</v>
      </c>
      <c r="D3889" s="35">
        <f>+'[2]por cuent'!G3889</f>
        <v>54500.03</v>
      </c>
      <c r="E3889" s="35">
        <f>+'[2]por cuent'!H3889</f>
        <v>81509154.867399991</v>
      </c>
      <c r="F3889" t="str">
        <f>+'[2]por cuent'!I3889</f>
        <v>447</v>
      </c>
    </row>
    <row r="3890" spans="1:6" x14ac:dyDescent="0.35">
      <c r="A3890" t="str">
        <f>+'[2]por cuent'!A3890</f>
        <v>USD</v>
      </c>
      <c r="B3890" t="str">
        <f>+'[2]por cuent'!B3890</f>
        <v>447000055</v>
      </c>
      <c r="C3890" t="str">
        <f>+'[2]por cuent'!C3890</f>
        <v>BAMBA VALORES S.A</v>
      </c>
      <c r="D3890" s="35">
        <f>+'[2]por cuent'!G3890</f>
        <v>109000.06</v>
      </c>
      <c r="E3890" s="35">
        <f>+'[2]por cuent'!H3890</f>
        <v>163018309.73479998</v>
      </c>
      <c r="F3890" t="str">
        <f>+'[2]por cuent'!I3890</f>
        <v>447</v>
      </c>
    </row>
    <row r="3891" spans="1:6" x14ac:dyDescent="0.35">
      <c r="A3891" t="str">
        <f>+'[2]por cuent'!A3891</f>
        <v>USD</v>
      </c>
      <c r="B3891" t="str">
        <f>+'[2]por cuent'!B3891</f>
        <v>465001001</v>
      </c>
      <c r="C3891" t="str">
        <f>+'[2]por cuent'!C3891</f>
        <v>Rodríguez Machado, Argos</v>
      </c>
      <c r="D3891" s="35">
        <f>+'[2]por cuent'!G3891</f>
        <v>4951.26</v>
      </c>
      <c r="E3891" s="35">
        <f>+'[2]por cuent'!H3891</f>
        <v>7405005.4308000002</v>
      </c>
      <c r="F3891" t="str">
        <f>+'[2]por cuent'!I3891</f>
        <v>465</v>
      </c>
    </row>
    <row r="3892" spans="1:6" x14ac:dyDescent="0.35">
      <c r="A3892" t="str">
        <f>+'[2]por cuent'!A3892</f>
        <v>USD</v>
      </c>
      <c r="B3892" t="str">
        <f>+'[2]por cuent'!B3892</f>
        <v>465001016</v>
      </c>
      <c r="C3892" t="str">
        <f>+'[2]por cuent'!C3892</f>
        <v>Bonangelino, Oscar Hugo Alejandro</v>
      </c>
      <c r="D3892" s="35">
        <f>+'[2]por cuent'!G3892</f>
        <v>2300</v>
      </c>
      <c r="E3892" s="35">
        <f>+'[2]por cuent'!H3892</f>
        <v>3439834</v>
      </c>
      <c r="F3892" t="str">
        <f>+'[2]por cuent'!I3892</f>
        <v>465</v>
      </c>
    </row>
    <row r="3893" spans="1:6" x14ac:dyDescent="0.35">
      <c r="A3893" t="str">
        <f>+'[2]por cuent'!A3893</f>
        <v>USD</v>
      </c>
      <c r="B3893" t="str">
        <f>+'[2]por cuent'!B3893</f>
        <v>465001033</v>
      </c>
      <c r="C3893" t="str">
        <f>+'[2]por cuent'!C3893</f>
        <v>Marcon, Guillermo Aldo</v>
      </c>
      <c r="D3893" s="35">
        <f>+'[2]por cuent'!G3893</f>
        <v>2000</v>
      </c>
      <c r="E3893" s="35">
        <f>+'[2]por cuent'!H3893</f>
        <v>2991160</v>
      </c>
      <c r="F3893" t="str">
        <f>+'[2]por cuent'!I3893</f>
        <v>465</v>
      </c>
    </row>
    <row r="3894" spans="1:6" x14ac:dyDescent="0.35">
      <c r="A3894" t="str">
        <f>+'[2]por cuent'!A3894</f>
        <v>USD</v>
      </c>
      <c r="B3894" t="str">
        <f>+'[2]por cuent'!B3894</f>
        <v>465001062</v>
      </c>
      <c r="C3894" t="str">
        <f>+'[2]por cuent'!C3894</f>
        <v>Movalli, Camilo Andres</v>
      </c>
      <c r="D3894" s="35">
        <f>+'[2]por cuent'!G3894</f>
        <v>3600</v>
      </c>
      <c r="E3894" s="35">
        <f>+'[2]por cuent'!H3894</f>
        <v>5384088</v>
      </c>
      <c r="F3894" t="str">
        <f>+'[2]por cuent'!I3894</f>
        <v>465</v>
      </c>
    </row>
    <row r="3895" spans="1:6" x14ac:dyDescent="0.35">
      <c r="A3895" t="str">
        <f>+'[2]por cuent'!A3895</f>
        <v>USD</v>
      </c>
      <c r="B3895" t="str">
        <f>+'[2]por cuent'!B3895</f>
        <v>465001106</v>
      </c>
      <c r="C3895" t="str">
        <f>+'[2]por cuent'!C3895</f>
        <v>Alimentaria S.R.L.</v>
      </c>
      <c r="D3895" s="35">
        <f>+'[2]por cuent'!G3895</f>
        <v>108495.67</v>
      </c>
      <c r="E3895" s="35">
        <f>+'[2]por cuent'!H3895</f>
        <v>162263954.13859999</v>
      </c>
      <c r="F3895" t="str">
        <f>+'[2]por cuent'!I3895</f>
        <v>465</v>
      </c>
    </row>
    <row r="3896" spans="1:6" x14ac:dyDescent="0.35">
      <c r="A3896" t="str">
        <f>+'[2]por cuent'!A3896</f>
        <v>USD</v>
      </c>
      <c r="B3896" t="str">
        <f>+'[2]por cuent'!B3896</f>
        <v>465001111</v>
      </c>
      <c r="C3896" t="str">
        <f>+'[2]por cuent'!C3896</f>
        <v>Lopez Ferla, Nicolás</v>
      </c>
      <c r="D3896" s="35">
        <f>+'[2]por cuent'!G3896</f>
        <v>3501.28</v>
      </c>
      <c r="E3896" s="35">
        <f>+'[2]por cuent'!H3896</f>
        <v>5236444.3424000004</v>
      </c>
      <c r="F3896" t="str">
        <f>+'[2]por cuent'!I3896</f>
        <v>465</v>
      </c>
    </row>
    <row r="3897" spans="1:6" x14ac:dyDescent="0.35">
      <c r="A3897" t="str">
        <f>+'[2]por cuent'!A3897</f>
        <v>USD</v>
      </c>
      <c r="B3897" t="str">
        <f>+'[2]por cuent'!B3897</f>
        <v>465001135</v>
      </c>
      <c r="C3897" t="str">
        <f>+'[2]por cuent'!C3897</f>
        <v>Odetti, Ivana Leticia</v>
      </c>
      <c r="D3897" s="35">
        <f>+'[2]por cuent'!G3897</f>
        <v>1900</v>
      </c>
      <c r="E3897" s="35">
        <f>+'[2]por cuent'!H3897</f>
        <v>2841602</v>
      </c>
      <c r="F3897" t="str">
        <f>+'[2]por cuent'!I3897</f>
        <v>465</v>
      </c>
    </row>
    <row r="3898" spans="1:6" x14ac:dyDescent="0.35">
      <c r="A3898" t="str">
        <f>+'[2]por cuent'!A3898</f>
        <v>USD</v>
      </c>
      <c r="B3898" t="str">
        <f>+'[2]por cuent'!B3898</f>
        <v>465001188</v>
      </c>
      <c r="C3898" t="str">
        <f>+'[2]por cuent'!C3898</f>
        <v>Ruiz, Roberto Sebastian</v>
      </c>
      <c r="D3898" s="35">
        <f>+'[2]por cuent'!G3898</f>
        <v>3950.81</v>
      </c>
      <c r="E3898" s="35">
        <f>+'[2]por cuent'!H3898</f>
        <v>5908752.4197999993</v>
      </c>
      <c r="F3898" t="str">
        <f>+'[2]por cuent'!I3898</f>
        <v>465</v>
      </c>
    </row>
    <row r="3899" spans="1:6" x14ac:dyDescent="0.35">
      <c r="A3899" t="str">
        <f>+'[2]por cuent'!A3899</f>
        <v>USD</v>
      </c>
      <c r="B3899" t="str">
        <f>+'[2]por cuent'!B3899</f>
        <v>465001198</v>
      </c>
      <c r="C3899" t="str">
        <f>+'[2]por cuent'!C3899</f>
        <v>Gallo, Claudia Andrea</v>
      </c>
      <c r="D3899" s="35">
        <f>+'[2]por cuent'!G3899</f>
        <v>2100.9499999999998</v>
      </c>
      <c r="E3899" s="35">
        <f>+'[2]por cuent'!H3899</f>
        <v>3142138.8009999995</v>
      </c>
      <c r="F3899" t="str">
        <f>+'[2]por cuent'!I3899</f>
        <v>465</v>
      </c>
    </row>
    <row r="3900" spans="1:6" x14ac:dyDescent="0.35">
      <c r="A3900" t="str">
        <f>+'[2]por cuent'!A3900</f>
        <v>USD</v>
      </c>
      <c r="B3900" t="str">
        <f>+'[2]por cuent'!B3900</f>
        <v>465001213</v>
      </c>
      <c r="C3900" t="str">
        <f>+'[2]por cuent'!C3900</f>
        <v>Mujica, Pablo Antonio</v>
      </c>
      <c r="D3900" s="35">
        <f>+'[2]por cuent'!G3900</f>
        <v>359.48</v>
      </c>
      <c r="E3900" s="35">
        <f>+'[2]por cuent'!H3900</f>
        <v>537631.09840000002</v>
      </c>
      <c r="F3900" t="str">
        <f>+'[2]por cuent'!I3900</f>
        <v>465</v>
      </c>
    </row>
    <row r="3901" spans="1:6" x14ac:dyDescent="0.35">
      <c r="A3901" t="str">
        <f>+'[2]por cuent'!A3901</f>
        <v>USD</v>
      </c>
      <c r="B3901" t="str">
        <f>+'[2]por cuent'!B3901</f>
        <v>465001223</v>
      </c>
      <c r="C3901" t="str">
        <f>+'[2]por cuent'!C3901</f>
        <v>Go Print SAS</v>
      </c>
      <c r="D3901" s="35">
        <f>+'[2]por cuent'!G3901</f>
        <v>3400.73</v>
      </c>
      <c r="E3901" s="35">
        <f>+'[2]por cuent'!H3901</f>
        <v>5086063.7733999994</v>
      </c>
      <c r="F3901" t="str">
        <f>+'[2]por cuent'!I3901</f>
        <v>465</v>
      </c>
    </row>
    <row r="3902" spans="1:6" x14ac:dyDescent="0.35">
      <c r="A3902" t="str">
        <f>+'[2]por cuent'!A3902</f>
        <v>USD</v>
      </c>
      <c r="B3902" t="str">
        <f>+'[2]por cuent'!B3902</f>
        <v>465001248</v>
      </c>
      <c r="C3902" t="str">
        <f>+'[2]por cuent'!C3902</f>
        <v>Castello, Hector Luis</v>
      </c>
      <c r="D3902" s="35">
        <f>+'[2]por cuent'!G3902</f>
        <v>8600.93</v>
      </c>
      <c r="E3902" s="35">
        <f>+'[2]por cuent'!H3902</f>
        <v>12863378.8894</v>
      </c>
      <c r="F3902" t="str">
        <f>+'[2]por cuent'!I3902</f>
        <v>465</v>
      </c>
    </row>
    <row r="3903" spans="1:6" x14ac:dyDescent="0.35">
      <c r="A3903" t="str">
        <f>+'[2]por cuent'!A3903</f>
        <v>USD</v>
      </c>
      <c r="B3903" t="str">
        <f>+'[2]por cuent'!B3903</f>
        <v>465001254</v>
      </c>
      <c r="C3903" t="str">
        <f>+'[2]por cuent'!C3903</f>
        <v>Remonda, Jose Ignacio</v>
      </c>
      <c r="D3903" s="35">
        <f>+'[2]por cuent'!G3903</f>
        <v>5996.29</v>
      </c>
      <c r="E3903" s="35">
        <f>+'[2]por cuent'!H3903</f>
        <v>8967931.3981999997</v>
      </c>
      <c r="F3903" t="str">
        <f>+'[2]por cuent'!I3903</f>
        <v>465</v>
      </c>
    </row>
    <row r="3904" spans="1:6" x14ac:dyDescent="0.35">
      <c r="A3904" t="str">
        <f>+'[2]por cuent'!A3904</f>
        <v>USD</v>
      </c>
      <c r="B3904" t="str">
        <f>+'[2]por cuent'!B3904</f>
        <v>465001255</v>
      </c>
      <c r="C3904" t="str">
        <f>+'[2]por cuent'!C3904</f>
        <v>Remonda, Ana Teresa o REMONDA, JOSÉ Ignacio</v>
      </c>
      <c r="D3904" s="35">
        <f>+'[2]por cuent'!G3904</f>
        <v>6014.2</v>
      </c>
      <c r="E3904" s="35">
        <f>+'[2]por cuent'!H3904</f>
        <v>8994717.2359999996</v>
      </c>
      <c r="F3904" t="str">
        <f>+'[2]por cuent'!I3904</f>
        <v>465</v>
      </c>
    </row>
    <row r="3905" spans="1:6" x14ac:dyDescent="0.35">
      <c r="A3905" t="str">
        <f>+'[2]por cuent'!A3905</f>
        <v>USD</v>
      </c>
      <c r="B3905" t="str">
        <f>+'[2]por cuent'!B3905</f>
        <v>465001269</v>
      </c>
      <c r="C3905" t="str">
        <f>+'[2]por cuent'!C3905</f>
        <v>Depretto MONTOYA, Ismael SEBASTIAN</v>
      </c>
      <c r="D3905" s="35">
        <f>+'[2]por cuent'!G3905</f>
        <v>493.43</v>
      </c>
      <c r="E3905" s="35">
        <f>+'[2]por cuent'!H3905</f>
        <v>737964.03940000001</v>
      </c>
      <c r="F3905" t="str">
        <f>+'[2]por cuent'!I3905</f>
        <v>465</v>
      </c>
    </row>
    <row r="3906" spans="1:6" x14ac:dyDescent="0.35">
      <c r="A3906" t="str">
        <f>+'[2]por cuent'!A3906</f>
        <v>USD</v>
      </c>
      <c r="B3906" t="str">
        <f>+'[2]por cuent'!B3906</f>
        <v>465001279</v>
      </c>
      <c r="C3906" t="str">
        <f>+'[2]por cuent'!C3906</f>
        <v>[C.E.R.A] - De Francisco Angel Eduardo</v>
      </c>
      <c r="D3906" s="35">
        <f>+'[2]por cuent'!G3906</f>
        <v>0.55000000000000004</v>
      </c>
      <c r="E3906" s="35">
        <f>+'[2]por cuent'!H3906</f>
        <v>822.56900000000007</v>
      </c>
      <c r="F3906" t="str">
        <f>+'[2]por cuent'!I3906</f>
        <v>465</v>
      </c>
    </row>
    <row r="3907" spans="1:6" x14ac:dyDescent="0.35">
      <c r="A3907" t="str">
        <f>+'[2]por cuent'!A3907</f>
        <v>USD</v>
      </c>
      <c r="B3907" t="str">
        <f>+'[2]por cuent'!B3907</f>
        <v>465001287</v>
      </c>
      <c r="C3907" t="str">
        <f>+'[2]por cuent'!C3907</f>
        <v>Daghero, Fabian</v>
      </c>
      <c r="D3907" s="35">
        <f>+'[2]por cuent'!G3907</f>
        <v>7206.38</v>
      </c>
      <c r="E3907" s="35">
        <f>+'[2]por cuent'!H3907</f>
        <v>10777717.8004</v>
      </c>
      <c r="F3907" t="str">
        <f>+'[2]por cuent'!I3907</f>
        <v>465</v>
      </c>
    </row>
    <row r="3908" spans="1:6" x14ac:dyDescent="0.35">
      <c r="A3908" t="str">
        <f>+'[2]por cuent'!A3908</f>
        <v>USD</v>
      </c>
      <c r="B3908" t="str">
        <f>+'[2]por cuent'!B3908</f>
        <v>465001295</v>
      </c>
      <c r="C3908" t="str">
        <f>+'[2]por cuent'!C3908</f>
        <v>Marrama, Gabriel</v>
      </c>
      <c r="D3908" s="35">
        <f>+'[2]por cuent'!G3908</f>
        <v>21197.15</v>
      </c>
      <c r="E3908" s="35">
        <f>+'[2]por cuent'!H3908</f>
        <v>31702033.596999999</v>
      </c>
      <c r="F3908" t="str">
        <f>+'[2]por cuent'!I3908</f>
        <v>465</v>
      </c>
    </row>
    <row r="3909" spans="1:6" x14ac:dyDescent="0.35">
      <c r="A3909" t="str">
        <f>+'[2]por cuent'!A3909</f>
        <v>USD</v>
      </c>
      <c r="B3909" t="str">
        <f>+'[2]por cuent'!B3909</f>
        <v>465001305</v>
      </c>
      <c r="C3909" t="str">
        <f>+'[2]por cuent'!C3909</f>
        <v>Trener, Ariel Arturo</v>
      </c>
      <c r="D3909" s="35">
        <f>+'[2]por cuent'!G3909</f>
        <v>3376.09</v>
      </c>
      <c r="E3909" s="35">
        <f>+'[2]por cuent'!H3909</f>
        <v>5049212.6821999997</v>
      </c>
      <c r="F3909" t="str">
        <f>+'[2]por cuent'!I3909</f>
        <v>465</v>
      </c>
    </row>
    <row r="3910" spans="1:6" x14ac:dyDescent="0.35">
      <c r="A3910" t="str">
        <f>+'[2]por cuent'!A3910</f>
        <v>USD</v>
      </c>
      <c r="B3910" t="str">
        <f>+'[2]por cuent'!B3910</f>
        <v>465001320</v>
      </c>
      <c r="C3910" t="str">
        <f>+'[2]por cuent'!C3910</f>
        <v>[C.E.R.A.] Gallo, Alejandro Gustavo</v>
      </c>
      <c r="D3910" s="35">
        <f>+'[2]por cuent'!G3910</f>
        <v>15097.5</v>
      </c>
      <c r="E3910" s="35">
        <f>+'[2]por cuent'!H3910</f>
        <v>22579519.050000001</v>
      </c>
      <c r="F3910" t="str">
        <f>+'[2]por cuent'!I3910</f>
        <v>465</v>
      </c>
    </row>
    <row r="3911" spans="1:6" x14ac:dyDescent="0.35">
      <c r="A3911" t="str">
        <f>+'[2]por cuent'!A3911</f>
        <v>USD</v>
      </c>
      <c r="B3911" t="str">
        <f>+'[2]por cuent'!B3911</f>
        <v>465001322</v>
      </c>
      <c r="C3911" t="str">
        <f>+'[2]por cuent'!C3911</f>
        <v>Rosenberg, Luis</v>
      </c>
      <c r="D3911" s="35">
        <f>+'[2]por cuent'!G3911</f>
        <v>87.47</v>
      </c>
      <c r="E3911" s="35">
        <f>+'[2]por cuent'!H3911</f>
        <v>130818.3826</v>
      </c>
      <c r="F3911" t="str">
        <f>+'[2]por cuent'!I3911</f>
        <v>465</v>
      </c>
    </row>
    <row r="3912" spans="1:6" x14ac:dyDescent="0.35">
      <c r="A3912" t="str">
        <f>+'[2]por cuent'!A3912</f>
        <v>USD</v>
      </c>
      <c r="B3912" t="str">
        <f>+'[2]por cuent'!B3912</f>
        <v>465001338</v>
      </c>
      <c r="C3912" t="str">
        <f>+'[2]por cuent'!C3912</f>
        <v>Gaido, Maria Fernanda</v>
      </c>
      <c r="D3912" s="35">
        <f>+'[2]por cuent'!G3912</f>
        <v>2156.54</v>
      </c>
      <c r="E3912" s="35">
        <f>+'[2]por cuent'!H3912</f>
        <v>3225278.0932</v>
      </c>
      <c r="F3912" t="str">
        <f>+'[2]por cuent'!I3912</f>
        <v>465</v>
      </c>
    </row>
    <row r="3913" spans="1:6" x14ac:dyDescent="0.35">
      <c r="A3913" t="str">
        <f>+'[2]por cuent'!A3913</f>
        <v>USD</v>
      </c>
      <c r="B3913" t="str">
        <f>+'[2]por cuent'!B3913</f>
        <v>465001352</v>
      </c>
      <c r="C3913" t="str">
        <f>+'[2]por cuent'!C3913</f>
        <v>Marcon, Lara</v>
      </c>
      <c r="D3913" s="35">
        <f>+'[2]por cuent'!G3913</f>
        <v>397.29</v>
      </c>
      <c r="E3913" s="35">
        <f>+'[2]por cuent'!H3913</f>
        <v>594178.97820000001</v>
      </c>
      <c r="F3913" t="str">
        <f>+'[2]por cuent'!I3913</f>
        <v>465</v>
      </c>
    </row>
    <row r="3914" spans="1:6" x14ac:dyDescent="0.35">
      <c r="A3914" t="str">
        <f>+'[2]por cuent'!A3914</f>
        <v>USD</v>
      </c>
      <c r="B3914" t="str">
        <f>+'[2]por cuent'!B3914</f>
        <v>465001353</v>
      </c>
      <c r="C3914" t="str">
        <f>+'[2]por cuent'!C3914</f>
        <v>LA UTOPIA SAS</v>
      </c>
      <c r="D3914" s="35">
        <f>+'[2]por cuent'!G3914</f>
        <v>161125.37</v>
      </c>
      <c r="E3914" s="35">
        <f>+'[2]por cuent'!H3914</f>
        <v>240975880.86459997</v>
      </c>
      <c r="F3914" t="str">
        <f>+'[2]por cuent'!I3914</f>
        <v>465</v>
      </c>
    </row>
    <row r="3915" spans="1:6" x14ac:dyDescent="0.35">
      <c r="A3915" t="str">
        <f>+'[2]por cuent'!A3915</f>
        <v>USD</v>
      </c>
      <c r="B3915" t="str">
        <f>+'[2]por cuent'!B3915</f>
        <v>465001367</v>
      </c>
      <c r="C3915" t="str">
        <f>+'[2]por cuent'!C3915</f>
        <v>Ramos, Gustavo Jose</v>
      </c>
      <c r="D3915" s="35">
        <f>+'[2]por cuent'!G3915</f>
        <v>14919.61</v>
      </c>
      <c r="E3915" s="35">
        <f>+'[2]por cuent'!H3915</f>
        <v>22313470.323800001</v>
      </c>
      <c r="F3915" t="str">
        <f>+'[2]por cuent'!I3915</f>
        <v>465</v>
      </c>
    </row>
    <row r="3916" spans="1:6" x14ac:dyDescent="0.35">
      <c r="A3916" t="str">
        <f>+'[2]por cuent'!A3916</f>
        <v>USD</v>
      </c>
      <c r="B3916" t="str">
        <f>+'[2]por cuent'!B3916</f>
        <v>465001381</v>
      </c>
      <c r="C3916" t="str">
        <f>+'[2]por cuent'!C3916</f>
        <v>Ratti, Marcelo Julio</v>
      </c>
      <c r="D3916" s="35">
        <f>+'[2]por cuent'!G3916</f>
        <v>10344.18</v>
      </c>
      <c r="E3916" s="35">
        <f>+'[2]por cuent'!H3916</f>
        <v>15470548.724399999</v>
      </c>
      <c r="F3916" t="str">
        <f>+'[2]por cuent'!I3916</f>
        <v>465</v>
      </c>
    </row>
    <row r="3917" spans="1:6" x14ac:dyDescent="0.35">
      <c r="A3917" t="str">
        <f>+'[2]por cuent'!A3917</f>
        <v>USD</v>
      </c>
      <c r="B3917" t="str">
        <f>+'[2]por cuent'!B3917</f>
        <v>465001382</v>
      </c>
      <c r="C3917" t="str">
        <f>+'[2]por cuent'!C3917</f>
        <v>Gangitano, Fabián Ernesto</v>
      </c>
      <c r="D3917" s="35">
        <f>+'[2]por cuent'!G3917</f>
        <v>20883.099999999999</v>
      </c>
      <c r="E3917" s="35">
        <f>+'[2]por cuent'!H3917</f>
        <v>31232346.697999995</v>
      </c>
      <c r="F3917" t="str">
        <f>+'[2]por cuent'!I3917</f>
        <v>465</v>
      </c>
    </row>
    <row r="3918" spans="1:6" x14ac:dyDescent="0.35">
      <c r="A3918" t="str">
        <f>+'[2]por cuent'!A3918</f>
        <v>USD</v>
      </c>
      <c r="B3918" t="str">
        <f>+'[2]por cuent'!B3918</f>
        <v>479005072</v>
      </c>
      <c r="C3918" t="str">
        <f>+'[2]por cuent'!C3918</f>
        <v>CECSAGAL</v>
      </c>
      <c r="D3918" s="35">
        <f>+'[2]por cuent'!G3918</f>
        <v>573079.89</v>
      </c>
      <c r="E3918" s="35">
        <f>+'[2]por cuent'!H3918</f>
        <v>857086821.88619995</v>
      </c>
      <c r="F3918" t="str">
        <f>+'[2]por cuent'!I3918</f>
        <v>479</v>
      </c>
    </row>
    <row r="3919" spans="1:6" x14ac:dyDescent="0.35">
      <c r="A3919" t="str">
        <f>+'[2]por cuent'!A3919</f>
        <v>USD</v>
      </c>
      <c r="B3919" t="str">
        <f>+'[2]por cuent'!B3919</f>
        <v>479005171</v>
      </c>
      <c r="C3919" t="str">
        <f>+'[2]por cuent'!C3919</f>
        <v>S.N.F. ARGENTINA S.R.L.</v>
      </c>
      <c r="D3919" s="35">
        <f>+'[2]por cuent'!G3919</f>
        <v>300000</v>
      </c>
      <c r="E3919" s="35">
        <f>+'[2]por cuent'!H3919</f>
        <v>448674000</v>
      </c>
      <c r="F3919" t="str">
        <f>+'[2]por cuent'!I3919</f>
        <v>479</v>
      </c>
    </row>
    <row r="3920" spans="1:6" x14ac:dyDescent="0.35">
      <c r="A3920" t="str">
        <f>+'[2]por cuent'!A3920</f>
        <v>USD</v>
      </c>
      <c r="B3920" t="str">
        <f>+'[2]por cuent'!B3920</f>
        <v>479005269</v>
      </c>
      <c r="C3920" t="str">
        <f>+'[2]por cuent'!C3920</f>
        <v>RICARDO VENTURINO S.A.</v>
      </c>
      <c r="D3920" s="35">
        <f>+'[2]por cuent'!G3920</f>
        <v>482404.66</v>
      </c>
      <c r="E3920" s="35">
        <f>+'[2]por cuent'!H3920</f>
        <v>721474761.40279996</v>
      </c>
      <c r="F3920" t="str">
        <f>+'[2]por cuent'!I3920</f>
        <v>479</v>
      </c>
    </row>
    <row r="3921" spans="1:6" x14ac:dyDescent="0.35">
      <c r="A3921" t="str">
        <f>+'[2]por cuent'!A3921</f>
        <v>USD</v>
      </c>
      <c r="B3921" t="str">
        <f>+'[2]por cuent'!B3921</f>
        <v>479005305</v>
      </c>
      <c r="C3921" t="str">
        <f>+'[2]por cuent'!C3921</f>
        <v>SERVICIOS DRILL SA</v>
      </c>
      <c r="D3921" s="35">
        <f>+'[2]por cuent'!G3921</f>
        <v>162548.76</v>
      </c>
      <c r="E3921" s="35">
        <f>+'[2]por cuent'!H3921</f>
        <v>243104674.4808</v>
      </c>
      <c r="F3921" t="str">
        <f>+'[2]por cuent'!I3921</f>
        <v>479</v>
      </c>
    </row>
    <row r="3922" spans="1:6" x14ac:dyDescent="0.35">
      <c r="A3922" t="str">
        <f>+'[2]por cuent'!A3922</f>
        <v>USD</v>
      </c>
      <c r="B3922" t="str">
        <f>+'[2]por cuent'!B3922</f>
        <v>479005352</v>
      </c>
      <c r="C3922" t="str">
        <f>+'[2]por cuent'!C3922</f>
        <v>CUYO AVAL SGR</v>
      </c>
      <c r="D3922" s="35">
        <f>+'[2]por cuent'!G3922</f>
        <v>33333.33</v>
      </c>
      <c r="E3922" s="35">
        <f>+'[2]por cuent'!H3922</f>
        <v>49852661.681400001</v>
      </c>
      <c r="F3922" t="str">
        <f>+'[2]por cuent'!I3922</f>
        <v>479</v>
      </c>
    </row>
    <row r="3923" spans="1:6" x14ac:dyDescent="0.35">
      <c r="A3923" t="str">
        <f>+'[2]por cuent'!A3923</f>
        <v>USD</v>
      </c>
      <c r="B3923" t="str">
        <f>+'[2]por cuent'!B3923</f>
        <v>479005356</v>
      </c>
      <c r="C3923" t="str">
        <f>+'[2]por cuent'!C3923</f>
        <v>CELA SA</v>
      </c>
      <c r="D3923" s="35">
        <f>+'[2]por cuent'!G3923</f>
        <v>547000</v>
      </c>
      <c r="E3923" s="35">
        <f>+'[2]por cuent'!H3923</f>
        <v>818082260</v>
      </c>
      <c r="F3923" t="str">
        <f>+'[2]por cuent'!I3923</f>
        <v>479</v>
      </c>
    </row>
    <row r="3924" spans="1:6" x14ac:dyDescent="0.35">
      <c r="A3924" t="str">
        <f>+'[2]por cuent'!A3924</f>
        <v>USD</v>
      </c>
      <c r="B3924" t="str">
        <f>+'[2]por cuent'!B3924</f>
        <v>479005415</v>
      </c>
      <c r="C3924" t="str">
        <f>+'[2]por cuent'!C3924</f>
        <v>CHECK MOVILIDAD S.A</v>
      </c>
      <c r="D3924" s="35">
        <f>+'[2]por cuent'!G3924</f>
        <v>470000</v>
      </c>
      <c r="E3924" s="35">
        <f>+'[2]por cuent'!H3924</f>
        <v>702922600</v>
      </c>
      <c r="F3924" t="str">
        <f>+'[2]por cuent'!I3924</f>
        <v>479</v>
      </c>
    </row>
    <row r="3925" spans="1:6" x14ac:dyDescent="0.35">
      <c r="A3925" t="str">
        <f>+'[2]por cuent'!A3925</f>
        <v>USD</v>
      </c>
      <c r="B3925" t="str">
        <f>+'[2]por cuent'!B3925</f>
        <v>479005435</v>
      </c>
      <c r="C3925" t="str">
        <f>+'[2]por cuent'!C3925</f>
        <v>Eucadera S.A.</v>
      </c>
      <c r="D3925" s="35">
        <f>+'[2]por cuent'!G3925</f>
        <v>329000</v>
      </c>
      <c r="E3925" s="35">
        <f>+'[2]por cuent'!H3925</f>
        <v>492045820</v>
      </c>
      <c r="F3925" t="str">
        <f>+'[2]por cuent'!I3925</f>
        <v>479</v>
      </c>
    </row>
    <row r="3926" spans="1:6" x14ac:dyDescent="0.35">
      <c r="A3926" t="str">
        <f>+'[2]por cuent'!A3926</f>
        <v>USD</v>
      </c>
      <c r="B3926" t="str">
        <f>+'[2]por cuent'!B3926</f>
        <v>479005439</v>
      </c>
      <c r="C3926" t="str">
        <f>+'[2]por cuent'!C3926</f>
        <v>P.D.I. S.A</v>
      </c>
      <c r="D3926" s="35">
        <f>+'[2]por cuent'!G3926</f>
        <v>67973.36</v>
      </c>
      <c r="E3926" s="35">
        <f>+'[2]por cuent'!H3926</f>
        <v>101659597.74879999</v>
      </c>
      <c r="F3926" t="str">
        <f>+'[2]por cuent'!I3926</f>
        <v>479</v>
      </c>
    </row>
    <row r="3927" spans="1:6" x14ac:dyDescent="0.35">
      <c r="A3927" t="str">
        <f>+'[2]por cuent'!A3927</f>
        <v>USD</v>
      </c>
      <c r="B3927" t="str">
        <f>+'[2]por cuent'!B3927</f>
        <v>479005460</v>
      </c>
      <c r="C3927" t="str">
        <f>+'[2]por cuent'!C3927</f>
        <v>LOCADORA POPULAR SA</v>
      </c>
      <c r="D3927" s="35">
        <f>+'[2]por cuent'!G3927</f>
        <v>13140.6</v>
      </c>
      <c r="E3927" s="35">
        <f>+'[2]por cuent'!H3927</f>
        <v>19652818.548</v>
      </c>
      <c r="F3927" t="str">
        <f>+'[2]por cuent'!I3927</f>
        <v>479</v>
      </c>
    </row>
    <row r="3928" spans="1:6" x14ac:dyDescent="0.35">
      <c r="A3928" t="str">
        <f>+'[2]por cuent'!A3928</f>
        <v>USD</v>
      </c>
      <c r="B3928" t="str">
        <f>+'[2]por cuent'!B3928</f>
        <v>479005462</v>
      </c>
      <c r="C3928" t="str">
        <f>+'[2]por cuent'!C3928</f>
        <v>URBANA AVELLANEDA S.A.</v>
      </c>
      <c r="D3928" s="35">
        <f>+'[2]por cuent'!G3928</f>
        <v>454444.51</v>
      </c>
      <c r="E3928" s="35">
        <f>+'[2]por cuent'!H3928</f>
        <v>679658120.2658</v>
      </c>
      <c r="F3928" t="str">
        <f>+'[2]por cuent'!I3928</f>
        <v>479</v>
      </c>
    </row>
    <row r="3929" spans="1:6" x14ac:dyDescent="0.35">
      <c r="A3929" t="str">
        <f>+'[2]por cuent'!A3929</f>
        <v>USD</v>
      </c>
      <c r="B3929" t="str">
        <f>+'[2]por cuent'!B3929</f>
        <v>479005463</v>
      </c>
      <c r="C3929" t="str">
        <f>+'[2]por cuent'!C3929</f>
        <v>DON CLEMENTE S A I F C E I</v>
      </c>
      <c r="D3929" s="35">
        <f>+'[2]por cuent'!G3929</f>
        <v>6570.3</v>
      </c>
      <c r="E3929" s="35">
        <f>+'[2]por cuent'!H3929</f>
        <v>9826409.2740000002</v>
      </c>
      <c r="F3929" t="str">
        <f>+'[2]por cuent'!I3929</f>
        <v>479</v>
      </c>
    </row>
    <row r="3930" spans="1:6" x14ac:dyDescent="0.35">
      <c r="A3930" t="str">
        <f>+'[2]por cuent'!A3930</f>
        <v>USD</v>
      </c>
      <c r="B3930" t="str">
        <f>+'[2]por cuent'!B3930</f>
        <v>479005465</v>
      </c>
      <c r="C3930" t="str">
        <f>+'[2]por cuent'!C3930</f>
        <v>ATRAPALO S.R.L.</v>
      </c>
      <c r="D3930" s="35">
        <f>+'[2]por cuent'!G3930</f>
        <v>212000</v>
      </c>
      <c r="E3930" s="35">
        <f>+'[2]por cuent'!H3930</f>
        <v>317062960</v>
      </c>
      <c r="F3930" t="str">
        <f>+'[2]por cuent'!I3930</f>
        <v>479</v>
      </c>
    </row>
    <row r="3931" spans="1:6" x14ac:dyDescent="0.35">
      <c r="A3931" t="str">
        <f>+'[2]por cuent'!A3931</f>
        <v>USD</v>
      </c>
      <c r="B3931" t="str">
        <f>+'[2]por cuent'!B3931</f>
        <v>479005482</v>
      </c>
      <c r="C3931" t="str">
        <f>+'[2]por cuent'!C3931</f>
        <v>AUTOMOVILES SAN JORGE S A</v>
      </c>
      <c r="D3931" s="35">
        <f>+'[2]por cuent'!G3931</f>
        <v>1063530</v>
      </c>
      <c r="E3931" s="35">
        <f>+'[2]por cuent'!H3931</f>
        <v>1590594197.3999999</v>
      </c>
      <c r="F3931" t="str">
        <f>+'[2]por cuent'!I3931</f>
        <v>479</v>
      </c>
    </row>
    <row r="3932" spans="1:6" x14ac:dyDescent="0.35">
      <c r="A3932" t="str">
        <f>+'[2]por cuent'!A3932</f>
        <v>USD</v>
      </c>
      <c r="B3932" t="str">
        <f>+'[2]por cuent'!B3932</f>
        <v>479005493</v>
      </c>
      <c r="C3932" t="str">
        <f>+'[2]por cuent'!C3932</f>
        <v>CINCA S.A.</v>
      </c>
      <c r="D3932" s="35">
        <f>+'[2]por cuent'!G3932</f>
        <v>253000</v>
      </c>
      <c r="E3932" s="35">
        <f>+'[2]por cuent'!H3932</f>
        <v>378381740</v>
      </c>
      <c r="F3932" t="str">
        <f>+'[2]por cuent'!I3932</f>
        <v>479</v>
      </c>
    </row>
    <row r="3933" spans="1:6" x14ac:dyDescent="0.35">
      <c r="A3933" t="str">
        <f>+'[2]por cuent'!A3933</f>
        <v>USD</v>
      </c>
      <c r="B3933" t="str">
        <f>+'[2]por cuent'!B3933</f>
        <v>479005510</v>
      </c>
      <c r="C3933" t="str">
        <f>+'[2]por cuent'!C3933</f>
        <v>ALENCO S A I C</v>
      </c>
      <c r="D3933" s="35">
        <f>+'[2]por cuent'!G3933</f>
        <v>333961.32</v>
      </c>
      <c r="E3933" s="35">
        <f>+'[2]por cuent'!H3933</f>
        <v>499465870.96560001</v>
      </c>
      <c r="F3933" t="str">
        <f>+'[2]por cuent'!I3933</f>
        <v>479</v>
      </c>
    </row>
    <row r="3934" spans="1:6" x14ac:dyDescent="0.35">
      <c r="A3934" t="str">
        <f>+'[2]por cuent'!A3934</f>
        <v>USD</v>
      </c>
      <c r="B3934" t="str">
        <f>+'[2]por cuent'!B3934</f>
        <v>479005535</v>
      </c>
      <c r="C3934" t="str">
        <f>+'[2]por cuent'!C3934</f>
        <v>GIMNASIOS ARGENTINOS S A</v>
      </c>
      <c r="D3934" s="35">
        <f>+'[2]por cuent'!G3934</f>
        <v>100000</v>
      </c>
      <c r="E3934" s="35">
        <f>+'[2]por cuent'!H3934</f>
        <v>149558000</v>
      </c>
      <c r="F3934" t="str">
        <f>+'[2]por cuent'!I3934</f>
        <v>479</v>
      </c>
    </row>
    <row r="3935" spans="1:6" x14ac:dyDescent="0.35">
      <c r="A3935" t="str">
        <f>+'[2]por cuent'!A3935</f>
        <v>USD</v>
      </c>
      <c r="B3935" t="str">
        <f>+'[2]por cuent'!B3935</f>
        <v>479005557</v>
      </c>
      <c r="C3935" t="str">
        <f>+'[2]por cuent'!C3935</f>
        <v>CLIMO SA</v>
      </c>
      <c r="D3935" s="35">
        <f>+'[2]por cuent'!G3935</f>
        <v>326724.13</v>
      </c>
      <c r="E3935" s="35">
        <f>+'[2]por cuent'!H3935</f>
        <v>488642074.34539998</v>
      </c>
      <c r="F3935" t="str">
        <f>+'[2]por cuent'!I3935</f>
        <v>479</v>
      </c>
    </row>
    <row r="3936" spans="1:6" x14ac:dyDescent="0.35">
      <c r="A3936" t="str">
        <f>+'[2]por cuent'!A3936</f>
        <v>USD</v>
      </c>
      <c r="B3936" t="str">
        <f>+'[2]por cuent'!B3936</f>
        <v>479005562</v>
      </c>
      <c r="C3936" t="str">
        <f>+'[2]por cuent'!C3936</f>
        <v>GLOBAL RACE S.A.</v>
      </c>
      <c r="D3936" s="35">
        <f>+'[2]por cuent'!G3936</f>
        <v>19666.669999999998</v>
      </c>
      <c r="E3936" s="35">
        <f>+'[2]por cuent'!H3936</f>
        <v>29413078.318599995</v>
      </c>
      <c r="F3936" t="str">
        <f>+'[2]por cuent'!I3936</f>
        <v>479</v>
      </c>
    </row>
    <row r="3937" spans="1:6" x14ac:dyDescent="0.35">
      <c r="A3937" t="str">
        <f>+'[2]por cuent'!A3937</f>
        <v>USD</v>
      </c>
      <c r="B3937" t="str">
        <f>+'[2]por cuent'!B3937</f>
        <v>479005564</v>
      </c>
      <c r="C3937" t="str">
        <f>+'[2]por cuent'!C3937</f>
        <v>CASCIA GASES S. A. S</v>
      </c>
      <c r="D3937" s="35">
        <f>+'[2]por cuent'!G3937</f>
        <v>9544</v>
      </c>
      <c r="E3937" s="35">
        <f>+'[2]por cuent'!H3937</f>
        <v>14273815.52</v>
      </c>
      <c r="F3937" t="str">
        <f>+'[2]por cuent'!I3937</f>
        <v>479</v>
      </c>
    </row>
    <row r="3938" spans="1:6" x14ac:dyDescent="0.35">
      <c r="A3938" t="str">
        <f>+'[2]por cuent'!A3938</f>
        <v>USD</v>
      </c>
      <c r="B3938" t="str">
        <f>+'[2]por cuent'!B3938</f>
        <v>479005605</v>
      </c>
      <c r="C3938" t="str">
        <f>+'[2]por cuent'!C3938</f>
        <v>BENTIA ENERGY SA</v>
      </c>
      <c r="D3938" s="35">
        <f>+'[2]por cuent'!G3938</f>
        <v>713753</v>
      </c>
      <c r="E3938" s="35">
        <f>+'[2]por cuent'!H3938</f>
        <v>1067474711.7399999</v>
      </c>
      <c r="F3938" t="str">
        <f>+'[2]por cuent'!I3938</f>
        <v>479</v>
      </c>
    </row>
    <row r="3939" spans="1:6" x14ac:dyDescent="0.35">
      <c r="A3939" t="str">
        <f>+'[2]por cuent'!A3939</f>
        <v>USD</v>
      </c>
      <c r="B3939" t="str">
        <f>+'[2]por cuent'!B3939</f>
        <v>479005615</v>
      </c>
      <c r="C3939" t="str">
        <f>+'[2]por cuent'!C3939</f>
        <v>ORTOPEDIA ITALIANA SAS</v>
      </c>
      <c r="D3939" s="35">
        <f>+'[2]por cuent'!G3939</f>
        <v>21572.32</v>
      </c>
      <c r="E3939" s="35">
        <f>+'[2]por cuent'!H3939</f>
        <v>32263130.345599998</v>
      </c>
      <c r="F3939" t="str">
        <f>+'[2]por cuent'!I3939</f>
        <v>479</v>
      </c>
    </row>
    <row r="3940" spans="1:6" x14ac:dyDescent="0.35">
      <c r="A3940" t="str">
        <f>+'[2]por cuent'!A3940</f>
        <v>USD</v>
      </c>
      <c r="B3940" t="str">
        <f>+'[2]por cuent'!B3940</f>
        <v>479005620</v>
      </c>
      <c r="C3940" t="str">
        <f>+'[2]por cuent'!C3940</f>
        <v>LA NATURALEZA S R L</v>
      </c>
      <c r="D3940" s="35">
        <f>+'[2]por cuent'!G3940</f>
        <v>16223.23</v>
      </c>
      <c r="E3940" s="35">
        <f>+'[2]por cuent'!H3940</f>
        <v>24263138.323399998</v>
      </c>
      <c r="F3940" t="str">
        <f>+'[2]por cuent'!I3940</f>
        <v>479</v>
      </c>
    </row>
    <row r="3941" spans="1:6" x14ac:dyDescent="0.35">
      <c r="A3941" t="str">
        <f>+'[2]por cuent'!A3941</f>
        <v>USD</v>
      </c>
      <c r="B3941" t="str">
        <f>+'[2]por cuent'!B3941</f>
        <v>479005621</v>
      </c>
      <c r="C3941" t="str">
        <f>+'[2]por cuent'!C3941</f>
        <v>CASA PAVIOTTI S. R. L.</v>
      </c>
      <c r="D3941" s="35">
        <f>+'[2]por cuent'!G3941</f>
        <v>19467.88</v>
      </c>
      <c r="E3941" s="35">
        <f>+'[2]por cuent'!H3941</f>
        <v>29115771.970400002</v>
      </c>
      <c r="F3941" t="str">
        <f>+'[2]por cuent'!I3941</f>
        <v>479</v>
      </c>
    </row>
    <row r="3942" spans="1:6" x14ac:dyDescent="0.35">
      <c r="A3942" t="str">
        <f>+'[2]por cuent'!A3942</f>
        <v>USD</v>
      </c>
      <c r="B3942" t="str">
        <f>+'[2]por cuent'!B3942</f>
        <v>479005622</v>
      </c>
      <c r="C3942" t="str">
        <f>+'[2]por cuent'!C3942</f>
        <v>SERVICIOS SOCIALES PAVIOTTI S. R. L.</v>
      </c>
      <c r="D3942" s="35">
        <f>+'[2]por cuent'!G3942</f>
        <v>38935.760000000002</v>
      </c>
      <c r="E3942" s="35">
        <f>+'[2]por cuent'!H3942</f>
        <v>58231543.940800004</v>
      </c>
      <c r="F3942" t="str">
        <f>+'[2]por cuent'!I3942</f>
        <v>479</v>
      </c>
    </row>
    <row r="3943" spans="1:6" x14ac:dyDescent="0.35">
      <c r="A3943" t="str">
        <f>+'[2]por cuent'!A3943</f>
        <v>USD</v>
      </c>
      <c r="B3943" t="str">
        <f>+'[2]por cuent'!B3943</f>
        <v>479005623</v>
      </c>
      <c r="C3943" t="str">
        <f>+'[2]por cuent'!C3943</f>
        <v>ASOCIACION MUTUAL DE SERVICIOS SOCIALES INTEGRALES</v>
      </c>
      <c r="D3943" s="35">
        <f>+'[2]por cuent'!G3943</f>
        <v>16872.16</v>
      </c>
      <c r="E3943" s="35">
        <f>+'[2]por cuent'!H3943</f>
        <v>25233665.0528</v>
      </c>
      <c r="F3943" t="str">
        <f>+'[2]por cuent'!I3943</f>
        <v>479</v>
      </c>
    </row>
    <row r="3944" spans="1:6" x14ac:dyDescent="0.35">
      <c r="A3944" t="str">
        <f>+'[2]por cuent'!A3944</f>
        <v>USD</v>
      </c>
      <c r="B3944" t="str">
        <f>+'[2]por cuent'!B3944</f>
        <v>479005629</v>
      </c>
      <c r="C3944" t="str">
        <f>+'[2]por cuent'!C3944</f>
        <v>EMPRESA DE DISTRIBUCION ELECTRICA DE TUCUMAN SA</v>
      </c>
      <c r="D3944" s="35">
        <f>+'[2]por cuent'!G3944</f>
        <v>1000066.75</v>
      </c>
      <c r="E3944" s="35">
        <f>+'[2]por cuent'!H3944</f>
        <v>1495679829.9649999</v>
      </c>
      <c r="F3944" t="str">
        <f>+'[2]por cuent'!I3944</f>
        <v>479</v>
      </c>
    </row>
    <row r="3945" spans="1:6" x14ac:dyDescent="0.35">
      <c r="A3945" t="str">
        <f>+'[2]por cuent'!A3945</f>
        <v>USD</v>
      </c>
      <c r="B3945" t="str">
        <f>+'[2]por cuent'!B3945</f>
        <v>479005646</v>
      </c>
      <c r="C3945" t="str">
        <f>+'[2]por cuent'!C3945</f>
        <v>T.C.B. TRANSPORTE DE CARGAS BERISSO S.A.</v>
      </c>
      <c r="D3945" s="35">
        <f>+'[2]por cuent'!G3945</f>
        <v>706371.82</v>
      </c>
      <c r="E3945" s="35">
        <f>+'[2]por cuent'!H3945</f>
        <v>1056435566.5555999</v>
      </c>
      <c r="F3945" t="str">
        <f>+'[2]por cuent'!I3945</f>
        <v>479</v>
      </c>
    </row>
    <row r="3946" spans="1:6" x14ac:dyDescent="0.35">
      <c r="A3946" t="str">
        <f>+'[2]por cuent'!A3946</f>
        <v>USD</v>
      </c>
      <c r="B3946" t="str">
        <f>+'[2]por cuent'!B3946</f>
        <v>479005661</v>
      </c>
      <c r="C3946" t="str">
        <f>+'[2]por cuent'!C3946</f>
        <v>SERMISUR S. A.</v>
      </c>
      <c r="D3946" s="35">
        <f>+'[2]por cuent'!G3946</f>
        <v>1732720.2</v>
      </c>
      <c r="E3946" s="35">
        <f>+'[2]por cuent'!H3946</f>
        <v>2591421676.7159996</v>
      </c>
      <c r="F3946" t="str">
        <f>+'[2]por cuent'!I3946</f>
        <v>479</v>
      </c>
    </row>
    <row r="3947" spans="1:6" x14ac:dyDescent="0.35">
      <c r="A3947" t="str">
        <f>+'[2]por cuent'!A3947</f>
        <v>USD</v>
      </c>
      <c r="B3947" t="str">
        <f>+'[2]por cuent'!B3947</f>
        <v>479005665</v>
      </c>
      <c r="C3947" t="str">
        <f>+'[2]por cuent'!C3947</f>
        <v>PATAGONIAN SEA TRAVEL SOCIEDAD ANONIMA</v>
      </c>
      <c r="D3947" s="35">
        <f>+'[2]por cuent'!G3947</f>
        <v>26143</v>
      </c>
      <c r="E3947" s="35">
        <f>+'[2]por cuent'!H3947</f>
        <v>39098947.939999998</v>
      </c>
      <c r="F3947" t="str">
        <f>+'[2]por cuent'!I3947</f>
        <v>479</v>
      </c>
    </row>
    <row r="3948" spans="1:6" x14ac:dyDescent="0.35">
      <c r="A3948" t="str">
        <f>+'[2]por cuent'!A3948</f>
        <v>USD</v>
      </c>
      <c r="B3948" t="str">
        <f>+'[2]por cuent'!B3948</f>
        <v>479005666</v>
      </c>
      <c r="C3948" t="str">
        <f>+'[2]por cuent'!C3948</f>
        <v>RICCITELLI WINE COMPANY S. A.</v>
      </c>
      <c r="D3948" s="35">
        <f>+'[2]por cuent'!G3948</f>
        <v>118000</v>
      </c>
      <c r="E3948" s="35">
        <f>+'[2]por cuent'!H3948</f>
        <v>176478440</v>
      </c>
      <c r="F3948" t="str">
        <f>+'[2]por cuent'!I3948</f>
        <v>479</v>
      </c>
    </row>
    <row r="3949" spans="1:6" x14ac:dyDescent="0.35">
      <c r="A3949" t="str">
        <f>+'[2]por cuent'!A3949</f>
        <v>USD</v>
      </c>
      <c r="B3949" t="str">
        <f>+'[2]por cuent'!B3949</f>
        <v>479005667</v>
      </c>
      <c r="C3949" t="str">
        <f>+'[2]por cuent'!C3949</f>
        <v>GENCO MATERIALES ELECTRICOS SOCIEDAD ANONIMA</v>
      </c>
      <c r="D3949" s="35">
        <f>+'[2]por cuent'!G3949</f>
        <v>154500</v>
      </c>
      <c r="E3949" s="35">
        <f>+'[2]por cuent'!H3949</f>
        <v>231067110</v>
      </c>
      <c r="F3949" t="str">
        <f>+'[2]por cuent'!I3949</f>
        <v>479</v>
      </c>
    </row>
    <row r="3950" spans="1:6" x14ac:dyDescent="0.35">
      <c r="A3950" t="str">
        <f>+'[2]por cuent'!A3950</f>
        <v>USD</v>
      </c>
      <c r="B3950" t="str">
        <f>+'[2]por cuent'!B3950</f>
        <v>479005669</v>
      </c>
      <c r="C3950" t="str">
        <f>+'[2]por cuent'!C3950</f>
        <v>MUTUAL MUTUAL DEL PERSONAL DE AGUA Y ENERGIA DE MENDOZA</v>
      </c>
      <c r="D3950" s="35">
        <f>+'[2]por cuent'!G3950</f>
        <v>20277</v>
      </c>
      <c r="E3950" s="35">
        <f>+'[2]por cuent'!H3950</f>
        <v>30325875.66</v>
      </c>
      <c r="F3950" t="str">
        <f>+'[2]por cuent'!I3950</f>
        <v>479</v>
      </c>
    </row>
    <row r="3951" spans="1:6" x14ac:dyDescent="0.35">
      <c r="A3951" t="str">
        <f>+'[2]por cuent'!A3951</f>
        <v>USD</v>
      </c>
      <c r="B3951" t="str">
        <f>+'[2]por cuent'!B3951</f>
        <v>479005671</v>
      </c>
      <c r="C3951" t="str">
        <f>+'[2]por cuent'!C3951</f>
        <v>YACOPINI INVERSORA S.A.</v>
      </c>
      <c r="D3951" s="35">
        <f>+'[2]por cuent'!G3951</f>
        <v>632000</v>
      </c>
      <c r="E3951" s="35">
        <f>+'[2]por cuent'!H3951</f>
        <v>945206560</v>
      </c>
      <c r="F3951" t="str">
        <f>+'[2]por cuent'!I3951</f>
        <v>479</v>
      </c>
    </row>
    <row r="3952" spans="1:6" x14ac:dyDescent="0.35">
      <c r="A3952" t="str">
        <f>+'[2]por cuent'!A3952</f>
        <v>USD</v>
      </c>
      <c r="B3952" t="str">
        <f>+'[2]por cuent'!B3952</f>
        <v>479005673</v>
      </c>
      <c r="C3952" t="str">
        <f>+'[2]por cuent'!C3952</f>
        <v>MEDICAMENTOS PARA TODOS SRL</v>
      </c>
      <c r="D3952" s="35">
        <f>+'[2]por cuent'!G3952</f>
        <v>360303.41</v>
      </c>
      <c r="E3952" s="35">
        <f>+'[2]por cuent'!H3952</f>
        <v>538862573.92779994</v>
      </c>
      <c r="F3952" t="str">
        <f>+'[2]por cuent'!I3952</f>
        <v>479</v>
      </c>
    </row>
    <row r="3953" spans="1:6" x14ac:dyDescent="0.35">
      <c r="A3953" t="str">
        <f>+'[2]por cuent'!A3953</f>
        <v>USD</v>
      </c>
      <c r="B3953" t="str">
        <f>+'[2]por cuent'!B3953</f>
        <v>479005674</v>
      </c>
      <c r="C3953" t="str">
        <f>+'[2]por cuent'!C3953</f>
        <v>LOMAS BLANCAS S.R.L</v>
      </c>
      <c r="D3953" s="35">
        <f>+'[2]por cuent'!G3953</f>
        <v>506263.84</v>
      </c>
      <c r="E3953" s="35">
        <f>+'[2]por cuent'!H3953</f>
        <v>757158073.82720006</v>
      </c>
      <c r="F3953" t="str">
        <f>+'[2]por cuent'!I3953</f>
        <v>479</v>
      </c>
    </row>
    <row r="3954" spans="1:6" x14ac:dyDescent="0.35">
      <c r="A3954" t="str">
        <f>+'[2]por cuent'!A3954</f>
        <v>USD</v>
      </c>
      <c r="B3954" t="str">
        <f>+'[2]por cuent'!B3954</f>
        <v>479005678</v>
      </c>
      <c r="C3954" t="str">
        <f>+'[2]por cuent'!C3954</f>
        <v>DISTRIFAR S.A.</v>
      </c>
      <c r="D3954" s="35">
        <f>+'[2]por cuent'!G3954</f>
        <v>647249.18999999994</v>
      </c>
      <c r="E3954" s="35">
        <f>+'[2]por cuent'!H3954</f>
        <v>968012943.58019984</v>
      </c>
      <c r="F3954" t="str">
        <f>+'[2]por cuent'!I3954</f>
        <v>479</v>
      </c>
    </row>
    <row r="3955" spans="1:6" x14ac:dyDescent="0.35">
      <c r="A3955" t="str">
        <f>+'[2]por cuent'!A3955</f>
        <v>USD</v>
      </c>
      <c r="B3955" t="str">
        <f>+'[2]por cuent'!B3955</f>
        <v>479005682</v>
      </c>
      <c r="C3955" t="str">
        <f>+'[2]por cuent'!C3955</f>
        <v>FELIPE ANDREU E HIJOS S A</v>
      </c>
      <c r="D3955" s="35">
        <f>+'[2]por cuent'!G3955</f>
        <v>172000</v>
      </c>
      <c r="E3955" s="35">
        <f>+'[2]por cuent'!H3955</f>
        <v>257239760</v>
      </c>
      <c r="F3955" t="str">
        <f>+'[2]por cuent'!I3955</f>
        <v>479</v>
      </c>
    </row>
    <row r="3956" spans="1:6" x14ac:dyDescent="0.35">
      <c r="A3956" t="str">
        <f>+'[2]por cuent'!A3956</f>
        <v>USD</v>
      </c>
      <c r="B3956" t="str">
        <f>+'[2]por cuent'!B3956</f>
        <v>479005684</v>
      </c>
      <c r="C3956" t="str">
        <f>+'[2]por cuent'!C3956</f>
        <v>CLUB ALEMAN DE MENDOZA</v>
      </c>
      <c r="D3956" s="35">
        <f>+'[2]por cuent'!G3956</f>
        <v>16212</v>
      </c>
      <c r="E3956" s="35">
        <f>+'[2]por cuent'!H3956</f>
        <v>24246342.959999997</v>
      </c>
      <c r="F3956" t="str">
        <f>+'[2]por cuent'!I3956</f>
        <v>479</v>
      </c>
    </row>
    <row r="3957" spans="1:6" x14ac:dyDescent="0.35">
      <c r="A3957" t="str">
        <f>+'[2]por cuent'!A3957</f>
        <v>USD</v>
      </c>
      <c r="B3957" t="str">
        <f>+'[2]por cuent'!B3957</f>
        <v>479040602</v>
      </c>
      <c r="C3957" t="str">
        <f>+'[2]por cuent'!C3957</f>
        <v>SUPERVIELLE AGENTE DE NEGOCIACION S.A.U.</v>
      </c>
      <c r="D3957" s="35">
        <f>+'[2]por cuent'!G3957</f>
        <v>64358338.670000002</v>
      </c>
      <c r="E3957" s="35">
        <f>+'[2]por cuent'!H3957</f>
        <v>96253044148.078598</v>
      </c>
      <c r="F3957" t="str">
        <f>+'[2]por cuent'!I3957</f>
        <v>479</v>
      </c>
    </row>
    <row r="3958" spans="1:6" x14ac:dyDescent="0.35">
      <c r="A3958" t="str">
        <f>+'[2]por cuent'!A3958</f>
        <v>USD</v>
      </c>
      <c r="B3958" t="str">
        <f>+'[2]por cuent'!B3958</f>
        <v>483000004</v>
      </c>
      <c r="C3958" t="str">
        <f>+'[2]por cuent'!C3958</f>
        <v>COPPOLA INVERSIONES S.A.</v>
      </c>
      <c r="D3958" s="35">
        <f>+'[2]por cuent'!G3958</f>
        <v>2104285.46</v>
      </c>
      <c r="E3958" s="35">
        <f>+'[2]por cuent'!H3958</f>
        <v>3147127248.2667999</v>
      </c>
      <c r="F3958" t="str">
        <f>+'[2]por cuent'!I3958</f>
        <v>483</v>
      </c>
    </row>
    <row r="3959" spans="1:6" x14ac:dyDescent="0.35">
      <c r="A3959" t="str">
        <f>+'[2]por cuent'!A3959</f>
        <v>USD</v>
      </c>
      <c r="B3959" t="str">
        <f>+'[2]por cuent'!B3959</f>
        <v>483000102</v>
      </c>
      <c r="C3959" t="str">
        <f>+'[2]por cuent'!C3959</f>
        <v>FUNDEMAP SA</v>
      </c>
      <c r="D3959" s="35">
        <f>+'[2]por cuent'!G3959</f>
        <v>1336031</v>
      </c>
      <c r="E3959" s="35">
        <f>+'[2]por cuent'!H3959</f>
        <v>1998141242.98</v>
      </c>
      <c r="F3959" t="str">
        <f>+'[2]por cuent'!I3959</f>
        <v>483</v>
      </c>
    </row>
    <row r="3960" spans="1:6" x14ac:dyDescent="0.35">
      <c r="A3960" t="str">
        <f>+'[2]por cuent'!A3960</f>
        <v>USD</v>
      </c>
      <c r="B3960" t="str">
        <f>+'[2]por cuent'!B3960</f>
        <v>483000109</v>
      </c>
      <c r="C3960" t="str">
        <f>+'[2]por cuent'!C3960</f>
        <v>LA BULONERA DE VILA SRL</v>
      </c>
      <c r="D3960" s="35">
        <f>+'[2]por cuent'!G3960</f>
        <v>2979748</v>
      </c>
      <c r="E3960" s="35">
        <f>+'[2]por cuent'!H3960</f>
        <v>4456451513.8400002</v>
      </c>
      <c r="F3960" t="str">
        <f>+'[2]por cuent'!I3960</f>
        <v>483</v>
      </c>
    </row>
    <row r="3961" spans="1:6" x14ac:dyDescent="0.35">
      <c r="A3961" t="str">
        <f>+'[2]por cuent'!A3961</f>
        <v>USD</v>
      </c>
      <c r="B3961" t="str">
        <f>+'[2]por cuent'!B3961</f>
        <v>483000117</v>
      </c>
      <c r="C3961" t="str">
        <f>+'[2]por cuent'!C3961</f>
        <v xml:space="preserve">SHORTON ARGENTINA SRL </v>
      </c>
      <c r="D3961" s="35">
        <f>+'[2]por cuent'!G3961</f>
        <v>3120767</v>
      </c>
      <c r="E3961" s="35">
        <f>+'[2]por cuent'!H3961</f>
        <v>4667356709.8599997</v>
      </c>
      <c r="F3961" t="str">
        <f>+'[2]por cuent'!I3961</f>
        <v>483</v>
      </c>
    </row>
    <row r="3962" spans="1:6" x14ac:dyDescent="0.35">
      <c r="A3962" t="str">
        <f>+'[2]por cuent'!A3962</f>
        <v>USD</v>
      </c>
      <c r="B3962" t="str">
        <f>+'[2]por cuent'!B3962</f>
        <v>483000121</v>
      </c>
      <c r="C3962" t="str">
        <f>+'[2]por cuent'!C3962</f>
        <v>SEMILLAS BISCAYART SA</v>
      </c>
      <c r="D3962" s="35">
        <f>+'[2]por cuent'!G3962</f>
        <v>857832.54</v>
      </c>
      <c r="E3962" s="35">
        <f>+'[2]por cuent'!H3962</f>
        <v>1282957190.1731999</v>
      </c>
      <c r="F3962" t="str">
        <f>+'[2]por cuent'!I3962</f>
        <v>483</v>
      </c>
    </row>
    <row r="3963" spans="1:6" x14ac:dyDescent="0.35">
      <c r="A3963" t="str">
        <f>+'[2]por cuent'!A3963</f>
        <v>USD</v>
      </c>
      <c r="B3963" t="str">
        <f>+'[2]por cuent'!B3963</f>
        <v>483000122</v>
      </c>
      <c r="C3963" t="str">
        <f>+'[2]por cuent'!C3963</f>
        <v>CARLOS BISCAYART SA</v>
      </c>
      <c r="D3963" s="35">
        <f>+'[2]por cuent'!G3963</f>
        <v>17590</v>
      </c>
      <c r="E3963" s="35">
        <f>+'[2]por cuent'!H3963</f>
        <v>26307252.199999999</v>
      </c>
      <c r="F3963" t="str">
        <f>+'[2]por cuent'!I3963</f>
        <v>483</v>
      </c>
    </row>
    <row r="3964" spans="1:6" x14ac:dyDescent="0.35">
      <c r="A3964" t="str">
        <f>+'[2]por cuent'!A3964</f>
        <v>USD</v>
      </c>
      <c r="B3964" t="str">
        <f>+'[2]por cuent'!B3964</f>
        <v>483000144</v>
      </c>
      <c r="C3964" t="str">
        <f>+'[2]por cuent'!C3964</f>
        <v>PAIS, MARCELA LETICIA</v>
      </c>
      <c r="D3964" s="35">
        <f>+'[2]por cuent'!G3964</f>
        <v>63878.66</v>
      </c>
      <c r="E3964" s="35">
        <f>+'[2]por cuent'!H3964</f>
        <v>95535646.322799996</v>
      </c>
      <c r="F3964" t="str">
        <f>+'[2]por cuent'!I3964</f>
        <v>483</v>
      </c>
    </row>
    <row r="3965" spans="1:6" x14ac:dyDescent="0.35">
      <c r="A3965" t="str">
        <f>+'[2]por cuent'!A3965</f>
        <v>USD</v>
      </c>
      <c r="B3965" t="str">
        <f>+'[2]por cuent'!B3965</f>
        <v>483000146</v>
      </c>
      <c r="C3965" t="str">
        <f>+'[2]por cuent'!C3965</f>
        <v>ACOPIO AREQUITO SA</v>
      </c>
      <c r="D3965" s="35">
        <f>+'[2]por cuent'!G3965</f>
        <v>687588</v>
      </c>
      <c r="E3965" s="35">
        <f>+'[2]por cuent'!H3965</f>
        <v>1028342861.04</v>
      </c>
      <c r="F3965" t="str">
        <f>+'[2]por cuent'!I3965</f>
        <v>483</v>
      </c>
    </row>
    <row r="3966" spans="1:6" x14ac:dyDescent="0.35">
      <c r="A3966" t="str">
        <f>+'[2]por cuent'!A3966</f>
        <v>USD</v>
      </c>
      <c r="B3966" t="str">
        <f>+'[2]por cuent'!B3966</f>
        <v>483000155</v>
      </c>
      <c r="C3966" t="str">
        <f>+'[2]por cuent'!C3966</f>
        <v>COMPAÑIA DE PRODUCTOS INDUSTRIALES SRL</v>
      </c>
      <c r="D3966" s="35">
        <f>+'[2]por cuent'!G3966</f>
        <v>35851.620000000003</v>
      </c>
      <c r="E3966" s="35">
        <f>+'[2]por cuent'!H3966</f>
        <v>53618965.839600004</v>
      </c>
      <c r="F3966" t="str">
        <f>+'[2]por cuent'!I3966</f>
        <v>483</v>
      </c>
    </row>
    <row r="3967" spans="1:6" x14ac:dyDescent="0.35">
      <c r="A3967" t="str">
        <f>+'[2]por cuent'!A3967</f>
        <v>USD</v>
      </c>
      <c r="B3967" t="str">
        <f>+'[2]por cuent'!B3967</f>
        <v>483000157</v>
      </c>
      <c r="C3967" t="str">
        <f>+'[2]por cuent'!C3967</f>
        <v>ACERMA SOCIEDAD ANÓNIMA</v>
      </c>
      <c r="D3967" s="35">
        <f>+'[2]por cuent'!G3967</f>
        <v>1485136.51</v>
      </c>
      <c r="E3967" s="35">
        <f>+'[2]por cuent'!H3967</f>
        <v>2221140461.6258001</v>
      </c>
      <c r="F3967" t="str">
        <f>+'[2]por cuent'!I3967</f>
        <v>483</v>
      </c>
    </row>
    <row r="3968" spans="1:6" x14ac:dyDescent="0.35">
      <c r="A3968" t="str">
        <f>+'[2]por cuent'!A3968</f>
        <v>USD</v>
      </c>
      <c r="B3968" t="str">
        <f>+'[2]por cuent'!B3968</f>
        <v>483000168</v>
      </c>
      <c r="C3968" t="str">
        <f>+'[2]por cuent'!C3968</f>
        <v>COPPOLA CARLOS MARIA</v>
      </c>
      <c r="D3968" s="35">
        <f>+'[2]por cuent'!G3968</f>
        <v>1040.8699999999999</v>
      </c>
      <c r="E3968" s="35">
        <f>+'[2]por cuent'!H3968</f>
        <v>1556704.3545999997</v>
      </c>
      <c r="F3968" t="str">
        <f>+'[2]por cuent'!I3968</f>
        <v>483</v>
      </c>
    </row>
    <row r="3969" spans="1:6" x14ac:dyDescent="0.35">
      <c r="A3969" t="str">
        <f>+'[2]por cuent'!A3969</f>
        <v>USD</v>
      </c>
      <c r="B3969" t="str">
        <f>+'[2]por cuent'!B3969</f>
        <v>483000171</v>
      </c>
      <c r="C3969" t="str">
        <f>+'[2]por cuent'!C3969</f>
        <v>FERNANDEZ, SEBASTIAN</v>
      </c>
      <c r="D3969" s="35">
        <f>+'[2]por cuent'!G3969</f>
        <v>2457.37</v>
      </c>
      <c r="E3969" s="35">
        <f>+'[2]por cuent'!H3969</f>
        <v>3675193.4245999996</v>
      </c>
      <c r="F3969" t="str">
        <f>+'[2]por cuent'!I3969</f>
        <v>483</v>
      </c>
    </row>
    <row r="3970" spans="1:6" x14ac:dyDescent="0.35">
      <c r="A3970" t="str">
        <f>+'[2]por cuent'!A3970</f>
        <v>USD</v>
      </c>
      <c r="B3970" t="str">
        <f>+'[2]por cuent'!B3970</f>
        <v>483000180</v>
      </c>
      <c r="C3970" t="str">
        <f>+'[2]por cuent'!C3970</f>
        <v>GRAMAGLIA, DIEGO ANDRES</v>
      </c>
      <c r="D3970" s="35">
        <f>+'[2]por cuent'!G3970</f>
        <v>2663.95</v>
      </c>
      <c r="E3970" s="35">
        <f>+'[2]por cuent'!H3970</f>
        <v>3984150.3409999995</v>
      </c>
      <c r="F3970" t="str">
        <f>+'[2]por cuent'!I3970</f>
        <v>483</v>
      </c>
    </row>
    <row r="3971" spans="1:6" x14ac:dyDescent="0.35">
      <c r="A3971" t="str">
        <f>+'[2]por cuent'!A3971</f>
        <v>USD</v>
      </c>
      <c r="B3971" t="str">
        <f>+'[2]por cuent'!B3971</f>
        <v>483000185</v>
      </c>
      <c r="C3971" t="str">
        <f>+'[2]por cuent'!C3971</f>
        <v>RUIZ, YAMIL MATIAS</v>
      </c>
      <c r="D3971" s="35">
        <f>+'[2]por cuent'!G3971</f>
        <v>120.89</v>
      </c>
      <c r="E3971" s="35">
        <f>+'[2]por cuent'!H3971</f>
        <v>180800.66619999998</v>
      </c>
      <c r="F3971" t="str">
        <f>+'[2]por cuent'!I3971</f>
        <v>483</v>
      </c>
    </row>
    <row r="3972" spans="1:6" x14ac:dyDescent="0.35">
      <c r="A3972" t="str">
        <f>+'[2]por cuent'!A3972</f>
        <v>USD</v>
      </c>
      <c r="B3972" t="str">
        <f>+'[2]por cuent'!B3972</f>
        <v>483000204</v>
      </c>
      <c r="C3972" t="str">
        <f>+'[2]por cuent'!C3972</f>
        <v>YBAÑEZ CARRARA, MARIA DEL ROCIO</v>
      </c>
      <c r="D3972" s="35">
        <f>+'[2]por cuent'!G3972</f>
        <v>45.82</v>
      </c>
      <c r="E3972" s="35">
        <f>+'[2]por cuent'!H3972</f>
        <v>68527.475599999991</v>
      </c>
      <c r="F3972" t="str">
        <f>+'[2]por cuent'!I3972</f>
        <v>483</v>
      </c>
    </row>
    <row r="3973" spans="1:6" x14ac:dyDescent="0.35">
      <c r="A3973" t="str">
        <f>+'[2]por cuent'!A3973</f>
        <v>USD</v>
      </c>
      <c r="B3973" t="str">
        <f>+'[2]por cuent'!B3973</f>
        <v>483000241</v>
      </c>
      <c r="C3973" t="str">
        <f>+'[2]por cuent'!C3973</f>
        <v>MENARA CORRALON SA</v>
      </c>
      <c r="D3973" s="35">
        <f>+'[2]por cuent'!G3973</f>
        <v>195998.96</v>
      </c>
      <c r="E3973" s="35">
        <f>+'[2]por cuent'!H3973</f>
        <v>293132124.59679997</v>
      </c>
      <c r="F3973" t="str">
        <f>+'[2]por cuent'!I3973</f>
        <v>483</v>
      </c>
    </row>
    <row r="3974" spans="1:6" x14ac:dyDescent="0.35">
      <c r="A3974" t="str">
        <f>+'[2]por cuent'!A3974</f>
        <v>USD</v>
      </c>
      <c r="B3974" t="str">
        <f>+'[2]por cuent'!B3974</f>
        <v>483000249</v>
      </c>
      <c r="C3974" t="str">
        <f>+'[2]por cuent'!C3974</f>
        <v>LEVI FEDERICO</v>
      </c>
      <c r="D3974" s="35">
        <f>+'[2]por cuent'!G3974</f>
        <v>3161.96</v>
      </c>
      <c r="E3974" s="35">
        <f>+'[2]por cuent'!H3974</f>
        <v>4728964.1367999995</v>
      </c>
      <c r="F3974" t="str">
        <f>+'[2]por cuent'!I3974</f>
        <v>483</v>
      </c>
    </row>
    <row r="3975" spans="1:6" x14ac:dyDescent="0.35">
      <c r="A3975" t="str">
        <f>+'[2]por cuent'!A3975</f>
        <v>USD</v>
      </c>
      <c r="B3975" t="str">
        <f>+'[2]por cuent'!B3975</f>
        <v>483000255</v>
      </c>
      <c r="C3975" t="str">
        <f>+'[2]por cuent'!C3975</f>
        <v>LLORENS CAROLINA ANALI</v>
      </c>
      <c r="D3975" s="35">
        <f>+'[2]por cuent'!G3975</f>
        <v>242.61</v>
      </c>
      <c r="E3975" s="35">
        <f>+'[2]por cuent'!H3975</f>
        <v>362842.66379999998</v>
      </c>
      <c r="F3975" t="str">
        <f>+'[2]por cuent'!I3975</f>
        <v>483</v>
      </c>
    </row>
    <row r="3976" spans="1:6" x14ac:dyDescent="0.35">
      <c r="A3976" t="str">
        <f>+'[2]por cuent'!A3976</f>
        <v>USD</v>
      </c>
      <c r="B3976" t="str">
        <f>+'[2]por cuent'!B3976</f>
        <v>483000264</v>
      </c>
      <c r="C3976" t="str">
        <f>+'[2]por cuent'!C3976</f>
        <v>IZAGUIRRE PILAR y VEROLO ECHARRI TOMÁS</v>
      </c>
      <c r="D3976" s="35">
        <f>+'[2]por cuent'!G3976</f>
        <v>185.15</v>
      </c>
      <c r="E3976" s="35">
        <f>+'[2]por cuent'!H3976</f>
        <v>276906.63699999999</v>
      </c>
      <c r="F3976" t="str">
        <f>+'[2]por cuent'!I3976</f>
        <v>483</v>
      </c>
    </row>
    <row r="3977" spans="1:6" x14ac:dyDescent="0.35">
      <c r="A3977" t="str">
        <f>+'[2]por cuent'!A3977</f>
        <v>USD</v>
      </c>
      <c r="B3977" t="str">
        <f>+'[2]por cuent'!B3977</f>
        <v>483000276</v>
      </c>
      <c r="C3977" t="str">
        <f>+'[2]por cuent'!C3977</f>
        <v xml:space="preserve">STORERO DIEGO </v>
      </c>
      <c r="D3977" s="35">
        <f>+'[2]por cuent'!G3977</f>
        <v>493.3</v>
      </c>
      <c r="E3977" s="35">
        <f>+'[2]por cuent'!H3977</f>
        <v>737769.61399999994</v>
      </c>
      <c r="F3977" t="str">
        <f>+'[2]por cuent'!I3977</f>
        <v>483</v>
      </c>
    </row>
    <row r="3978" spans="1:6" x14ac:dyDescent="0.35">
      <c r="A3978" t="str">
        <f>+'[2]por cuent'!A3978</f>
        <v>USD</v>
      </c>
      <c r="B3978" t="str">
        <f>+'[2]por cuent'!B3978</f>
        <v>483000286</v>
      </c>
      <c r="C3978" t="str">
        <f>+'[2]por cuent'!C3978</f>
        <v>GRAÑA, DAMIAN</v>
      </c>
      <c r="D3978" s="35">
        <f>+'[2]por cuent'!G3978</f>
        <v>82830.289999999994</v>
      </c>
      <c r="E3978" s="35">
        <f>+'[2]por cuent'!H3978</f>
        <v>123879325.11819999</v>
      </c>
      <c r="F3978" t="str">
        <f>+'[2]por cuent'!I3978</f>
        <v>483</v>
      </c>
    </row>
    <row r="3979" spans="1:6" x14ac:dyDescent="0.35">
      <c r="A3979" t="str">
        <f>+'[2]por cuent'!A3979</f>
        <v>USD</v>
      </c>
      <c r="B3979" t="str">
        <f>+'[2]por cuent'!B3979</f>
        <v>483000301</v>
      </c>
      <c r="C3979" t="str">
        <f>+'[2]por cuent'!C3979</f>
        <v>MOLINARI, OSCAR</v>
      </c>
      <c r="D3979" s="35">
        <f>+'[2]por cuent'!G3979</f>
        <v>2059.34</v>
      </c>
      <c r="E3979" s="35">
        <f>+'[2]por cuent'!H3979</f>
        <v>3079907.7171999998</v>
      </c>
      <c r="F3979" t="str">
        <f>+'[2]por cuent'!I3979</f>
        <v>483</v>
      </c>
    </row>
    <row r="3980" spans="1:6" x14ac:dyDescent="0.35">
      <c r="A3980" t="str">
        <f>+'[2]por cuent'!A3980</f>
        <v>USD</v>
      </c>
      <c r="B3980" t="str">
        <f>+'[2]por cuent'!B3980</f>
        <v>483000330</v>
      </c>
      <c r="C3980" t="str">
        <f>+'[2]por cuent'!C3980</f>
        <v>SEPULVEDA, DOMINGA NOEMI</v>
      </c>
      <c r="D3980" s="35">
        <f>+'[2]por cuent'!G3980</f>
        <v>2136.79</v>
      </c>
      <c r="E3980" s="35">
        <f>+'[2]por cuent'!H3980</f>
        <v>3195740.3881999999</v>
      </c>
      <c r="F3980" t="str">
        <f>+'[2]por cuent'!I3980</f>
        <v>483</v>
      </c>
    </row>
    <row r="3981" spans="1:6" x14ac:dyDescent="0.35">
      <c r="A3981" t="str">
        <f>+'[2]por cuent'!A3981</f>
        <v>USD</v>
      </c>
      <c r="B3981" t="str">
        <f>+'[2]por cuent'!B3981</f>
        <v>483000340</v>
      </c>
      <c r="C3981" t="str">
        <f>+'[2]por cuent'!C3981</f>
        <v>PELLONI, DANIEL EDUARDO</v>
      </c>
      <c r="D3981" s="35">
        <f>+'[2]por cuent'!G3981</f>
        <v>425.26</v>
      </c>
      <c r="E3981" s="35">
        <f>+'[2]por cuent'!H3981</f>
        <v>636010.3507999999</v>
      </c>
      <c r="F3981" t="str">
        <f>+'[2]por cuent'!I3981</f>
        <v>483</v>
      </c>
    </row>
    <row r="3982" spans="1:6" x14ac:dyDescent="0.35">
      <c r="A3982" t="str">
        <f>+'[2]por cuent'!A3982</f>
        <v>USD</v>
      </c>
      <c r="B3982" t="str">
        <f>+'[2]por cuent'!B3982</f>
        <v>483000347</v>
      </c>
      <c r="C3982" t="str">
        <f>+'[2]por cuent'!C3982</f>
        <v>YBAÑEZ CARRARA, IGNACIO MARTÍN</v>
      </c>
      <c r="D3982" s="35">
        <f>+'[2]por cuent'!G3982</f>
        <v>729</v>
      </c>
      <c r="E3982" s="35">
        <f>+'[2]por cuent'!H3982</f>
        <v>1090277.8199999998</v>
      </c>
      <c r="F3982" t="str">
        <f>+'[2]por cuent'!I3982</f>
        <v>483</v>
      </c>
    </row>
    <row r="3983" spans="1:6" x14ac:dyDescent="0.35">
      <c r="A3983" t="str">
        <f>+'[2]por cuent'!A3983</f>
        <v>USD</v>
      </c>
      <c r="B3983" t="str">
        <f>+'[2]por cuent'!B3983</f>
        <v>483000352</v>
      </c>
      <c r="C3983" t="str">
        <f>+'[2]por cuent'!C3983</f>
        <v>SEVERIN, MARCOS ESTEBAN</v>
      </c>
      <c r="D3983" s="35">
        <f>+'[2]por cuent'!G3983</f>
        <v>1853</v>
      </c>
      <c r="E3983" s="35">
        <f>+'[2]por cuent'!H3983</f>
        <v>2771309.7399999998</v>
      </c>
      <c r="F3983" t="str">
        <f>+'[2]por cuent'!I3983</f>
        <v>483</v>
      </c>
    </row>
    <row r="3984" spans="1:6" x14ac:dyDescent="0.35">
      <c r="A3984" t="str">
        <f>+'[2]por cuent'!A3984</f>
        <v>USD</v>
      </c>
      <c r="B3984" t="str">
        <f>+'[2]por cuent'!B3984</f>
        <v>483000358</v>
      </c>
      <c r="C3984" t="str">
        <f>+'[2]por cuent'!C3984</f>
        <v>COMINELLI, GERMÁN HECTOR</v>
      </c>
      <c r="D3984" s="35">
        <f>+'[2]por cuent'!G3984</f>
        <v>746.93</v>
      </c>
      <c r="E3984" s="35">
        <f>+'[2]por cuent'!H3984</f>
        <v>1117093.5693999999</v>
      </c>
      <c r="F3984" t="str">
        <f>+'[2]por cuent'!I3984</f>
        <v>483</v>
      </c>
    </row>
    <row r="3985" spans="1:6" x14ac:dyDescent="0.35">
      <c r="A3985" t="str">
        <f>+'[2]por cuent'!A3985</f>
        <v>USD</v>
      </c>
      <c r="B3985" t="str">
        <f>+'[2]por cuent'!B3985</f>
        <v>483000365</v>
      </c>
      <c r="C3985" t="str">
        <f>+'[2]por cuent'!C3985</f>
        <v>IZAGUIRRE, LUIS</v>
      </c>
      <c r="D3985" s="35">
        <f>+'[2]por cuent'!G3985</f>
        <v>4453.29</v>
      </c>
      <c r="E3985" s="35">
        <f>+'[2]por cuent'!H3985</f>
        <v>6660251.4581999993</v>
      </c>
      <c r="F3985" t="str">
        <f>+'[2]por cuent'!I3985</f>
        <v>483</v>
      </c>
    </row>
    <row r="3986" spans="1:6" x14ac:dyDescent="0.35">
      <c r="A3986" t="str">
        <f>+'[2]por cuent'!A3986</f>
        <v>USD</v>
      </c>
      <c r="B3986" t="str">
        <f>+'[2]por cuent'!B3986</f>
        <v>483000369</v>
      </c>
      <c r="C3986" t="str">
        <f>+'[2]por cuent'!C3986</f>
        <v>PATIÑO, HERNÁN LIONEL</v>
      </c>
      <c r="D3986" s="35">
        <f>+'[2]por cuent'!G3986</f>
        <v>92547.49</v>
      </c>
      <c r="E3986" s="35">
        <f>+'[2]por cuent'!H3986</f>
        <v>138412175.09420002</v>
      </c>
      <c r="F3986" t="str">
        <f>+'[2]por cuent'!I3986</f>
        <v>483</v>
      </c>
    </row>
    <row r="3987" spans="1:6" x14ac:dyDescent="0.35">
      <c r="A3987" t="str">
        <f>+'[2]por cuent'!A3987</f>
        <v>USD</v>
      </c>
      <c r="B3987" t="str">
        <f>+'[2]por cuent'!B3987</f>
        <v>483000372</v>
      </c>
      <c r="C3987" t="str">
        <f>+'[2]por cuent'!C3987</f>
        <v xml:space="preserve">YBAÑEZ MARTÍN </v>
      </c>
      <c r="D3987" s="35">
        <f>+'[2]por cuent'!G3987</f>
        <v>131.6</v>
      </c>
      <c r="E3987" s="35">
        <f>+'[2]por cuent'!H3987</f>
        <v>196818.32799999998</v>
      </c>
      <c r="F3987" t="str">
        <f>+'[2]por cuent'!I3987</f>
        <v>483</v>
      </c>
    </row>
    <row r="3988" spans="1:6" x14ac:dyDescent="0.35">
      <c r="A3988" t="str">
        <f>+'[2]por cuent'!A3988</f>
        <v>USD</v>
      </c>
      <c r="B3988" t="str">
        <f>+'[2]por cuent'!B3988</f>
        <v>483000402</v>
      </c>
      <c r="C3988" t="str">
        <f>+'[2]por cuent'!C3988</f>
        <v>WILLINER, RODOLFO JOSE</v>
      </c>
      <c r="D3988" s="35">
        <f>+'[2]por cuent'!G3988</f>
        <v>21060.99</v>
      </c>
      <c r="E3988" s="35">
        <f>+'[2]por cuent'!H3988</f>
        <v>31498395.424200002</v>
      </c>
      <c r="F3988" t="str">
        <f>+'[2]por cuent'!I3988</f>
        <v>483</v>
      </c>
    </row>
    <row r="3989" spans="1:6" x14ac:dyDescent="0.35">
      <c r="A3989" t="str">
        <f>+'[2]por cuent'!A3989</f>
        <v>USD</v>
      </c>
      <c r="B3989" t="str">
        <f>+'[2]por cuent'!B3989</f>
        <v>483000408</v>
      </c>
      <c r="C3989" t="str">
        <f>+'[2]por cuent'!C3989</f>
        <v>LÓPEZ, ELENA BEATRIZ</v>
      </c>
      <c r="D3989" s="35">
        <f>+'[2]por cuent'!G3989</f>
        <v>1000.02</v>
      </c>
      <c r="E3989" s="35">
        <f>+'[2]por cuent'!H3989</f>
        <v>1495609.9116</v>
      </c>
      <c r="F3989" t="str">
        <f>+'[2]por cuent'!I3989</f>
        <v>483</v>
      </c>
    </row>
    <row r="3990" spans="1:6" x14ac:dyDescent="0.35">
      <c r="A3990" t="str">
        <f>+'[2]por cuent'!A3990</f>
        <v>USD</v>
      </c>
      <c r="B3990" t="str">
        <f>+'[2]por cuent'!B3990</f>
        <v>483000419</v>
      </c>
      <c r="C3990" t="str">
        <f>+'[2]por cuent'!C3990</f>
        <v>MARTINEZ, MIGUEL GERARDO</v>
      </c>
      <c r="D3990" s="35">
        <f>+'[2]por cuent'!G3990</f>
        <v>890.84</v>
      </c>
      <c r="E3990" s="35">
        <f>+'[2]por cuent'!H3990</f>
        <v>1332322.4872000001</v>
      </c>
      <c r="F3990" t="str">
        <f>+'[2]por cuent'!I3990</f>
        <v>483</v>
      </c>
    </row>
    <row r="3991" spans="1:6" x14ac:dyDescent="0.35">
      <c r="A3991" t="str">
        <f>+'[2]por cuent'!A3991</f>
        <v>USD</v>
      </c>
      <c r="B3991" t="str">
        <f>+'[2]por cuent'!B3991</f>
        <v>483000434</v>
      </c>
      <c r="C3991" t="str">
        <f>+'[2]por cuent'!C3991</f>
        <v>COZACOV, SEBASTIAN</v>
      </c>
      <c r="D3991" s="35">
        <f>+'[2]por cuent'!G3991</f>
        <v>19785.79</v>
      </c>
      <c r="E3991" s="35">
        <f>+'[2]por cuent'!H3991</f>
        <v>29591231.808200002</v>
      </c>
      <c r="F3991" t="str">
        <f>+'[2]por cuent'!I3991</f>
        <v>483</v>
      </c>
    </row>
    <row r="3992" spans="1:6" x14ac:dyDescent="0.35">
      <c r="A3992" t="str">
        <f>+'[2]por cuent'!A3992</f>
        <v>USD</v>
      </c>
      <c r="B3992" t="str">
        <f>+'[2]por cuent'!B3992</f>
        <v>483005000</v>
      </c>
      <c r="C3992" t="str">
        <f>+'[2]por cuent'!C3992</f>
        <v>[C.E.R.A.] SANCHEZ, IVAN LUCAS</v>
      </c>
      <c r="D3992" s="35">
        <f>+'[2]por cuent'!G3992</f>
        <v>2016.68</v>
      </c>
      <c r="E3992" s="35">
        <f>+'[2]por cuent'!H3992</f>
        <v>3016106.2744</v>
      </c>
      <c r="F3992" t="str">
        <f>+'[2]por cuent'!I3992</f>
        <v>483</v>
      </c>
    </row>
    <row r="3993" spans="1:6" x14ac:dyDescent="0.35">
      <c r="A3993" t="str">
        <f>+'[2]por cuent'!A3993</f>
        <v>USD</v>
      </c>
      <c r="B3993" t="str">
        <f>+'[2]por cuent'!B3993</f>
        <v>483005001</v>
      </c>
      <c r="C3993" t="str">
        <f>+'[2]por cuent'!C3993</f>
        <v>[C.E.R.A.] SANCHEZ, DIEGO ALBERTO</v>
      </c>
      <c r="D3993" s="35">
        <f>+'[2]por cuent'!G3993</f>
        <v>3541.27</v>
      </c>
      <c r="E3993" s="35">
        <f>+'[2]por cuent'!H3993</f>
        <v>5296252.5866</v>
      </c>
      <c r="F3993" t="str">
        <f>+'[2]por cuent'!I3993</f>
        <v>483</v>
      </c>
    </row>
    <row r="3994" spans="1:6" x14ac:dyDescent="0.35">
      <c r="A3994" t="str">
        <f>+'[2]por cuent'!A3994</f>
        <v>USD</v>
      </c>
      <c r="B3994" t="str">
        <f>+'[2]por cuent'!B3994</f>
        <v>483005002</v>
      </c>
      <c r="C3994" t="str">
        <f>+'[2]por cuent'!C3994</f>
        <v>[C.E.R.A.] JUNTAS ILLINOIS S.A.</v>
      </c>
      <c r="D3994" s="35">
        <f>+'[2]por cuent'!G3994</f>
        <v>10536</v>
      </c>
      <c r="E3994" s="35">
        <f>+'[2]por cuent'!H3994</f>
        <v>15757430.879999999</v>
      </c>
      <c r="F3994" t="str">
        <f>+'[2]por cuent'!I3994</f>
        <v>483</v>
      </c>
    </row>
    <row r="3995" spans="1:6" x14ac:dyDescent="0.35">
      <c r="A3995" t="str">
        <f>+'[2]por cuent'!A3995</f>
        <v>USD</v>
      </c>
      <c r="B3995" t="str">
        <f>+'[2]por cuent'!B3995</f>
        <v>483005007</v>
      </c>
      <c r="C3995" t="str">
        <f>+'[2]por cuent'!C3995</f>
        <v>[C.E.R.A.] MEDINA, GERMAN ARIEL</v>
      </c>
      <c r="D3995" s="35">
        <f>+'[2]por cuent'!G3995</f>
        <v>9405.36</v>
      </c>
      <c r="E3995" s="35">
        <f>+'[2]por cuent'!H3995</f>
        <v>14066468.308800001</v>
      </c>
      <c r="F3995" t="str">
        <f>+'[2]por cuent'!I3995</f>
        <v>483</v>
      </c>
    </row>
    <row r="3996" spans="1:6" x14ac:dyDescent="0.35">
      <c r="A3996" t="str">
        <f>+'[2]por cuent'!A3996</f>
        <v>USD</v>
      </c>
      <c r="B3996" t="str">
        <f>+'[2]por cuent'!B3996</f>
        <v>483005008</v>
      </c>
      <c r="C3996" t="str">
        <f>+'[2]por cuent'!C3996</f>
        <v>[C.E.R.A.] COZACOV, NORBERTO</v>
      </c>
      <c r="D3996" s="35">
        <f>+'[2]por cuent'!G3996</f>
        <v>105.66</v>
      </c>
      <c r="E3996" s="35">
        <f>+'[2]por cuent'!H3996</f>
        <v>158022.9828</v>
      </c>
      <c r="F3996" t="str">
        <f>+'[2]por cuent'!I3996</f>
        <v>483</v>
      </c>
    </row>
    <row r="3997" spans="1:6" x14ac:dyDescent="0.35">
      <c r="A3997" t="str">
        <f>+'[2]por cuent'!A3997</f>
        <v>USD</v>
      </c>
      <c r="B3997" t="str">
        <f>+'[2]por cuent'!B3997</f>
        <v>483005009</v>
      </c>
      <c r="C3997" t="str">
        <f>+'[2]por cuent'!C3997</f>
        <v>[C.E.R.A.] ELVIO YBAÑEZ S.R.L.</v>
      </c>
      <c r="D3997" s="35">
        <f>+'[2]por cuent'!G3997</f>
        <v>14.37</v>
      </c>
      <c r="E3997" s="35">
        <f>+'[2]por cuent'!H3997</f>
        <v>21491.484599999996</v>
      </c>
      <c r="F3997" t="str">
        <f>+'[2]por cuent'!I3997</f>
        <v>483</v>
      </c>
    </row>
    <row r="3998" spans="1:6" x14ac:dyDescent="0.35">
      <c r="A3998" t="str">
        <f>+'[2]por cuent'!A3998</f>
        <v>USD</v>
      </c>
      <c r="B3998" t="str">
        <f>+'[2]por cuent'!B3998</f>
        <v>486000009</v>
      </c>
      <c r="C3998" t="str">
        <f>+'[2]por cuent'!C3998</f>
        <v>Chevallier Boutell, Joaquin o Brochard, Mariana</v>
      </c>
      <c r="D3998" s="35">
        <f>+'[2]por cuent'!G3998</f>
        <v>308135.07</v>
      </c>
      <c r="E3998" s="35">
        <f>+'[2]por cuent'!H3998</f>
        <v>460840647.99059999</v>
      </c>
      <c r="F3998" t="str">
        <f>+'[2]por cuent'!I3998</f>
        <v>486</v>
      </c>
    </row>
    <row r="3999" spans="1:6" x14ac:dyDescent="0.35">
      <c r="A3999" t="str">
        <f>+'[2]por cuent'!A3999</f>
        <v>USD</v>
      </c>
      <c r="B3999" t="str">
        <f>+'[2]por cuent'!B3999</f>
        <v>486000035</v>
      </c>
      <c r="C3999" t="str">
        <f>+'[2]por cuent'!C3999</f>
        <v>PUESTO LAS MULAS S.A</v>
      </c>
      <c r="D3999" s="35">
        <f>+'[2]por cuent'!G3999</f>
        <v>42112.959999999999</v>
      </c>
      <c r="E3999" s="35">
        <f>+'[2]por cuent'!H3999</f>
        <v>62983300.716799997</v>
      </c>
      <c r="F3999" t="str">
        <f>+'[2]por cuent'!I3999</f>
        <v>486</v>
      </c>
    </row>
    <row r="4000" spans="1:6" x14ac:dyDescent="0.35">
      <c r="A4000" t="str">
        <f>+'[2]por cuent'!A4000</f>
        <v>USD</v>
      </c>
      <c r="B4000" t="str">
        <f>+'[2]por cuent'!B4000</f>
        <v>486000036</v>
      </c>
      <c r="C4000" t="str">
        <f>+'[2]por cuent'!C4000</f>
        <v>Aguirre Holmberg, Delia Maria</v>
      </c>
      <c r="D4000" s="35">
        <f>+'[2]por cuent'!G4000</f>
        <v>5499.99</v>
      </c>
      <c r="E4000" s="35">
        <f>+'[2]por cuent'!H4000</f>
        <v>8225675.0441999994</v>
      </c>
      <c r="F4000" t="str">
        <f>+'[2]por cuent'!I4000</f>
        <v>486</v>
      </c>
    </row>
    <row r="4001" spans="1:6" x14ac:dyDescent="0.35">
      <c r="A4001" t="str">
        <f>+'[2]por cuent'!A4001</f>
        <v>USD</v>
      </c>
      <c r="B4001" t="str">
        <f>+'[2]por cuent'!B4001</f>
        <v>486000101</v>
      </c>
      <c r="C4001" t="str">
        <f>+'[2]por cuent'!C4001</f>
        <v>Belli, María Clara</v>
      </c>
      <c r="D4001" s="35">
        <f>+'[2]por cuent'!G4001</f>
        <v>1392.48</v>
      </c>
      <c r="E4001" s="35">
        <f>+'[2]por cuent'!H4001</f>
        <v>2082565.2383999999</v>
      </c>
      <c r="F4001" t="str">
        <f>+'[2]por cuent'!I4001</f>
        <v>486</v>
      </c>
    </row>
    <row r="4002" spans="1:6" x14ac:dyDescent="0.35">
      <c r="A4002" t="str">
        <f>+'[2]por cuent'!A4002</f>
        <v>USD</v>
      </c>
      <c r="B4002" t="str">
        <f>+'[2]por cuent'!B4002</f>
        <v>486000115</v>
      </c>
      <c r="C4002" t="str">
        <f>+'[2]por cuent'!C4002</f>
        <v>Vilariño, Federico Manuel</v>
      </c>
      <c r="D4002" s="35">
        <f>+'[2]por cuent'!G4002</f>
        <v>2588350.9500000002</v>
      </c>
      <c r="E4002" s="35">
        <f>+'[2]por cuent'!H4002</f>
        <v>3871085913.8010001</v>
      </c>
      <c r="F4002" t="str">
        <f>+'[2]por cuent'!I4002</f>
        <v>486</v>
      </c>
    </row>
    <row r="4003" spans="1:6" x14ac:dyDescent="0.35">
      <c r="A4003" t="str">
        <f>+'[2]por cuent'!A4003</f>
        <v>USD</v>
      </c>
      <c r="B4003" t="str">
        <f>+'[2]por cuent'!B4003</f>
        <v>486000124</v>
      </c>
      <c r="C4003" t="str">
        <f>+'[2]por cuent'!C4003</f>
        <v>Vilariño, Matias</v>
      </c>
      <c r="D4003" s="35">
        <f>+'[2]por cuent'!G4003</f>
        <v>375932.81</v>
      </c>
      <c r="E4003" s="35">
        <f>+'[2]por cuent'!H4003</f>
        <v>562237591.97979999</v>
      </c>
      <c r="F4003" t="str">
        <f>+'[2]por cuent'!I4003</f>
        <v>486</v>
      </c>
    </row>
    <row r="4004" spans="1:6" x14ac:dyDescent="0.35">
      <c r="A4004" t="str">
        <f>+'[2]por cuent'!A4004</f>
        <v>USD</v>
      </c>
      <c r="B4004" t="str">
        <f>+'[2]por cuent'!B4004</f>
        <v>486000128</v>
      </c>
      <c r="C4004" t="str">
        <f>+'[2]por cuent'!C4004</f>
        <v>Vilariño, Federico</v>
      </c>
      <c r="D4004" s="35">
        <f>+'[2]por cuent'!G4004</f>
        <v>966191.98</v>
      </c>
      <c r="E4004" s="35">
        <f>+'[2]por cuent'!H4004</f>
        <v>1445017401.4484</v>
      </c>
      <c r="F4004" t="str">
        <f>+'[2]por cuent'!I4004</f>
        <v>486</v>
      </c>
    </row>
    <row r="4005" spans="1:6" x14ac:dyDescent="0.35">
      <c r="A4005" t="str">
        <f>+'[2]por cuent'!A4005</f>
        <v>USD</v>
      </c>
      <c r="B4005" t="str">
        <f>+'[2]por cuent'!B4005</f>
        <v>486000129</v>
      </c>
      <c r="C4005" t="str">
        <f>+'[2]por cuent'!C4005</f>
        <v>Vilariño, Juan Cruz</v>
      </c>
      <c r="D4005" s="35">
        <f>+'[2]por cuent'!G4005</f>
        <v>79465.649999999994</v>
      </c>
      <c r="E4005" s="35">
        <f>+'[2]por cuent'!H4005</f>
        <v>118847236.82699999</v>
      </c>
      <c r="F4005" t="str">
        <f>+'[2]por cuent'!I4005</f>
        <v>486</v>
      </c>
    </row>
    <row r="4006" spans="1:6" x14ac:dyDescent="0.35">
      <c r="A4006" t="str">
        <f>+'[2]por cuent'!A4006</f>
        <v>USD</v>
      </c>
      <c r="B4006" t="str">
        <f>+'[2]por cuent'!B4006</f>
        <v>486000148</v>
      </c>
      <c r="C4006" t="str">
        <f>+'[2]por cuent'!C4006</f>
        <v>Moreiro, Joaquin</v>
      </c>
      <c r="D4006" s="35">
        <f>+'[2]por cuent'!G4006</f>
        <v>1202.25</v>
      </c>
      <c r="E4006" s="35">
        <f>+'[2]por cuent'!H4006</f>
        <v>1798061.0549999999</v>
      </c>
      <c r="F4006" t="str">
        <f>+'[2]por cuent'!I4006</f>
        <v>486</v>
      </c>
    </row>
    <row r="4007" spans="1:6" x14ac:dyDescent="0.35">
      <c r="A4007" t="str">
        <f>+'[2]por cuent'!A4007</f>
        <v>USD</v>
      </c>
      <c r="B4007" t="str">
        <f>+'[2]por cuent'!B4007</f>
        <v>486000149</v>
      </c>
      <c r="C4007" t="str">
        <f>+'[2]por cuent'!C4007</f>
        <v>Grinda, Ignacio</v>
      </c>
      <c r="D4007" s="35">
        <f>+'[2]por cuent'!G4007</f>
        <v>11798.19</v>
      </c>
      <c r="E4007" s="35">
        <f>+'[2]por cuent'!H4007</f>
        <v>17645137.0002</v>
      </c>
      <c r="F4007" t="str">
        <f>+'[2]por cuent'!I4007</f>
        <v>486</v>
      </c>
    </row>
    <row r="4008" spans="1:6" x14ac:dyDescent="0.35">
      <c r="A4008" t="str">
        <f>+'[2]por cuent'!A4008</f>
        <v>USD</v>
      </c>
      <c r="B4008" t="str">
        <f>+'[2]por cuent'!B4008</f>
        <v>486000154</v>
      </c>
      <c r="C4008" t="str">
        <f>+'[2]por cuent'!C4008</f>
        <v xml:space="preserve">Lorenzo, Martin Angel </v>
      </c>
      <c r="D4008" s="35">
        <f>+'[2]por cuent'!G4008</f>
        <v>398.77</v>
      </c>
      <c r="E4008" s="35">
        <f>+'[2]por cuent'!H4008</f>
        <v>596392.4365999999</v>
      </c>
      <c r="F4008" t="str">
        <f>+'[2]por cuent'!I4008</f>
        <v>486</v>
      </c>
    </row>
    <row r="4009" spans="1:6" x14ac:dyDescent="0.35">
      <c r="A4009" t="str">
        <f>+'[2]por cuent'!A4009</f>
        <v>USD</v>
      </c>
      <c r="B4009" t="str">
        <f>+'[2]por cuent'!B4009</f>
        <v>486000166</v>
      </c>
      <c r="C4009" t="str">
        <f>+'[2]por cuent'!C4009</f>
        <v>Doreski , Diego</v>
      </c>
      <c r="D4009" s="35">
        <f>+'[2]por cuent'!G4009</f>
        <v>16000.31</v>
      </c>
      <c r="E4009" s="35">
        <f>+'[2]por cuent'!H4009</f>
        <v>23929743.629799999</v>
      </c>
      <c r="F4009" t="str">
        <f>+'[2]por cuent'!I4009</f>
        <v>486</v>
      </c>
    </row>
    <row r="4010" spans="1:6" x14ac:dyDescent="0.35">
      <c r="A4010" t="str">
        <f>+'[2]por cuent'!A4010</f>
        <v>USD</v>
      </c>
      <c r="B4010" t="str">
        <f>+'[2]por cuent'!B4010</f>
        <v>486000200</v>
      </c>
      <c r="C4010" t="str">
        <f>+'[2]por cuent'!C4010</f>
        <v>Marque, Joaquín Enrique TRADING</v>
      </c>
      <c r="D4010" s="35">
        <f>+'[2]por cuent'!G4010</f>
        <v>4788463.22</v>
      </c>
      <c r="E4010" s="35">
        <f>+'[2]por cuent'!H4010</f>
        <v>7161529822.5675993</v>
      </c>
      <c r="F4010" t="str">
        <f>+'[2]por cuent'!I4010</f>
        <v>486</v>
      </c>
    </row>
    <row r="4011" spans="1:6" x14ac:dyDescent="0.35">
      <c r="A4011" t="str">
        <f>+'[2]por cuent'!A4011</f>
        <v>USD</v>
      </c>
      <c r="B4011" t="str">
        <f>+'[2]por cuent'!B4011</f>
        <v>486000234</v>
      </c>
      <c r="C4011" t="str">
        <f>+'[2]por cuent'!C4011</f>
        <v>Forchiassin, Mario Rubén</v>
      </c>
      <c r="D4011" s="35">
        <f>+'[2]por cuent'!G4011</f>
        <v>77048.42</v>
      </c>
      <c r="E4011" s="35">
        <f>+'[2]por cuent'!H4011</f>
        <v>115232075.98359999</v>
      </c>
      <c r="F4011" t="str">
        <f>+'[2]por cuent'!I4011</f>
        <v>486</v>
      </c>
    </row>
    <row r="4012" spans="1:6" x14ac:dyDescent="0.35">
      <c r="A4012" t="str">
        <f>+'[2]por cuent'!A4012</f>
        <v>USD</v>
      </c>
      <c r="B4012" t="str">
        <f>+'[2]por cuent'!B4012</f>
        <v>486000237</v>
      </c>
      <c r="C4012" t="str">
        <f>+'[2]por cuent'!C4012</f>
        <v>Uriburu, María Inés</v>
      </c>
      <c r="D4012" s="35">
        <f>+'[2]por cuent'!G4012</f>
        <v>3099.57</v>
      </c>
      <c r="E4012" s="35">
        <f>+'[2]por cuent'!H4012</f>
        <v>4635654.9006000003</v>
      </c>
      <c r="F4012" t="str">
        <f>+'[2]por cuent'!I4012</f>
        <v>486</v>
      </c>
    </row>
    <row r="4013" spans="1:6" x14ac:dyDescent="0.35">
      <c r="A4013" t="str">
        <f>+'[2]por cuent'!A4013</f>
        <v>USD</v>
      </c>
      <c r="B4013" t="str">
        <f>+'[2]por cuent'!B4013</f>
        <v>486000244</v>
      </c>
      <c r="C4013" t="str">
        <f>+'[2]por cuent'!C4013</f>
        <v>Rentero, Sergio Damián</v>
      </c>
      <c r="D4013" s="35">
        <f>+'[2]por cuent'!G4013</f>
        <v>1499.12</v>
      </c>
      <c r="E4013" s="35">
        <f>+'[2]por cuent'!H4013</f>
        <v>2242053.8895999999</v>
      </c>
      <c r="F4013" t="str">
        <f>+'[2]por cuent'!I4013</f>
        <v>486</v>
      </c>
    </row>
    <row r="4014" spans="1:6" x14ac:dyDescent="0.35">
      <c r="A4014" t="str">
        <f>+'[2]por cuent'!A4014</f>
        <v>USD</v>
      </c>
      <c r="B4014" t="str">
        <f>+'[2]por cuent'!B4014</f>
        <v>486000254</v>
      </c>
      <c r="C4014" t="str">
        <f>+'[2]por cuent'!C4014</f>
        <v>Holmberg, Delia Ernestina</v>
      </c>
      <c r="D4014" s="35">
        <f>+'[2]por cuent'!G4014</f>
        <v>4499.21</v>
      </c>
      <c r="E4014" s="35">
        <f>+'[2]por cuent'!H4014</f>
        <v>6728928.4918</v>
      </c>
      <c r="F4014" t="str">
        <f>+'[2]por cuent'!I4014</f>
        <v>486</v>
      </c>
    </row>
    <row r="4015" spans="1:6" x14ac:dyDescent="0.35">
      <c r="A4015" t="str">
        <f>+'[2]por cuent'!A4015</f>
        <v>USD</v>
      </c>
      <c r="B4015" t="str">
        <f>+'[2]por cuent'!B4015</f>
        <v>486000260</v>
      </c>
      <c r="C4015" t="str">
        <f>+'[2]por cuent'!C4015</f>
        <v>Steverlynck, María Sofía</v>
      </c>
      <c r="D4015" s="35">
        <f>+'[2]por cuent'!G4015</f>
        <v>1792209.01</v>
      </c>
      <c r="E4015" s="35">
        <f>+'[2]por cuent'!H4015</f>
        <v>2680391951.1757998</v>
      </c>
      <c r="F4015" t="str">
        <f>+'[2]por cuent'!I4015</f>
        <v>486</v>
      </c>
    </row>
    <row r="4016" spans="1:6" x14ac:dyDescent="0.35">
      <c r="A4016" t="str">
        <f>+'[2]por cuent'!A4016</f>
        <v>USD</v>
      </c>
      <c r="B4016" t="str">
        <f>+'[2]por cuent'!B4016</f>
        <v>486000262</v>
      </c>
      <c r="C4016" t="str">
        <f>+'[2]por cuent'!C4016</f>
        <v>Massollo, Anabella Bettina</v>
      </c>
      <c r="D4016" s="35">
        <f>+'[2]por cuent'!G4016</f>
        <v>1727.83</v>
      </c>
      <c r="E4016" s="35">
        <f>+'[2]por cuent'!H4016</f>
        <v>2584107.9913999997</v>
      </c>
      <c r="F4016" t="str">
        <f>+'[2]por cuent'!I4016</f>
        <v>486</v>
      </c>
    </row>
    <row r="4017" spans="1:6" x14ac:dyDescent="0.35">
      <c r="A4017" t="str">
        <f>+'[2]por cuent'!A4017</f>
        <v>USD</v>
      </c>
      <c r="B4017" t="str">
        <f>+'[2]por cuent'!B4017</f>
        <v>486000268</v>
      </c>
      <c r="C4017" t="str">
        <f>+'[2]por cuent'!C4017</f>
        <v>Robles, Maria Paula</v>
      </c>
      <c r="D4017" s="35">
        <f>+'[2]por cuent'!G4017</f>
        <v>15344.37</v>
      </c>
      <c r="E4017" s="35">
        <f>+'[2]por cuent'!H4017</f>
        <v>22948732.884599999</v>
      </c>
      <c r="F4017" t="str">
        <f>+'[2]por cuent'!I4017</f>
        <v>486</v>
      </c>
    </row>
    <row r="4018" spans="1:6" x14ac:dyDescent="0.35">
      <c r="A4018" t="str">
        <f>+'[2]por cuent'!A4018</f>
        <v>USD</v>
      </c>
      <c r="B4018" t="str">
        <f>+'[2]por cuent'!B4018</f>
        <v>486000269</v>
      </c>
      <c r="C4018" t="str">
        <f>+'[2]por cuent'!C4018</f>
        <v>Vilariño, Agustín</v>
      </c>
      <c r="D4018" s="35">
        <f>+'[2]por cuent'!G4018</f>
        <v>1204.5</v>
      </c>
      <c r="E4018" s="35">
        <f>+'[2]por cuent'!H4018</f>
        <v>1801426.1099999999</v>
      </c>
      <c r="F4018" t="str">
        <f>+'[2]por cuent'!I4018</f>
        <v>486</v>
      </c>
    </row>
    <row r="4019" spans="1:6" x14ac:dyDescent="0.35">
      <c r="A4019" t="str">
        <f>+'[2]por cuent'!A4019</f>
        <v>USD</v>
      </c>
      <c r="B4019" t="str">
        <f>+'[2]por cuent'!B4019</f>
        <v>486000272</v>
      </c>
      <c r="C4019" t="str">
        <f>+'[2]por cuent'!C4019</f>
        <v>Jaeger, Francisco</v>
      </c>
      <c r="D4019" s="35">
        <f>+'[2]por cuent'!G4019</f>
        <v>32480.02</v>
      </c>
      <c r="E4019" s="35">
        <f>+'[2]por cuent'!H4019</f>
        <v>48576468.3116</v>
      </c>
      <c r="F4019" t="str">
        <f>+'[2]por cuent'!I4019</f>
        <v>486</v>
      </c>
    </row>
    <row r="4020" spans="1:6" x14ac:dyDescent="0.35">
      <c r="A4020" t="str">
        <f>+'[2]por cuent'!A4020</f>
        <v>USD</v>
      </c>
      <c r="B4020" t="str">
        <f>+'[2]por cuent'!B4020</f>
        <v>486000276</v>
      </c>
      <c r="C4020" t="str">
        <f>+'[2]por cuent'!C4020</f>
        <v xml:space="preserve">Marque, Maria Carolina </v>
      </c>
      <c r="D4020" s="35">
        <f>+'[2]por cuent'!G4020</f>
        <v>349.22</v>
      </c>
      <c r="E4020" s="35">
        <f>+'[2]por cuent'!H4020</f>
        <v>522286.44760000001</v>
      </c>
      <c r="F4020" t="str">
        <f>+'[2]por cuent'!I4020</f>
        <v>486</v>
      </c>
    </row>
    <row r="4021" spans="1:6" x14ac:dyDescent="0.35">
      <c r="A4021" t="str">
        <f>+'[2]por cuent'!A4021</f>
        <v>USD</v>
      </c>
      <c r="B4021" t="str">
        <f>+'[2]por cuent'!B4021</f>
        <v>486000286</v>
      </c>
      <c r="C4021" t="str">
        <f>+'[2]por cuent'!C4021</f>
        <v>Catalan, Matias Ezequiel</v>
      </c>
      <c r="D4021" s="35">
        <f>+'[2]por cuent'!G4021</f>
        <v>83803.02</v>
      </c>
      <c r="E4021" s="35">
        <f>+'[2]por cuent'!H4021</f>
        <v>125334120.6516</v>
      </c>
      <c r="F4021" t="str">
        <f>+'[2]por cuent'!I4021</f>
        <v>486</v>
      </c>
    </row>
    <row r="4022" spans="1:6" x14ac:dyDescent="0.35">
      <c r="A4022" t="str">
        <f>+'[2]por cuent'!A4022</f>
        <v>USD</v>
      </c>
      <c r="B4022" t="str">
        <f>+'[2]por cuent'!B4022</f>
        <v>486000302</v>
      </c>
      <c r="C4022" t="str">
        <f>+'[2]por cuent'!C4022</f>
        <v>CLOUDGAIA S.R.L</v>
      </c>
      <c r="D4022" s="35">
        <f>+'[2]por cuent'!G4022</f>
        <v>44715.56</v>
      </c>
      <c r="E4022" s="35">
        <f>+'[2]por cuent'!H4022</f>
        <v>66875697.224799991</v>
      </c>
      <c r="F4022" t="str">
        <f>+'[2]por cuent'!I4022</f>
        <v>486</v>
      </c>
    </row>
    <row r="4023" spans="1:6" x14ac:dyDescent="0.35">
      <c r="A4023" t="str">
        <f>+'[2]por cuent'!A4023</f>
        <v>USD</v>
      </c>
      <c r="B4023" t="str">
        <f>+'[2]por cuent'!B4023</f>
        <v>486000359</v>
      </c>
      <c r="C4023" t="str">
        <f>+'[2]por cuent'!C4023</f>
        <v>TIMON CAPITAL S.A.</v>
      </c>
      <c r="D4023" s="35">
        <f>+'[2]por cuent'!G4023</f>
        <v>763518.26</v>
      </c>
      <c r="E4023" s="35">
        <f>+'[2]por cuent'!H4023</f>
        <v>1141902639.2907999</v>
      </c>
      <c r="F4023" t="str">
        <f>+'[2]por cuent'!I4023</f>
        <v>486</v>
      </c>
    </row>
    <row r="4024" spans="1:6" x14ac:dyDescent="0.35">
      <c r="A4024" t="str">
        <f>+'[2]por cuent'!A4024</f>
        <v>USD</v>
      </c>
      <c r="B4024" t="str">
        <f>+'[2]por cuent'!B4024</f>
        <v>486000366</v>
      </c>
      <c r="C4024" t="str">
        <f>+'[2]por cuent'!C4024</f>
        <v>Reliance Export S.A</v>
      </c>
      <c r="D4024" s="35">
        <f>+'[2]por cuent'!G4024</f>
        <v>122729.54</v>
      </c>
      <c r="E4024" s="35">
        <f>+'[2]por cuent'!H4024</f>
        <v>183551845.43319997</v>
      </c>
      <c r="F4024" t="str">
        <f>+'[2]por cuent'!I4024</f>
        <v>486</v>
      </c>
    </row>
    <row r="4025" spans="1:6" x14ac:dyDescent="0.35">
      <c r="A4025" t="str">
        <f>+'[2]por cuent'!A4025</f>
        <v>USD</v>
      </c>
      <c r="B4025" t="str">
        <f>+'[2]por cuent'!B4025</f>
        <v>486000369</v>
      </c>
      <c r="C4025" t="str">
        <f>+'[2]por cuent'!C4025</f>
        <v>SUCESIÓN ALBERTO S. ARECO S.A.</v>
      </c>
      <c r="D4025" s="35">
        <f>+'[2]por cuent'!G4025</f>
        <v>151381.71</v>
      </c>
      <c r="E4025" s="35">
        <f>+'[2]por cuent'!H4025</f>
        <v>226403457.84179997</v>
      </c>
      <c r="F4025" t="str">
        <f>+'[2]por cuent'!I4025</f>
        <v>486</v>
      </c>
    </row>
    <row r="4026" spans="1:6" x14ac:dyDescent="0.35">
      <c r="A4026" t="str">
        <f>+'[2]por cuent'!A4026</f>
        <v>USD</v>
      </c>
      <c r="B4026" t="str">
        <f>+'[2]por cuent'!B4026</f>
        <v>486000373</v>
      </c>
      <c r="C4026" t="str">
        <f>+'[2]por cuent'!C4026</f>
        <v>La Bebina SRL</v>
      </c>
      <c r="D4026" s="35">
        <f>+'[2]por cuent'!G4026</f>
        <v>12511.64</v>
      </c>
      <c r="E4026" s="35">
        <f>+'[2]por cuent'!H4026</f>
        <v>18712158.551199999</v>
      </c>
      <c r="F4026" t="str">
        <f>+'[2]por cuent'!I4026</f>
        <v>486</v>
      </c>
    </row>
    <row r="4027" spans="1:6" x14ac:dyDescent="0.35">
      <c r="A4027" t="str">
        <f>+'[2]por cuent'!A4027</f>
        <v>USD</v>
      </c>
      <c r="B4027" t="str">
        <f>+'[2]por cuent'!B4027</f>
        <v>486000386</v>
      </c>
      <c r="C4027" t="str">
        <f>+'[2]por cuent'!C4027</f>
        <v>Timbo S.A</v>
      </c>
      <c r="D4027" s="35">
        <f>+'[2]por cuent'!G4027</f>
        <v>5249.97</v>
      </c>
      <c r="E4027" s="35">
        <f>+'[2]por cuent'!H4027</f>
        <v>7851750.1326000001</v>
      </c>
      <c r="F4027" t="str">
        <f>+'[2]por cuent'!I4027</f>
        <v>486</v>
      </c>
    </row>
    <row r="4028" spans="1:6" x14ac:dyDescent="0.35">
      <c r="A4028" t="str">
        <f>+'[2]por cuent'!A4028</f>
        <v>USD</v>
      </c>
      <c r="B4028" t="str">
        <f>+'[2]por cuent'!B4028</f>
        <v>486000390</v>
      </c>
      <c r="C4028" t="str">
        <f>+'[2]por cuent'!C4028</f>
        <v>La Precesion S.A.U</v>
      </c>
      <c r="D4028" s="35">
        <f>+'[2]por cuent'!G4028</f>
        <v>31930.68</v>
      </c>
      <c r="E4028" s="35">
        <f>+'[2]por cuent'!H4028</f>
        <v>47754886.394400001</v>
      </c>
      <c r="F4028" t="str">
        <f>+'[2]por cuent'!I4028</f>
        <v>486</v>
      </c>
    </row>
    <row r="4029" spans="1:6" x14ac:dyDescent="0.35">
      <c r="A4029" t="str">
        <f>+'[2]por cuent'!A4029</f>
        <v>USD</v>
      </c>
      <c r="B4029" t="str">
        <f>+'[2]por cuent'!B4029</f>
        <v>486000396</v>
      </c>
      <c r="C4029" t="str">
        <f>+'[2]por cuent'!C4029</f>
        <v>Cabildo BLVD S.A</v>
      </c>
      <c r="D4029" s="35">
        <f>+'[2]por cuent'!G4029</f>
        <v>54000.05</v>
      </c>
      <c r="E4029" s="35">
        <f>+'[2]por cuent'!H4029</f>
        <v>80761394.778999999</v>
      </c>
      <c r="F4029" t="str">
        <f>+'[2]por cuent'!I4029</f>
        <v>486</v>
      </c>
    </row>
    <row r="4030" spans="1:6" x14ac:dyDescent="0.35">
      <c r="A4030" t="str">
        <f>+'[2]por cuent'!A4030</f>
        <v>USD</v>
      </c>
      <c r="B4030" t="str">
        <f>+'[2]por cuent'!B4030</f>
        <v>486000444</v>
      </c>
      <c r="C4030" t="str">
        <f>+'[2]por cuent'!C4030</f>
        <v>Garbino, Maria Agustina</v>
      </c>
      <c r="D4030" s="35">
        <f>+'[2]por cuent'!G4030</f>
        <v>1473.94</v>
      </c>
      <c r="E4030" s="35">
        <f>+'[2]por cuent'!H4030</f>
        <v>2204395.1852000002</v>
      </c>
      <c r="F4030" t="str">
        <f>+'[2]por cuent'!I4030</f>
        <v>486</v>
      </c>
    </row>
    <row r="4031" spans="1:6" x14ac:dyDescent="0.35">
      <c r="A4031" t="str">
        <f>+'[2]por cuent'!A4031</f>
        <v>USD</v>
      </c>
      <c r="B4031" t="str">
        <f>+'[2]por cuent'!B4031</f>
        <v>486000448</v>
      </c>
      <c r="C4031" t="str">
        <f>+'[2]por cuent'!C4031</f>
        <v>Sabate, Juan Francisco</v>
      </c>
      <c r="D4031" s="35">
        <f>+'[2]por cuent'!G4031</f>
        <v>12994.74</v>
      </c>
      <c r="E4031" s="35">
        <f>+'[2]por cuent'!H4031</f>
        <v>19434673.249199998</v>
      </c>
      <c r="F4031" t="str">
        <f>+'[2]por cuent'!I4031</f>
        <v>486</v>
      </c>
    </row>
    <row r="4032" spans="1:6" x14ac:dyDescent="0.35">
      <c r="A4032" t="str">
        <f>+'[2]por cuent'!A4032</f>
        <v>USD</v>
      </c>
      <c r="B4032" t="str">
        <f>+'[2]por cuent'!B4032</f>
        <v>486000455</v>
      </c>
      <c r="C4032" t="str">
        <f>+'[2]por cuent'!C4032</f>
        <v>Garcia Irizar, Servanda &amp; Maximo De La Vega</v>
      </c>
      <c r="D4032" s="35">
        <f>+'[2]por cuent'!G4032</f>
        <v>31.77</v>
      </c>
      <c r="E4032" s="35">
        <f>+'[2]por cuent'!H4032</f>
        <v>47514.5766</v>
      </c>
      <c r="F4032" t="str">
        <f>+'[2]por cuent'!I4032</f>
        <v>486</v>
      </c>
    </row>
    <row r="4033" spans="1:6" x14ac:dyDescent="0.35">
      <c r="A4033" t="str">
        <f>+'[2]por cuent'!A4033</f>
        <v>USD</v>
      </c>
      <c r="B4033" t="str">
        <f>+'[2]por cuent'!B4033</f>
        <v>486000469</v>
      </c>
      <c r="C4033" t="str">
        <f>+'[2]por cuent'!C4033</f>
        <v>Lavezzi, Ezequiel Ivan</v>
      </c>
      <c r="D4033" s="35">
        <f>+'[2]por cuent'!G4033</f>
        <v>199998.95</v>
      </c>
      <c r="E4033" s="35">
        <f>+'[2]por cuent'!H4033</f>
        <v>299114429.64100003</v>
      </c>
      <c r="F4033" t="str">
        <f>+'[2]por cuent'!I4033</f>
        <v>486</v>
      </c>
    </row>
    <row r="4034" spans="1:6" x14ac:dyDescent="0.35">
      <c r="A4034" t="str">
        <f>+'[2]por cuent'!A4034</f>
        <v>USD</v>
      </c>
      <c r="B4034" t="str">
        <f>+'[2]por cuent'!B4034</f>
        <v>486000482</v>
      </c>
      <c r="C4034" t="str">
        <f>+'[2]por cuent'!C4034</f>
        <v>Olaizola, Bautista</v>
      </c>
      <c r="D4034" s="35">
        <f>+'[2]por cuent'!G4034</f>
        <v>45195.24</v>
      </c>
      <c r="E4034" s="35">
        <f>+'[2]por cuent'!H4034</f>
        <v>67593097.039199993</v>
      </c>
      <c r="F4034" t="str">
        <f>+'[2]por cuent'!I4034</f>
        <v>486</v>
      </c>
    </row>
    <row r="4035" spans="1:6" x14ac:dyDescent="0.35">
      <c r="A4035" t="str">
        <f>+'[2]por cuent'!A4035</f>
        <v>USD</v>
      </c>
      <c r="B4035" t="str">
        <f>+'[2]por cuent'!B4035</f>
        <v>486000491</v>
      </c>
      <c r="C4035" t="str">
        <f>+'[2]por cuent'!C4035</f>
        <v>Padula Iglesias, Andres</v>
      </c>
      <c r="D4035" s="35">
        <f>+'[2]por cuent'!G4035</f>
        <v>25.41</v>
      </c>
      <c r="E4035" s="35">
        <f>+'[2]por cuent'!H4035</f>
        <v>38002.6878</v>
      </c>
      <c r="F4035" t="str">
        <f>+'[2]por cuent'!I4035</f>
        <v>486</v>
      </c>
    </row>
    <row r="4036" spans="1:6" x14ac:dyDescent="0.35">
      <c r="A4036" t="str">
        <f>+'[2]por cuent'!A4036</f>
        <v>USD</v>
      </c>
      <c r="B4036" t="str">
        <f>+'[2]por cuent'!B4036</f>
        <v>486000493</v>
      </c>
      <c r="C4036" t="str">
        <f>+'[2]por cuent'!C4036</f>
        <v>Iglesias Gangoso, Maria Teresa</v>
      </c>
      <c r="D4036" s="35">
        <f>+'[2]por cuent'!G4036</f>
        <v>68.69</v>
      </c>
      <c r="E4036" s="35">
        <f>+'[2]por cuent'!H4036</f>
        <v>102731.39019999999</v>
      </c>
      <c r="F4036" t="str">
        <f>+'[2]por cuent'!I4036</f>
        <v>486</v>
      </c>
    </row>
    <row r="4037" spans="1:6" x14ac:dyDescent="0.35">
      <c r="A4037" t="str">
        <f>+'[2]por cuent'!A4037</f>
        <v>USD</v>
      </c>
      <c r="B4037" t="str">
        <f>+'[2]por cuent'!B4037</f>
        <v>486000498</v>
      </c>
      <c r="C4037" t="str">
        <f>+'[2]por cuent'!C4037</f>
        <v xml:space="preserve">Fernandez Arancibia, Martin &amp; Bru, Maria &amp; Fernandez Arancibia Macarena </v>
      </c>
      <c r="D4037" s="35">
        <f>+'[2]por cuent'!G4037</f>
        <v>5999.56</v>
      </c>
      <c r="E4037" s="35">
        <f>+'[2]por cuent'!H4037</f>
        <v>8972821.9448000006</v>
      </c>
      <c r="F4037" t="str">
        <f>+'[2]por cuent'!I4037</f>
        <v>486</v>
      </c>
    </row>
    <row r="4038" spans="1:6" x14ac:dyDescent="0.35">
      <c r="A4038" t="str">
        <f>+'[2]por cuent'!A4038</f>
        <v>USD</v>
      </c>
      <c r="B4038" t="str">
        <f>+'[2]por cuent'!B4038</f>
        <v>486000504</v>
      </c>
      <c r="C4038" t="str">
        <f>+'[2]por cuent'!C4038</f>
        <v>Mosquera, Francisco</v>
      </c>
      <c r="D4038" s="35">
        <f>+'[2]por cuent'!G4038</f>
        <v>39.520000000000003</v>
      </c>
      <c r="E4038" s="35">
        <f>+'[2]por cuent'!H4038</f>
        <v>59105.321600000003</v>
      </c>
      <c r="F4038" t="str">
        <f>+'[2]por cuent'!I4038</f>
        <v>486</v>
      </c>
    </row>
    <row r="4039" spans="1:6" x14ac:dyDescent="0.35">
      <c r="A4039" t="str">
        <f>+'[2]por cuent'!A4039</f>
        <v>USD</v>
      </c>
      <c r="B4039" t="str">
        <f>+'[2]por cuent'!B4039</f>
        <v>486000510</v>
      </c>
      <c r="C4039" t="str">
        <f>+'[2]por cuent'!C4039</f>
        <v>Waites, Nicole Samantha</v>
      </c>
      <c r="D4039" s="35">
        <f>+'[2]por cuent'!G4039</f>
        <v>15152.63</v>
      </c>
      <c r="E4039" s="35">
        <f>+'[2]por cuent'!H4039</f>
        <v>22661970.375399999</v>
      </c>
      <c r="F4039" t="str">
        <f>+'[2]por cuent'!I4039</f>
        <v>486</v>
      </c>
    </row>
    <row r="4040" spans="1:6" x14ac:dyDescent="0.35">
      <c r="A4040" t="str">
        <f>+'[2]por cuent'!A4040</f>
        <v>USD</v>
      </c>
      <c r="B4040" t="str">
        <f>+'[2]por cuent'!B4040</f>
        <v>486000511</v>
      </c>
      <c r="C4040" t="str">
        <f>+'[2]por cuent'!C4040</f>
        <v>Gutierrez Eguia, Patricio</v>
      </c>
      <c r="D4040" s="35">
        <f>+'[2]por cuent'!G4040</f>
        <v>802.62</v>
      </c>
      <c r="E4040" s="35">
        <f>+'[2]por cuent'!H4040</f>
        <v>1200382.4195999999</v>
      </c>
      <c r="F4040" t="str">
        <f>+'[2]por cuent'!I4040</f>
        <v>486</v>
      </c>
    </row>
    <row r="4041" spans="1:6" x14ac:dyDescent="0.35">
      <c r="A4041" t="str">
        <f>+'[2]por cuent'!A4041</f>
        <v>USD</v>
      </c>
      <c r="B4041" t="str">
        <f>+'[2]por cuent'!B4041</f>
        <v>486000515</v>
      </c>
      <c r="C4041" t="str">
        <f>+'[2]por cuent'!C4041</f>
        <v>Boye, Lucas Ariel</v>
      </c>
      <c r="D4041" s="35">
        <f>+'[2]por cuent'!G4041</f>
        <v>10046.41</v>
      </c>
      <c r="E4041" s="35">
        <f>+'[2]por cuent'!H4041</f>
        <v>15025209.867799999</v>
      </c>
      <c r="F4041" t="str">
        <f>+'[2]por cuent'!I4041</f>
        <v>486</v>
      </c>
    </row>
    <row r="4042" spans="1:6" x14ac:dyDescent="0.35">
      <c r="A4042" t="str">
        <f>+'[2]por cuent'!A4042</f>
        <v>USD</v>
      </c>
      <c r="B4042" t="str">
        <f>+'[2]por cuent'!B4042</f>
        <v>486000517</v>
      </c>
      <c r="C4042" t="str">
        <f>+'[2]por cuent'!C4042</f>
        <v>Olaizola, Joaquin</v>
      </c>
      <c r="D4042" s="35">
        <f>+'[2]por cuent'!G4042</f>
        <v>7288</v>
      </c>
      <c r="E4042" s="35">
        <f>+'[2]por cuent'!H4042</f>
        <v>10899787.039999999</v>
      </c>
      <c r="F4042" t="str">
        <f>+'[2]por cuent'!I4042</f>
        <v>486</v>
      </c>
    </row>
    <row r="4043" spans="1:6" x14ac:dyDescent="0.35">
      <c r="A4043" t="str">
        <f>+'[2]por cuent'!A4043</f>
        <v>USD</v>
      </c>
      <c r="B4043" t="str">
        <f>+'[2]por cuent'!B4043</f>
        <v>486000520</v>
      </c>
      <c r="C4043" t="str">
        <f>+'[2]por cuent'!C4043</f>
        <v>Arancibia, Jorge Hugo</v>
      </c>
      <c r="D4043" s="35">
        <f>+'[2]por cuent'!G4043</f>
        <v>135004.67000000001</v>
      </c>
      <c r="E4043" s="35">
        <f>+'[2]por cuent'!H4043</f>
        <v>201910284.35860002</v>
      </c>
      <c r="F4043" t="str">
        <f>+'[2]por cuent'!I4043</f>
        <v>486</v>
      </c>
    </row>
    <row r="4044" spans="1:6" x14ac:dyDescent="0.35">
      <c r="A4044" t="str">
        <f>+'[2]por cuent'!A4044</f>
        <v>USD</v>
      </c>
      <c r="B4044" t="str">
        <f>+'[2]por cuent'!B4044</f>
        <v>486000523</v>
      </c>
      <c r="C4044" t="str">
        <f>+'[2]por cuent'!C4044</f>
        <v>Hayet, Martina</v>
      </c>
      <c r="D4044" s="35">
        <f>+'[2]por cuent'!G4044</f>
        <v>17248</v>
      </c>
      <c r="E4044" s="35">
        <f>+'[2]por cuent'!H4044</f>
        <v>25795763.84</v>
      </c>
      <c r="F4044" t="str">
        <f>+'[2]por cuent'!I4044</f>
        <v>486</v>
      </c>
    </row>
    <row r="4045" spans="1:6" x14ac:dyDescent="0.35">
      <c r="A4045" t="str">
        <f>+'[2]por cuent'!A4045</f>
        <v>USD</v>
      </c>
      <c r="B4045" t="str">
        <f>+'[2]por cuent'!B4045</f>
        <v>486000524</v>
      </c>
      <c r="C4045" t="str">
        <f>+'[2]por cuent'!C4045</f>
        <v>Luicina Alcorta</v>
      </c>
      <c r="D4045" s="35">
        <f>+'[2]por cuent'!G4045</f>
        <v>180992.2</v>
      </c>
      <c r="E4045" s="35">
        <f>+'[2]por cuent'!H4045</f>
        <v>270688314.47600001</v>
      </c>
      <c r="F4045" t="str">
        <f>+'[2]por cuent'!I4045</f>
        <v>486</v>
      </c>
    </row>
    <row r="4046" spans="1:6" x14ac:dyDescent="0.35">
      <c r="A4046" t="str">
        <f>+'[2]por cuent'!A4046</f>
        <v>USD</v>
      </c>
      <c r="B4046" t="str">
        <f>+'[2]por cuent'!B4046</f>
        <v>486002121</v>
      </c>
      <c r="C4046" t="str">
        <f>+'[2]por cuent'!C4046</f>
        <v>UG VALORES SA (TRADING)</v>
      </c>
      <c r="D4046" s="35">
        <f>+'[2]por cuent'!G4046</f>
        <v>4909984.6900000004</v>
      </c>
      <c r="E4046" s="35">
        <f>+'[2]por cuent'!H4046</f>
        <v>7343274902.6702003</v>
      </c>
      <c r="F4046" t="str">
        <f>+'[2]por cuent'!I4046</f>
        <v>486</v>
      </c>
    </row>
    <row r="4047" spans="1:6" x14ac:dyDescent="0.35">
      <c r="A4047" t="str">
        <f>+'[2]por cuent'!A4047</f>
        <v>USD</v>
      </c>
      <c r="B4047" t="str">
        <f>+'[2]por cuent'!B4047</f>
        <v>486003030</v>
      </c>
      <c r="C4047" t="str">
        <f>+'[2]por cuent'!C4047</f>
        <v>Chevallier Boutell, Joaquin (trade senebi)</v>
      </c>
      <c r="D4047" s="35">
        <f>+'[2]por cuent'!G4047</f>
        <v>99661.51</v>
      </c>
      <c r="E4047" s="35">
        <f>+'[2]por cuent'!H4047</f>
        <v>149051761.12579998</v>
      </c>
      <c r="F4047" t="str">
        <f>+'[2]por cuent'!I4047</f>
        <v>486</v>
      </c>
    </row>
    <row r="4048" spans="1:6" x14ac:dyDescent="0.35">
      <c r="A4048" t="str">
        <f>+'[2]por cuent'!A4048</f>
        <v>USD</v>
      </c>
      <c r="B4048" t="str">
        <f>+'[2]por cuent'!B4048</f>
        <v>486004545</v>
      </c>
      <c r="C4048" t="str">
        <f>+'[2]por cuent'!C4048</f>
        <v>UG Valores SA (Trading2)</v>
      </c>
      <c r="D4048" s="35">
        <f>+'[2]por cuent'!G4048</f>
        <v>120567596.08</v>
      </c>
      <c r="E4048" s="35">
        <f>+'[2]por cuent'!H4048</f>
        <v>180318485345.32639</v>
      </c>
      <c r="F4048" t="str">
        <f>+'[2]por cuent'!I4048</f>
        <v>486</v>
      </c>
    </row>
    <row r="4049" spans="1:6" x14ac:dyDescent="0.35">
      <c r="A4049" t="str">
        <f>+'[2]por cuent'!A4049</f>
        <v>USD</v>
      </c>
      <c r="B4049" t="str">
        <f>+'[2]por cuent'!B4049</f>
        <v>486005009</v>
      </c>
      <c r="C4049" t="str">
        <f>+'[2]por cuent'!C4049</f>
        <v>Fideicomiso Catedral HI y JK</v>
      </c>
      <c r="D4049" s="35">
        <f>+'[2]por cuent'!G4049</f>
        <v>2800.29</v>
      </c>
      <c r="E4049" s="35">
        <f>+'[2]por cuent'!H4049</f>
        <v>4188057.7181999995</v>
      </c>
      <c r="F4049" t="str">
        <f>+'[2]por cuent'!I4049</f>
        <v>486</v>
      </c>
    </row>
    <row r="4050" spans="1:6" x14ac:dyDescent="0.35">
      <c r="A4050" t="str">
        <f>+'[2]por cuent'!A4050</f>
        <v>USD</v>
      </c>
      <c r="B4050" t="str">
        <f>+'[2]por cuent'!B4050</f>
        <v>486005012</v>
      </c>
      <c r="C4050" t="str">
        <f>+'[2]por cuent'!C4050</f>
        <v>ANDES AGROS</v>
      </c>
      <c r="D4050" s="35">
        <f>+'[2]por cuent'!G4050</f>
        <v>9999.7999999999993</v>
      </c>
      <c r="E4050" s="35">
        <f>+'[2]por cuent'!H4050</f>
        <v>14955500.883999998</v>
      </c>
      <c r="F4050" t="str">
        <f>+'[2]por cuent'!I4050</f>
        <v>486</v>
      </c>
    </row>
    <row r="4051" spans="1:6" x14ac:dyDescent="0.35">
      <c r="A4051" t="str">
        <f>+'[2]por cuent'!A4051</f>
        <v>USD</v>
      </c>
      <c r="B4051" t="str">
        <f>+'[2]por cuent'!B4051</f>
        <v>486005021</v>
      </c>
      <c r="C4051" t="str">
        <f>+'[2]por cuent'!C4051</f>
        <v>Cinco Yardas S.R.L</v>
      </c>
      <c r="D4051" s="35">
        <f>+'[2]por cuent'!G4051</f>
        <v>98619.33</v>
      </c>
      <c r="E4051" s="35">
        <f>+'[2]por cuent'!H4051</f>
        <v>147493097.5614</v>
      </c>
      <c r="F4051" t="str">
        <f>+'[2]por cuent'!I4051</f>
        <v>486</v>
      </c>
    </row>
    <row r="4052" spans="1:6" x14ac:dyDescent="0.35">
      <c r="A4052" t="str">
        <f>+'[2]por cuent'!A4052</f>
        <v>USD</v>
      </c>
      <c r="B4052" t="str">
        <f>+'[2]por cuent'!B4052</f>
        <v>486007373</v>
      </c>
      <c r="C4052" t="str">
        <f>+'[2]por cuent'!C4052</f>
        <v>Marque, Joaquín Enrique (BOT)</v>
      </c>
      <c r="D4052" s="35">
        <f>+'[2]por cuent'!G4052</f>
        <v>104079945.09</v>
      </c>
      <c r="E4052" s="35">
        <f>+'[2]por cuent'!H4052</f>
        <v>155659884277.70221</v>
      </c>
      <c r="F4052" t="str">
        <f>+'[2]por cuent'!I4052</f>
        <v>486</v>
      </c>
    </row>
    <row r="4053" spans="1:6" x14ac:dyDescent="0.35">
      <c r="A4053" t="str">
        <f>+'[2]por cuent'!A4053</f>
        <v>USD</v>
      </c>
      <c r="B4053" t="str">
        <f>+'[2]por cuent'!B4053</f>
        <v>486100115</v>
      </c>
      <c r="C4053" t="str">
        <f>+'[2]por cuent'!C4053</f>
        <v>[C.E.R.A.] Vilariño, Federico Manuel</v>
      </c>
      <c r="D4053" s="35">
        <f>+'[2]por cuent'!G4053</f>
        <v>1479646.81</v>
      </c>
      <c r="E4053" s="35">
        <f>+'[2]por cuent'!H4053</f>
        <v>2212930176.0998001</v>
      </c>
      <c r="F4053" t="str">
        <f>+'[2]por cuent'!I4053</f>
        <v>486</v>
      </c>
    </row>
    <row r="4054" spans="1:6" x14ac:dyDescent="0.35">
      <c r="A4054" t="str">
        <f>+'[2]por cuent'!A4054</f>
        <v>USD</v>
      </c>
      <c r="B4054" t="str">
        <f>+'[2]por cuent'!B4054</f>
        <v>486100127</v>
      </c>
      <c r="C4054" t="str">
        <f>+'[2]por cuent'!C4054</f>
        <v>[C.E.R.A.] Vilariño, Oscar Alberto</v>
      </c>
      <c r="D4054" s="35">
        <f>+'[2]por cuent'!G4054</f>
        <v>414042.76</v>
      </c>
      <c r="E4054" s="35">
        <f>+'[2]por cuent'!H4054</f>
        <v>619234071.00080001</v>
      </c>
      <c r="F4054" t="str">
        <f>+'[2]por cuent'!I4054</f>
        <v>486</v>
      </c>
    </row>
    <row r="4055" spans="1:6" x14ac:dyDescent="0.35">
      <c r="A4055" t="str">
        <f>+'[2]por cuent'!A4055</f>
        <v>USD</v>
      </c>
      <c r="B4055" t="str">
        <f>+'[2]por cuent'!B4055</f>
        <v>486100129</v>
      </c>
      <c r="C4055" t="str">
        <f>+'[2]por cuent'!C4055</f>
        <v>[C.E.R.A.] Vilariño, Juan Cruz</v>
      </c>
      <c r="D4055" s="35">
        <f>+'[2]por cuent'!G4055</f>
        <v>1932003.89</v>
      </c>
      <c r="E4055" s="35">
        <f>+'[2]por cuent'!H4055</f>
        <v>2889466377.8061996</v>
      </c>
      <c r="F4055" t="str">
        <f>+'[2]por cuent'!I4055</f>
        <v>486</v>
      </c>
    </row>
    <row r="4056" spans="1:6" x14ac:dyDescent="0.35">
      <c r="A4056" t="str">
        <f>+'[2]por cuent'!A4056</f>
        <v>USD</v>
      </c>
      <c r="B4056" t="str">
        <f>+'[2]por cuent'!B4056</f>
        <v>492000010</v>
      </c>
      <c r="C4056" t="str">
        <f>+'[2]por cuent'!C4056</f>
        <v>POSSE SANTIAGO</v>
      </c>
      <c r="D4056" s="35">
        <f>+'[2]por cuent'!G4056</f>
        <v>1793.68</v>
      </c>
      <c r="E4056" s="35">
        <f>+'[2]por cuent'!H4056</f>
        <v>2682591.9344000001</v>
      </c>
      <c r="F4056" t="str">
        <f>+'[2]por cuent'!I4056</f>
        <v>492</v>
      </c>
    </row>
    <row r="4057" spans="1:6" x14ac:dyDescent="0.35">
      <c r="A4057" t="str">
        <f>+'[2]por cuent'!A4057</f>
        <v>USD</v>
      </c>
      <c r="B4057" t="str">
        <f>+'[2]por cuent'!B4057</f>
        <v>492000029</v>
      </c>
      <c r="C4057" t="str">
        <f>+'[2]por cuent'!C4057</f>
        <v>RICSA</v>
      </c>
      <c r="D4057" s="35">
        <f>+'[2]por cuent'!G4057</f>
        <v>3481619.12</v>
      </c>
      <c r="E4057" s="35">
        <f>+'[2]por cuent'!H4057</f>
        <v>5207039923.4896002</v>
      </c>
      <c r="F4057" t="str">
        <f>+'[2]por cuent'!I4057</f>
        <v>492</v>
      </c>
    </row>
    <row r="4058" spans="1:6" x14ac:dyDescent="0.35">
      <c r="A4058" t="str">
        <f>+'[2]por cuent'!A4058</f>
        <v>USD</v>
      </c>
      <c r="B4058" t="str">
        <f>+'[2]por cuent'!B4058</f>
        <v>492000030</v>
      </c>
      <c r="C4058" t="str">
        <f>+'[2]por cuent'!C4058</f>
        <v>PRECIADO, JUAN JOSE</v>
      </c>
      <c r="D4058" s="35">
        <f>+'[2]por cuent'!G4058</f>
        <v>73632.19</v>
      </c>
      <c r="E4058" s="35">
        <f>+'[2]por cuent'!H4058</f>
        <v>110122830.7202</v>
      </c>
      <c r="F4058" t="str">
        <f>+'[2]por cuent'!I4058</f>
        <v>492</v>
      </c>
    </row>
    <row r="4059" spans="1:6" x14ac:dyDescent="0.35">
      <c r="A4059" t="str">
        <f>+'[2]por cuent'!A4059</f>
        <v>USD</v>
      </c>
      <c r="B4059" t="str">
        <f>+'[2]por cuent'!B4059</f>
        <v>492000051</v>
      </c>
      <c r="C4059" t="str">
        <f>+'[2]por cuent'!C4059</f>
        <v>LUMPINI TRADE SRL</v>
      </c>
      <c r="D4059" s="35">
        <f>+'[2]por cuent'!G4059</f>
        <v>461798.89</v>
      </c>
      <c r="E4059" s="35">
        <f>+'[2]por cuent'!H4059</f>
        <v>690657183.90619993</v>
      </c>
      <c r="F4059" t="str">
        <f>+'[2]por cuent'!I4059</f>
        <v>492</v>
      </c>
    </row>
    <row r="4060" spans="1:6" x14ac:dyDescent="0.35">
      <c r="A4060" t="str">
        <f>+'[2]por cuent'!A4060</f>
        <v>USD</v>
      </c>
      <c r="B4060" t="str">
        <f>+'[2]por cuent'!B4060</f>
        <v>492000059</v>
      </c>
      <c r="C4060" t="str">
        <f>+'[2]por cuent'!C4060</f>
        <v>Tear, Federico</v>
      </c>
      <c r="D4060" s="35">
        <f>+'[2]por cuent'!G4060</f>
        <v>22976.62</v>
      </c>
      <c r="E4060" s="35">
        <f>+'[2]por cuent'!H4060</f>
        <v>34363373.339599997</v>
      </c>
      <c r="F4060" t="str">
        <f>+'[2]por cuent'!I4060</f>
        <v>492</v>
      </c>
    </row>
    <row r="4061" spans="1:6" x14ac:dyDescent="0.35">
      <c r="A4061" t="str">
        <f>+'[2]por cuent'!A4061</f>
        <v>USD</v>
      </c>
      <c r="B4061" t="str">
        <f>+'[2]por cuent'!B4061</f>
        <v>492000077</v>
      </c>
      <c r="C4061" t="str">
        <f>+'[2]por cuent'!C4061</f>
        <v>LAYUN MARCELA</v>
      </c>
      <c r="D4061" s="35">
        <f>+'[2]por cuent'!G4061</f>
        <v>291.62</v>
      </c>
      <c r="E4061" s="35">
        <f>+'[2]por cuent'!H4061</f>
        <v>436141.03959999996</v>
      </c>
      <c r="F4061" t="str">
        <f>+'[2]por cuent'!I4061</f>
        <v>492</v>
      </c>
    </row>
    <row r="4062" spans="1:6" x14ac:dyDescent="0.35">
      <c r="A4062" t="str">
        <f>+'[2]por cuent'!A4062</f>
        <v>USD</v>
      </c>
      <c r="B4062" t="str">
        <f>+'[2]por cuent'!B4062</f>
        <v>492000094</v>
      </c>
      <c r="C4062" t="str">
        <f>+'[2]por cuent'!C4062</f>
        <v>Silvina Hillar / Federico Tear</v>
      </c>
      <c r="D4062" s="35">
        <f>+'[2]por cuent'!G4062</f>
        <v>674.74</v>
      </c>
      <c r="E4062" s="35">
        <f>+'[2]por cuent'!H4062</f>
        <v>1009127.6492</v>
      </c>
      <c r="F4062" t="str">
        <f>+'[2]por cuent'!I4062</f>
        <v>492</v>
      </c>
    </row>
    <row r="4063" spans="1:6" x14ac:dyDescent="0.35">
      <c r="A4063" t="str">
        <f>+'[2]por cuent'!A4063</f>
        <v>USD</v>
      </c>
      <c r="B4063" t="str">
        <f>+'[2]por cuent'!B4063</f>
        <v>492000095</v>
      </c>
      <c r="C4063" t="str">
        <f>+'[2]por cuent'!C4063</f>
        <v>María Paula Tear</v>
      </c>
      <c r="D4063" s="35">
        <f>+'[2]por cuent'!G4063</f>
        <v>709.41</v>
      </c>
      <c r="E4063" s="35">
        <f>+'[2]por cuent'!H4063</f>
        <v>1060979.4077999999</v>
      </c>
      <c r="F4063" t="str">
        <f>+'[2]por cuent'!I4063</f>
        <v>492</v>
      </c>
    </row>
    <row r="4064" spans="1:6" x14ac:dyDescent="0.35">
      <c r="A4064" t="str">
        <f>+'[2]por cuent'!A4064</f>
        <v>USD</v>
      </c>
      <c r="B4064" t="str">
        <f>+'[2]por cuent'!B4064</f>
        <v>492000107</v>
      </c>
      <c r="C4064" t="str">
        <f>+'[2]por cuent'!C4064</f>
        <v>Carlos Alberto Diez</v>
      </c>
      <c r="D4064" s="35">
        <f>+'[2]por cuent'!G4064</f>
        <v>661.68</v>
      </c>
      <c r="E4064" s="35">
        <f>+'[2]por cuent'!H4064</f>
        <v>989595.37439999986</v>
      </c>
      <c r="F4064" t="str">
        <f>+'[2]por cuent'!I4064</f>
        <v>492</v>
      </c>
    </row>
    <row r="4065" spans="1:6" x14ac:dyDescent="0.35">
      <c r="A4065" t="str">
        <f>+'[2]por cuent'!A4065</f>
        <v>USD</v>
      </c>
      <c r="B4065" t="str">
        <f>+'[2]por cuent'!B4065</f>
        <v>492000109</v>
      </c>
      <c r="C4065" t="str">
        <f>+'[2]por cuent'!C4065</f>
        <v xml:space="preserve">Olaizola Joaquín </v>
      </c>
      <c r="D4065" s="35">
        <f>+'[2]por cuent'!G4065</f>
        <v>12526.86</v>
      </c>
      <c r="E4065" s="35">
        <f>+'[2]por cuent'!H4065</f>
        <v>18734921.2788</v>
      </c>
      <c r="F4065" t="str">
        <f>+'[2]por cuent'!I4065</f>
        <v>492</v>
      </c>
    </row>
    <row r="4066" spans="1:6" x14ac:dyDescent="0.35">
      <c r="A4066" t="str">
        <f>+'[2]por cuent'!A4066</f>
        <v>USD</v>
      </c>
      <c r="B4066" t="str">
        <f>+'[2]por cuent'!B4066</f>
        <v>492000110</v>
      </c>
      <c r="C4066" t="str">
        <f>+'[2]por cuent'!C4066</f>
        <v>Mini Mario Luigi</v>
      </c>
      <c r="D4066" s="35">
        <f>+'[2]por cuent'!G4066</f>
        <v>158.4</v>
      </c>
      <c r="E4066" s="35">
        <f>+'[2]por cuent'!H4066</f>
        <v>236899.872</v>
      </c>
      <c r="F4066" t="str">
        <f>+'[2]por cuent'!I4066</f>
        <v>492</v>
      </c>
    </row>
    <row r="4067" spans="1:6" x14ac:dyDescent="0.35">
      <c r="A4067" t="str">
        <f>+'[2]por cuent'!A4067</f>
        <v>USD</v>
      </c>
      <c r="B4067" t="str">
        <f>+'[2]por cuent'!B4067</f>
        <v>492000115</v>
      </c>
      <c r="C4067" t="str">
        <f>+'[2]por cuent'!C4067</f>
        <v>Nievas Angel</v>
      </c>
      <c r="D4067" s="35">
        <f>+'[2]por cuent'!G4067</f>
        <v>376.61</v>
      </c>
      <c r="E4067" s="35">
        <f>+'[2]por cuent'!H4067</f>
        <v>563250.38379999995</v>
      </c>
      <c r="F4067" t="str">
        <f>+'[2]por cuent'!I4067</f>
        <v>492</v>
      </c>
    </row>
    <row r="4068" spans="1:6" x14ac:dyDescent="0.35">
      <c r="A4068" t="str">
        <f>+'[2]por cuent'!A4068</f>
        <v>USD</v>
      </c>
      <c r="B4068" t="str">
        <f>+'[2]por cuent'!B4068</f>
        <v>492000118</v>
      </c>
      <c r="C4068" t="str">
        <f>+'[2]por cuent'!C4068</f>
        <v>Federico Alberto Ceballos</v>
      </c>
      <c r="D4068" s="35">
        <f>+'[2]por cuent'!G4068</f>
        <v>81718.399999999994</v>
      </c>
      <c r="E4068" s="35">
        <f>+'[2]por cuent'!H4068</f>
        <v>122216404.67199999</v>
      </c>
      <c r="F4068" t="str">
        <f>+'[2]por cuent'!I4068</f>
        <v>492</v>
      </c>
    </row>
    <row r="4069" spans="1:6" x14ac:dyDescent="0.35">
      <c r="A4069" t="str">
        <f>+'[2]por cuent'!A4069</f>
        <v>USD</v>
      </c>
      <c r="B4069" t="str">
        <f>+'[2]por cuent'!B4069</f>
        <v>492000129</v>
      </c>
      <c r="C4069" t="str">
        <f>+'[2]por cuent'!C4069</f>
        <v>AXIS ESTRATEGIA 6 FCI</v>
      </c>
      <c r="D4069" s="35">
        <f>+'[2]por cuent'!G4069</f>
        <v>8490</v>
      </c>
      <c r="E4069" s="35">
        <f>+'[2]por cuent'!H4069</f>
        <v>12697474.199999999</v>
      </c>
      <c r="F4069" t="str">
        <f>+'[2]por cuent'!I4069</f>
        <v>492</v>
      </c>
    </row>
    <row r="4070" spans="1:6" x14ac:dyDescent="0.35">
      <c r="A4070" t="str">
        <f>+'[2]por cuent'!A4070</f>
        <v>USD</v>
      </c>
      <c r="B4070" t="str">
        <f>+'[2]por cuent'!B4070</f>
        <v>492000171</v>
      </c>
      <c r="C4070" t="str">
        <f>+'[2]por cuent'!C4070</f>
        <v>Correa Ariana Julieta</v>
      </c>
      <c r="D4070" s="35">
        <f>+'[2]por cuent'!G4070</f>
        <v>33.619999999999997</v>
      </c>
      <c r="E4070" s="35">
        <f>+'[2]por cuent'!H4070</f>
        <v>50281.399599999997</v>
      </c>
      <c r="F4070" t="str">
        <f>+'[2]por cuent'!I4070</f>
        <v>492</v>
      </c>
    </row>
    <row r="4071" spans="1:6" x14ac:dyDescent="0.35">
      <c r="A4071" t="str">
        <f>+'[2]por cuent'!A4071</f>
        <v>USD</v>
      </c>
      <c r="B4071" t="str">
        <f>+'[2]por cuent'!B4071</f>
        <v>492000181</v>
      </c>
      <c r="C4071" t="str">
        <f>+'[2]por cuent'!C4071</f>
        <v>Berenice Mariel Correa</v>
      </c>
      <c r="D4071" s="35">
        <f>+'[2]por cuent'!G4071</f>
        <v>40.6</v>
      </c>
      <c r="E4071" s="35">
        <f>+'[2]por cuent'!H4071</f>
        <v>60720.548000000003</v>
      </c>
      <c r="F4071" t="str">
        <f>+'[2]por cuent'!I4071</f>
        <v>492</v>
      </c>
    </row>
    <row r="4072" spans="1:6" x14ac:dyDescent="0.35">
      <c r="A4072" t="str">
        <f>+'[2]por cuent'!A4072</f>
        <v>USD</v>
      </c>
      <c r="B4072" t="str">
        <f>+'[2]por cuent'!B4072</f>
        <v>492000239</v>
      </c>
      <c r="C4072" t="str">
        <f>+'[2]por cuent'!C4072</f>
        <v>KOBELIOVSKY, MATIAS</v>
      </c>
      <c r="D4072" s="35">
        <f>+'[2]por cuent'!G4072</f>
        <v>15547.26</v>
      </c>
      <c r="E4072" s="35">
        <f>+'[2]por cuent'!H4072</f>
        <v>23252171.110799998</v>
      </c>
      <c r="F4072" t="str">
        <f>+'[2]por cuent'!I4072</f>
        <v>492</v>
      </c>
    </row>
    <row r="4073" spans="1:6" x14ac:dyDescent="0.35">
      <c r="A4073" t="str">
        <f>+'[2]por cuent'!A4073</f>
        <v>USD</v>
      </c>
      <c r="B4073" t="str">
        <f>+'[2]por cuent'!B4073</f>
        <v>492000242</v>
      </c>
      <c r="C4073" t="str">
        <f>+'[2]por cuent'!C4073</f>
        <v>AFB AVALES SGR</v>
      </c>
      <c r="D4073" s="35">
        <f>+'[2]por cuent'!G4073</f>
        <v>10369.58</v>
      </c>
      <c r="E4073" s="35">
        <f>+'[2]por cuent'!H4073</f>
        <v>15508536.4564</v>
      </c>
      <c r="F4073" t="str">
        <f>+'[2]por cuent'!I4073</f>
        <v>492</v>
      </c>
    </row>
    <row r="4074" spans="1:6" x14ac:dyDescent="0.35">
      <c r="A4074" t="str">
        <f>+'[2]por cuent'!A4074</f>
        <v>USD</v>
      </c>
      <c r="B4074" t="str">
        <f>+'[2]por cuent'!B4074</f>
        <v>492000256</v>
      </c>
      <c r="C4074" t="str">
        <f>+'[2]por cuent'!C4074</f>
        <v>BERGOGLIO, EMANUEL HORACIO</v>
      </c>
      <c r="D4074" s="35">
        <f>+'[2]por cuent'!G4074</f>
        <v>69705.78</v>
      </c>
      <c r="E4074" s="35">
        <f>+'[2]por cuent'!H4074</f>
        <v>104250570.4524</v>
      </c>
      <c r="F4074" t="str">
        <f>+'[2]por cuent'!I4074</f>
        <v>492</v>
      </c>
    </row>
    <row r="4075" spans="1:6" x14ac:dyDescent="0.35">
      <c r="A4075" t="str">
        <f>+'[2]por cuent'!A4075</f>
        <v>USD</v>
      </c>
      <c r="B4075" t="str">
        <f>+'[2]por cuent'!B4075</f>
        <v>492000258</v>
      </c>
      <c r="C4075" t="str">
        <f>+'[2]por cuent'!C4075</f>
        <v>MAZZEO BARRERA, RAMIRO TOMAS</v>
      </c>
      <c r="D4075" s="35">
        <f>+'[2]por cuent'!G4075</f>
        <v>40.119999999999997</v>
      </c>
      <c r="E4075" s="35">
        <f>+'[2]por cuent'!H4075</f>
        <v>60002.669599999994</v>
      </c>
      <c r="F4075" t="str">
        <f>+'[2]por cuent'!I4075</f>
        <v>492</v>
      </c>
    </row>
    <row r="4076" spans="1:6" x14ac:dyDescent="0.35">
      <c r="A4076" t="str">
        <f>+'[2]por cuent'!A4076</f>
        <v>USD</v>
      </c>
      <c r="B4076" t="str">
        <f>+'[2]por cuent'!B4076</f>
        <v>492000261</v>
      </c>
      <c r="C4076" t="str">
        <f>+'[2]por cuent'!C4076</f>
        <v>POSSE, DIEGO</v>
      </c>
      <c r="D4076" s="35">
        <f>+'[2]por cuent'!G4076</f>
        <v>3232.91</v>
      </c>
      <c r="E4076" s="35">
        <f>+'[2]por cuent'!H4076</f>
        <v>4835075.5377999991</v>
      </c>
      <c r="F4076" t="str">
        <f>+'[2]por cuent'!I4076</f>
        <v>492</v>
      </c>
    </row>
    <row r="4077" spans="1:6" x14ac:dyDescent="0.35">
      <c r="A4077" t="str">
        <f>+'[2]por cuent'!A4077</f>
        <v>USD</v>
      </c>
      <c r="B4077" t="str">
        <f>+'[2]por cuent'!B4077</f>
        <v>492000264</v>
      </c>
      <c r="C4077" t="str">
        <f>+'[2]por cuent'!C4077</f>
        <v>DIEZ, ALEJO CARLOS</v>
      </c>
      <c r="D4077" s="35">
        <f>+'[2]por cuent'!G4077</f>
        <v>196.48</v>
      </c>
      <c r="E4077" s="35">
        <f>+'[2]por cuent'!H4077</f>
        <v>293851.55839999998</v>
      </c>
      <c r="F4077" t="str">
        <f>+'[2]por cuent'!I4077</f>
        <v>492</v>
      </c>
    </row>
    <row r="4078" spans="1:6" x14ac:dyDescent="0.35">
      <c r="A4078" t="str">
        <f>+'[2]por cuent'!A4078</f>
        <v>USD</v>
      </c>
      <c r="B4078" t="str">
        <f>+'[2]por cuent'!B4078</f>
        <v>492000266</v>
      </c>
      <c r="C4078" t="str">
        <f>+'[2]por cuent'!C4078</f>
        <v>CANTOCHAP S.A.</v>
      </c>
      <c r="D4078" s="35">
        <f>+'[2]por cuent'!G4078</f>
        <v>1317</v>
      </c>
      <c r="E4078" s="35">
        <f>+'[2]por cuent'!H4078</f>
        <v>1969678.8599999999</v>
      </c>
      <c r="F4078" t="str">
        <f>+'[2]por cuent'!I4078</f>
        <v>492</v>
      </c>
    </row>
    <row r="4079" spans="1:6" x14ac:dyDescent="0.35">
      <c r="A4079" t="str">
        <f>+'[2]por cuent'!A4079</f>
        <v>USD</v>
      </c>
      <c r="B4079" t="str">
        <f>+'[2]por cuent'!B4079</f>
        <v>492000268</v>
      </c>
      <c r="C4079" t="str">
        <f>+'[2]por cuent'!C4079</f>
        <v>FREDDI, LUIS ALBERTO</v>
      </c>
      <c r="D4079" s="35">
        <f>+'[2]por cuent'!G4079</f>
        <v>550</v>
      </c>
      <c r="E4079" s="35">
        <f>+'[2]por cuent'!H4079</f>
        <v>822569</v>
      </c>
      <c r="F4079" t="str">
        <f>+'[2]por cuent'!I4079</f>
        <v>492</v>
      </c>
    </row>
    <row r="4080" spans="1:6" x14ac:dyDescent="0.35">
      <c r="A4080" t="str">
        <f>+'[2]por cuent'!A4080</f>
        <v>USD</v>
      </c>
      <c r="B4080" t="str">
        <f>+'[2]por cuent'!B4080</f>
        <v>492000278</v>
      </c>
      <c r="C4080" t="str">
        <f>+'[2]por cuent'!C4080</f>
        <v>KALITO SA</v>
      </c>
      <c r="D4080" s="35">
        <f>+'[2]por cuent'!G4080</f>
        <v>1069</v>
      </c>
      <c r="E4080" s="35">
        <f>+'[2]por cuent'!H4080</f>
        <v>1598775.02</v>
      </c>
      <c r="F4080" t="str">
        <f>+'[2]por cuent'!I4080</f>
        <v>492</v>
      </c>
    </row>
    <row r="4081" spans="1:6" x14ac:dyDescent="0.35">
      <c r="A4081" t="str">
        <f>+'[2]por cuent'!A4081</f>
        <v>USD</v>
      </c>
      <c r="B4081" t="str">
        <f>+'[2]por cuent'!B4081</f>
        <v>492000287</v>
      </c>
      <c r="C4081" t="str">
        <f>+'[2]por cuent'!C4081</f>
        <v>JAGUEL VIEJO S.C.A.</v>
      </c>
      <c r="D4081" s="35">
        <f>+'[2]por cuent'!G4081</f>
        <v>243</v>
      </c>
      <c r="E4081" s="35">
        <f>+'[2]por cuent'!H4081</f>
        <v>363425.94</v>
      </c>
      <c r="F4081" t="str">
        <f>+'[2]por cuent'!I4081</f>
        <v>492</v>
      </c>
    </row>
    <row r="4082" spans="1:6" x14ac:dyDescent="0.35">
      <c r="A4082" t="str">
        <f>+'[2]por cuent'!A4082</f>
        <v>USD</v>
      </c>
      <c r="B4082" t="str">
        <f>+'[2]por cuent'!B4082</f>
        <v>492000294</v>
      </c>
      <c r="C4082" t="str">
        <f>+'[2]por cuent'!C4082</f>
        <v>ABACA, HUGO LUJAN o RESIA, LORENA CELIA</v>
      </c>
      <c r="D4082" s="35">
        <f>+'[2]por cuent'!G4082</f>
        <v>530.92999999999995</v>
      </c>
      <c r="E4082" s="35">
        <f>+'[2]por cuent'!H4082</f>
        <v>794048.28939999989</v>
      </c>
      <c r="F4082" t="str">
        <f>+'[2]por cuent'!I4082</f>
        <v>492</v>
      </c>
    </row>
    <row r="4083" spans="1:6" x14ac:dyDescent="0.35">
      <c r="A4083" t="str">
        <f>+'[2]por cuent'!A4083</f>
        <v>USD</v>
      </c>
      <c r="B4083" t="str">
        <f>+'[2]por cuent'!B4083</f>
        <v>492000305</v>
      </c>
      <c r="C4083" t="str">
        <f>+'[2]por cuent'!C4083</f>
        <v>DIEZ, VICTORIA</v>
      </c>
      <c r="D4083" s="35">
        <f>+'[2]por cuent'!G4083</f>
        <v>1362.02</v>
      </c>
      <c r="E4083" s="35">
        <f>+'[2]por cuent'!H4083</f>
        <v>2037009.8716</v>
      </c>
      <c r="F4083" t="str">
        <f>+'[2]por cuent'!I4083</f>
        <v>492</v>
      </c>
    </row>
    <row r="4084" spans="1:6" x14ac:dyDescent="0.35">
      <c r="A4084" t="str">
        <f>+'[2]por cuent'!A4084</f>
        <v>USD</v>
      </c>
      <c r="B4084" t="str">
        <f>+'[2]por cuent'!B4084</f>
        <v>492000307</v>
      </c>
      <c r="C4084" t="str">
        <f>+'[2]por cuent'!C4084</f>
        <v>CISNEROS, BRIAN NEHUEN</v>
      </c>
      <c r="D4084" s="35">
        <f>+'[2]por cuent'!G4084</f>
        <v>27.27</v>
      </c>
      <c r="E4084" s="35">
        <f>+'[2]por cuent'!H4084</f>
        <v>40784.4666</v>
      </c>
      <c r="F4084" t="str">
        <f>+'[2]por cuent'!I4084</f>
        <v>492</v>
      </c>
    </row>
    <row r="4085" spans="1:6" x14ac:dyDescent="0.35">
      <c r="A4085" t="str">
        <f>+'[2]por cuent'!A4085</f>
        <v>USD</v>
      </c>
      <c r="B4085" t="str">
        <f>+'[2]por cuent'!B4085</f>
        <v>492000308</v>
      </c>
      <c r="C4085" t="str">
        <f>+'[2]por cuent'!C4085</f>
        <v>BERENICE MARIEL CORREA / BRIAN NEHUEN CISNEROS</v>
      </c>
      <c r="D4085" s="35">
        <f>+'[2]por cuent'!G4085</f>
        <v>9.51</v>
      </c>
      <c r="E4085" s="35">
        <f>+'[2]por cuent'!H4085</f>
        <v>14222.965799999998</v>
      </c>
      <c r="F4085" t="str">
        <f>+'[2]por cuent'!I4085</f>
        <v>492</v>
      </c>
    </row>
    <row r="4086" spans="1:6" x14ac:dyDescent="0.35">
      <c r="A4086" t="str">
        <f>+'[2]por cuent'!A4086</f>
        <v>USD</v>
      </c>
      <c r="B4086" t="str">
        <f>+'[2]por cuent'!B4086</f>
        <v>492000310</v>
      </c>
      <c r="C4086" t="str">
        <f>+'[2]por cuent'!C4086</f>
        <v>RED INGENIERIA SRL</v>
      </c>
      <c r="D4086" s="35">
        <f>+'[2]por cuent'!G4086</f>
        <v>2453</v>
      </c>
      <c r="E4086" s="35">
        <f>+'[2]por cuent'!H4086</f>
        <v>3668657.7399999998</v>
      </c>
      <c r="F4086" t="str">
        <f>+'[2]por cuent'!I4086</f>
        <v>492</v>
      </c>
    </row>
    <row r="4087" spans="1:6" x14ac:dyDescent="0.35">
      <c r="A4087" t="str">
        <f>+'[2]por cuent'!A4087</f>
        <v>USD</v>
      </c>
      <c r="B4087" t="str">
        <f>+'[2]por cuent'!B4087</f>
        <v>492000313</v>
      </c>
      <c r="C4087" t="str">
        <f>+'[2]por cuent'!C4087</f>
        <v>SILICARO, REGINA MARTA</v>
      </c>
      <c r="D4087" s="35">
        <f>+'[2]por cuent'!G4087</f>
        <v>15422.88</v>
      </c>
      <c r="E4087" s="35">
        <f>+'[2]por cuent'!H4087</f>
        <v>23066150.870399997</v>
      </c>
      <c r="F4087" t="str">
        <f>+'[2]por cuent'!I4087</f>
        <v>492</v>
      </c>
    </row>
    <row r="4088" spans="1:6" x14ac:dyDescent="0.35">
      <c r="A4088" t="str">
        <f>+'[2]por cuent'!A4088</f>
        <v>USD</v>
      </c>
      <c r="B4088" t="str">
        <f>+'[2]por cuent'!B4088</f>
        <v>492000321</v>
      </c>
      <c r="C4088" t="str">
        <f>+'[2]por cuent'!C4088</f>
        <v>ROSALES, NATALIO ANGEL OSCAR</v>
      </c>
      <c r="D4088" s="35">
        <f>+'[2]por cuent'!G4088</f>
        <v>45.72</v>
      </c>
      <c r="E4088" s="35">
        <f>+'[2]por cuent'!H4088</f>
        <v>68377.917600000001</v>
      </c>
      <c r="F4088" t="str">
        <f>+'[2]por cuent'!I4088</f>
        <v>492</v>
      </c>
    </row>
    <row r="4089" spans="1:6" x14ac:dyDescent="0.35">
      <c r="A4089" t="str">
        <f>+'[2]por cuent'!A4089</f>
        <v>USD</v>
      </c>
      <c r="B4089" t="str">
        <f>+'[2]por cuent'!B4089</f>
        <v>492000328</v>
      </c>
      <c r="C4089" t="str">
        <f>+'[2]por cuent'!C4089</f>
        <v>ANELO, MARCOS</v>
      </c>
      <c r="D4089" s="35">
        <f>+'[2]por cuent'!G4089</f>
        <v>23190.74</v>
      </c>
      <c r="E4089" s="35">
        <f>+'[2]por cuent'!H4089</f>
        <v>34683606.929200001</v>
      </c>
      <c r="F4089" t="str">
        <f>+'[2]por cuent'!I4089</f>
        <v>492</v>
      </c>
    </row>
    <row r="4090" spans="1:6" x14ac:dyDescent="0.35">
      <c r="A4090" t="str">
        <f>+'[2]por cuent'!A4090</f>
        <v>USD</v>
      </c>
      <c r="B4090" t="str">
        <f>+'[2]por cuent'!B4090</f>
        <v>492000329</v>
      </c>
      <c r="C4090" t="str">
        <f>+'[2]por cuent'!C4090</f>
        <v>Tear, Alejandro Adrian</v>
      </c>
      <c r="D4090" s="35">
        <f>+'[2]por cuent'!G4090</f>
        <v>73.23</v>
      </c>
      <c r="E4090" s="35">
        <f>+'[2]por cuent'!H4090</f>
        <v>109521.32339999999</v>
      </c>
      <c r="F4090" t="str">
        <f>+'[2]por cuent'!I4090</f>
        <v>492</v>
      </c>
    </row>
    <row r="4091" spans="1:6" x14ac:dyDescent="0.35">
      <c r="A4091" t="str">
        <f>+'[2]por cuent'!A4091</f>
        <v>USD</v>
      </c>
      <c r="B4091" t="str">
        <f>+'[2]por cuent'!B4091</f>
        <v>492000348</v>
      </c>
      <c r="C4091" t="str">
        <f>+'[2]por cuent'!C4091</f>
        <v>MARINANGELI, VANESA CAROLINA</v>
      </c>
      <c r="D4091" s="35">
        <f>+'[2]por cuent'!G4091</f>
        <v>1054</v>
      </c>
      <c r="E4091" s="35">
        <f>+'[2]por cuent'!H4091</f>
        <v>1576341.3199999998</v>
      </c>
      <c r="F4091" t="str">
        <f>+'[2]por cuent'!I4091</f>
        <v>492</v>
      </c>
    </row>
    <row r="4092" spans="1:6" x14ac:dyDescent="0.35">
      <c r="A4092" t="str">
        <f>+'[2]por cuent'!A4092</f>
        <v>USD</v>
      </c>
      <c r="B4092" t="str">
        <f>+'[2]por cuent'!B4092</f>
        <v>492000362</v>
      </c>
      <c r="C4092" t="str">
        <f>+'[2]por cuent'!C4092</f>
        <v>COLMEGNA, FERNANDO MATIAS</v>
      </c>
      <c r="D4092" s="35">
        <f>+'[2]por cuent'!G4092</f>
        <v>1982.88</v>
      </c>
      <c r="E4092" s="35">
        <f>+'[2]por cuent'!H4092</f>
        <v>2965555.6704000002</v>
      </c>
      <c r="F4092" t="str">
        <f>+'[2]por cuent'!I4092</f>
        <v>492</v>
      </c>
    </row>
    <row r="4093" spans="1:6" x14ac:dyDescent="0.35">
      <c r="A4093" t="str">
        <f>+'[2]por cuent'!A4093</f>
        <v>USD</v>
      </c>
      <c r="B4093" t="str">
        <f>+'[2]por cuent'!B4093</f>
        <v>492000363</v>
      </c>
      <c r="C4093" t="str">
        <f>+'[2]por cuent'!C4093</f>
        <v>CABRERA, EULALIA ALICIA</v>
      </c>
      <c r="D4093" s="35">
        <f>+'[2]por cuent'!G4093</f>
        <v>1868.74</v>
      </c>
      <c r="E4093" s="35">
        <f>+'[2]por cuent'!H4093</f>
        <v>2794850.1691999999</v>
      </c>
      <c r="F4093" t="str">
        <f>+'[2]por cuent'!I4093</f>
        <v>492</v>
      </c>
    </row>
    <row r="4094" spans="1:6" x14ac:dyDescent="0.35">
      <c r="A4094" t="str">
        <f>+'[2]por cuent'!A4094</f>
        <v>USD</v>
      </c>
      <c r="B4094" t="str">
        <f>+'[2]por cuent'!B4094</f>
        <v>492000382</v>
      </c>
      <c r="C4094" t="str">
        <f>+'[2]por cuent'!C4094</f>
        <v>MEDINA, LUCAS HERNAN</v>
      </c>
      <c r="D4094" s="35">
        <f>+'[2]por cuent'!G4094</f>
        <v>1491.06</v>
      </c>
      <c r="E4094" s="35">
        <f>+'[2]por cuent'!H4094</f>
        <v>2229999.5148</v>
      </c>
      <c r="F4094" t="str">
        <f>+'[2]por cuent'!I4094</f>
        <v>492</v>
      </c>
    </row>
    <row r="4095" spans="1:6" x14ac:dyDescent="0.35">
      <c r="A4095" t="str">
        <f>+'[2]por cuent'!A4095</f>
        <v>USD</v>
      </c>
      <c r="B4095" t="str">
        <f>+'[2]por cuent'!B4095</f>
        <v>492000390</v>
      </c>
      <c r="C4095" t="str">
        <f>+'[2]por cuent'!C4095</f>
        <v>OLAIZOLA, MARTIN SIMON</v>
      </c>
      <c r="D4095" s="35">
        <f>+'[2]por cuent'!G4095</f>
        <v>14486</v>
      </c>
      <c r="E4095" s="35">
        <f>+'[2]por cuent'!H4095</f>
        <v>21664971.879999999</v>
      </c>
      <c r="F4095" t="str">
        <f>+'[2]por cuent'!I4095</f>
        <v>492</v>
      </c>
    </row>
    <row r="4096" spans="1:6" x14ac:dyDescent="0.35">
      <c r="A4096" t="str">
        <f>+'[2]por cuent'!A4096</f>
        <v>USD</v>
      </c>
      <c r="B4096" t="str">
        <f>+'[2]por cuent'!B4096</f>
        <v>492000394</v>
      </c>
      <c r="C4096" t="str">
        <f>+'[2]por cuent'!C4096</f>
        <v>GARCIA, FEDERICO ANDRES</v>
      </c>
      <c r="D4096" s="35">
        <f>+'[2]por cuent'!G4096</f>
        <v>475.04</v>
      </c>
      <c r="E4096" s="35">
        <f>+'[2]por cuent'!H4096</f>
        <v>710460.32319999998</v>
      </c>
      <c r="F4096" t="str">
        <f>+'[2]por cuent'!I4096</f>
        <v>492</v>
      </c>
    </row>
    <row r="4097" spans="1:6" x14ac:dyDescent="0.35">
      <c r="A4097" t="str">
        <f>+'[2]por cuent'!A4097</f>
        <v>USD</v>
      </c>
      <c r="B4097" t="str">
        <f>+'[2]por cuent'!B4097</f>
        <v>492000398</v>
      </c>
      <c r="C4097" t="str">
        <f>+'[2]por cuent'!C4097</f>
        <v>[C.E.R.A] GONZALEZ PASCUAL, JUAN PABLO</v>
      </c>
      <c r="D4097" s="35">
        <f>+'[2]por cuent'!G4097</f>
        <v>307.54000000000002</v>
      </c>
      <c r="E4097" s="35">
        <f>+'[2]por cuent'!H4097</f>
        <v>459950.67320000002</v>
      </c>
      <c r="F4097" t="str">
        <f>+'[2]por cuent'!I4097</f>
        <v>492</v>
      </c>
    </row>
    <row r="4098" spans="1:6" x14ac:dyDescent="0.35">
      <c r="A4098" t="str">
        <f>+'[2]por cuent'!A4098</f>
        <v>USD</v>
      </c>
      <c r="B4098" t="str">
        <f>+'[2]por cuent'!B4098</f>
        <v>492000402</v>
      </c>
      <c r="C4098" t="str">
        <f>+'[2]por cuent'!C4098</f>
        <v>FIDEICOMISO MIÑONES 1872</v>
      </c>
      <c r="D4098" s="35">
        <f>+'[2]por cuent'!G4098</f>
        <v>1981.07</v>
      </c>
      <c r="E4098" s="35">
        <f>+'[2]por cuent'!H4098</f>
        <v>2962848.6705999998</v>
      </c>
      <c r="F4098" t="str">
        <f>+'[2]por cuent'!I4098</f>
        <v>492</v>
      </c>
    </row>
    <row r="4099" spans="1:6" x14ac:dyDescent="0.35">
      <c r="A4099" t="str">
        <f>+'[2]por cuent'!A4099</f>
        <v>USD</v>
      </c>
      <c r="B4099" t="str">
        <f>+'[2]por cuent'!B4099</f>
        <v>492000407</v>
      </c>
      <c r="C4099" t="str">
        <f>+'[2]por cuent'!C4099</f>
        <v>[C.E.R.A] EDGARDO RAUL GARCIA</v>
      </c>
      <c r="D4099" s="35">
        <f>+'[2]por cuent'!G4099</f>
        <v>2232.59</v>
      </c>
      <c r="E4099" s="35">
        <f>+'[2]por cuent'!H4099</f>
        <v>3339016.9522000002</v>
      </c>
      <c r="F4099" t="str">
        <f>+'[2]por cuent'!I4099</f>
        <v>492</v>
      </c>
    </row>
    <row r="4100" spans="1:6" x14ac:dyDescent="0.35">
      <c r="A4100" t="str">
        <f>+'[2]por cuent'!A4100</f>
        <v>USD</v>
      </c>
      <c r="B4100" t="str">
        <f>+'[2]por cuent'!B4100</f>
        <v>492000409</v>
      </c>
      <c r="C4100" t="str">
        <f>+'[2]por cuent'!C4100</f>
        <v>[C.E.R.A] COMPAÑIA AVICOLA SA</v>
      </c>
      <c r="D4100" s="35">
        <f>+'[2]por cuent'!G4100</f>
        <v>690</v>
      </c>
      <c r="E4100" s="35">
        <f>+'[2]por cuent'!H4100</f>
        <v>1031950.2</v>
      </c>
      <c r="F4100" t="str">
        <f>+'[2]por cuent'!I4100</f>
        <v>492</v>
      </c>
    </row>
    <row r="4101" spans="1:6" x14ac:dyDescent="0.35">
      <c r="A4101" t="str">
        <f>+'[2]por cuent'!A4101</f>
        <v>USD</v>
      </c>
      <c r="B4101" t="str">
        <f>+'[2]por cuent'!B4101</f>
        <v>492000410</v>
      </c>
      <c r="C4101" t="str">
        <f>+'[2]por cuent'!C4101</f>
        <v>[C.E.R.A] FABIAN ANTONIO BELLETIERI</v>
      </c>
      <c r="D4101" s="35">
        <f>+'[2]por cuent'!G4101</f>
        <v>665.75</v>
      </c>
      <c r="E4101" s="35">
        <f>+'[2]por cuent'!H4101</f>
        <v>995682.38500000001</v>
      </c>
      <c r="F4101" t="str">
        <f>+'[2]por cuent'!I4101</f>
        <v>492</v>
      </c>
    </row>
    <row r="4102" spans="1:6" x14ac:dyDescent="0.35">
      <c r="A4102" t="str">
        <f>+'[2]por cuent'!A4102</f>
        <v>USD</v>
      </c>
      <c r="B4102" t="str">
        <f>+'[2]por cuent'!B4102</f>
        <v>492000411</v>
      </c>
      <c r="C4102" t="str">
        <f>+'[2]por cuent'!C4102</f>
        <v>[C.E.R.A] Granjas Carnave S.A</v>
      </c>
      <c r="D4102" s="35">
        <f>+'[2]por cuent'!G4102</f>
        <v>512</v>
      </c>
      <c r="E4102" s="35">
        <f>+'[2]por cuent'!H4102</f>
        <v>765736.95999999996</v>
      </c>
      <c r="F4102" t="str">
        <f>+'[2]por cuent'!I4102</f>
        <v>492</v>
      </c>
    </row>
    <row r="4103" spans="1:6" x14ac:dyDescent="0.35">
      <c r="A4103" t="str">
        <f>+'[2]por cuent'!A4103</f>
        <v>USD</v>
      </c>
      <c r="B4103" t="str">
        <f>+'[2]por cuent'!B4103</f>
        <v>492000414</v>
      </c>
      <c r="C4103" t="str">
        <f>+'[2]por cuent'!C4103</f>
        <v xml:space="preserve">[C.E.R.A]  Agroservicios Humboldt </v>
      </c>
      <c r="D4103" s="35">
        <f>+'[2]por cuent'!G4103</f>
        <v>2045</v>
      </c>
      <c r="E4103" s="35">
        <f>+'[2]por cuent'!H4103</f>
        <v>3058461.0999999996</v>
      </c>
      <c r="F4103" t="str">
        <f>+'[2]por cuent'!I4103</f>
        <v>492</v>
      </c>
    </row>
    <row r="4104" spans="1:6" x14ac:dyDescent="0.35">
      <c r="A4104" t="str">
        <f>+'[2]por cuent'!A4104</f>
        <v>USD</v>
      </c>
      <c r="B4104" t="str">
        <f>+'[2]por cuent'!B4104</f>
        <v>492000416</v>
      </c>
      <c r="C4104" t="str">
        <f>+'[2]por cuent'!C4104</f>
        <v>FTL S.A.</v>
      </c>
      <c r="D4104" s="35">
        <f>+'[2]por cuent'!G4104</f>
        <v>3682.2</v>
      </c>
      <c r="E4104" s="35">
        <f>+'[2]por cuent'!H4104</f>
        <v>5507024.675999999</v>
      </c>
      <c r="F4104" t="str">
        <f>+'[2]por cuent'!I4104</f>
        <v>492</v>
      </c>
    </row>
    <row r="4105" spans="1:6" x14ac:dyDescent="0.35">
      <c r="A4105" t="str">
        <f>+'[2]por cuent'!A4105</f>
        <v>USD</v>
      </c>
      <c r="B4105" t="str">
        <f>+'[2]por cuent'!B4105</f>
        <v>492000417</v>
      </c>
      <c r="C4105" t="str">
        <f>+'[2]por cuent'!C4105</f>
        <v>TESTI, FABRICIO ALBERTO</v>
      </c>
      <c r="D4105" s="35">
        <f>+'[2]por cuent'!G4105</f>
        <v>13711.6</v>
      </c>
      <c r="E4105" s="35">
        <f>+'[2]por cuent'!H4105</f>
        <v>20506794.728</v>
      </c>
      <c r="F4105" t="str">
        <f>+'[2]por cuent'!I4105</f>
        <v>492</v>
      </c>
    </row>
    <row r="4106" spans="1:6" x14ac:dyDescent="0.35">
      <c r="A4106" t="str">
        <f>+'[2]por cuent'!A4106</f>
        <v>USD</v>
      </c>
      <c r="B4106" t="str">
        <f>+'[2]por cuent'!B4106</f>
        <v>492000439</v>
      </c>
      <c r="C4106" t="str">
        <f>+'[2]por cuent'!C4106</f>
        <v>GATICA, HECTOR VICENTE</v>
      </c>
      <c r="D4106" s="35">
        <f>+'[2]por cuent'!G4106</f>
        <v>141.44999999999999</v>
      </c>
      <c r="E4106" s="35">
        <f>+'[2]por cuent'!H4106</f>
        <v>211549.79099999997</v>
      </c>
      <c r="F4106" t="str">
        <f>+'[2]por cuent'!I4106</f>
        <v>492</v>
      </c>
    </row>
    <row r="4107" spans="1:6" x14ac:dyDescent="0.35">
      <c r="A4107" t="str">
        <f>+'[2]por cuent'!A4107</f>
        <v>USD</v>
      </c>
      <c r="B4107" t="str">
        <f>+'[2]por cuent'!B4107</f>
        <v>492000464</v>
      </c>
      <c r="C4107" t="str">
        <f>+'[2]por cuent'!C4107</f>
        <v>BARRERA, SILVINA LAURA</v>
      </c>
      <c r="D4107" s="35">
        <f>+'[2]por cuent'!G4107</f>
        <v>38.590000000000003</v>
      </c>
      <c r="E4107" s="35">
        <f>+'[2]por cuent'!H4107</f>
        <v>57714.432200000003</v>
      </c>
      <c r="F4107" t="str">
        <f>+'[2]por cuent'!I4107</f>
        <v>492</v>
      </c>
    </row>
    <row r="4108" spans="1:6" x14ac:dyDescent="0.35">
      <c r="A4108" t="str">
        <f>+'[2]por cuent'!A4108</f>
        <v>USD</v>
      </c>
      <c r="B4108" t="str">
        <f>+'[2]por cuent'!B4108</f>
        <v>492000466</v>
      </c>
      <c r="C4108" t="str">
        <f>+'[2]por cuent'!C4108</f>
        <v>FREDDI, LUIS NICOLAS</v>
      </c>
      <c r="D4108" s="35">
        <f>+'[2]por cuent'!G4108</f>
        <v>731</v>
      </c>
      <c r="E4108" s="35">
        <f>+'[2]por cuent'!H4108</f>
        <v>1093268.98</v>
      </c>
      <c r="F4108" t="str">
        <f>+'[2]por cuent'!I4108</f>
        <v>492</v>
      </c>
    </row>
    <row r="4109" spans="1:6" x14ac:dyDescent="0.35">
      <c r="A4109" t="str">
        <f>+'[2]por cuent'!A4109</f>
        <v>USD</v>
      </c>
      <c r="B4109" t="str">
        <f>+'[2]por cuent'!B4109</f>
        <v>492000469</v>
      </c>
      <c r="C4109" t="str">
        <f>+'[2]por cuent'!C4109</f>
        <v>BAZERQUE, NICOLAS</v>
      </c>
      <c r="D4109" s="35">
        <f>+'[2]por cuent'!G4109</f>
        <v>11603.9</v>
      </c>
      <c r="E4109" s="35">
        <f>+'[2]por cuent'!H4109</f>
        <v>17354560.761999998</v>
      </c>
      <c r="F4109" t="str">
        <f>+'[2]por cuent'!I4109</f>
        <v>492</v>
      </c>
    </row>
    <row r="4110" spans="1:6" x14ac:dyDescent="0.35">
      <c r="A4110" t="str">
        <f>+'[2]por cuent'!A4110</f>
        <v>USD</v>
      </c>
      <c r="B4110" t="str">
        <f>+'[2]por cuent'!B4110</f>
        <v>492000471</v>
      </c>
      <c r="C4110" t="str">
        <f>+'[2]por cuent'!C4110</f>
        <v>PISTACHOS EL RAMBLON FIDEICOMISO</v>
      </c>
      <c r="D4110" s="35">
        <f>+'[2]por cuent'!G4110</f>
        <v>146528.99</v>
      </c>
      <c r="E4110" s="35">
        <f>+'[2]por cuent'!H4110</f>
        <v>219145826.86419997</v>
      </c>
      <c r="F4110" t="str">
        <f>+'[2]por cuent'!I4110</f>
        <v>492</v>
      </c>
    </row>
    <row r="4111" spans="1:6" x14ac:dyDescent="0.35">
      <c r="A4111" t="str">
        <f>+'[2]por cuent'!A4111</f>
        <v>USD</v>
      </c>
      <c r="B4111" t="str">
        <f>+'[2]por cuent'!B4111</f>
        <v>492000475</v>
      </c>
      <c r="C4111" t="str">
        <f>+'[2]por cuent'!C4111</f>
        <v>VITELLI, CLAUDIA BEATRIZ</v>
      </c>
      <c r="D4111" s="35">
        <f>+'[2]por cuent'!G4111</f>
        <v>52709.34</v>
      </c>
      <c r="E4111" s="35">
        <f>+'[2]por cuent'!H4111</f>
        <v>78831034.717199996</v>
      </c>
      <c r="F4111" t="str">
        <f>+'[2]por cuent'!I4111</f>
        <v>492</v>
      </c>
    </row>
    <row r="4112" spans="1:6" x14ac:dyDescent="0.35">
      <c r="A4112" t="str">
        <f>+'[2]por cuent'!A4112</f>
        <v>USD</v>
      </c>
      <c r="B4112" t="str">
        <f>+'[2]por cuent'!B4112</f>
        <v>492000476</v>
      </c>
      <c r="C4112" t="str">
        <f>+'[2]por cuent'!C4112</f>
        <v>TAGLIAFERRO, LEANDRO ARIEL</v>
      </c>
      <c r="D4112" s="35">
        <f>+'[2]por cuent'!G4112</f>
        <v>55381.760000000002</v>
      </c>
      <c r="E4112" s="35">
        <f>+'[2]por cuent'!H4112</f>
        <v>82827852.620800003</v>
      </c>
      <c r="F4112" t="str">
        <f>+'[2]por cuent'!I4112</f>
        <v>492</v>
      </c>
    </row>
    <row r="4113" spans="1:6" x14ac:dyDescent="0.35">
      <c r="A4113" t="str">
        <f>+'[2]por cuent'!A4113</f>
        <v>USD</v>
      </c>
      <c r="B4113" t="str">
        <f>+'[2]por cuent'!B4113</f>
        <v>492000493</v>
      </c>
      <c r="C4113" t="str">
        <f>+'[2]por cuent'!C4113</f>
        <v>SCHMITTENDORF, GRETEL</v>
      </c>
      <c r="D4113" s="35">
        <f>+'[2]por cuent'!G4113</f>
        <v>35.340000000000003</v>
      </c>
      <c r="E4113" s="35">
        <f>+'[2]por cuent'!H4113</f>
        <v>52853.797200000001</v>
      </c>
      <c r="F4113" t="str">
        <f>+'[2]por cuent'!I4113</f>
        <v>492</v>
      </c>
    </row>
    <row r="4114" spans="1:6" x14ac:dyDescent="0.35">
      <c r="A4114" t="str">
        <f>+'[2]por cuent'!A4114</f>
        <v>USD</v>
      </c>
      <c r="B4114" t="str">
        <f>+'[2]por cuent'!B4114</f>
        <v>492000505</v>
      </c>
      <c r="C4114" t="str">
        <f>+'[2]por cuent'!C4114</f>
        <v>Fabian Antonio Bellettieri / Candelaria Bellettieri Maria / Gonzalo Antonio Bellettieri</v>
      </c>
      <c r="D4114" s="35">
        <f>+'[2]por cuent'!G4114</f>
        <v>69297.279999999999</v>
      </c>
      <c r="E4114" s="35">
        <f>+'[2]por cuent'!H4114</f>
        <v>103639626.02239999</v>
      </c>
      <c r="F4114" t="str">
        <f>+'[2]por cuent'!I4114</f>
        <v>492</v>
      </c>
    </row>
    <row r="4115" spans="1:6" x14ac:dyDescent="0.35">
      <c r="A4115" t="str">
        <f>+'[2]por cuent'!A4115</f>
        <v>USD</v>
      </c>
      <c r="B4115" t="str">
        <f>+'[2]por cuent'!B4115</f>
        <v>492000557</v>
      </c>
      <c r="C4115" t="str">
        <f>+'[2]por cuent'!C4115</f>
        <v>MAGNANINI, ISABEL</v>
      </c>
      <c r="D4115" s="35">
        <f>+'[2]por cuent'!G4115</f>
        <v>22982.65</v>
      </c>
      <c r="E4115" s="35">
        <f>+'[2]por cuent'!H4115</f>
        <v>34372391.686999999</v>
      </c>
      <c r="F4115" t="str">
        <f>+'[2]por cuent'!I4115</f>
        <v>492</v>
      </c>
    </row>
    <row r="4116" spans="1:6" x14ac:dyDescent="0.35">
      <c r="A4116" t="str">
        <f>+'[2]por cuent'!A4116</f>
        <v>USD</v>
      </c>
      <c r="B4116" t="str">
        <f>+'[2]por cuent'!B4116</f>
        <v>492000559</v>
      </c>
      <c r="C4116" t="str">
        <f>+'[2]por cuent'!C4116</f>
        <v>3MC SA</v>
      </c>
      <c r="D4116" s="35">
        <f>+'[2]por cuent'!G4116</f>
        <v>11400.48</v>
      </c>
      <c r="E4116" s="35">
        <f>+'[2]por cuent'!H4116</f>
        <v>17050329.878399998</v>
      </c>
      <c r="F4116" t="str">
        <f>+'[2]por cuent'!I4116</f>
        <v>492</v>
      </c>
    </row>
    <row r="4117" spans="1:6" x14ac:dyDescent="0.35">
      <c r="A4117" t="str">
        <f>+'[2]por cuent'!A4117</f>
        <v>USD</v>
      </c>
      <c r="B4117" t="str">
        <f>+'[2]por cuent'!B4117</f>
        <v>492000562</v>
      </c>
      <c r="C4117" t="str">
        <f>+'[2]por cuent'!C4117</f>
        <v>AVENIDA 11 FIDEICOMISO</v>
      </c>
      <c r="D4117" s="35">
        <f>+'[2]por cuent'!G4117</f>
        <v>207.41</v>
      </c>
      <c r="E4117" s="35">
        <f>+'[2]por cuent'!H4117</f>
        <v>310198.24779999995</v>
      </c>
      <c r="F4117" t="str">
        <f>+'[2]por cuent'!I4117</f>
        <v>492</v>
      </c>
    </row>
    <row r="4118" spans="1:6" x14ac:dyDescent="0.35">
      <c r="A4118" t="str">
        <f>+'[2]por cuent'!A4118</f>
        <v>USD</v>
      </c>
      <c r="B4118" t="str">
        <f>+'[2]por cuent'!B4118</f>
        <v>492000571</v>
      </c>
      <c r="C4118" t="str">
        <f>+'[2]por cuent'!C4118</f>
        <v>BENTIA ENERGY SA</v>
      </c>
      <c r="D4118" s="35">
        <f>+'[2]por cuent'!G4118</f>
        <v>634813.52</v>
      </c>
      <c r="E4118" s="35">
        <f>+'[2]por cuent'!H4118</f>
        <v>949414404.24160004</v>
      </c>
      <c r="F4118" t="str">
        <f>+'[2]por cuent'!I4118</f>
        <v>492</v>
      </c>
    </row>
    <row r="4119" spans="1:6" x14ac:dyDescent="0.35">
      <c r="A4119" t="str">
        <f>+'[2]por cuent'!A4119</f>
        <v>USD</v>
      </c>
      <c r="B4119" t="str">
        <f>+'[2]por cuent'!B4119</f>
        <v>492000578</v>
      </c>
      <c r="C4119" t="str">
        <f>+'[2]por cuent'!C4119</f>
        <v>SEVA, MARCELA ADRIANA</v>
      </c>
      <c r="D4119" s="35">
        <f>+'[2]por cuent'!G4119</f>
        <v>12970.66</v>
      </c>
      <c r="E4119" s="35">
        <f>+'[2]por cuent'!H4119</f>
        <v>19398659.682799999</v>
      </c>
      <c r="F4119" t="str">
        <f>+'[2]por cuent'!I4119</f>
        <v>492</v>
      </c>
    </row>
    <row r="4120" spans="1:6" x14ac:dyDescent="0.35">
      <c r="A4120" t="str">
        <f>+'[2]por cuent'!A4120</f>
        <v>USD</v>
      </c>
      <c r="B4120" t="str">
        <f>+'[2]por cuent'!B4120</f>
        <v>492000581</v>
      </c>
      <c r="C4120" t="str">
        <f>+'[2]por cuent'!C4120</f>
        <v>BENTIA ENERGY S.A. E ING. SIMA S.A. U.T.E.</v>
      </c>
      <c r="D4120" s="35">
        <f>+'[2]por cuent'!G4120</f>
        <v>657893.26</v>
      </c>
      <c r="E4120" s="35">
        <f>+'[2]por cuent'!H4120</f>
        <v>983932001.79079998</v>
      </c>
      <c r="F4120" t="str">
        <f>+'[2]por cuent'!I4120</f>
        <v>492</v>
      </c>
    </row>
    <row r="4121" spans="1:6" x14ac:dyDescent="0.35">
      <c r="A4121" t="str">
        <f>+'[2]por cuent'!A4121</f>
        <v>USD</v>
      </c>
      <c r="B4121" t="str">
        <f>+'[2]por cuent'!B4121</f>
        <v>492000590</v>
      </c>
      <c r="C4121" t="str">
        <f>+'[2]por cuent'!C4121</f>
        <v>BIOCORBA S.A.</v>
      </c>
      <c r="D4121" s="35">
        <f>+'[2]por cuent'!G4121</f>
        <v>70762.67</v>
      </c>
      <c r="E4121" s="35">
        <f>+'[2]por cuent'!H4121</f>
        <v>105831233.99859999</v>
      </c>
      <c r="F4121" t="str">
        <f>+'[2]por cuent'!I4121</f>
        <v>492</v>
      </c>
    </row>
    <row r="4122" spans="1:6" x14ac:dyDescent="0.35">
      <c r="A4122" t="str">
        <f>+'[2]por cuent'!A4122</f>
        <v>USD</v>
      </c>
      <c r="B4122" t="str">
        <f>+'[2]por cuent'!B4122</f>
        <v>492000591</v>
      </c>
      <c r="C4122" t="str">
        <f>+'[2]por cuent'!C4122</f>
        <v>BIOBIN S.A.</v>
      </c>
      <c r="D4122" s="35">
        <f>+'[2]por cuent'!G4122</f>
        <v>70891.91</v>
      </c>
      <c r="E4122" s="35">
        <f>+'[2]por cuent'!H4122</f>
        <v>106024522.7578</v>
      </c>
      <c r="F4122" t="str">
        <f>+'[2]por cuent'!I4122</f>
        <v>492</v>
      </c>
    </row>
    <row r="4123" spans="1:6" x14ac:dyDescent="0.35">
      <c r="A4123" t="str">
        <f>+'[2]por cuent'!A4123</f>
        <v>USD</v>
      </c>
      <c r="B4123" t="str">
        <f>+'[2]por cuent'!B4123</f>
        <v>492000593</v>
      </c>
      <c r="C4123" t="str">
        <f>+'[2]por cuent'!C4123</f>
        <v>REFINAR BIO S.A.</v>
      </c>
      <c r="D4123" s="35">
        <f>+'[2]por cuent'!G4123</f>
        <v>71005.25</v>
      </c>
      <c r="E4123" s="35">
        <f>+'[2]por cuent'!H4123</f>
        <v>106194031.795</v>
      </c>
      <c r="F4123" t="str">
        <f>+'[2]por cuent'!I4123</f>
        <v>492</v>
      </c>
    </row>
    <row r="4124" spans="1:6" x14ac:dyDescent="0.35">
      <c r="A4124" t="str">
        <f>+'[2]por cuent'!A4124</f>
        <v>USD</v>
      </c>
      <c r="B4124" t="str">
        <f>+'[2]por cuent'!B4124</f>
        <v>492000594</v>
      </c>
      <c r="C4124" t="str">
        <f>+'[2]por cuent'!C4124</f>
        <v>BIOBAHIA S.A</v>
      </c>
      <c r="D4124" s="35">
        <f>+'[2]por cuent'!G4124</f>
        <v>71644.06</v>
      </c>
      <c r="E4124" s="35">
        <f>+'[2]por cuent'!H4124</f>
        <v>107149423.25479999</v>
      </c>
      <c r="F4124" t="str">
        <f>+'[2]por cuent'!I4124</f>
        <v>492</v>
      </c>
    </row>
    <row r="4125" spans="1:6" x14ac:dyDescent="0.35">
      <c r="A4125" t="str">
        <f>+'[2]por cuent'!A4125</f>
        <v>USD</v>
      </c>
      <c r="B4125" t="str">
        <f>+'[2]por cuent'!B4125</f>
        <v>493003801</v>
      </c>
      <c r="C4125" t="str">
        <f>+'[2]por cuent'!C4125</f>
        <v>CAREY Maria</v>
      </c>
      <c r="D4125" s="35">
        <f>+'[2]por cuent'!G4125</f>
        <v>6.16</v>
      </c>
      <c r="E4125" s="35">
        <f>+'[2]por cuent'!H4125</f>
        <v>9212.7728000000006</v>
      </c>
      <c r="F4125" t="str">
        <f>+'[2]por cuent'!I4125</f>
        <v>493</v>
      </c>
    </row>
    <row r="4126" spans="1:6" x14ac:dyDescent="0.35">
      <c r="A4126" t="str">
        <f>+'[2]por cuent'!A4126</f>
        <v>USD</v>
      </c>
      <c r="B4126" t="str">
        <f>+'[2]por cuent'!B4126</f>
        <v>493003829</v>
      </c>
      <c r="C4126" t="str">
        <f>+'[2]por cuent'!C4126</f>
        <v>CAREY SANTIAGO PATRICIO</v>
      </c>
      <c r="D4126" s="35">
        <f>+'[2]por cuent'!G4126</f>
        <v>1304.5899999999999</v>
      </c>
      <c r="E4126" s="35">
        <f>+'[2]por cuent'!H4126</f>
        <v>1951118.7121999997</v>
      </c>
      <c r="F4126" t="str">
        <f>+'[2]por cuent'!I4126</f>
        <v>493</v>
      </c>
    </row>
    <row r="4127" spans="1:6" x14ac:dyDescent="0.35">
      <c r="A4127" t="str">
        <f>+'[2]por cuent'!A4127</f>
        <v>USD</v>
      </c>
      <c r="B4127" t="str">
        <f>+'[2]por cuent'!B4127</f>
        <v>493004012</v>
      </c>
      <c r="C4127" t="str">
        <f>+'[2]por cuent'!C4127</f>
        <v>CAREY EDUARDO JORGE</v>
      </c>
      <c r="D4127" s="35">
        <f>+'[2]por cuent'!G4127</f>
        <v>2.3199999999999998</v>
      </c>
      <c r="E4127" s="35">
        <f>+'[2]por cuent'!H4127</f>
        <v>3469.7455999999997</v>
      </c>
      <c r="F4127" t="str">
        <f>+'[2]por cuent'!I4127</f>
        <v>493</v>
      </c>
    </row>
    <row r="4128" spans="1:6" x14ac:dyDescent="0.35">
      <c r="A4128" t="str">
        <f>+'[2]por cuent'!A4128</f>
        <v>USD</v>
      </c>
      <c r="B4128" t="str">
        <f>+'[2]por cuent'!B4128</f>
        <v>493004026</v>
      </c>
      <c r="C4128" t="str">
        <f>+'[2]por cuent'!C4128</f>
        <v>MORELLI Carina Andrea</v>
      </c>
      <c r="D4128" s="35">
        <f>+'[2]por cuent'!G4128</f>
        <v>17000.95</v>
      </c>
      <c r="E4128" s="35">
        <f>+'[2]por cuent'!H4128</f>
        <v>25426280.800999999</v>
      </c>
      <c r="F4128" t="str">
        <f>+'[2]por cuent'!I4128</f>
        <v>493</v>
      </c>
    </row>
    <row r="4129" spans="1:6" x14ac:dyDescent="0.35">
      <c r="A4129" t="str">
        <f>+'[2]por cuent'!A4129</f>
        <v>USD</v>
      </c>
      <c r="B4129" t="str">
        <f>+'[2]por cuent'!B4129</f>
        <v>493004143</v>
      </c>
      <c r="C4129" t="str">
        <f>+'[2]por cuent'!C4129</f>
        <v>CONECTAR BURSATIL S.A.</v>
      </c>
      <c r="D4129" s="35">
        <f>+'[2]por cuent'!G4129</f>
        <v>484015.24</v>
      </c>
      <c r="E4129" s="35">
        <f>+'[2]por cuent'!H4129</f>
        <v>723883512.63919997</v>
      </c>
      <c r="F4129" t="str">
        <f>+'[2]por cuent'!I4129</f>
        <v>493</v>
      </c>
    </row>
    <row r="4130" spans="1:6" x14ac:dyDescent="0.35">
      <c r="A4130" t="str">
        <f>+'[2]por cuent'!A4130</f>
        <v>USD</v>
      </c>
      <c r="B4130" t="str">
        <f>+'[2]por cuent'!B4130</f>
        <v>493004580</v>
      </c>
      <c r="C4130" t="str">
        <f>+'[2]por cuent'!C4130</f>
        <v>GRUPO MALAU S.A.</v>
      </c>
      <c r="D4130" s="35">
        <f>+'[2]por cuent'!G4130</f>
        <v>630921</v>
      </c>
      <c r="E4130" s="35">
        <f>+'[2]por cuent'!H4130</f>
        <v>943592829.17999995</v>
      </c>
      <c r="F4130" t="str">
        <f>+'[2]por cuent'!I4130</f>
        <v>493</v>
      </c>
    </row>
    <row r="4131" spans="1:6" x14ac:dyDescent="0.35">
      <c r="A4131" t="str">
        <f>+'[2]por cuent'!A4131</f>
        <v>USD</v>
      </c>
      <c r="B4131" t="str">
        <f>+'[2]por cuent'!B4131</f>
        <v>493004741</v>
      </c>
      <c r="C4131" t="str">
        <f>+'[2]por cuent'!C4131</f>
        <v>DE AGUILAR Gonzalo Fernando</v>
      </c>
      <c r="D4131" s="35">
        <f>+'[2]por cuent'!G4131</f>
        <v>6254.18</v>
      </c>
      <c r="E4131" s="35">
        <f>+'[2]por cuent'!H4131</f>
        <v>9353626.5243999995</v>
      </c>
      <c r="F4131" t="str">
        <f>+'[2]por cuent'!I4131</f>
        <v>493</v>
      </c>
    </row>
    <row r="4132" spans="1:6" x14ac:dyDescent="0.35">
      <c r="A4132" t="str">
        <f>+'[2]por cuent'!A4132</f>
        <v>USD</v>
      </c>
      <c r="B4132" t="str">
        <f>+'[2]por cuent'!B4132</f>
        <v>493004772</v>
      </c>
      <c r="C4132" t="str">
        <f>+'[2]por cuent'!C4132</f>
        <v>MARCHENA Javier Luis</v>
      </c>
      <c r="D4132" s="35">
        <f>+'[2]por cuent'!G4132</f>
        <v>4.66</v>
      </c>
      <c r="E4132" s="35">
        <f>+'[2]por cuent'!H4132</f>
        <v>6969.4027999999998</v>
      </c>
      <c r="F4132" t="str">
        <f>+'[2]por cuent'!I4132</f>
        <v>493</v>
      </c>
    </row>
    <row r="4133" spans="1:6" x14ac:dyDescent="0.35">
      <c r="A4133" t="str">
        <f>+'[2]por cuent'!A4133</f>
        <v>USD</v>
      </c>
      <c r="B4133" t="str">
        <f>+'[2]por cuent'!B4133</f>
        <v>493004909</v>
      </c>
      <c r="C4133" t="str">
        <f>+'[2]por cuent'!C4133</f>
        <v>CRAVERO Roberto Mauro</v>
      </c>
      <c r="D4133" s="35">
        <f>+'[2]por cuent'!G4133</f>
        <v>3423.2</v>
      </c>
      <c r="E4133" s="35">
        <f>+'[2]por cuent'!H4133</f>
        <v>5119669.4559999993</v>
      </c>
      <c r="F4133" t="str">
        <f>+'[2]por cuent'!I4133</f>
        <v>493</v>
      </c>
    </row>
    <row r="4134" spans="1:6" x14ac:dyDescent="0.35">
      <c r="A4134" t="str">
        <f>+'[2]por cuent'!A4134</f>
        <v>USD</v>
      </c>
      <c r="B4134" t="str">
        <f>+'[2]por cuent'!B4134</f>
        <v>493004920</v>
      </c>
      <c r="C4134" t="str">
        <f>+'[2]por cuent'!C4134</f>
        <v>BIASSI JOSE LUIS</v>
      </c>
      <c r="D4134" s="35">
        <f>+'[2]por cuent'!G4134</f>
        <v>10999.35</v>
      </c>
      <c r="E4134" s="35">
        <f>+'[2]por cuent'!H4134</f>
        <v>16450407.873</v>
      </c>
      <c r="F4134" t="str">
        <f>+'[2]por cuent'!I4134</f>
        <v>493</v>
      </c>
    </row>
    <row r="4135" spans="1:6" x14ac:dyDescent="0.35">
      <c r="A4135" t="str">
        <f>+'[2]por cuent'!A4135</f>
        <v>USD</v>
      </c>
      <c r="B4135" t="str">
        <f>+'[2]por cuent'!B4135</f>
        <v>493005181</v>
      </c>
      <c r="C4135" t="str">
        <f>+'[2]por cuent'!C4135</f>
        <v>GHIOLDI JUAN SEBASTIAN</v>
      </c>
      <c r="D4135" s="35">
        <f>+'[2]por cuent'!G4135</f>
        <v>1.75</v>
      </c>
      <c r="E4135" s="35">
        <f>+'[2]por cuent'!H4135</f>
        <v>2617.2649999999999</v>
      </c>
      <c r="F4135" t="str">
        <f>+'[2]por cuent'!I4135</f>
        <v>493</v>
      </c>
    </row>
    <row r="4136" spans="1:6" x14ac:dyDescent="0.35">
      <c r="A4136" t="str">
        <f>+'[2]por cuent'!A4136</f>
        <v>USD</v>
      </c>
      <c r="B4136" t="str">
        <f>+'[2]por cuent'!B4136</f>
        <v>493005446</v>
      </c>
      <c r="C4136" t="str">
        <f>+'[2]por cuent'!C4136</f>
        <v>BERTERO BOERO S.A.</v>
      </c>
      <c r="D4136" s="35">
        <f>+'[2]por cuent'!G4136</f>
        <v>4.83</v>
      </c>
      <c r="E4136" s="35">
        <f>+'[2]por cuent'!H4136</f>
        <v>7223.6513999999997</v>
      </c>
      <c r="F4136" t="str">
        <f>+'[2]por cuent'!I4136</f>
        <v>493</v>
      </c>
    </row>
    <row r="4137" spans="1:6" x14ac:dyDescent="0.35">
      <c r="A4137" t="str">
        <f>+'[2]por cuent'!A4137</f>
        <v>USD</v>
      </c>
      <c r="B4137" t="str">
        <f>+'[2]por cuent'!B4137</f>
        <v>493005666</v>
      </c>
      <c r="C4137" t="str">
        <f>+'[2]por cuent'!C4137</f>
        <v>GONZALEZ, Damian</v>
      </c>
      <c r="D4137" s="35">
        <f>+'[2]por cuent'!G4137</f>
        <v>1999.38</v>
      </c>
      <c r="E4137" s="35">
        <f>+'[2]por cuent'!H4137</f>
        <v>2990232.7404</v>
      </c>
      <c r="F4137" t="str">
        <f>+'[2]por cuent'!I4137</f>
        <v>493</v>
      </c>
    </row>
    <row r="4138" spans="1:6" x14ac:dyDescent="0.35">
      <c r="A4138" t="str">
        <f>+'[2]por cuent'!A4138</f>
        <v>USD</v>
      </c>
      <c r="B4138" t="str">
        <f>+'[2]por cuent'!B4138</f>
        <v>493005695</v>
      </c>
      <c r="C4138" t="str">
        <f>+'[2]por cuent'!C4138</f>
        <v>OLIVA, Nelly Isabel o BOTT, Mariela Beatriz</v>
      </c>
      <c r="D4138" s="35">
        <f>+'[2]por cuent'!G4138</f>
        <v>2.3199999999999998</v>
      </c>
      <c r="E4138" s="35">
        <f>+'[2]por cuent'!H4138</f>
        <v>3469.7455999999997</v>
      </c>
      <c r="F4138" t="str">
        <f>+'[2]por cuent'!I4138</f>
        <v>493</v>
      </c>
    </row>
    <row r="4139" spans="1:6" x14ac:dyDescent="0.35">
      <c r="A4139" t="str">
        <f>+'[2]por cuent'!A4139</f>
        <v>USD</v>
      </c>
      <c r="B4139" t="str">
        <f>+'[2]por cuent'!B4139</f>
        <v>493005819</v>
      </c>
      <c r="C4139" t="str">
        <f>+'[2]por cuent'!C4139</f>
        <v>INDUSTRIAS DARMET S.A.</v>
      </c>
      <c r="D4139" s="35">
        <f>+'[2]por cuent'!G4139</f>
        <v>4.66</v>
      </c>
      <c r="E4139" s="35">
        <f>+'[2]por cuent'!H4139</f>
        <v>6969.4027999999998</v>
      </c>
      <c r="F4139" t="str">
        <f>+'[2]por cuent'!I4139</f>
        <v>493</v>
      </c>
    </row>
    <row r="4140" spans="1:6" x14ac:dyDescent="0.35">
      <c r="A4140" t="str">
        <f>+'[2]por cuent'!A4140</f>
        <v>USD</v>
      </c>
      <c r="B4140" t="str">
        <f>+'[2]por cuent'!B4140</f>
        <v>493005831</v>
      </c>
      <c r="C4140" t="str">
        <f>+'[2]por cuent'!C4140</f>
        <v>BOGGIO REALDO OSCAR</v>
      </c>
      <c r="D4140" s="35">
        <f>+'[2]por cuent'!G4140</f>
        <v>2.33</v>
      </c>
      <c r="E4140" s="35">
        <f>+'[2]por cuent'!H4140</f>
        <v>3484.7013999999999</v>
      </c>
      <c r="F4140" t="str">
        <f>+'[2]por cuent'!I4140</f>
        <v>493</v>
      </c>
    </row>
    <row r="4141" spans="1:6" x14ac:dyDescent="0.35">
      <c r="A4141" t="str">
        <f>+'[2]por cuent'!A4141</f>
        <v>USD</v>
      </c>
      <c r="B4141" t="str">
        <f>+'[2]por cuent'!B4141</f>
        <v>493006106</v>
      </c>
      <c r="C4141" t="str">
        <f>+'[2]por cuent'!C4141</f>
        <v>LAURINO, Guillermo Andres</v>
      </c>
      <c r="D4141" s="35">
        <f>+'[2]por cuent'!G4141</f>
        <v>2520</v>
      </c>
      <c r="E4141" s="35">
        <f>+'[2]por cuent'!H4141</f>
        <v>3768861.5999999996</v>
      </c>
      <c r="F4141" t="str">
        <f>+'[2]por cuent'!I4141</f>
        <v>493</v>
      </c>
    </row>
    <row r="4142" spans="1:6" x14ac:dyDescent="0.35">
      <c r="A4142" t="str">
        <f>+'[2]por cuent'!A4142</f>
        <v>USD</v>
      </c>
      <c r="B4142" t="str">
        <f>+'[2]por cuent'!B4142</f>
        <v>493006169</v>
      </c>
      <c r="C4142" t="str">
        <f>+'[2]por cuent'!C4142</f>
        <v xml:space="preserve">CRISTIA Moira Ines </v>
      </c>
      <c r="D4142" s="35">
        <f>+'[2]por cuent'!G4142</f>
        <v>274.38</v>
      </c>
      <c r="E4142" s="35">
        <f>+'[2]por cuent'!H4142</f>
        <v>410357.24039999995</v>
      </c>
      <c r="F4142" t="str">
        <f>+'[2]por cuent'!I4142</f>
        <v>493</v>
      </c>
    </row>
    <row r="4143" spans="1:6" x14ac:dyDescent="0.35">
      <c r="A4143" t="str">
        <f>+'[2]por cuent'!A4143</f>
        <v>USD</v>
      </c>
      <c r="B4143" t="str">
        <f>+'[2]por cuent'!B4143</f>
        <v>493006204</v>
      </c>
      <c r="C4143" t="str">
        <f>+'[2]por cuent'!C4143</f>
        <v>TURISMO CAREY S.R.L</v>
      </c>
      <c r="D4143" s="35">
        <f>+'[2]por cuent'!G4143</f>
        <v>63997.91</v>
      </c>
      <c r="E4143" s="35">
        <f>+'[2]por cuent'!H4143</f>
        <v>95713994.237800002</v>
      </c>
      <c r="F4143" t="str">
        <f>+'[2]por cuent'!I4143</f>
        <v>493</v>
      </c>
    </row>
    <row r="4144" spans="1:6" x14ac:dyDescent="0.35">
      <c r="A4144" t="str">
        <f>+'[2]por cuent'!A4144</f>
        <v>USD</v>
      </c>
      <c r="B4144" t="str">
        <f>+'[2]por cuent'!B4144</f>
        <v>493006220</v>
      </c>
      <c r="C4144" t="str">
        <f>+'[2]por cuent'!C4144</f>
        <v>BOGGIO , Hugo Alberto</v>
      </c>
      <c r="D4144" s="35">
        <f>+'[2]por cuent'!G4144</f>
        <v>52.99</v>
      </c>
      <c r="E4144" s="35">
        <f>+'[2]por cuent'!H4144</f>
        <v>79250.784199999995</v>
      </c>
      <c r="F4144" t="str">
        <f>+'[2]por cuent'!I4144</f>
        <v>493</v>
      </c>
    </row>
    <row r="4145" spans="1:6" x14ac:dyDescent="0.35">
      <c r="A4145" t="str">
        <f>+'[2]por cuent'!A4145</f>
        <v>USD</v>
      </c>
      <c r="B4145" t="str">
        <f>+'[2]por cuent'!B4145</f>
        <v>493006418</v>
      </c>
      <c r="C4145" t="str">
        <f>+'[2]por cuent'!C4145</f>
        <v>CRAVERO, VALENTINA</v>
      </c>
      <c r="D4145" s="35">
        <f>+'[2]por cuent'!G4145</f>
        <v>1011.4</v>
      </c>
      <c r="E4145" s="35">
        <f>+'[2]por cuent'!H4145</f>
        <v>1512629.612</v>
      </c>
      <c r="F4145" t="str">
        <f>+'[2]por cuent'!I4145</f>
        <v>493</v>
      </c>
    </row>
    <row r="4146" spans="1:6" x14ac:dyDescent="0.35">
      <c r="A4146" t="str">
        <f>+'[2]por cuent'!A4146</f>
        <v>USD</v>
      </c>
      <c r="B4146" t="str">
        <f>+'[2]por cuent'!B4146</f>
        <v>493006436</v>
      </c>
      <c r="C4146" t="str">
        <f>+'[2]por cuent'!C4146</f>
        <v>STECHINA, Gabriel Andres</v>
      </c>
      <c r="D4146" s="35">
        <f>+'[2]por cuent'!G4146</f>
        <v>8039.9</v>
      </c>
      <c r="E4146" s="35">
        <f>+'[2]por cuent'!H4146</f>
        <v>12024313.641999999</v>
      </c>
      <c r="F4146" t="str">
        <f>+'[2]por cuent'!I4146</f>
        <v>493</v>
      </c>
    </row>
    <row r="4147" spans="1:6" x14ac:dyDescent="0.35">
      <c r="A4147" t="str">
        <f>+'[2]por cuent'!A4147</f>
        <v>USD</v>
      </c>
      <c r="B4147" t="str">
        <f>+'[2]por cuent'!B4147</f>
        <v>493006703</v>
      </c>
      <c r="C4147" t="str">
        <f>+'[2]por cuent'!C4147</f>
        <v>LA RINCONADA EMPRENDIMIENTOS S.A</v>
      </c>
      <c r="D4147" s="35">
        <f>+'[2]por cuent'!G4147</f>
        <v>26387.38</v>
      </c>
      <c r="E4147" s="35">
        <f>+'[2]por cuent'!H4147</f>
        <v>39464437.780400001</v>
      </c>
      <c r="F4147" t="str">
        <f>+'[2]por cuent'!I4147</f>
        <v>493</v>
      </c>
    </row>
    <row r="4148" spans="1:6" x14ac:dyDescent="0.35">
      <c r="A4148" t="str">
        <f>+'[2]por cuent'!A4148</f>
        <v>USD</v>
      </c>
      <c r="B4148" t="str">
        <f>+'[2]por cuent'!B4148</f>
        <v>493006765</v>
      </c>
      <c r="C4148" t="str">
        <f>+'[2]por cuent'!C4148</f>
        <v>NISNIEVICH, David Ezequiel</v>
      </c>
      <c r="D4148" s="35">
        <f>+'[2]por cuent'!G4148</f>
        <v>217.3</v>
      </c>
      <c r="E4148" s="35">
        <f>+'[2]por cuent'!H4148</f>
        <v>324989.53399999999</v>
      </c>
      <c r="F4148" t="str">
        <f>+'[2]por cuent'!I4148</f>
        <v>493</v>
      </c>
    </row>
    <row r="4149" spans="1:6" x14ac:dyDescent="0.35">
      <c r="A4149" t="str">
        <f>+'[2]por cuent'!A4149</f>
        <v>USD</v>
      </c>
      <c r="B4149" t="str">
        <f>+'[2]por cuent'!B4149</f>
        <v>493007111</v>
      </c>
      <c r="C4149" t="str">
        <f>+'[2]por cuent'!C4149</f>
        <v>TOURN, María Rosario</v>
      </c>
      <c r="D4149" s="35">
        <f>+'[2]por cuent'!G4149</f>
        <v>14918.75</v>
      </c>
      <c r="E4149" s="35">
        <f>+'[2]por cuent'!H4149</f>
        <v>22312184.125</v>
      </c>
      <c r="F4149" t="str">
        <f>+'[2]por cuent'!I4149</f>
        <v>493</v>
      </c>
    </row>
    <row r="4150" spans="1:6" x14ac:dyDescent="0.35">
      <c r="A4150" t="str">
        <f>+'[2]por cuent'!A4150</f>
        <v>USD</v>
      </c>
      <c r="B4150" t="str">
        <f>+'[2]por cuent'!B4150</f>
        <v>493007158</v>
      </c>
      <c r="C4150" t="str">
        <f>+'[2]por cuent'!C4150</f>
        <v>MARTINEZ, DIEGO ANDRES</v>
      </c>
      <c r="D4150" s="35">
        <f>+'[2]por cuent'!G4150</f>
        <v>4575.97</v>
      </c>
      <c r="E4150" s="35">
        <f>+'[2]por cuent'!H4150</f>
        <v>6843729.2126000002</v>
      </c>
      <c r="F4150" t="str">
        <f>+'[2]por cuent'!I4150</f>
        <v>493</v>
      </c>
    </row>
    <row r="4151" spans="1:6" x14ac:dyDescent="0.35">
      <c r="A4151" t="str">
        <f>+'[2]por cuent'!A4151</f>
        <v>USD</v>
      </c>
      <c r="B4151" t="str">
        <f>+'[2]por cuent'!B4151</f>
        <v>493007205</v>
      </c>
      <c r="C4151" t="str">
        <f>+'[2]por cuent'!C4151</f>
        <v>EL HORMIGON S.A.</v>
      </c>
      <c r="D4151" s="35">
        <f>+'[2]por cuent'!G4151</f>
        <v>175.73</v>
      </c>
      <c r="E4151" s="35">
        <f>+'[2]por cuent'!H4151</f>
        <v>262818.27339999995</v>
      </c>
      <c r="F4151" t="str">
        <f>+'[2]por cuent'!I4151</f>
        <v>493</v>
      </c>
    </row>
    <row r="4152" spans="1:6" x14ac:dyDescent="0.35">
      <c r="A4152" t="str">
        <f>+'[2]por cuent'!A4152</f>
        <v>USD</v>
      </c>
      <c r="B4152" t="str">
        <f>+'[2]por cuent'!B4152</f>
        <v>493007227</v>
      </c>
      <c r="C4152" t="str">
        <f>+'[2]por cuent'!C4152</f>
        <v>GARCIA DANIEL ENRIQUE</v>
      </c>
      <c r="D4152" s="35">
        <f>+'[2]por cuent'!G4152</f>
        <v>4.66</v>
      </c>
      <c r="E4152" s="35">
        <f>+'[2]por cuent'!H4152</f>
        <v>6969.4027999999998</v>
      </c>
      <c r="F4152" t="str">
        <f>+'[2]por cuent'!I4152</f>
        <v>493</v>
      </c>
    </row>
    <row r="4153" spans="1:6" x14ac:dyDescent="0.35">
      <c r="A4153" t="str">
        <f>+'[2]por cuent'!A4153</f>
        <v>USD</v>
      </c>
      <c r="B4153" t="str">
        <f>+'[2]por cuent'!B4153</f>
        <v>493007254</v>
      </c>
      <c r="C4153" t="str">
        <f>+'[2]por cuent'!C4153</f>
        <v>ARDELLINI, BRIAN URIEL</v>
      </c>
      <c r="D4153" s="35">
        <f>+'[2]por cuent'!G4153</f>
        <v>45070.28</v>
      </c>
      <c r="E4153" s="35">
        <f>+'[2]por cuent'!H4153</f>
        <v>67406209.362399995</v>
      </c>
      <c r="F4153" t="str">
        <f>+'[2]por cuent'!I4153</f>
        <v>493</v>
      </c>
    </row>
    <row r="4154" spans="1:6" x14ac:dyDescent="0.35">
      <c r="A4154" t="str">
        <f>+'[2]por cuent'!A4154</f>
        <v>USD</v>
      </c>
      <c r="B4154" t="str">
        <f>+'[2]por cuent'!B4154</f>
        <v>493007256</v>
      </c>
      <c r="C4154" t="str">
        <f>+'[2]por cuent'!C4154</f>
        <v>BIO GLOBAL S.R.L.</v>
      </c>
      <c r="D4154" s="35">
        <f>+'[2]por cuent'!G4154</f>
        <v>2556.46</v>
      </c>
      <c r="E4154" s="35">
        <f>+'[2]por cuent'!H4154</f>
        <v>3823390.4468</v>
      </c>
      <c r="F4154" t="str">
        <f>+'[2]por cuent'!I4154</f>
        <v>493</v>
      </c>
    </row>
    <row r="4155" spans="1:6" x14ac:dyDescent="0.35">
      <c r="A4155" t="str">
        <f>+'[2]por cuent'!A4155</f>
        <v>USD</v>
      </c>
      <c r="B4155" t="str">
        <f>+'[2]por cuent'!B4155</f>
        <v>493007273</v>
      </c>
      <c r="C4155" t="str">
        <f>+'[2]por cuent'!C4155</f>
        <v>BERTINI, NANCI ROSALIA</v>
      </c>
      <c r="D4155" s="35">
        <f>+'[2]por cuent'!G4155</f>
        <v>3007.3</v>
      </c>
      <c r="E4155" s="35">
        <f>+'[2]por cuent'!H4155</f>
        <v>4497657.7340000002</v>
      </c>
      <c r="F4155" t="str">
        <f>+'[2]por cuent'!I4155</f>
        <v>493</v>
      </c>
    </row>
    <row r="4156" spans="1:6" x14ac:dyDescent="0.35">
      <c r="A4156" t="str">
        <f>+'[2]por cuent'!A4156</f>
        <v>USD</v>
      </c>
      <c r="B4156" t="str">
        <f>+'[2]por cuent'!B4156</f>
        <v>493007292</v>
      </c>
      <c r="C4156" t="str">
        <f>+'[2]por cuent'!C4156</f>
        <v>CHIESA MARIA AMALIA</v>
      </c>
      <c r="D4156" s="35">
        <f>+'[2]por cuent'!G4156</f>
        <v>59.4</v>
      </c>
      <c r="E4156" s="35">
        <f>+'[2]por cuent'!H4156</f>
        <v>88837.45199999999</v>
      </c>
      <c r="F4156" t="str">
        <f>+'[2]por cuent'!I4156</f>
        <v>493</v>
      </c>
    </row>
    <row r="4157" spans="1:6" x14ac:dyDescent="0.35">
      <c r="A4157" t="str">
        <f>+'[2]por cuent'!A4157</f>
        <v>USD</v>
      </c>
      <c r="B4157" t="str">
        <f>+'[2]por cuent'!B4157</f>
        <v>493007299</v>
      </c>
      <c r="C4157" t="str">
        <f>+'[2]por cuent'!C4157</f>
        <v>ALCACER IGNACIO RAMON</v>
      </c>
      <c r="D4157" s="35">
        <f>+'[2]por cuent'!G4157</f>
        <v>1004.4</v>
      </c>
      <c r="E4157" s="35">
        <f>+'[2]por cuent'!H4157</f>
        <v>1502160.5519999999</v>
      </c>
      <c r="F4157" t="str">
        <f>+'[2]por cuent'!I4157</f>
        <v>493</v>
      </c>
    </row>
    <row r="4158" spans="1:6" x14ac:dyDescent="0.35">
      <c r="A4158" t="str">
        <f>+'[2]por cuent'!A4158</f>
        <v>USD</v>
      </c>
      <c r="B4158" t="str">
        <f>+'[2]por cuent'!B4158</f>
        <v>493007322</v>
      </c>
      <c r="C4158" t="str">
        <f>+'[2]por cuent'!C4158</f>
        <v>CAREY MARIA MONICA</v>
      </c>
      <c r="D4158" s="35">
        <f>+'[2]por cuent'!G4158</f>
        <v>1127.47</v>
      </c>
      <c r="E4158" s="35">
        <f>+'[2]por cuent'!H4158</f>
        <v>1686221.5825999998</v>
      </c>
      <c r="F4158" t="str">
        <f>+'[2]por cuent'!I4158</f>
        <v>493</v>
      </c>
    </row>
    <row r="4159" spans="1:6" x14ac:dyDescent="0.35">
      <c r="A4159" t="str">
        <f>+'[2]por cuent'!A4159</f>
        <v>USD</v>
      </c>
      <c r="B4159" t="str">
        <f>+'[2]por cuent'!B4159</f>
        <v>493007327</v>
      </c>
      <c r="C4159" t="str">
        <f>+'[2]por cuent'!C4159</f>
        <v xml:space="preserve">CHIESA ANA ELISA </v>
      </c>
      <c r="D4159" s="35">
        <f>+'[2]por cuent'!G4159</f>
        <v>178.5</v>
      </c>
      <c r="E4159" s="35">
        <f>+'[2]por cuent'!H4159</f>
        <v>266961.02999999997</v>
      </c>
      <c r="F4159" t="str">
        <f>+'[2]por cuent'!I4159</f>
        <v>493</v>
      </c>
    </row>
    <row r="4160" spans="1:6" x14ac:dyDescent="0.35">
      <c r="A4160" t="str">
        <f>+'[2]por cuent'!A4160</f>
        <v>USD</v>
      </c>
      <c r="B4160" t="str">
        <f>+'[2]por cuent'!B4160</f>
        <v>493007331</v>
      </c>
      <c r="C4160" t="str">
        <f>+'[2]por cuent'!C4160</f>
        <v>ANDRADA JUAN ANGEL</v>
      </c>
      <c r="D4160" s="35">
        <f>+'[2]por cuent'!G4160</f>
        <v>605.64</v>
      </c>
      <c r="E4160" s="35">
        <f>+'[2]por cuent'!H4160</f>
        <v>905783.07119999989</v>
      </c>
      <c r="F4160" t="str">
        <f>+'[2]por cuent'!I4160</f>
        <v>493</v>
      </c>
    </row>
    <row r="4161" spans="1:6" x14ac:dyDescent="0.35">
      <c r="A4161" t="str">
        <f>+'[2]por cuent'!A4161</f>
        <v>USD</v>
      </c>
      <c r="B4161" t="str">
        <f>+'[2]por cuent'!B4161</f>
        <v>493007352</v>
      </c>
      <c r="C4161" t="str">
        <f>+'[2]por cuent'!C4161</f>
        <v>PURINAN MARIA JOSE</v>
      </c>
      <c r="D4161" s="35">
        <f>+'[2]por cuent'!G4161</f>
        <v>404.37</v>
      </c>
      <c r="E4161" s="35">
        <f>+'[2]por cuent'!H4161</f>
        <v>604767.68459999992</v>
      </c>
      <c r="F4161" t="str">
        <f>+'[2]por cuent'!I4161</f>
        <v>493</v>
      </c>
    </row>
    <row r="4162" spans="1:6" x14ac:dyDescent="0.35">
      <c r="A4162" t="str">
        <f>+'[2]por cuent'!A4162</f>
        <v>USD</v>
      </c>
      <c r="B4162" t="str">
        <f>+'[2]por cuent'!B4162</f>
        <v>493007353</v>
      </c>
      <c r="C4162" t="str">
        <f>+'[2]por cuent'!C4162</f>
        <v>GLOBAL TURISMO S.R.L</v>
      </c>
      <c r="D4162" s="35">
        <f>+'[2]por cuent'!G4162</f>
        <v>57.89</v>
      </c>
      <c r="E4162" s="35">
        <f>+'[2]por cuent'!H4162</f>
        <v>86579.126199999999</v>
      </c>
      <c r="F4162" t="str">
        <f>+'[2]por cuent'!I4162</f>
        <v>493</v>
      </c>
    </row>
    <row r="4163" spans="1:6" x14ac:dyDescent="0.35">
      <c r="A4163" t="str">
        <f>+'[2]por cuent'!A4163</f>
        <v>USD</v>
      </c>
      <c r="B4163" t="str">
        <f>+'[2]por cuent'!B4163</f>
        <v>493007359</v>
      </c>
      <c r="C4163" t="str">
        <f>+'[2]por cuent'!C4163</f>
        <v>[C.E.R.A.] CANSINO CINTIA INES</v>
      </c>
      <c r="D4163" s="35">
        <f>+'[2]por cuent'!G4163</f>
        <v>6216.98</v>
      </c>
      <c r="E4163" s="35">
        <f>+'[2]por cuent'!H4163</f>
        <v>9297990.9483999982</v>
      </c>
      <c r="F4163" t="str">
        <f>+'[2]por cuent'!I4163</f>
        <v>493</v>
      </c>
    </row>
    <row r="4164" spans="1:6" x14ac:dyDescent="0.35">
      <c r="A4164" t="str">
        <f>+'[2]por cuent'!A4164</f>
        <v>USD</v>
      </c>
      <c r="B4164" t="str">
        <f>+'[2]por cuent'!B4164</f>
        <v>493007362</v>
      </c>
      <c r="C4164" t="str">
        <f>+'[2]por cuent'!C4164</f>
        <v>SIRYI GUSTAVO ALEJANDRO</v>
      </c>
      <c r="D4164" s="35">
        <f>+'[2]por cuent'!G4164</f>
        <v>1.64</v>
      </c>
      <c r="E4164" s="35">
        <f>+'[2]por cuent'!H4164</f>
        <v>2452.7511999999997</v>
      </c>
      <c r="F4164" t="str">
        <f>+'[2]por cuent'!I4164</f>
        <v>493</v>
      </c>
    </row>
    <row r="4165" spans="1:6" x14ac:dyDescent="0.35">
      <c r="A4165" t="str">
        <f>+'[2]por cuent'!A4165</f>
        <v>USD</v>
      </c>
      <c r="B4165" t="str">
        <f>+'[2]por cuent'!B4165</f>
        <v>493007364</v>
      </c>
      <c r="C4165" t="str">
        <f>+'[2]por cuent'!C4165</f>
        <v>MANAR S.A</v>
      </c>
      <c r="D4165" s="35">
        <f>+'[2]por cuent'!G4165</f>
        <v>311709</v>
      </c>
      <c r="E4165" s="35">
        <f>+'[2]por cuent'!H4165</f>
        <v>466185746.21999997</v>
      </c>
      <c r="F4165" t="str">
        <f>+'[2]por cuent'!I4165</f>
        <v>493</v>
      </c>
    </row>
    <row r="4166" spans="1:6" x14ac:dyDescent="0.35">
      <c r="A4166" t="str">
        <f>+'[2]por cuent'!A4166</f>
        <v>USD</v>
      </c>
      <c r="B4166" t="str">
        <f>+'[2]por cuent'!B4166</f>
        <v>493007374</v>
      </c>
      <c r="C4166" t="str">
        <f>+'[2]por cuent'!C4166</f>
        <v>ASOCIACION CIVIL CIRCUITO VERDE</v>
      </c>
      <c r="D4166" s="35">
        <f>+'[2]por cuent'!G4166</f>
        <v>799.72</v>
      </c>
      <c r="E4166" s="35">
        <f>+'[2]por cuent'!H4166</f>
        <v>1196045.2375999999</v>
      </c>
      <c r="F4166" t="str">
        <f>+'[2]por cuent'!I4166</f>
        <v>493</v>
      </c>
    </row>
    <row r="4167" spans="1:6" x14ac:dyDescent="0.35">
      <c r="A4167" t="str">
        <f>+'[2]por cuent'!A4167</f>
        <v>USD</v>
      </c>
      <c r="B4167" t="str">
        <f>+'[2]por cuent'!B4167</f>
        <v>493007377</v>
      </c>
      <c r="C4167" t="str">
        <f>+'[2]por cuent'!C4167</f>
        <v>GIROLAMI LUCAS JOSÉ</v>
      </c>
      <c r="D4167" s="35">
        <f>+'[2]por cuent'!G4167</f>
        <v>368.65</v>
      </c>
      <c r="E4167" s="35">
        <f>+'[2]por cuent'!H4167</f>
        <v>551345.56699999992</v>
      </c>
      <c r="F4167" t="str">
        <f>+'[2]por cuent'!I4167</f>
        <v>493</v>
      </c>
    </row>
    <row r="4168" spans="1:6" x14ac:dyDescent="0.35">
      <c r="A4168" t="str">
        <f>+'[2]por cuent'!A4168</f>
        <v>USD</v>
      </c>
      <c r="B4168" t="str">
        <f>+'[2]por cuent'!B4168</f>
        <v>493007379</v>
      </c>
      <c r="C4168" t="str">
        <f>+'[2]por cuent'!C4168</f>
        <v>INFANTE MARIA DE LAS MERCEDES</v>
      </c>
      <c r="D4168" s="35">
        <f>+'[2]por cuent'!G4168</f>
        <v>129.47</v>
      </c>
      <c r="E4168" s="35">
        <f>+'[2]por cuent'!H4168</f>
        <v>193632.7426</v>
      </c>
      <c r="F4168" t="str">
        <f>+'[2]por cuent'!I4168</f>
        <v>493</v>
      </c>
    </row>
    <row r="4169" spans="1:6" x14ac:dyDescent="0.35">
      <c r="A4169" t="str">
        <f>+'[2]por cuent'!A4169</f>
        <v>USD</v>
      </c>
      <c r="B4169" t="str">
        <f>+'[2]por cuent'!B4169</f>
        <v>493007393</v>
      </c>
      <c r="C4169" t="str">
        <f>+'[2]por cuent'!C4169</f>
        <v>ORTIZ ANTONIO FRANCISCO</v>
      </c>
      <c r="D4169" s="35">
        <f>+'[2]por cuent'!G4169</f>
        <v>9129.18</v>
      </c>
      <c r="E4169" s="35">
        <f>+'[2]por cuent'!H4169</f>
        <v>13653419.0244</v>
      </c>
      <c r="F4169" t="str">
        <f>+'[2]por cuent'!I4169</f>
        <v>493</v>
      </c>
    </row>
    <row r="4170" spans="1:6" x14ac:dyDescent="0.35">
      <c r="A4170" t="str">
        <f>+'[2]por cuent'!A4170</f>
        <v>USD</v>
      </c>
      <c r="B4170" t="str">
        <f>+'[2]por cuent'!B4170</f>
        <v>493007406</v>
      </c>
      <c r="C4170" t="str">
        <f>+'[2]por cuent'!C4170</f>
        <v>BERIZZO OSCAR CLAUDIO</v>
      </c>
      <c r="D4170" s="35">
        <f>+'[2]por cuent'!G4170</f>
        <v>940.35</v>
      </c>
      <c r="E4170" s="35">
        <f>+'[2]por cuent'!H4170</f>
        <v>1406368.6529999999</v>
      </c>
      <c r="F4170" t="str">
        <f>+'[2]por cuent'!I4170</f>
        <v>493</v>
      </c>
    </row>
    <row r="4171" spans="1:6" x14ac:dyDescent="0.35">
      <c r="A4171" t="str">
        <f>+'[2]por cuent'!A4171</f>
        <v>USD</v>
      </c>
      <c r="B4171" t="str">
        <f>+'[2]por cuent'!B4171</f>
        <v>493007409</v>
      </c>
      <c r="C4171" t="str">
        <f>+'[2]por cuent'!C4171</f>
        <v>MALIZIA NERINA</v>
      </c>
      <c r="D4171" s="35">
        <f>+'[2]por cuent'!G4171</f>
        <v>131.26</v>
      </c>
      <c r="E4171" s="35">
        <f>+'[2]por cuent'!H4171</f>
        <v>196309.83079999997</v>
      </c>
      <c r="F4171" t="str">
        <f>+'[2]por cuent'!I4171</f>
        <v>493</v>
      </c>
    </row>
    <row r="4172" spans="1:6" x14ac:dyDescent="0.35">
      <c r="A4172" t="str">
        <f>+'[2]por cuent'!A4172</f>
        <v>USD</v>
      </c>
      <c r="B4172" t="str">
        <f>+'[2]por cuent'!B4172</f>
        <v>493007411</v>
      </c>
      <c r="C4172" t="str">
        <f>+'[2]por cuent'!C4172</f>
        <v>CUMINETTI JUAN CARLOS</v>
      </c>
      <c r="D4172" s="35">
        <f>+'[2]por cuent'!G4172</f>
        <v>142.71</v>
      </c>
      <c r="E4172" s="35">
        <f>+'[2]por cuent'!H4172</f>
        <v>213434.2218</v>
      </c>
      <c r="F4172" t="str">
        <f>+'[2]por cuent'!I4172</f>
        <v>493</v>
      </c>
    </row>
    <row r="4173" spans="1:6" x14ac:dyDescent="0.35">
      <c r="A4173" t="str">
        <f>+'[2]por cuent'!A4173</f>
        <v>USD</v>
      </c>
      <c r="B4173" t="str">
        <f>+'[2]por cuent'!B4173</f>
        <v>493010010</v>
      </c>
      <c r="C4173" t="str">
        <f>+'[2]por cuent'!C4173</f>
        <v>ARIAS Jorge Roberto</v>
      </c>
      <c r="D4173" s="35">
        <f>+'[2]por cuent'!G4173</f>
        <v>126.4</v>
      </c>
      <c r="E4173" s="35">
        <f>+'[2]por cuent'!H4173</f>
        <v>189041.31200000001</v>
      </c>
      <c r="F4173" t="str">
        <f>+'[2]por cuent'!I4173</f>
        <v>493</v>
      </c>
    </row>
    <row r="4174" spans="1:6" x14ac:dyDescent="0.35">
      <c r="A4174" t="str">
        <f>+'[2]por cuent'!A4174</f>
        <v>USD</v>
      </c>
      <c r="B4174" t="str">
        <f>+'[2]por cuent'!B4174</f>
        <v>493010031</v>
      </c>
      <c r="C4174" t="str">
        <f>+'[2]por cuent'!C4174</f>
        <v>ARIAS Rodrigo German</v>
      </c>
      <c r="D4174" s="35">
        <f>+'[2]por cuent'!G4174</f>
        <v>5.69</v>
      </c>
      <c r="E4174" s="35">
        <f>+'[2]por cuent'!H4174</f>
        <v>8509.8502000000008</v>
      </c>
      <c r="F4174" t="str">
        <f>+'[2]por cuent'!I4174</f>
        <v>493</v>
      </c>
    </row>
    <row r="4175" spans="1:6" x14ac:dyDescent="0.35">
      <c r="A4175" t="str">
        <f>+'[2]por cuent'!A4175</f>
        <v>USD</v>
      </c>
      <c r="B4175" t="str">
        <f>+'[2]por cuent'!B4175</f>
        <v>493010072</v>
      </c>
      <c r="C4175" t="str">
        <f>+'[2]por cuent'!C4175</f>
        <v>FIPENCO SA</v>
      </c>
      <c r="D4175" s="35">
        <f>+'[2]por cuent'!G4175</f>
        <v>3.49</v>
      </c>
      <c r="E4175" s="35">
        <f>+'[2]por cuent'!H4175</f>
        <v>5219.5742</v>
      </c>
      <c r="F4175" t="str">
        <f>+'[2]por cuent'!I4175</f>
        <v>493</v>
      </c>
    </row>
    <row r="4176" spans="1:6" x14ac:dyDescent="0.35">
      <c r="A4176" t="str">
        <f>+'[2]por cuent'!A4176</f>
        <v>USD</v>
      </c>
      <c r="B4176" t="str">
        <f>+'[2]por cuent'!B4176</f>
        <v>534000012</v>
      </c>
      <c r="C4176" t="str">
        <f>+'[2]por cuent'!C4176</f>
        <v>Klixar S.R.L.</v>
      </c>
      <c r="D4176" s="35">
        <f>+'[2]por cuent'!G4176</f>
        <v>10000</v>
      </c>
      <c r="E4176" s="35">
        <f>+'[2]por cuent'!H4176</f>
        <v>14955800</v>
      </c>
      <c r="F4176" t="str">
        <f>+'[2]por cuent'!I4176</f>
        <v>534</v>
      </c>
    </row>
    <row r="4177" spans="1:6" x14ac:dyDescent="0.35">
      <c r="A4177" t="str">
        <f>+'[2]por cuent'!A4177</f>
        <v>USD</v>
      </c>
      <c r="B4177" t="str">
        <f>+'[2]por cuent'!B4177</f>
        <v>534000013</v>
      </c>
      <c r="C4177" t="str">
        <f>+'[2]por cuent'!C4177</f>
        <v>Francisco Gaubeca &amp; Marta Fernández &amp; Enrique Gaubeca</v>
      </c>
      <c r="D4177" s="35">
        <f>+'[2]por cuent'!G4177</f>
        <v>12666.32</v>
      </c>
      <c r="E4177" s="35">
        <f>+'[2]por cuent'!H4177</f>
        <v>18943494.865599997</v>
      </c>
      <c r="F4177" t="str">
        <f>+'[2]por cuent'!I4177</f>
        <v>534</v>
      </c>
    </row>
    <row r="4178" spans="1:6" x14ac:dyDescent="0.35">
      <c r="A4178" t="str">
        <f>+'[2]por cuent'!A4178</f>
        <v>USD</v>
      </c>
      <c r="B4178" t="str">
        <f>+'[2]por cuent'!B4178</f>
        <v>534000017</v>
      </c>
      <c r="C4178" t="str">
        <f>+'[2]por cuent'!C4178</f>
        <v>Ricardo Romero Mundani &amp; Graciela Mengual</v>
      </c>
      <c r="D4178" s="35">
        <f>+'[2]por cuent'!G4178</f>
        <v>5260.55</v>
      </c>
      <c r="E4178" s="35">
        <f>+'[2]por cuent'!H4178</f>
        <v>7867573.3689999999</v>
      </c>
      <c r="F4178" t="str">
        <f>+'[2]por cuent'!I4178</f>
        <v>534</v>
      </c>
    </row>
    <row r="4179" spans="1:6" x14ac:dyDescent="0.35">
      <c r="A4179" t="str">
        <f>+'[2]por cuent'!A4179</f>
        <v>USD</v>
      </c>
      <c r="B4179" t="str">
        <f>+'[2]por cuent'!B4179</f>
        <v>534000018</v>
      </c>
      <c r="C4179" t="str">
        <f>+'[2]por cuent'!C4179</f>
        <v>Schneider, Guillermo Omar, Garcia Fraguas, Monica Paola &amp; otros</v>
      </c>
      <c r="D4179" s="35">
        <f>+'[2]por cuent'!G4179</f>
        <v>45951.08</v>
      </c>
      <c r="E4179" s="35">
        <f>+'[2]por cuent'!H4179</f>
        <v>68723516.226400003</v>
      </c>
      <c r="F4179" t="str">
        <f>+'[2]por cuent'!I4179</f>
        <v>534</v>
      </c>
    </row>
    <row r="4180" spans="1:6" x14ac:dyDescent="0.35">
      <c r="A4180" t="str">
        <f>+'[2]por cuent'!A4180</f>
        <v>USD</v>
      </c>
      <c r="B4180" t="str">
        <f>+'[2]por cuent'!B4180</f>
        <v>534000019</v>
      </c>
      <c r="C4180" t="str">
        <f>+'[2]por cuent'!C4180</f>
        <v>Carlos Valdez &amp; Gabriela Fusaro</v>
      </c>
      <c r="D4180" s="35">
        <f>+'[2]por cuent'!G4180</f>
        <v>1415.18</v>
      </c>
      <c r="E4180" s="35">
        <f>+'[2]por cuent'!H4180</f>
        <v>2116514.9043999999</v>
      </c>
      <c r="F4180" t="str">
        <f>+'[2]por cuent'!I4180</f>
        <v>534</v>
      </c>
    </row>
    <row r="4181" spans="1:6" x14ac:dyDescent="0.35">
      <c r="A4181" t="str">
        <f>+'[2]por cuent'!A4181</f>
        <v>USD</v>
      </c>
      <c r="B4181" t="str">
        <f>+'[2]por cuent'!B4181</f>
        <v>534000052</v>
      </c>
      <c r="C4181" t="str">
        <f>+'[2]por cuent'!C4181</f>
        <v>Matranca, Enriqueta &amp; Busnelli, Esteban</v>
      </c>
      <c r="D4181" s="35">
        <f>+'[2]por cuent'!G4181</f>
        <v>115000</v>
      </c>
      <c r="E4181" s="35">
        <f>+'[2]por cuent'!H4181</f>
        <v>171991700</v>
      </c>
      <c r="F4181" t="str">
        <f>+'[2]por cuent'!I4181</f>
        <v>534</v>
      </c>
    </row>
    <row r="4182" spans="1:6" x14ac:dyDescent="0.35">
      <c r="A4182" t="str">
        <f>+'[2]por cuent'!A4182</f>
        <v>USD</v>
      </c>
      <c r="B4182" t="str">
        <f>+'[2]por cuent'!B4182</f>
        <v>534000054</v>
      </c>
      <c r="C4182" t="str">
        <f>+'[2]por cuent'!C4182</f>
        <v>Rocco Oscar &amp; Miracca Maria Julia</v>
      </c>
      <c r="D4182" s="35">
        <f>+'[2]por cuent'!G4182</f>
        <v>3605.24</v>
      </c>
      <c r="E4182" s="35">
        <f>+'[2]por cuent'!H4182</f>
        <v>5391924.8391999993</v>
      </c>
      <c r="F4182" t="str">
        <f>+'[2]por cuent'!I4182</f>
        <v>534</v>
      </c>
    </row>
    <row r="4183" spans="1:6" x14ac:dyDescent="0.35">
      <c r="A4183" t="str">
        <f>+'[2]por cuent'!A4183</f>
        <v>USD</v>
      </c>
      <c r="B4183" t="str">
        <f>+'[2]por cuent'!B4183</f>
        <v>534000070</v>
      </c>
      <c r="C4183" t="str">
        <f>+'[2]por cuent'!C4183</f>
        <v>Romero Oneto Eduardo &amp; Baumgart Elena</v>
      </c>
      <c r="D4183" s="35">
        <f>+'[2]por cuent'!G4183</f>
        <v>81535.539999999994</v>
      </c>
      <c r="E4183" s="35">
        <f>+'[2]por cuent'!H4183</f>
        <v>121942922.91319999</v>
      </c>
      <c r="F4183" t="str">
        <f>+'[2]por cuent'!I4183</f>
        <v>534</v>
      </c>
    </row>
    <row r="4184" spans="1:6" x14ac:dyDescent="0.35">
      <c r="A4184" t="str">
        <f>+'[2]por cuent'!A4184</f>
        <v>USD</v>
      </c>
      <c r="B4184" t="str">
        <f>+'[2]por cuent'!B4184</f>
        <v>534000076</v>
      </c>
      <c r="C4184" t="str">
        <f>+'[2]por cuent'!C4184</f>
        <v>Gaubeca Molina Ma. Eugenia &amp; Gaubeca Molina Ma. Fernanda</v>
      </c>
      <c r="D4184" s="35">
        <f>+'[2]por cuent'!G4184</f>
        <v>1347.84</v>
      </c>
      <c r="E4184" s="35">
        <f>+'[2]por cuent'!H4184</f>
        <v>2015802.5471999997</v>
      </c>
      <c r="F4184" t="str">
        <f>+'[2]por cuent'!I4184</f>
        <v>534</v>
      </c>
    </row>
    <row r="4185" spans="1:6" x14ac:dyDescent="0.35">
      <c r="A4185" t="str">
        <f>+'[2]por cuent'!A4185</f>
        <v>USD</v>
      </c>
      <c r="B4185" t="str">
        <f>+'[2]por cuent'!B4185</f>
        <v>534000077</v>
      </c>
      <c r="C4185" t="str">
        <f>+'[2]por cuent'!C4185</f>
        <v>Gaubeca Klix, Verónica</v>
      </c>
      <c r="D4185" s="35">
        <f>+'[2]por cuent'!G4185</f>
        <v>549.09</v>
      </c>
      <c r="E4185" s="35">
        <f>+'[2]por cuent'!H4185</f>
        <v>821208.02220000001</v>
      </c>
      <c r="F4185" t="str">
        <f>+'[2]por cuent'!I4185</f>
        <v>534</v>
      </c>
    </row>
    <row r="4186" spans="1:6" x14ac:dyDescent="0.35">
      <c r="A4186" t="str">
        <f>+'[2]por cuent'!A4186</f>
        <v>USD</v>
      </c>
      <c r="B4186" t="str">
        <f>+'[2]por cuent'!B4186</f>
        <v>534000080</v>
      </c>
      <c r="C4186" t="str">
        <f>+'[2]por cuent'!C4186</f>
        <v>Ibarra, Eliseo Agustín</v>
      </c>
      <c r="D4186" s="35">
        <f>+'[2]por cuent'!G4186</f>
        <v>1115.73</v>
      </c>
      <c r="E4186" s="35">
        <f>+'[2]por cuent'!H4186</f>
        <v>1668663.4734</v>
      </c>
      <c r="F4186" t="str">
        <f>+'[2]por cuent'!I4186</f>
        <v>534</v>
      </c>
    </row>
    <row r="4187" spans="1:6" x14ac:dyDescent="0.35">
      <c r="A4187" t="str">
        <f>+'[2]por cuent'!A4187</f>
        <v>USD</v>
      </c>
      <c r="B4187" t="str">
        <f>+'[2]por cuent'!B4187</f>
        <v>534000094</v>
      </c>
      <c r="C4187" t="str">
        <f>+'[2]por cuent'!C4187</f>
        <v>Romero Oneto, Alejandro &amp; Obarrio Victoria</v>
      </c>
      <c r="D4187" s="35">
        <f>+'[2]por cuent'!G4187</f>
        <v>58133.67</v>
      </c>
      <c r="E4187" s="35">
        <f>+'[2]por cuent'!H4187</f>
        <v>86943554.178599998</v>
      </c>
      <c r="F4187" t="str">
        <f>+'[2]por cuent'!I4187</f>
        <v>534</v>
      </c>
    </row>
    <row r="4188" spans="1:6" x14ac:dyDescent="0.35">
      <c r="A4188" t="str">
        <f>+'[2]por cuent'!A4188</f>
        <v>USD</v>
      </c>
      <c r="B4188" t="str">
        <f>+'[2]por cuent'!B4188</f>
        <v>534000107</v>
      </c>
      <c r="C4188" t="str">
        <f>+'[2]por cuent'!C4188</f>
        <v>Romero Mundani, Melisa &amp; Carluccio, Federico</v>
      </c>
      <c r="D4188" s="35">
        <f>+'[2]por cuent'!G4188</f>
        <v>1741.06</v>
      </c>
      <c r="E4188" s="35">
        <f>+'[2]por cuent'!H4188</f>
        <v>2603894.5148</v>
      </c>
      <c r="F4188" t="str">
        <f>+'[2]por cuent'!I4188</f>
        <v>534</v>
      </c>
    </row>
    <row r="4189" spans="1:6" x14ac:dyDescent="0.35">
      <c r="A4189" t="str">
        <f>+'[2]por cuent'!A4189</f>
        <v>USD</v>
      </c>
      <c r="B4189" t="str">
        <f>+'[2]por cuent'!B4189</f>
        <v>534000111</v>
      </c>
      <c r="C4189" t="str">
        <f>+'[2]por cuent'!C4189</f>
        <v>Licastro Prado, Florencia &amp; Gaubeca Klix, Enrique</v>
      </c>
      <c r="D4189" s="35">
        <f>+'[2]por cuent'!G4189</f>
        <v>27432.48</v>
      </c>
      <c r="E4189" s="35">
        <f>+'[2]por cuent'!H4189</f>
        <v>41027468.4384</v>
      </c>
      <c r="F4189" t="str">
        <f>+'[2]por cuent'!I4189</f>
        <v>534</v>
      </c>
    </row>
    <row r="4190" spans="1:6" x14ac:dyDescent="0.35">
      <c r="A4190" t="str">
        <f>+'[2]por cuent'!A4190</f>
        <v>USD</v>
      </c>
      <c r="B4190" t="str">
        <f>+'[2]por cuent'!B4190</f>
        <v>534000115</v>
      </c>
      <c r="C4190" t="str">
        <f>+'[2]por cuent'!C4190</f>
        <v>Dansa S.A.</v>
      </c>
      <c r="D4190" s="35">
        <f>+'[2]por cuent'!G4190</f>
        <v>65000</v>
      </c>
      <c r="E4190" s="35">
        <f>+'[2]por cuent'!H4190</f>
        <v>97212700</v>
      </c>
      <c r="F4190" t="str">
        <f>+'[2]por cuent'!I4190</f>
        <v>534</v>
      </c>
    </row>
    <row r="4191" spans="1:6" x14ac:dyDescent="0.35">
      <c r="A4191" t="str">
        <f>+'[2]por cuent'!A4191</f>
        <v>USD</v>
      </c>
      <c r="B4191" t="str">
        <f>+'[2]por cuent'!B4191</f>
        <v>534000134</v>
      </c>
      <c r="C4191" t="str">
        <f>+'[2]por cuent'!C4191</f>
        <v>Martin, Nicolas &amp; Malaisi, Maria Belen</v>
      </c>
      <c r="D4191" s="35">
        <f>+'[2]por cuent'!G4191</f>
        <v>2787.76</v>
      </c>
      <c r="E4191" s="35">
        <f>+'[2]por cuent'!H4191</f>
        <v>4169318.1008000001</v>
      </c>
      <c r="F4191" t="str">
        <f>+'[2]por cuent'!I4191</f>
        <v>534</v>
      </c>
    </row>
    <row r="4192" spans="1:6" x14ac:dyDescent="0.35">
      <c r="A4192" t="str">
        <f>+'[2]por cuent'!A4192</f>
        <v>USD</v>
      </c>
      <c r="B4192" t="str">
        <f>+'[2]por cuent'!B4192</f>
        <v>534000154</v>
      </c>
      <c r="C4192" t="str">
        <f>+'[2]por cuent'!C4192</f>
        <v>Díaz, Matías Nicolás</v>
      </c>
      <c r="D4192" s="35">
        <f>+'[2]por cuent'!G4192</f>
        <v>59119.87</v>
      </c>
      <c r="E4192" s="35">
        <f>+'[2]por cuent'!H4192</f>
        <v>88418495.174600005</v>
      </c>
      <c r="F4192" t="str">
        <f>+'[2]por cuent'!I4192</f>
        <v>534</v>
      </c>
    </row>
    <row r="4193" spans="1:6" x14ac:dyDescent="0.35">
      <c r="A4193" t="str">
        <f>+'[2]por cuent'!A4193</f>
        <v>USD</v>
      </c>
      <c r="B4193" t="str">
        <f>+'[2]por cuent'!B4193</f>
        <v>534000162</v>
      </c>
      <c r="C4193" t="str">
        <f>+'[2]por cuent'!C4193</f>
        <v>Monaco Rolando &amp; Barolo María del Carmen</v>
      </c>
      <c r="D4193" s="35">
        <f>+'[2]por cuent'!G4193</f>
        <v>2508.59</v>
      </c>
      <c r="E4193" s="35">
        <f>+'[2]por cuent'!H4193</f>
        <v>3751797.0322000002</v>
      </c>
      <c r="F4193" t="str">
        <f>+'[2]por cuent'!I4193</f>
        <v>534</v>
      </c>
    </row>
    <row r="4194" spans="1:6" x14ac:dyDescent="0.35">
      <c r="A4194" t="str">
        <f>+'[2]por cuent'!A4194</f>
        <v>USD</v>
      </c>
      <c r="B4194" t="str">
        <f>+'[2]por cuent'!B4194</f>
        <v>534000170</v>
      </c>
      <c r="C4194" t="str">
        <f>+'[2]por cuent'!C4194</f>
        <v>Marini, María Victoria &amp; Dominguez, Juan Manuel</v>
      </c>
      <c r="D4194" s="35">
        <f>+'[2]por cuent'!G4194</f>
        <v>2.17</v>
      </c>
      <c r="E4194" s="35">
        <f>+'[2]por cuent'!H4194</f>
        <v>3245.4085999999998</v>
      </c>
      <c r="F4194" t="str">
        <f>+'[2]por cuent'!I4194</f>
        <v>534</v>
      </c>
    </row>
    <row r="4195" spans="1:6" x14ac:dyDescent="0.35">
      <c r="A4195" t="str">
        <f>+'[2]por cuent'!A4195</f>
        <v>USD</v>
      </c>
      <c r="B4195" t="str">
        <f>+'[2]por cuent'!B4195</f>
        <v>534000182</v>
      </c>
      <c r="C4195" t="str">
        <f>+'[2]por cuent'!C4195</f>
        <v>DUBAC URBANISMO S.A.</v>
      </c>
      <c r="D4195" s="35">
        <f>+'[2]por cuent'!G4195</f>
        <v>6991.13</v>
      </c>
      <c r="E4195" s="35">
        <f>+'[2]por cuent'!H4195</f>
        <v>10455794.205399999</v>
      </c>
      <c r="F4195" t="str">
        <f>+'[2]por cuent'!I4195</f>
        <v>534</v>
      </c>
    </row>
    <row r="4196" spans="1:6" x14ac:dyDescent="0.35">
      <c r="A4196" t="str">
        <f>+'[2]por cuent'!A4196</f>
        <v>USD</v>
      </c>
      <c r="B4196" t="str">
        <f>+'[2]por cuent'!B4196</f>
        <v>534000185</v>
      </c>
      <c r="C4196" t="str">
        <f>+'[2]por cuent'!C4196</f>
        <v>Bastanchuri, Ignacio &amp; Carpineti, Ma. Elena &amp; Bastanchuri, Ma. Mercedes (II)</v>
      </c>
      <c r="D4196" s="35">
        <f>+'[2]por cuent'!G4196</f>
        <v>37052.68</v>
      </c>
      <c r="E4196" s="35">
        <f>+'[2]por cuent'!H4196</f>
        <v>55415247.154399998</v>
      </c>
      <c r="F4196" t="str">
        <f>+'[2]por cuent'!I4196</f>
        <v>534</v>
      </c>
    </row>
    <row r="4197" spans="1:6" x14ac:dyDescent="0.35">
      <c r="A4197" t="str">
        <f>+'[2]por cuent'!A4197</f>
        <v>USD</v>
      </c>
      <c r="B4197" t="str">
        <f>+'[2]por cuent'!B4197</f>
        <v>534000204</v>
      </c>
      <c r="C4197" t="str">
        <f>+'[2]por cuent'!C4197</f>
        <v>Maggi, Ana Maria &amp; Caviglia, Fernando Cristian</v>
      </c>
      <c r="D4197" s="35">
        <f>+'[2]por cuent'!G4197</f>
        <v>8885.1299999999992</v>
      </c>
      <c r="E4197" s="35">
        <f>+'[2]por cuent'!H4197</f>
        <v>13288422.725399999</v>
      </c>
      <c r="F4197" t="str">
        <f>+'[2]por cuent'!I4197</f>
        <v>534</v>
      </c>
    </row>
    <row r="4198" spans="1:6" x14ac:dyDescent="0.35">
      <c r="A4198" t="str">
        <f>+'[2]por cuent'!A4198</f>
        <v>USD</v>
      </c>
      <c r="B4198" t="str">
        <f>+'[2]por cuent'!B4198</f>
        <v>534000206</v>
      </c>
      <c r="C4198" t="str">
        <f>+'[2]por cuent'!C4198</f>
        <v>Podesta, Maximiliano</v>
      </c>
      <c r="D4198" s="35">
        <f>+'[2]por cuent'!G4198</f>
        <v>5353.71</v>
      </c>
      <c r="E4198" s="35">
        <f>+'[2]por cuent'!H4198</f>
        <v>8006901.6017999994</v>
      </c>
      <c r="F4198" t="str">
        <f>+'[2]por cuent'!I4198</f>
        <v>534</v>
      </c>
    </row>
    <row r="4199" spans="1:6" x14ac:dyDescent="0.35">
      <c r="A4199" t="str">
        <f>+'[2]por cuent'!A4199</f>
        <v>USD</v>
      </c>
      <c r="B4199" t="str">
        <f>+'[2]por cuent'!B4199</f>
        <v>534000207</v>
      </c>
      <c r="C4199" t="str">
        <f>+'[2]por cuent'!C4199</f>
        <v>Bertsos, Martin Alejandro</v>
      </c>
      <c r="D4199" s="35">
        <f>+'[2]por cuent'!G4199</f>
        <v>10217.540000000001</v>
      </c>
      <c r="E4199" s="35">
        <f>+'[2]por cuent'!H4199</f>
        <v>15281148.473200001</v>
      </c>
      <c r="F4199" t="str">
        <f>+'[2]por cuent'!I4199</f>
        <v>534</v>
      </c>
    </row>
    <row r="4200" spans="1:6" x14ac:dyDescent="0.35">
      <c r="A4200" t="str">
        <f>+'[2]por cuent'!A4200</f>
        <v>USD</v>
      </c>
      <c r="B4200" t="str">
        <f>+'[2]por cuent'!B4200</f>
        <v>534000209</v>
      </c>
      <c r="C4200" t="str">
        <f>+'[2]por cuent'!C4200</f>
        <v>Campomane, María Cristina &amp; Percossi, María Luciana</v>
      </c>
      <c r="D4200" s="35">
        <f>+'[2]por cuent'!G4200</f>
        <v>7400.63</v>
      </c>
      <c r="E4200" s="35">
        <f>+'[2]por cuent'!H4200</f>
        <v>11068234.215399999</v>
      </c>
      <c r="F4200" t="str">
        <f>+'[2]por cuent'!I4200</f>
        <v>534</v>
      </c>
    </row>
    <row r="4201" spans="1:6" x14ac:dyDescent="0.35">
      <c r="A4201" t="str">
        <f>+'[2]por cuent'!A4201</f>
        <v>USD</v>
      </c>
      <c r="B4201" t="str">
        <f>+'[2]por cuent'!B4201</f>
        <v>534000210</v>
      </c>
      <c r="C4201" t="str">
        <f>+'[2]por cuent'!C4201</f>
        <v>Magri, José &amp; Prieto, Cecilia</v>
      </c>
      <c r="D4201" s="35">
        <f>+'[2]por cuent'!G4201</f>
        <v>17291.18</v>
      </c>
      <c r="E4201" s="35">
        <f>+'[2]por cuent'!H4201</f>
        <v>25860342.9844</v>
      </c>
      <c r="F4201" t="str">
        <f>+'[2]por cuent'!I4201</f>
        <v>534</v>
      </c>
    </row>
    <row r="4202" spans="1:6" x14ac:dyDescent="0.35">
      <c r="A4202" t="str">
        <f>+'[2]por cuent'!A4202</f>
        <v>USD</v>
      </c>
      <c r="B4202" t="str">
        <f>+'[2]por cuent'!B4202</f>
        <v>534000300</v>
      </c>
      <c r="C4202" t="str">
        <f>+'[2]por cuent'!C4202</f>
        <v>BCSA SD AXIS ESTRATEGIA 14</v>
      </c>
      <c r="D4202" s="35">
        <f>+'[2]por cuent'!G4202</f>
        <v>14043.29</v>
      </c>
      <c r="E4202" s="35">
        <f>+'[2]por cuent'!H4202</f>
        <v>21002863.658199999</v>
      </c>
      <c r="F4202" t="str">
        <f>+'[2]por cuent'!I4202</f>
        <v>534</v>
      </c>
    </row>
    <row r="4203" spans="1:6" x14ac:dyDescent="0.35">
      <c r="A4203" t="str">
        <f>+'[2]por cuent'!A4203</f>
        <v>USD</v>
      </c>
      <c r="B4203" t="str">
        <f>+'[2]por cuent'!B4203</f>
        <v>534000502</v>
      </c>
      <c r="C4203" t="str">
        <f>+'[2]por cuent'!C4203</f>
        <v>Laffont Oscar &amp; Perri Mariana</v>
      </c>
      <c r="D4203" s="35">
        <f>+'[2]por cuent'!G4203</f>
        <v>10000</v>
      </c>
      <c r="E4203" s="35">
        <f>+'[2]por cuent'!H4203</f>
        <v>14955800</v>
      </c>
      <c r="F4203" t="str">
        <f>+'[2]por cuent'!I4203</f>
        <v>534</v>
      </c>
    </row>
    <row r="4204" spans="1:6" x14ac:dyDescent="0.35">
      <c r="A4204" t="str">
        <f>+'[2]por cuent'!A4204</f>
        <v>USD</v>
      </c>
      <c r="B4204" t="str">
        <f>+'[2]por cuent'!B4204</f>
        <v>534000651</v>
      </c>
      <c r="C4204" t="str">
        <f>+'[2]por cuent'!C4204</f>
        <v>FARMACIA MARIA LAURA CURRO SCS</v>
      </c>
      <c r="D4204" s="35">
        <f>+'[2]por cuent'!G4204</f>
        <v>11837.66</v>
      </c>
      <c r="E4204" s="35">
        <f>+'[2]por cuent'!H4204</f>
        <v>17704167.542799998</v>
      </c>
      <c r="F4204" t="str">
        <f>+'[2]por cuent'!I4204</f>
        <v>534</v>
      </c>
    </row>
    <row r="4205" spans="1:6" x14ac:dyDescent="0.35">
      <c r="A4205" t="str">
        <f>+'[2]por cuent'!A4205</f>
        <v>USD</v>
      </c>
      <c r="B4205" t="str">
        <f>+'[2]por cuent'!B4205</f>
        <v>534000652</v>
      </c>
      <c r="C4205" t="str">
        <f>+'[2]por cuent'!C4205</f>
        <v>NUEVA FARMACIA MOURIN SCS</v>
      </c>
      <c r="D4205" s="35">
        <f>+'[2]por cuent'!G4205</f>
        <v>12946.84</v>
      </c>
      <c r="E4205" s="35">
        <f>+'[2]por cuent'!H4205</f>
        <v>19363034.9672</v>
      </c>
      <c r="F4205" t="str">
        <f>+'[2]por cuent'!I4205</f>
        <v>534</v>
      </c>
    </row>
    <row r="4206" spans="1:6" x14ac:dyDescent="0.35">
      <c r="A4206" t="str">
        <f>+'[2]por cuent'!A4206</f>
        <v>USD</v>
      </c>
      <c r="B4206" t="str">
        <f>+'[2]por cuent'!B4206</f>
        <v>534000653</v>
      </c>
      <c r="C4206" t="str">
        <f>+'[2]por cuent'!C4206</f>
        <v>SAN MARTIN 3300 SCS</v>
      </c>
      <c r="D4206" s="35">
        <f>+'[2]por cuent'!G4206</f>
        <v>32112.799999999999</v>
      </c>
      <c r="E4206" s="35">
        <f>+'[2]por cuent'!H4206</f>
        <v>48027261.423999995</v>
      </c>
      <c r="F4206" t="str">
        <f>+'[2]por cuent'!I4206</f>
        <v>534</v>
      </c>
    </row>
    <row r="4207" spans="1:6" x14ac:dyDescent="0.35">
      <c r="A4207" t="str">
        <f>+'[2]por cuent'!A4207</f>
        <v>USD</v>
      </c>
      <c r="B4207" t="str">
        <f>+'[2]por cuent'!B4207</f>
        <v>534000654</v>
      </c>
      <c r="C4207" t="str">
        <f>+'[2]por cuent'!C4207</f>
        <v>ROCALAN S.C.S.</v>
      </c>
      <c r="D4207" s="35">
        <f>+'[2]por cuent'!G4207</f>
        <v>17606.16</v>
      </c>
      <c r="E4207" s="35">
        <f>+'[2]por cuent'!H4207</f>
        <v>26331420.772799999</v>
      </c>
      <c r="F4207" t="str">
        <f>+'[2]por cuent'!I4207</f>
        <v>534</v>
      </c>
    </row>
    <row r="4208" spans="1:6" x14ac:dyDescent="0.35">
      <c r="A4208" t="str">
        <f>+'[2]por cuent'!A4208</f>
        <v>USD</v>
      </c>
      <c r="B4208" t="str">
        <f>+'[2]por cuent'!B4208</f>
        <v>534000655</v>
      </c>
      <c r="C4208" t="str">
        <f>+'[2]por cuent'!C4208</f>
        <v>FARMACIA CABEZUELO SCS</v>
      </c>
      <c r="D4208" s="35">
        <f>+'[2]por cuent'!G4208</f>
        <v>3266.01</v>
      </c>
      <c r="E4208" s="35">
        <f>+'[2]por cuent'!H4208</f>
        <v>4884579.2357999999</v>
      </c>
      <c r="F4208" t="str">
        <f>+'[2]por cuent'!I4208</f>
        <v>534</v>
      </c>
    </row>
    <row r="4209" spans="1:6" x14ac:dyDescent="0.35">
      <c r="A4209" t="str">
        <f>+'[2]por cuent'!A4209</f>
        <v>USD</v>
      </c>
      <c r="B4209" t="str">
        <f>+'[2]por cuent'!B4209</f>
        <v>534000656</v>
      </c>
      <c r="C4209" t="str">
        <f>+'[2]por cuent'!C4209</f>
        <v>PFM MARCOS AVELLANEDA SCS</v>
      </c>
      <c r="D4209" s="35">
        <f>+'[2]por cuent'!G4209</f>
        <v>9015.89</v>
      </c>
      <c r="E4209" s="35">
        <f>+'[2]por cuent'!H4209</f>
        <v>13483984.766199999</v>
      </c>
      <c r="F4209" t="str">
        <f>+'[2]por cuent'!I4209</f>
        <v>534</v>
      </c>
    </row>
    <row r="4210" spans="1:6" x14ac:dyDescent="0.35">
      <c r="A4210" t="str">
        <f>+'[2]por cuent'!A4210</f>
        <v>USD</v>
      </c>
      <c r="B4210" t="str">
        <f>+'[2]por cuent'!B4210</f>
        <v>534000657</v>
      </c>
      <c r="C4210" t="str">
        <f>+'[2]por cuent'!C4210</f>
        <v>FARMACIA ESCALADA DE LANUS SCS</v>
      </c>
      <c r="D4210" s="35">
        <f>+'[2]por cuent'!G4210</f>
        <v>17351.03</v>
      </c>
      <c r="E4210" s="35">
        <f>+'[2]por cuent'!H4210</f>
        <v>25949853.447399996</v>
      </c>
      <c r="F4210" t="str">
        <f>+'[2]por cuent'!I4210</f>
        <v>534</v>
      </c>
    </row>
    <row r="4211" spans="1:6" x14ac:dyDescent="0.35">
      <c r="A4211" t="str">
        <f>+'[2]por cuent'!A4211</f>
        <v>USD</v>
      </c>
      <c r="B4211" t="str">
        <f>+'[2]por cuent'!B4211</f>
        <v>534000659</v>
      </c>
      <c r="C4211" t="str">
        <f>+'[2]por cuent'!C4211</f>
        <v>RIVADALVEAR SCS</v>
      </c>
      <c r="D4211" s="35">
        <f>+'[2]por cuent'!G4211</f>
        <v>33728.1</v>
      </c>
      <c r="E4211" s="35">
        <f>+'[2]por cuent'!H4211</f>
        <v>50443071.797999993</v>
      </c>
      <c r="F4211" t="str">
        <f>+'[2]por cuent'!I4211</f>
        <v>534</v>
      </c>
    </row>
    <row r="4212" spans="1:6" x14ac:dyDescent="0.35">
      <c r="A4212" t="str">
        <f>+'[2]por cuent'!A4212</f>
        <v>USD</v>
      </c>
      <c r="B4212" t="str">
        <f>+'[2]por cuent'!B4212</f>
        <v>534000660</v>
      </c>
      <c r="C4212" t="str">
        <f>+'[2]por cuent'!C4212</f>
        <v>FARMACUSTOM BERNAL SCS</v>
      </c>
      <c r="D4212" s="35">
        <f>+'[2]por cuent'!G4212</f>
        <v>3243.2</v>
      </c>
      <c r="E4212" s="35">
        <f>+'[2]por cuent'!H4212</f>
        <v>4850465.0559999999</v>
      </c>
      <c r="F4212" t="str">
        <f>+'[2]por cuent'!I4212</f>
        <v>534</v>
      </c>
    </row>
    <row r="4213" spans="1:6" x14ac:dyDescent="0.35">
      <c r="A4213" t="str">
        <f>+'[2]por cuent'!A4213</f>
        <v>USD</v>
      </c>
      <c r="B4213" t="str">
        <f>+'[2]por cuent'!B4213</f>
        <v>534000661</v>
      </c>
      <c r="C4213" t="str">
        <f>+'[2]por cuent'!C4213</f>
        <v>FARMACIA FDOCE SCS</v>
      </c>
      <c r="D4213" s="35">
        <f>+'[2]por cuent'!G4213</f>
        <v>20247.25</v>
      </c>
      <c r="E4213" s="35">
        <f>+'[2]por cuent'!H4213</f>
        <v>30281382.154999997</v>
      </c>
      <c r="F4213" t="str">
        <f>+'[2]por cuent'!I4213</f>
        <v>534</v>
      </c>
    </row>
    <row r="4214" spans="1:6" x14ac:dyDescent="0.35">
      <c r="A4214" t="str">
        <f>+'[2]por cuent'!A4214</f>
        <v>USD</v>
      </c>
      <c r="B4214" t="str">
        <f>+'[2]por cuent'!B4214</f>
        <v>534000662</v>
      </c>
      <c r="C4214" t="str">
        <f>+'[2]por cuent'!C4214</f>
        <v>FARMACIA DE LA PLAZA SCS</v>
      </c>
      <c r="D4214" s="35">
        <f>+'[2]por cuent'!G4214</f>
        <v>24248.94</v>
      </c>
      <c r="E4214" s="35">
        <f>+'[2]por cuent'!H4214</f>
        <v>36266229.685199998</v>
      </c>
      <c r="F4214" t="str">
        <f>+'[2]por cuent'!I4214</f>
        <v>534</v>
      </c>
    </row>
    <row r="4215" spans="1:6" x14ac:dyDescent="0.35">
      <c r="A4215" t="str">
        <f>+'[2]por cuent'!A4215</f>
        <v>USD</v>
      </c>
      <c r="B4215" t="str">
        <f>+'[2]por cuent'!B4215</f>
        <v>534000663</v>
      </c>
      <c r="C4215" t="str">
        <f>+'[2]por cuent'!C4215</f>
        <v>FARMACIA TORRES SCS</v>
      </c>
      <c r="D4215" s="35">
        <f>+'[2]por cuent'!G4215</f>
        <v>5467.81</v>
      </c>
      <c r="E4215" s="35">
        <f>+'[2]por cuent'!H4215</f>
        <v>8177547.2798000006</v>
      </c>
      <c r="F4215" t="str">
        <f>+'[2]por cuent'!I4215</f>
        <v>534</v>
      </c>
    </row>
    <row r="4216" spans="1:6" x14ac:dyDescent="0.35">
      <c r="A4216" t="str">
        <f>+'[2]por cuent'!A4216</f>
        <v>USD</v>
      </c>
      <c r="B4216" t="str">
        <f>+'[2]por cuent'!B4216</f>
        <v>534000666</v>
      </c>
      <c r="C4216" t="str">
        <f>+'[2]por cuent'!C4216</f>
        <v>GRUPO FARMACEUTICO SCS</v>
      </c>
      <c r="D4216" s="35">
        <f>+'[2]por cuent'!G4216</f>
        <v>21910.1</v>
      </c>
      <c r="E4216" s="35">
        <f>+'[2]por cuent'!H4216</f>
        <v>32768307.357999995</v>
      </c>
      <c r="F4216" t="str">
        <f>+'[2]por cuent'!I4216</f>
        <v>534</v>
      </c>
    </row>
    <row r="4217" spans="1:6" x14ac:dyDescent="0.35">
      <c r="A4217" t="str">
        <f>+'[2]por cuent'!A4217</f>
        <v>USD</v>
      </c>
      <c r="B4217" t="str">
        <f>+'[2]por cuent'!B4217</f>
        <v>534000667</v>
      </c>
      <c r="C4217" t="str">
        <f>+'[2]por cuent'!C4217</f>
        <v>PFM NUEVA PRADO SCS</v>
      </c>
      <c r="D4217" s="35">
        <f>+'[2]por cuent'!G4217</f>
        <v>30161.1</v>
      </c>
      <c r="E4217" s="35">
        <f>+'[2]por cuent'!H4217</f>
        <v>45108337.937999994</v>
      </c>
      <c r="F4217" t="str">
        <f>+'[2]por cuent'!I4217</f>
        <v>534</v>
      </c>
    </row>
    <row r="4218" spans="1:6" x14ac:dyDescent="0.35">
      <c r="A4218" t="str">
        <f>+'[2]por cuent'!A4218</f>
        <v>USD</v>
      </c>
      <c r="B4218" t="str">
        <f>+'[2]por cuent'!B4218</f>
        <v>534000668</v>
      </c>
      <c r="C4218" t="str">
        <f>+'[2]por cuent'!C4218</f>
        <v>SBATELLA FARMACEUTICA SCS</v>
      </c>
      <c r="D4218" s="35">
        <f>+'[2]por cuent'!G4218</f>
        <v>37014</v>
      </c>
      <c r="E4218" s="35">
        <f>+'[2]por cuent'!H4218</f>
        <v>55357398.119999997</v>
      </c>
      <c r="F4218" t="str">
        <f>+'[2]por cuent'!I4218</f>
        <v>534</v>
      </c>
    </row>
    <row r="4219" spans="1:6" x14ac:dyDescent="0.35">
      <c r="A4219" t="str">
        <f>+'[2]por cuent'!A4219</f>
        <v>USD</v>
      </c>
      <c r="B4219" t="str">
        <f>+'[2]por cuent'!B4219</f>
        <v>534000669</v>
      </c>
      <c r="C4219" t="str">
        <f>+'[2]por cuent'!C4219</f>
        <v>PFM ITATI SCS</v>
      </c>
      <c r="D4219" s="35">
        <f>+'[2]por cuent'!G4219</f>
        <v>39549.65</v>
      </c>
      <c r="E4219" s="35">
        <f>+'[2]por cuent'!H4219</f>
        <v>59149665.546999998</v>
      </c>
      <c r="F4219" t="str">
        <f>+'[2]por cuent'!I4219</f>
        <v>534</v>
      </c>
    </row>
    <row r="4220" spans="1:6" x14ac:dyDescent="0.35">
      <c r="A4220" t="str">
        <f>+'[2]por cuent'!A4220</f>
        <v>USD</v>
      </c>
      <c r="B4220" t="str">
        <f>+'[2]por cuent'!B4220</f>
        <v>534000670</v>
      </c>
      <c r="C4220" t="str">
        <f>+'[2]por cuent'!C4220</f>
        <v>PFM BEFFA SCS</v>
      </c>
      <c r="D4220" s="35">
        <f>+'[2]por cuent'!G4220</f>
        <v>25235.4</v>
      </c>
      <c r="E4220" s="35">
        <f>+'[2]por cuent'!H4220</f>
        <v>37741559.531999998</v>
      </c>
      <c r="F4220" t="str">
        <f>+'[2]por cuent'!I4220</f>
        <v>534</v>
      </c>
    </row>
    <row r="4221" spans="1:6" x14ac:dyDescent="0.35">
      <c r="A4221" t="str">
        <f>+'[2]por cuent'!A4221</f>
        <v>USD</v>
      </c>
      <c r="B4221" t="str">
        <f>+'[2]por cuent'!B4221</f>
        <v>534000671</v>
      </c>
      <c r="C4221" t="str">
        <f>+'[2]por cuent'!C4221</f>
        <v>PFM SAN MARTIN 2101 SCS</v>
      </c>
      <c r="D4221" s="35">
        <f>+'[2]por cuent'!G4221</f>
        <v>21467.4</v>
      </c>
      <c r="E4221" s="35">
        <f>+'[2]por cuent'!H4221</f>
        <v>32106214.092</v>
      </c>
      <c r="F4221" t="str">
        <f>+'[2]por cuent'!I4221</f>
        <v>534</v>
      </c>
    </row>
    <row r="4222" spans="1:6" x14ac:dyDescent="0.35">
      <c r="A4222" t="str">
        <f>+'[2]por cuent'!A4222</f>
        <v>USD</v>
      </c>
      <c r="B4222" t="str">
        <f>+'[2]por cuent'!B4222</f>
        <v>534000672</v>
      </c>
      <c r="C4222" t="str">
        <f>+'[2]por cuent'!C4222</f>
        <v>PFM CHINGOLO SCS</v>
      </c>
      <c r="D4222" s="35">
        <f>+'[2]por cuent'!G4222</f>
        <v>15241.86</v>
      </c>
      <c r="E4222" s="35">
        <f>+'[2]por cuent'!H4222</f>
        <v>22795420.978799999</v>
      </c>
      <c r="F4222" t="str">
        <f>+'[2]por cuent'!I4222</f>
        <v>534</v>
      </c>
    </row>
    <row r="4223" spans="1:6" x14ac:dyDescent="0.35">
      <c r="A4223" t="str">
        <f>+'[2]por cuent'!A4223</f>
        <v>USD</v>
      </c>
      <c r="B4223" t="str">
        <f>+'[2]por cuent'!B4223</f>
        <v>534000673</v>
      </c>
      <c r="C4223" t="str">
        <f>+'[2]por cuent'!C4223</f>
        <v>FARMACIA TUYUTI SCS</v>
      </c>
      <c r="D4223" s="35">
        <f>+'[2]por cuent'!G4223</f>
        <v>11877</v>
      </c>
      <c r="E4223" s="35">
        <f>+'[2]por cuent'!H4223</f>
        <v>17763003.66</v>
      </c>
      <c r="F4223" t="str">
        <f>+'[2]por cuent'!I4223</f>
        <v>534</v>
      </c>
    </row>
    <row r="4224" spans="1:6" x14ac:dyDescent="0.35">
      <c r="A4224" t="str">
        <f>+'[2]por cuent'!A4224</f>
        <v>USD</v>
      </c>
      <c r="B4224" t="str">
        <f>+'[2]por cuent'!B4224</f>
        <v>534000674</v>
      </c>
      <c r="C4224" t="str">
        <f>+'[2]por cuent'!C4224</f>
        <v>FARMACIA BIO SCS</v>
      </c>
      <c r="D4224" s="35">
        <f>+'[2]por cuent'!G4224</f>
        <v>2570.1</v>
      </c>
      <c r="E4224" s="35">
        <f>+'[2]por cuent'!H4224</f>
        <v>3843790.1579999998</v>
      </c>
      <c r="F4224" t="str">
        <f>+'[2]por cuent'!I4224</f>
        <v>534</v>
      </c>
    </row>
    <row r="4225" spans="1:6" x14ac:dyDescent="0.35">
      <c r="A4225" t="str">
        <f>+'[2]por cuent'!A4225</f>
        <v>USD</v>
      </c>
      <c r="B4225" t="str">
        <f>+'[2]por cuent'!B4225</f>
        <v>534000675</v>
      </c>
      <c r="C4225" t="str">
        <f>+'[2]por cuent'!C4225</f>
        <v>WARNES FARMACEUTICA SCS</v>
      </c>
      <c r="D4225" s="35">
        <f>+'[2]por cuent'!G4225</f>
        <v>12279.2</v>
      </c>
      <c r="E4225" s="35">
        <f>+'[2]por cuent'!H4225</f>
        <v>18364525.936000001</v>
      </c>
      <c r="F4225" t="str">
        <f>+'[2]por cuent'!I4225</f>
        <v>534</v>
      </c>
    </row>
    <row r="4226" spans="1:6" x14ac:dyDescent="0.35">
      <c r="A4226" t="str">
        <f>+'[2]por cuent'!A4226</f>
        <v>USD</v>
      </c>
      <c r="B4226" t="str">
        <f>+'[2]por cuent'!B4226</f>
        <v>534000678</v>
      </c>
      <c r="C4226" t="str">
        <f>+'[2]por cuent'!C4226</f>
        <v>FARMACIA LIBERTADORES DE BURZACO S.C.S.</v>
      </c>
      <c r="D4226" s="35">
        <f>+'[2]por cuent'!G4226</f>
        <v>23486.45</v>
      </c>
      <c r="E4226" s="35">
        <f>+'[2]por cuent'!H4226</f>
        <v>35125864.891000003</v>
      </c>
      <c r="F4226" t="str">
        <f>+'[2]por cuent'!I4226</f>
        <v>534</v>
      </c>
    </row>
    <row r="4227" spans="1:6" x14ac:dyDescent="0.35">
      <c r="A4227" t="str">
        <f>+'[2]por cuent'!A4227</f>
        <v>USD</v>
      </c>
      <c r="B4227" t="str">
        <f>+'[2]por cuent'!B4227</f>
        <v>534000679</v>
      </c>
      <c r="C4227" t="str">
        <f>+'[2]por cuent'!C4227</f>
        <v>PUNTOFARMA AGRUPACION</v>
      </c>
      <c r="D4227" s="35">
        <f>+'[2]por cuent'!G4227</f>
        <v>190325.87</v>
      </c>
      <c r="E4227" s="35">
        <f>+'[2]por cuent'!H4227</f>
        <v>284647564.65459996</v>
      </c>
      <c r="F4227" t="str">
        <f>+'[2]por cuent'!I4227</f>
        <v>534</v>
      </c>
    </row>
    <row r="4228" spans="1:6" x14ac:dyDescent="0.35">
      <c r="A4228" t="str">
        <f>+'[2]por cuent'!A4228</f>
        <v>USD</v>
      </c>
      <c r="B4228" t="str">
        <f>+'[2]por cuent'!B4228</f>
        <v>534000752</v>
      </c>
      <c r="C4228" t="str">
        <f>+'[2]por cuent'!C4228</f>
        <v>BLKLEDS S.A.</v>
      </c>
      <c r="D4228" s="35">
        <f>+'[2]por cuent'!G4228</f>
        <v>12847.23</v>
      </c>
      <c r="E4228" s="35">
        <f>+'[2]por cuent'!H4228</f>
        <v>19214060.2434</v>
      </c>
      <c r="F4228" t="str">
        <f>+'[2]por cuent'!I4228</f>
        <v>534</v>
      </c>
    </row>
    <row r="4229" spans="1:6" x14ac:dyDescent="0.35">
      <c r="A4229" t="str">
        <f>+'[2]por cuent'!A4229</f>
        <v>USD</v>
      </c>
      <c r="B4229" t="str">
        <f>+'[2]por cuent'!B4229</f>
        <v>534000817</v>
      </c>
      <c r="C4229" t="str">
        <f>+'[2]por cuent'!C4229</f>
        <v>E-FRA IN S.A.</v>
      </c>
      <c r="D4229" s="35">
        <f>+'[2]por cuent'!G4229</f>
        <v>137.13</v>
      </c>
      <c r="E4229" s="35">
        <f>+'[2]por cuent'!H4229</f>
        <v>205088.88539999997</v>
      </c>
      <c r="F4229" t="str">
        <f>+'[2]por cuent'!I4229</f>
        <v>534</v>
      </c>
    </row>
    <row r="4230" spans="1:6" x14ac:dyDescent="0.35">
      <c r="A4230" t="str">
        <f>+'[2]por cuent'!A4230</f>
        <v>USD</v>
      </c>
      <c r="B4230" t="str">
        <f>+'[2]por cuent'!B4230</f>
        <v>534000824</v>
      </c>
      <c r="C4230" t="str">
        <f>+'[2]por cuent'!C4230</f>
        <v>Esteban Cordero SRL</v>
      </c>
      <c r="D4230" s="35">
        <f>+'[2]por cuent'!G4230</f>
        <v>367900</v>
      </c>
      <c r="E4230" s="35">
        <f>+'[2]por cuent'!H4230</f>
        <v>550223882</v>
      </c>
      <c r="F4230" t="str">
        <f>+'[2]por cuent'!I4230</f>
        <v>534</v>
      </c>
    </row>
    <row r="4231" spans="1:6" x14ac:dyDescent="0.35">
      <c r="A4231" t="str">
        <f>+'[2]por cuent'!A4231</f>
        <v>USD</v>
      </c>
      <c r="B4231" t="str">
        <f>+'[2]por cuent'!B4231</f>
        <v>534000869</v>
      </c>
      <c r="C4231" t="str">
        <f>+'[2]por cuent'!C4231</f>
        <v>CETRANGOLO SCS</v>
      </c>
      <c r="D4231" s="35">
        <f>+'[2]por cuent'!G4231</f>
        <v>31937.919999999998</v>
      </c>
      <c r="E4231" s="35">
        <f>+'[2]por cuent'!H4231</f>
        <v>47765714.393599994</v>
      </c>
      <c r="F4231" t="str">
        <f>+'[2]por cuent'!I4231</f>
        <v>534</v>
      </c>
    </row>
    <row r="4232" spans="1:6" x14ac:dyDescent="0.35">
      <c r="A4232" t="str">
        <f>+'[2]por cuent'!A4232</f>
        <v>USD</v>
      </c>
      <c r="B4232" t="str">
        <f>+'[2]por cuent'!B4232</f>
        <v>534000876</v>
      </c>
      <c r="C4232" t="str">
        <f>+'[2]por cuent'!C4232</f>
        <v xml:space="preserve">THIS IS DENIM SRL </v>
      </c>
      <c r="D4232" s="35">
        <f>+'[2]por cuent'!G4232</f>
        <v>6913.22</v>
      </c>
      <c r="E4232" s="35">
        <f>+'[2]por cuent'!H4232</f>
        <v>10339273.567600001</v>
      </c>
      <c r="F4232" t="str">
        <f>+'[2]por cuent'!I4232</f>
        <v>534</v>
      </c>
    </row>
    <row r="4233" spans="1:6" x14ac:dyDescent="0.35">
      <c r="A4233" t="str">
        <f>+'[2]por cuent'!A4233</f>
        <v>USD</v>
      </c>
      <c r="B4233" t="str">
        <f>+'[2]por cuent'!B4233</f>
        <v>534000941</v>
      </c>
      <c r="C4233" t="str">
        <f>+'[2]por cuent'!C4233</f>
        <v>Materiales Rurales El Quebracho S.A.</v>
      </c>
      <c r="D4233" s="35">
        <f>+'[2]por cuent'!G4233</f>
        <v>61732</v>
      </c>
      <c r="E4233" s="35">
        <f>+'[2]por cuent'!H4233</f>
        <v>92325144.560000002</v>
      </c>
      <c r="F4233" t="str">
        <f>+'[2]por cuent'!I4233</f>
        <v>534</v>
      </c>
    </row>
    <row r="4234" spans="1:6" x14ac:dyDescent="0.35">
      <c r="A4234" t="str">
        <f>+'[2]por cuent'!A4234</f>
        <v>USD</v>
      </c>
      <c r="B4234" t="str">
        <f>+'[2]por cuent'!B4234</f>
        <v>534001310</v>
      </c>
      <c r="C4234" t="str">
        <f>+'[2]por cuent'!C4234</f>
        <v>Guasp, Pablo Miguel</v>
      </c>
      <c r="D4234" s="35">
        <f>+'[2]por cuent'!G4234</f>
        <v>38.17</v>
      </c>
      <c r="E4234" s="35">
        <f>+'[2]por cuent'!H4234</f>
        <v>57086.2886</v>
      </c>
      <c r="F4234" t="str">
        <f>+'[2]por cuent'!I4234</f>
        <v>534</v>
      </c>
    </row>
    <row r="4235" spans="1:6" x14ac:dyDescent="0.35">
      <c r="A4235" t="str">
        <f>+'[2]por cuent'!A4235</f>
        <v>USD</v>
      </c>
      <c r="B4235" t="str">
        <f>+'[2]por cuent'!B4235</f>
        <v>534001353</v>
      </c>
      <c r="C4235" t="str">
        <f>+'[2]por cuent'!C4235</f>
        <v>Senillosa Vidal, Eduardo</v>
      </c>
      <c r="D4235" s="35">
        <f>+'[2]por cuent'!G4235</f>
        <v>11715.21</v>
      </c>
      <c r="E4235" s="35">
        <f>+'[2]por cuent'!H4235</f>
        <v>17521033.771799996</v>
      </c>
      <c r="F4235" t="str">
        <f>+'[2]por cuent'!I4235</f>
        <v>534</v>
      </c>
    </row>
    <row r="4236" spans="1:6" x14ac:dyDescent="0.35">
      <c r="A4236" t="str">
        <f>+'[2]por cuent'!A4236</f>
        <v>USD</v>
      </c>
      <c r="B4236" t="str">
        <f>+'[2]por cuent'!B4236</f>
        <v>534001358</v>
      </c>
      <c r="C4236" t="str">
        <f>+'[2]por cuent'!C4236</f>
        <v>Gomez Pola, Matias</v>
      </c>
      <c r="D4236" s="35">
        <f>+'[2]por cuent'!G4236</f>
        <v>9501.77</v>
      </c>
      <c r="E4236" s="35">
        <f>+'[2]por cuent'!H4236</f>
        <v>14210657.1766</v>
      </c>
      <c r="F4236" t="str">
        <f>+'[2]por cuent'!I4236</f>
        <v>534</v>
      </c>
    </row>
    <row r="4237" spans="1:6" x14ac:dyDescent="0.35">
      <c r="A4237" t="str">
        <f>+'[2]por cuent'!A4237</f>
        <v>USD</v>
      </c>
      <c r="B4237" t="str">
        <f>+'[2]por cuent'!B4237</f>
        <v>534002000</v>
      </c>
      <c r="C4237" t="str">
        <f>+'[2]por cuent'!C4237</f>
        <v>[C.E.R.A.] Marzotta, Stefano</v>
      </c>
      <c r="D4237" s="35">
        <f>+'[2]por cuent'!G4237</f>
        <v>31534.81</v>
      </c>
      <c r="E4237" s="35">
        <f>+'[2]por cuent'!H4237</f>
        <v>47162831.139799997</v>
      </c>
      <c r="F4237" t="str">
        <f>+'[2]por cuent'!I4237</f>
        <v>534</v>
      </c>
    </row>
    <row r="4238" spans="1:6" x14ac:dyDescent="0.35">
      <c r="A4238" t="str">
        <f>+'[2]por cuent'!A4238</f>
        <v>USD</v>
      </c>
      <c r="B4238" t="str">
        <f>+'[2]por cuent'!B4238</f>
        <v>534002001</v>
      </c>
      <c r="C4238" t="str">
        <f>+'[2]por cuent'!C4238</f>
        <v>[C.E.R.A.]  Busquet, Miguel Angel</v>
      </c>
      <c r="D4238" s="35">
        <f>+'[2]por cuent'!G4238</f>
        <v>33745.120000000003</v>
      </c>
      <c r="E4238" s="35">
        <f>+'[2]por cuent'!H4238</f>
        <v>50468526.569600001</v>
      </c>
      <c r="F4238" t="str">
        <f>+'[2]por cuent'!I4238</f>
        <v>534</v>
      </c>
    </row>
    <row r="4239" spans="1:6" x14ac:dyDescent="0.35">
      <c r="A4239" t="str">
        <f>+'[2]por cuent'!A4239</f>
        <v>USD</v>
      </c>
      <c r="B4239" t="str">
        <f>+'[2]por cuent'!B4239</f>
        <v>534002004</v>
      </c>
      <c r="C4239" t="str">
        <f>+'[2]por cuent'!C4239</f>
        <v>[C.E.R.A.] Buciol, Ariel</v>
      </c>
      <c r="D4239" s="35">
        <f>+'[2]por cuent'!G4239</f>
        <v>49206.52</v>
      </c>
      <c r="E4239" s="35">
        <f>+'[2]por cuent'!H4239</f>
        <v>73592287.18159999</v>
      </c>
      <c r="F4239" t="str">
        <f>+'[2]por cuent'!I4239</f>
        <v>534</v>
      </c>
    </row>
    <row r="4240" spans="1:6" x14ac:dyDescent="0.35">
      <c r="A4240" t="str">
        <f>+'[2]por cuent'!A4240</f>
        <v>USD</v>
      </c>
      <c r="B4240" t="str">
        <f>+'[2]por cuent'!B4240</f>
        <v>534002007</v>
      </c>
      <c r="C4240" t="str">
        <f>+'[2]por cuent'!C4240</f>
        <v>[C.E.R.A.] Micheltorena, Ariel Norberto</v>
      </c>
      <c r="D4240" s="35">
        <f>+'[2]por cuent'!G4240</f>
        <v>63472.82</v>
      </c>
      <c r="E4240" s="35">
        <f>+'[2]por cuent'!H4240</f>
        <v>94928680.135600001</v>
      </c>
      <c r="F4240" t="str">
        <f>+'[2]por cuent'!I4240</f>
        <v>534</v>
      </c>
    </row>
    <row r="4241" spans="1:6" x14ac:dyDescent="0.35">
      <c r="A4241" t="str">
        <f>+'[2]por cuent'!A4241</f>
        <v>USD</v>
      </c>
      <c r="B4241" t="str">
        <f>+'[2]por cuent'!B4241</f>
        <v>534005015</v>
      </c>
      <c r="C4241" t="str">
        <f>+'[2]por cuent'!C4241</f>
        <v xml:space="preserve">Gusmerini, Fernando Javier </v>
      </c>
      <c r="D4241" s="35">
        <f>+'[2]por cuent'!G4241</f>
        <v>11918.79</v>
      </c>
      <c r="E4241" s="35">
        <f>+'[2]por cuent'!H4241</f>
        <v>17825503.948199999</v>
      </c>
      <c r="F4241" t="str">
        <f>+'[2]por cuent'!I4241</f>
        <v>534</v>
      </c>
    </row>
    <row r="4242" spans="1:6" x14ac:dyDescent="0.35">
      <c r="A4242" t="str">
        <f>+'[2]por cuent'!A4242</f>
        <v>USD</v>
      </c>
      <c r="B4242" t="str">
        <f>+'[2]por cuent'!B4242</f>
        <v>534005103</v>
      </c>
      <c r="C4242" t="str">
        <f>+'[2]por cuent'!C4242</f>
        <v>Martino, Marcelo Osvaldo</v>
      </c>
      <c r="D4242" s="35">
        <f>+'[2]por cuent'!G4242</f>
        <v>5411.02</v>
      </c>
      <c r="E4242" s="35">
        <f>+'[2]por cuent'!H4242</f>
        <v>8092613.2916000001</v>
      </c>
      <c r="F4242" t="str">
        <f>+'[2]por cuent'!I4242</f>
        <v>534</v>
      </c>
    </row>
    <row r="4243" spans="1:6" x14ac:dyDescent="0.35">
      <c r="A4243" t="str">
        <f>+'[2]por cuent'!A4243</f>
        <v>USD</v>
      </c>
      <c r="B4243" t="str">
        <f>+'[2]por cuent'!B4243</f>
        <v>534005105</v>
      </c>
      <c r="C4243" t="str">
        <f>+'[2]por cuent'!C4243</f>
        <v>Maneiro, Sergio Ariel</v>
      </c>
      <c r="D4243" s="35">
        <f>+'[2]por cuent'!G4243</f>
        <v>9045.1</v>
      </c>
      <c r="E4243" s="35">
        <f>+'[2]por cuent'!H4243</f>
        <v>13527670.658</v>
      </c>
      <c r="F4243" t="str">
        <f>+'[2]por cuent'!I4243</f>
        <v>534</v>
      </c>
    </row>
    <row r="4244" spans="1:6" x14ac:dyDescent="0.35">
      <c r="A4244" t="str">
        <f>+'[2]por cuent'!A4244</f>
        <v>USD</v>
      </c>
      <c r="B4244" t="str">
        <f>+'[2]por cuent'!B4244</f>
        <v>534005122</v>
      </c>
      <c r="C4244" t="str">
        <f>+'[2]por cuent'!C4244</f>
        <v>Galindo, Mabel Iris &amp; Aguiló, Hugo Osvaldo</v>
      </c>
      <c r="D4244" s="35">
        <f>+'[2]por cuent'!G4244</f>
        <v>752.58</v>
      </c>
      <c r="E4244" s="35">
        <f>+'[2]por cuent'!H4244</f>
        <v>1125543.5963999999</v>
      </c>
      <c r="F4244" t="str">
        <f>+'[2]por cuent'!I4244</f>
        <v>534</v>
      </c>
    </row>
    <row r="4245" spans="1:6" x14ac:dyDescent="0.35">
      <c r="A4245" t="str">
        <f>+'[2]por cuent'!A4245</f>
        <v>USD</v>
      </c>
      <c r="B4245" t="str">
        <f>+'[2]por cuent'!B4245</f>
        <v>534005141</v>
      </c>
      <c r="C4245" t="str">
        <f>+'[2]por cuent'!C4245</f>
        <v>Waddle, Alejandro Osvaldo</v>
      </c>
      <c r="D4245" s="35">
        <f>+'[2]por cuent'!G4245</f>
        <v>1519.29</v>
      </c>
      <c r="E4245" s="35">
        <f>+'[2]por cuent'!H4245</f>
        <v>2272219.7382</v>
      </c>
      <c r="F4245" t="str">
        <f>+'[2]por cuent'!I4245</f>
        <v>534</v>
      </c>
    </row>
    <row r="4246" spans="1:6" x14ac:dyDescent="0.35">
      <c r="A4246" t="str">
        <f>+'[2]por cuent'!A4246</f>
        <v>USD</v>
      </c>
      <c r="B4246" t="str">
        <f>+'[2]por cuent'!B4246</f>
        <v>534005147</v>
      </c>
      <c r="C4246" t="str">
        <f>+'[2]por cuent'!C4246</f>
        <v>Urbano, Raul Omar &amp; Borgogna, Adriana Mercedes Luisa</v>
      </c>
      <c r="D4246" s="35">
        <f>+'[2]por cuent'!G4246</f>
        <v>1549.5</v>
      </c>
      <c r="E4246" s="35">
        <f>+'[2]por cuent'!H4246</f>
        <v>2317401.21</v>
      </c>
      <c r="F4246" t="str">
        <f>+'[2]por cuent'!I4246</f>
        <v>534</v>
      </c>
    </row>
    <row r="4247" spans="1:6" x14ac:dyDescent="0.35">
      <c r="A4247" t="str">
        <f>+'[2]por cuent'!A4247</f>
        <v>USD</v>
      </c>
      <c r="B4247" t="str">
        <f>+'[2]por cuent'!B4247</f>
        <v>534005152</v>
      </c>
      <c r="C4247" t="str">
        <f>+'[2]por cuent'!C4247</f>
        <v>Pedrotti, Victoria</v>
      </c>
      <c r="D4247" s="35">
        <f>+'[2]por cuent'!G4247</f>
        <v>881.98</v>
      </c>
      <c r="E4247" s="35">
        <f>+'[2]por cuent'!H4247</f>
        <v>1319071.6484000001</v>
      </c>
      <c r="F4247" t="str">
        <f>+'[2]por cuent'!I4247</f>
        <v>534</v>
      </c>
    </row>
    <row r="4248" spans="1:6" x14ac:dyDescent="0.35">
      <c r="A4248" t="str">
        <f>+'[2]por cuent'!A4248</f>
        <v>USD</v>
      </c>
      <c r="B4248" t="str">
        <f>+'[2]por cuent'!B4248</f>
        <v>534005178</v>
      </c>
      <c r="C4248" t="str">
        <f>+'[2]por cuent'!C4248</f>
        <v>Bermudez, Natalia Veronica</v>
      </c>
      <c r="D4248" s="35">
        <f>+'[2]por cuent'!G4248</f>
        <v>33500</v>
      </c>
      <c r="E4248" s="35">
        <f>+'[2]por cuent'!H4248</f>
        <v>50101930</v>
      </c>
      <c r="F4248" t="str">
        <f>+'[2]por cuent'!I4248</f>
        <v>534</v>
      </c>
    </row>
    <row r="4249" spans="1:6" x14ac:dyDescent="0.35">
      <c r="A4249" t="str">
        <f>+'[2]por cuent'!A4249</f>
        <v>USD</v>
      </c>
      <c r="B4249" t="str">
        <f>+'[2]por cuent'!B4249</f>
        <v>534005179</v>
      </c>
      <c r="C4249" t="str">
        <f>+'[2]por cuent'!C4249</f>
        <v>Diaz, Juan Ignacio</v>
      </c>
      <c r="D4249" s="35">
        <f>+'[2]por cuent'!G4249</f>
        <v>7304.95</v>
      </c>
      <c r="E4249" s="35">
        <f>+'[2]por cuent'!H4249</f>
        <v>10925137.120999999</v>
      </c>
      <c r="F4249" t="str">
        <f>+'[2]por cuent'!I4249</f>
        <v>534</v>
      </c>
    </row>
    <row r="4250" spans="1:6" x14ac:dyDescent="0.35">
      <c r="A4250" t="str">
        <f>+'[2]por cuent'!A4250</f>
        <v>USD</v>
      </c>
      <c r="B4250" t="str">
        <f>+'[2]por cuent'!B4250</f>
        <v>534005189</v>
      </c>
      <c r="C4250" t="str">
        <f>+'[2]por cuent'!C4250</f>
        <v>Vega Riera, Julieta</v>
      </c>
      <c r="D4250" s="35">
        <f>+'[2]por cuent'!G4250</f>
        <v>391</v>
      </c>
      <c r="E4250" s="35">
        <f>+'[2]por cuent'!H4250</f>
        <v>584771.78</v>
      </c>
      <c r="F4250" t="str">
        <f>+'[2]por cuent'!I4250</f>
        <v>534</v>
      </c>
    </row>
    <row r="4251" spans="1:6" x14ac:dyDescent="0.35">
      <c r="A4251" t="str">
        <f>+'[2]por cuent'!A4251</f>
        <v>USD</v>
      </c>
      <c r="B4251" t="str">
        <f>+'[2]por cuent'!B4251</f>
        <v>534005193</v>
      </c>
      <c r="C4251" t="str">
        <f>+'[2]por cuent'!C4251</f>
        <v>Civarolo, Maria Mercedes</v>
      </c>
      <c r="D4251" s="35">
        <f>+'[2]por cuent'!G4251</f>
        <v>5721.01</v>
      </c>
      <c r="E4251" s="35">
        <f>+'[2]por cuent'!H4251</f>
        <v>8556228.1358000003</v>
      </c>
      <c r="F4251" t="str">
        <f>+'[2]por cuent'!I4251</f>
        <v>534</v>
      </c>
    </row>
    <row r="4252" spans="1:6" x14ac:dyDescent="0.35">
      <c r="A4252" t="str">
        <f>+'[2]por cuent'!A4252</f>
        <v>USD</v>
      </c>
      <c r="B4252" t="str">
        <f>+'[2]por cuent'!B4252</f>
        <v>534005196</v>
      </c>
      <c r="C4252" t="str">
        <f>+'[2]por cuent'!C4252</f>
        <v>Invernizzi, Martin Alberto &amp; Invernizzi Anselmi, Fabrizio Marco</v>
      </c>
      <c r="D4252" s="35">
        <f>+'[2]por cuent'!G4252</f>
        <v>9647.9</v>
      </c>
      <c r="E4252" s="35">
        <f>+'[2]por cuent'!H4252</f>
        <v>14429206.282</v>
      </c>
      <c r="F4252" t="str">
        <f>+'[2]por cuent'!I4252</f>
        <v>534</v>
      </c>
    </row>
    <row r="4253" spans="1:6" x14ac:dyDescent="0.35">
      <c r="A4253" t="str">
        <f>+'[2]por cuent'!A4253</f>
        <v>USD</v>
      </c>
      <c r="B4253" t="str">
        <f>+'[2]por cuent'!B4253</f>
        <v>534005201</v>
      </c>
      <c r="C4253" t="str">
        <f>+'[2]por cuent'!C4253</f>
        <v>Magri, Jose</v>
      </c>
      <c r="D4253" s="35">
        <f>+'[2]por cuent'!G4253</f>
        <v>2754.44</v>
      </c>
      <c r="E4253" s="35">
        <f>+'[2]por cuent'!H4253</f>
        <v>4119485.3751999997</v>
      </c>
      <c r="F4253" t="str">
        <f>+'[2]por cuent'!I4253</f>
        <v>534</v>
      </c>
    </row>
    <row r="4254" spans="1:6" x14ac:dyDescent="0.35">
      <c r="A4254" t="str">
        <f>+'[2]por cuent'!A4254</f>
        <v>USD</v>
      </c>
      <c r="B4254" t="str">
        <f>+'[2]por cuent'!B4254</f>
        <v>534005263</v>
      </c>
      <c r="C4254" t="str">
        <f>+'[2]por cuent'!C4254</f>
        <v>Allamano Costa, Nicolas</v>
      </c>
      <c r="D4254" s="35">
        <f>+'[2]por cuent'!G4254</f>
        <v>8777.11</v>
      </c>
      <c r="E4254" s="35">
        <f>+'[2]por cuent'!H4254</f>
        <v>13126870.173800001</v>
      </c>
      <c r="F4254" t="str">
        <f>+'[2]por cuent'!I4254</f>
        <v>534</v>
      </c>
    </row>
    <row r="4255" spans="1:6" x14ac:dyDescent="0.35">
      <c r="A4255" t="str">
        <f>+'[2]por cuent'!A4255</f>
        <v>USD</v>
      </c>
      <c r="B4255" t="str">
        <f>+'[2]por cuent'!B4255</f>
        <v>534005266</v>
      </c>
      <c r="C4255" t="str">
        <f>+'[2]por cuent'!C4255</f>
        <v>Santos, Juan Carlos o Giscafre, Nelly</v>
      </c>
      <c r="D4255" s="35">
        <f>+'[2]por cuent'!G4255</f>
        <v>47.04</v>
      </c>
      <c r="E4255" s="35">
        <f>+'[2]por cuent'!H4255</f>
        <v>70352.083199999994</v>
      </c>
      <c r="F4255" t="str">
        <f>+'[2]por cuent'!I4255</f>
        <v>534</v>
      </c>
    </row>
    <row r="4256" spans="1:6" x14ac:dyDescent="0.35">
      <c r="A4256" t="str">
        <f>+'[2]por cuent'!A4256</f>
        <v>USD</v>
      </c>
      <c r="B4256" t="str">
        <f>+'[2]por cuent'!B4256</f>
        <v>534005270</v>
      </c>
      <c r="C4256" t="str">
        <f>+'[2]por cuent'!C4256</f>
        <v>Clarke, Fernando Alfredo</v>
      </c>
      <c r="D4256" s="35">
        <f>+'[2]por cuent'!G4256</f>
        <v>147.88</v>
      </c>
      <c r="E4256" s="35">
        <f>+'[2]por cuent'!H4256</f>
        <v>221166.37039999999</v>
      </c>
      <c r="F4256" t="str">
        <f>+'[2]por cuent'!I4256</f>
        <v>534</v>
      </c>
    </row>
    <row r="4257" spans="1:6" x14ac:dyDescent="0.35">
      <c r="A4257" t="str">
        <f>+'[2]por cuent'!A4257</f>
        <v>USD</v>
      </c>
      <c r="B4257" t="str">
        <f>+'[2]por cuent'!B4257</f>
        <v>534005281</v>
      </c>
      <c r="C4257" t="str">
        <f>+'[2]por cuent'!C4257</f>
        <v>Ramirez, Facundo Alberto Daniel</v>
      </c>
      <c r="D4257" s="35">
        <f>+'[2]por cuent'!G4257</f>
        <v>71.239999999999995</v>
      </c>
      <c r="E4257" s="35">
        <f>+'[2]por cuent'!H4257</f>
        <v>106545.11919999999</v>
      </c>
      <c r="F4257" t="str">
        <f>+'[2]por cuent'!I4257</f>
        <v>534</v>
      </c>
    </row>
    <row r="4258" spans="1:6" x14ac:dyDescent="0.35">
      <c r="A4258" t="str">
        <f>+'[2]por cuent'!A4258</f>
        <v>USD</v>
      </c>
      <c r="B4258" t="str">
        <f>+'[2]por cuent'!B4258</f>
        <v>534005283</v>
      </c>
      <c r="C4258" t="str">
        <f>+'[2]por cuent'!C4258</f>
        <v>Fernandez Balbis, Federico &amp; Terpin, Adriana Mabel</v>
      </c>
      <c r="D4258" s="35">
        <f>+'[2]por cuent'!G4258</f>
        <v>12576.86</v>
      </c>
      <c r="E4258" s="35">
        <f>+'[2]por cuent'!H4258</f>
        <v>18809700.2788</v>
      </c>
      <c r="F4258" t="str">
        <f>+'[2]por cuent'!I4258</f>
        <v>534</v>
      </c>
    </row>
    <row r="4259" spans="1:6" x14ac:dyDescent="0.35">
      <c r="A4259" t="str">
        <f>+'[2]por cuent'!A4259</f>
        <v>USD</v>
      </c>
      <c r="B4259" t="str">
        <f>+'[2]por cuent'!B4259</f>
        <v>534005286</v>
      </c>
      <c r="C4259" t="str">
        <f>+'[2]por cuent'!C4259</f>
        <v>Lopez, Ramiro</v>
      </c>
      <c r="D4259" s="35">
        <f>+'[2]por cuent'!G4259</f>
        <v>1.2</v>
      </c>
      <c r="E4259" s="35">
        <f>+'[2]por cuent'!H4259</f>
        <v>1794.6959999999999</v>
      </c>
      <c r="F4259" t="str">
        <f>+'[2]por cuent'!I4259</f>
        <v>534</v>
      </c>
    </row>
    <row r="4260" spans="1:6" x14ac:dyDescent="0.35">
      <c r="A4260" t="str">
        <f>+'[2]por cuent'!A4260</f>
        <v>USD</v>
      </c>
      <c r="B4260" t="str">
        <f>+'[2]por cuent'!B4260</f>
        <v>534005289</v>
      </c>
      <c r="C4260" t="str">
        <f>+'[2]por cuent'!C4260</f>
        <v>IBS CORDOBA SA</v>
      </c>
      <c r="D4260" s="35">
        <f>+'[2]por cuent'!G4260</f>
        <v>65569.05</v>
      </c>
      <c r="E4260" s="35">
        <f>+'[2]por cuent'!H4260</f>
        <v>98063759.798999995</v>
      </c>
      <c r="F4260" t="str">
        <f>+'[2]por cuent'!I4260</f>
        <v>534</v>
      </c>
    </row>
    <row r="4261" spans="1:6" x14ac:dyDescent="0.35">
      <c r="A4261" t="str">
        <f>+'[2]por cuent'!A4261</f>
        <v>USD</v>
      </c>
      <c r="B4261" t="str">
        <f>+'[2]por cuent'!B4261</f>
        <v>534005290</v>
      </c>
      <c r="C4261" t="str">
        <f>+'[2]por cuent'!C4261</f>
        <v>Gaubeca Klix, Federico</v>
      </c>
      <c r="D4261" s="35">
        <f>+'[2]por cuent'!G4261</f>
        <v>52.98</v>
      </c>
      <c r="E4261" s="35">
        <f>+'[2]por cuent'!H4261</f>
        <v>79235.828399999999</v>
      </c>
      <c r="F4261" t="str">
        <f>+'[2]por cuent'!I4261</f>
        <v>534</v>
      </c>
    </row>
    <row r="4262" spans="1:6" x14ac:dyDescent="0.35">
      <c r="A4262" t="str">
        <f>+'[2]por cuent'!A4262</f>
        <v>USD</v>
      </c>
      <c r="B4262" t="str">
        <f>+'[2]por cuent'!B4262</f>
        <v>534005297</v>
      </c>
      <c r="C4262" t="str">
        <f>+'[2]por cuent'!C4262</f>
        <v>PFM NUEVA FARMACIA BARRIAL SCS</v>
      </c>
      <c r="D4262" s="35">
        <f>+'[2]por cuent'!G4262</f>
        <v>10058.4</v>
      </c>
      <c r="E4262" s="35">
        <f>+'[2]por cuent'!H4262</f>
        <v>15043141.872</v>
      </c>
      <c r="F4262" t="str">
        <f>+'[2]por cuent'!I4262</f>
        <v>534</v>
      </c>
    </row>
    <row r="4263" spans="1:6" x14ac:dyDescent="0.35">
      <c r="A4263" t="str">
        <f>+'[2]por cuent'!A4263</f>
        <v>USD</v>
      </c>
      <c r="B4263" t="str">
        <f>+'[2]por cuent'!B4263</f>
        <v>554000007</v>
      </c>
      <c r="C4263" t="str">
        <f>+'[2]por cuent'!C4263</f>
        <v>GUIDO HERNAN SCALABRELLI</v>
      </c>
      <c r="D4263" s="35">
        <f>+'[2]por cuent'!G4263</f>
        <v>23203</v>
      </c>
      <c r="E4263" s="35">
        <f>+'[2]por cuent'!H4263</f>
        <v>34701942.739999995</v>
      </c>
      <c r="F4263" t="str">
        <f>+'[2]por cuent'!I4263</f>
        <v>554</v>
      </c>
    </row>
    <row r="4264" spans="1:6" x14ac:dyDescent="0.35">
      <c r="A4264" t="str">
        <f>+'[2]por cuent'!A4264</f>
        <v>USD</v>
      </c>
      <c r="B4264" t="str">
        <f>+'[2]por cuent'!B4264</f>
        <v>554000307</v>
      </c>
      <c r="C4264" t="str">
        <f>+'[2]por cuent'!C4264</f>
        <v>Los Coirones S.A.</v>
      </c>
      <c r="D4264" s="35">
        <f>+'[2]por cuent'!G4264</f>
        <v>23449.34</v>
      </c>
      <c r="E4264" s="35">
        <f>+'[2]por cuent'!H4264</f>
        <v>35070363.917199999</v>
      </c>
      <c r="F4264" t="str">
        <f>+'[2]por cuent'!I4264</f>
        <v>554</v>
      </c>
    </row>
    <row r="4265" spans="1:6" x14ac:dyDescent="0.35">
      <c r="A4265" t="str">
        <f>+'[2]por cuent'!A4265</f>
        <v>USD</v>
      </c>
      <c r="B4265" t="str">
        <f>+'[2]por cuent'!B4265</f>
        <v>554000372</v>
      </c>
      <c r="C4265" t="str">
        <f>+'[2]por cuent'!C4265</f>
        <v>Quale SA</v>
      </c>
      <c r="D4265" s="35">
        <f>+'[2]por cuent'!G4265</f>
        <v>4058.1</v>
      </c>
      <c r="E4265" s="35">
        <f>+'[2]por cuent'!H4265</f>
        <v>6069213.1979999999</v>
      </c>
      <c r="F4265" t="str">
        <f>+'[2]por cuent'!I4265</f>
        <v>554</v>
      </c>
    </row>
    <row r="4266" spans="1:6" x14ac:dyDescent="0.35">
      <c r="A4266" t="str">
        <f>+'[2]por cuent'!A4266</f>
        <v>USD</v>
      </c>
      <c r="B4266" t="str">
        <f>+'[2]por cuent'!B4266</f>
        <v>554000397</v>
      </c>
      <c r="C4266" t="str">
        <f>+'[2]por cuent'!C4266</f>
        <v>Di Bari, Tomas Francisco</v>
      </c>
      <c r="D4266" s="35">
        <f>+'[2]por cuent'!G4266</f>
        <v>0.57999999999999996</v>
      </c>
      <c r="E4266" s="35">
        <f>+'[2]por cuent'!H4266</f>
        <v>867.43639999999994</v>
      </c>
      <c r="F4266" t="str">
        <f>+'[2]por cuent'!I4266</f>
        <v>554</v>
      </c>
    </row>
    <row r="4267" spans="1:6" x14ac:dyDescent="0.35">
      <c r="A4267" t="str">
        <f>+'[2]por cuent'!A4267</f>
        <v>USD</v>
      </c>
      <c r="B4267" t="str">
        <f>+'[2]por cuent'!B4267</f>
        <v>554000409</v>
      </c>
      <c r="C4267" t="str">
        <f>+'[2]por cuent'!C4267</f>
        <v>Benz Parts S.A.S</v>
      </c>
      <c r="D4267" s="35">
        <f>+'[2]por cuent'!G4267</f>
        <v>46932.56</v>
      </c>
      <c r="E4267" s="35">
        <f>+'[2]por cuent'!H4267</f>
        <v>70191398.08479999</v>
      </c>
      <c r="F4267" t="str">
        <f>+'[2]por cuent'!I4267</f>
        <v>554</v>
      </c>
    </row>
    <row r="4268" spans="1:6" x14ac:dyDescent="0.35">
      <c r="A4268" t="str">
        <f>+'[2]por cuent'!A4268</f>
        <v>USD</v>
      </c>
      <c r="B4268" t="str">
        <f>+'[2]por cuent'!B4268</f>
        <v>554000411</v>
      </c>
      <c r="C4268" t="str">
        <f>+'[2]por cuent'!C4268</f>
        <v>Meregalli, Fabio</v>
      </c>
      <c r="D4268" s="35">
        <f>+'[2]por cuent'!G4268</f>
        <v>4951.38</v>
      </c>
      <c r="E4268" s="35">
        <f>+'[2]por cuent'!H4268</f>
        <v>7405184.9003999997</v>
      </c>
      <c r="F4268" t="str">
        <f>+'[2]por cuent'!I4268</f>
        <v>554</v>
      </c>
    </row>
    <row r="4269" spans="1:6" x14ac:dyDescent="0.35">
      <c r="A4269" t="str">
        <f>+'[2]por cuent'!A4269</f>
        <v>USD</v>
      </c>
      <c r="B4269" t="str">
        <f>+'[2]por cuent'!B4269</f>
        <v>554000424</v>
      </c>
      <c r="C4269" t="str">
        <f>+'[2]por cuent'!C4269</f>
        <v>Nebot, Mariana Lourdes</v>
      </c>
      <c r="D4269" s="35">
        <f>+'[2]por cuent'!G4269</f>
        <v>99.59</v>
      </c>
      <c r="E4269" s="35">
        <f>+'[2]por cuent'!H4269</f>
        <v>148944.81219999999</v>
      </c>
      <c r="F4269" t="str">
        <f>+'[2]por cuent'!I4269</f>
        <v>554</v>
      </c>
    </row>
    <row r="4270" spans="1:6" x14ac:dyDescent="0.35">
      <c r="A4270" t="str">
        <f>+'[2]por cuent'!A4270</f>
        <v>USD</v>
      </c>
      <c r="B4270" t="str">
        <f>+'[2]por cuent'!B4270</f>
        <v>554000428</v>
      </c>
      <c r="C4270" t="str">
        <f>+'[2]por cuent'!C4270</f>
        <v>Foresi, Carlos Agustin</v>
      </c>
      <c r="D4270" s="35">
        <f>+'[2]por cuent'!G4270</f>
        <v>15666.43</v>
      </c>
      <c r="E4270" s="35">
        <f>+'[2]por cuent'!H4270</f>
        <v>23430399.3794</v>
      </c>
      <c r="F4270" t="str">
        <f>+'[2]por cuent'!I4270</f>
        <v>554</v>
      </c>
    </row>
    <row r="4271" spans="1:6" x14ac:dyDescent="0.35">
      <c r="A4271" t="str">
        <f>+'[2]por cuent'!A4271</f>
        <v>USD</v>
      </c>
      <c r="B4271" t="str">
        <f>+'[2]por cuent'!B4271</f>
        <v>554000435</v>
      </c>
      <c r="C4271" t="str">
        <f>+'[2]por cuent'!C4271</f>
        <v>Piscopo, Enrique Nicolas</v>
      </c>
      <c r="D4271" s="35">
        <f>+'[2]por cuent'!G4271</f>
        <v>296.88</v>
      </c>
      <c r="E4271" s="35">
        <f>+'[2]por cuent'!H4271</f>
        <v>444007.7904</v>
      </c>
      <c r="F4271" t="str">
        <f>+'[2]por cuent'!I4271</f>
        <v>554</v>
      </c>
    </row>
    <row r="4272" spans="1:6" x14ac:dyDescent="0.35">
      <c r="A4272" t="str">
        <f>+'[2]por cuent'!A4272</f>
        <v>USD</v>
      </c>
      <c r="B4272" t="str">
        <f>+'[2]por cuent'!B4272</f>
        <v>554000438</v>
      </c>
      <c r="C4272" t="str">
        <f>+'[2]por cuent'!C4272</f>
        <v>Cicchinelli, Claudio Enrique</v>
      </c>
      <c r="D4272" s="35">
        <f>+'[2]por cuent'!G4272</f>
        <v>7.06</v>
      </c>
      <c r="E4272" s="35">
        <f>+'[2]por cuent'!H4272</f>
        <v>10558.7948</v>
      </c>
      <c r="F4272" t="str">
        <f>+'[2]por cuent'!I4272</f>
        <v>554</v>
      </c>
    </row>
    <row r="4273" spans="1:6" x14ac:dyDescent="0.35">
      <c r="A4273" t="str">
        <f>+'[2]por cuent'!A4273</f>
        <v>USD</v>
      </c>
      <c r="B4273" t="str">
        <f>+'[2]por cuent'!B4273</f>
        <v>554001010</v>
      </c>
      <c r="C4273" t="str">
        <f>+'[2]por cuent'!C4273</f>
        <v>Di Bari, Ignacio</v>
      </c>
      <c r="D4273" s="35">
        <f>+'[2]por cuent'!G4273</f>
        <v>2898.3</v>
      </c>
      <c r="E4273" s="35">
        <f>+'[2]por cuent'!H4273</f>
        <v>4334639.5140000004</v>
      </c>
      <c r="F4273" t="str">
        <f>+'[2]por cuent'!I4273</f>
        <v>554</v>
      </c>
    </row>
    <row r="4274" spans="1:6" x14ac:dyDescent="0.35">
      <c r="A4274" t="str">
        <f>+'[2]por cuent'!A4274</f>
        <v>USD</v>
      </c>
      <c r="B4274" t="str">
        <f>+'[2]por cuent'!B4274</f>
        <v>554001212</v>
      </c>
      <c r="C4274" t="str">
        <f>+'[2]por cuent'!C4274</f>
        <v>Di Bari, José Ignacio Tomás</v>
      </c>
      <c r="D4274" s="35">
        <f>+'[2]por cuent'!G4274</f>
        <v>3999.99</v>
      </c>
      <c r="E4274" s="35">
        <f>+'[2]por cuent'!H4274</f>
        <v>5982305.0441999994</v>
      </c>
      <c r="F4274" t="str">
        <f>+'[2]por cuent'!I4274</f>
        <v>554</v>
      </c>
    </row>
    <row r="4275" spans="1:6" x14ac:dyDescent="0.35">
      <c r="A4275" t="str">
        <f>+'[2]por cuent'!A4275</f>
        <v>USD</v>
      </c>
      <c r="B4275" t="str">
        <f>+'[2]por cuent'!B4275</f>
        <v>560636006</v>
      </c>
      <c r="C4275" t="str">
        <f>+'[2]por cuent'!C4275</f>
        <v>Gabriel Matias Indihar</v>
      </c>
      <c r="D4275" s="35">
        <f>+'[2]por cuent'!G4275</f>
        <v>200249.05</v>
      </c>
      <c r="E4275" s="35">
        <f>+'[2]por cuent'!H4275</f>
        <v>299488474.19899994</v>
      </c>
      <c r="F4275" t="str">
        <f>+'[2]por cuent'!I4275</f>
        <v>560</v>
      </c>
    </row>
    <row r="4276" spans="1:6" x14ac:dyDescent="0.35">
      <c r="A4276" t="str">
        <f>+'[2]por cuent'!A4276</f>
        <v>USD</v>
      </c>
      <c r="B4276" t="str">
        <f>+'[2]por cuent'!B4276</f>
        <v>560636007</v>
      </c>
      <c r="C4276" t="str">
        <f>+'[2]por cuent'!C4276</f>
        <v>Omega Bursátil S.A.</v>
      </c>
      <c r="D4276" s="35">
        <f>+'[2]por cuent'!G4276</f>
        <v>2589299.16</v>
      </c>
      <c r="E4276" s="35">
        <f>+'[2]por cuent'!H4276</f>
        <v>3872504037.7128</v>
      </c>
      <c r="F4276" t="str">
        <f>+'[2]por cuent'!I4276</f>
        <v>560</v>
      </c>
    </row>
    <row r="4277" spans="1:6" x14ac:dyDescent="0.35">
      <c r="A4277" t="str">
        <f>+'[2]por cuent'!A4277</f>
        <v>USD</v>
      </c>
      <c r="B4277" t="str">
        <f>+'[2]por cuent'!B4277</f>
        <v>560636009</v>
      </c>
      <c r="C4277" t="str">
        <f>+'[2]por cuent'!C4277</f>
        <v>Rovan, Antonio Miguel</v>
      </c>
      <c r="D4277" s="35">
        <f>+'[2]por cuent'!G4277</f>
        <v>15223.95</v>
      </c>
      <c r="E4277" s="35">
        <f>+'[2]por cuent'!H4277</f>
        <v>22768635.140999999</v>
      </c>
      <c r="F4277" t="str">
        <f>+'[2]por cuent'!I4277</f>
        <v>560</v>
      </c>
    </row>
    <row r="4278" spans="1:6" x14ac:dyDescent="0.35">
      <c r="A4278" t="str">
        <f>+'[2]por cuent'!A4278</f>
        <v>USD</v>
      </c>
      <c r="B4278" t="str">
        <f>+'[2]por cuent'!B4278</f>
        <v>560636011</v>
      </c>
      <c r="C4278" t="str">
        <f>+'[2]por cuent'!C4278</f>
        <v>Indihar, Monica Silvia</v>
      </c>
      <c r="D4278" s="35">
        <f>+'[2]por cuent'!G4278</f>
        <v>12245.81</v>
      </c>
      <c r="E4278" s="35">
        <f>+'[2]por cuent'!H4278</f>
        <v>18314588.5198</v>
      </c>
      <c r="F4278" t="str">
        <f>+'[2]por cuent'!I4278</f>
        <v>560</v>
      </c>
    </row>
    <row r="4279" spans="1:6" x14ac:dyDescent="0.35">
      <c r="A4279" t="str">
        <f>+'[2]por cuent'!A4279</f>
        <v>USD</v>
      </c>
      <c r="B4279" t="str">
        <f>+'[2]por cuent'!B4279</f>
        <v>560636029</v>
      </c>
      <c r="C4279" t="str">
        <f>+'[2]por cuent'!C4279</f>
        <v>Margarita Potocnik &amp; Michelle Sterzovsky</v>
      </c>
      <c r="D4279" s="35">
        <f>+'[2]por cuent'!G4279</f>
        <v>34.33</v>
      </c>
      <c r="E4279" s="35">
        <f>+'[2]por cuent'!H4279</f>
        <v>51343.261399999996</v>
      </c>
      <c r="F4279" t="str">
        <f>+'[2]por cuent'!I4279</f>
        <v>560</v>
      </c>
    </row>
    <row r="4280" spans="1:6" x14ac:dyDescent="0.35">
      <c r="A4280" t="str">
        <f>+'[2]por cuent'!A4280</f>
        <v>USD</v>
      </c>
      <c r="B4280" t="str">
        <f>+'[2]por cuent'!B4280</f>
        <v>560636030</v>
      </c>
      <c r="C4280" t="str">
        <f>+'[2]por cuent'!C4280</f>
        <v>Potocnik, Giselle</v>
      </c>
      <c r="D4280" s="35">
        <f>+'[2]por cuent'!G4280</f>
        <v>31980.77</v>
      </c>
      <c r="E4280" s="35">
        <f>+'[2]por cuent'!H4280</f>
        <v>47829799.996600002</v>
      </c>
      <c r="F4280" t="str">
        <f>+'[2]por cuent'!I4280</f>
        <v>560</v>
      </c>
    </row>
    <row r="4281" spans="1:6" x14ac:dyDescent="0.35">
      <c r="A4281" t="str">
        <f>+'[2]por cuent'!A4281</f>
        <v>USD</v>
      </c>
      <c r="B4281" t="str">
        <f>+'[2]por cuent'!B4281</f>
        <v>560636031</v>
      </c>
      <c r="C4281" t="str">
        <f>+'[2]por cuent'!C4281</f>
        <v xml:space="preserve">Matias Indihar and Bernarda Burgar </v>
      </c>
      <c r="D4281" s="35">
        <f>+'[2]por cuent'!G4281</f>
        <v>21659.1</v>
      </c>
      <c r="E4281" s="35">
        <f>+'[2]por cuent'!H4281</f>
        <v>32392916.777999997</v>
      </c>
      <c r="F4281" t="str">
        <f>+'[2]por cuent'!I4281</f>
        <v>560</v>
      </c>
    </row>
    <row r="4282" spans="1:6" x14ac:dyDescent="0.35">
      <c r="A4282" t="str">
        <f>+'[2]por cuent'!A4282</f>
        <v>USD</v>
      </c>
      <c r="B4282" t="str">
        <f>+'[2]por cuent'!B4282</f>
        <v>560636032</v>
      </c>
      <c r="C4282" t="str">
        <f>+'[2]por cuent'!C4282</f>
        <v>Stella Maris Menghi</v>
      </c>
      <c r="D4282" s="35">
        <f>+'[2]por cuent'!G4282</f>
        <v>2.5</v>
      </c>
      <c r="E4282" s="35">
        <f>+'[2]por cuent'!H4282</f>
        <v>3738.95</v>
      </c>
      <c r="F4282" t="str">
        <f>+'[2]por cuent'!I4282</f>
        <v>560</v>
      </c>
    </row>
    <row r="4283" spans="1:6" x14ac:dyDescent="0.35">
      <c r="A4283" t="str">
        <f>+'[2]por cuent'!A4283</f>
        <v>USD</v>
      </c>
      <c r="B4283" t="str">
        <f>+'[2]por cuent'!B4283</f>
        <v>560636095</v>
      </c>
      <c r="C4283" t="str">
        <f>+'[2]por cuent'!C4283</f>
        <v>Indihar, Mariano Andres</v>
      </c>
      <c r="D4283" s="35">
        <f>+'[2]por cuent'!G4283</f>
        <v>35429.949999999997</v>
      </c>
      <c r="E4283" s="35">
        <f>+'[2]por cuent'!H4283</f>
        <v>52988324.620999992</v>
      </c>
      <c r="F4283" t="str">
        <f>+'[2]por cuent'!I4283</f>
        <v>560</v>
      </c>
    </row>
    <row r="4284" spans="1:6" x14ac:dyDescent="0.35">
      <c r="A4284" t="str">
        <f>+'[2]por cuent'!A4284</f>
        <v>USD</v>
      </c>
      <c r="B4284" t="str">
        <f>+'[2]por cuent'!B4284</f>
        <v>560636106</v>
      </c>
      <c r="C4284" t="str">
        <f>+'[2]por cuent'!C4284</f>
        <v xml:space="preserve">Cooperativa de vivienda crédito y consumo Finadi LTDA.  </v>
      </c>
      <c r="D4284" s="35">
        <f>+'[2]por cuent'!G4284</f>
        <v>46490.69</v>
      </c>
      <c r="E4284" s="35">
        <f>+'[2]por cuent'!H4284</f>
        <v>69530546.150199994</v>
      </c>
      <c r="F4284" t="str">
        <f>+'[2]por cuent'!I4284</f>
        <v>560</v>
      </c>
    </row>
    <row r="4285" spans="1:6" x14ac:dyDescent="0.35">
      <c r="A4285" t="str">
        <f>+'[2]por cuent'!A4285</f>
        <v>USD</v>
      </c>
      <c r="B4285" t="str">
        <f>+'[2]por cuent'!B4285</f>
        <v>560636115</v>
      </c>
      <c r="C4285" t="str">
        <f>+'[2]por cuent'!C4285</f>
        <v>Spinaci, Ramiro</v>
      </c>
      <c r="D4285" s="35">
        <f>+'[2]por cuent'!G4285</f>
        <v>353586.57</v>
      </c>
      <c r="E4285" s="35">
        <f>+'[2]por cuent'!H4285</f>
        <v>528817002.36059999</v>
      </c>
      <c r="F4285" t="str">
        <f>+'[2]por cuent'!I4285</f>
        <v>560</v>
      </c>
    </row>
    <row r="4286" spans="1:6" x14ac:dyDescent="0.35">
      <c r="A4286" t="str">
        <f>+'[2]por cuent'!A4286</f>
        <v>USD</v>
      </c>
      <c r="B4286" t="str">
        <f>+'[2]por cuent'!B4286</f>
        <v>560636167</v>
      </c>
      <c r="C4286" t="str">
        <f>+'[2]por cuent'!C4286</f>
        <v>Sassani, Roberto Emiliano</v>
      </c>
      <c r="D4286" s="35">
        <f>+'[2]por cuent'!G4286</f>
        <v>65.44</v>
      </c>
      <c r="E4286" s="35">
        <f>+'[2]por cuent'!H4286</f>
        <v>97870.755199999985</v>
      </c>
      <c r="F4286" t="str">
        <f>+'[2]por cuent'!I4286</f>
        <v>560</v>
      </c>
    </row>
    <row r="4287" spans="1:6" x14ac:dyDescent="0.35">
      <c r="A4287" t="str">
        <f>+'[2]por cuent'!A4287</f>
        <v>USD</v>
      </c>
      <c r="B4287" t="str">
        <f>+'[2]por cuent'!B4287</f>
        <v>560636217</v>
      </c>
      <c r="C4287" t="str">
        <f>+'[2]por cuent'!C4287</f>
        <v>Montero, Mariano</v>
      </c>
      <c r="D4287" s="35">
        <f>+'[2]por cuent'!G4287</f>
        <v>127774.15</v>
      </c>
      <c r="E4287" s="35">
        <f>+'[2]por cuent'!H4287</f>
        <v>191096463.25699997</v>
      </c>
      <c r="F4287" t="str">
        <f>+'[2]por cuent'!I4287</f>
        <v>560</v>
      </c>
    </row>
    <row r="4288" spans="1:6" x14ac:dyDescent="0.35">
      <c r="A4288" t="str">
        <f>+'[2]por cuent'!A4288</f>
        <v>USD</v>
      </c>
      <c r="B4288" t="str">
        <f>+'[2]por cuent'!B4288</f>
        <v>560636238</v>
      </c>
      <c r="C4288" t="str">
        <f>+'[2]por cuent'!C4288</f>
        <v xml:space="preserve">Spiandorello, Claudio </v>
      </c>
      <c r="D4288" s="35">
        <f>+'[2]por cuent'!G4288</f>
        <v>723095.74</v>
      </c>
      <c r="E4288" s="35">
        <f>+'[2]por cuent'!H4288</f>
        <v>1081447526.8292</v>
      </c>
      <c r="F4288" t="str">
        <f>+'[2]por cuent'!I4288</f>
        <v>560</v>
      </c>
    </row>
    <row r="4289" spans="1:6" x14ac:dyDescent="0.35">
      <c r="A4289" t="str">
        <f>+'[2]por cuent'!A4289</f>
        <v>USD</v>
      </c>
      <c r="B4289" t="str">
        <f>+'[2]por cuent'!B4289</f>
        <v>560636333</v>
      </c>
      <c r="C4289" t="str">
        <f>+'[2]por cuent'!C4289</f>
        <v xml:space="preserve">Haag, Maria Julia y Menghi, Stella Maris </v>
      </c>
      <c r="D4289" s="35">
        <f>+'[2]por cuent'!G4289</f>
        <v>76089.460000000006</v>
      </c>
      <c r="E4289" s="35">
        <f>+'[2]por cuent'!H4289</f>
        <v>113797874.58680001</v>
      </c>
      <c r="F4289" t="str">
        <f>+'[2]por cuent'!I4289</f>
        <v>560</v>
      </c>
    </row>
    <row r="4290" spans="1:6" x14ac:dyDescent="0.35">
      <c r="A4290" t="str">
        <f>+'[2]por cuent'!A4290</f>
        <v>USD</v>
      </c>
      <c r="B4290" t="str">
        <f>+'[2]por cuent'!B4290</f>
        <v>560636379</v>
      </c>
      <c r="C4290" t="str">
        <f>+'[2]por cuent'!C4290</f>
        <v>HERRERA , NESTOR ANTONIO</v>
      </c>
      <c r="D4290" s="35">
        <f>+'[2]por cuent'!G4290</f>
        <v>2832.82</v>
      </c>
      <c r="E4290" s="35">
        <f>+'[2]por cuent'!H4290</f>
        <v>4236708.9356000004</v>
      </c>
      <c r="F4290" t="str">
        <f>+'[2]por cuent'!I4290</f>
        <v>560</v>
      </c>
    </row>
    <row r="4291" spans="1:6" x14ac:dyDescent="0.35">
      <c r="A4291" t="str">
        <f>+'[2]por cuent'!A4291</f>
        <v>USD</v>
      </c>
      <c r="B4291" t="str">
        <f>+'[2]por cuent'!B4291</f>
        <v>560636428</v>
      </c>
      <c r="C4291" t="str">
        <f>+'[2]por cuent'!C4291</f>
        <v>Marincic, María Verónica</v>
      </c>
      <c r="D4291" s="35">
        <f>+'[2]por cuent'!G4291</f>
        <v>35888.949999999997</v>
      </c>
      <c r="E4291" s="35">
        <f>+'[2]por cuent'!H4291</f>
        <v>53674795.840999991</v>
      </c>
      <c r="F4291" t="str">
        <f>+'[2]por cuent'!I4291</f>
        <v>560</v>
      </c>
    </row>
    <row r="4292" spans="1:6" x14ac:dyDescent="0.35">
      <c r="A4292" t="str">
        <f>+'[2]por cuent'!A4292</f>
        <v>USD</v>
      </c>
      <c r="B4292" t="str">
        <f>+'[2]por cuent'!B4292</f>
        <v>560636443</v>
      </c>
      <c r="C4292" t="str">
        <f>+'[2]por cuent'!C4292</f>
        <v>Gomez, Eustaquio Anastasio</v>
      </c>
      <c r="D4292" s="35">
        <f>+'[2]por cuent'!G4292</f>
        <v>70262.03</v>
      </c>
      <c r="E4292" s="35">
        <f>+'[2]por cuent'!H4292</f>
        <v>105082486.8274</v>
      </c>
      <c r="F4292" t="str">
        <f>+'[2]por cuent'!I4292</f>
        <v>560</v>
      </c>
    </row>
    <row r="4293" spans="1:6" x14ac:dyDescent="0.35">
      <c r="A4293" t="str">
        <f>+'[2]por cuent'!A4293</f>
        <v>USD</v>
      </c>
      <c r="B4293" t="str">
        <f>+'[2]por cuent'!B4293</f>
        <v>560636493</v>
      </c>
      <c r="C4293" t="str">
        <f>+'[2]por cuent'!C4293</f>
        <v>Levy, Luciano Nisim</v>
      </c>
      <c r="D4293" s="35">
        <f>+'[2]por cuent'!G4293</f>
        <v>991.12</v>
      </c>
      <c r="E4293" s="35">
        <f>+'[2]por cuent'!H4293</f>
        <v>1482299.2496</v>
      </c>
      <c r="F4293" t="str">
        <f>+'[2]por cuent'!I4293</f>
        <v>560</v>
      </c>
    </row>
    <row r="4294" spans="1:6" x14ac:dyDescent="0.35">
      <c r="A4294" t="str">
        <f>+'[2]por cuent'!A4294</f>
        <v>USD</v>
      </c>
      <c r="B4294" t="str">
        <f>+'[2]por cuent'!B4294</f>
        <v>560636549</v>
      </c>
      <c r="C4294" t="str">
        <f>+'[2]por cuent'!C4294</f>
        <v xml:space="preserve">INES YAEL, SALEM </v>
      </c>
      <c r="D4294" s="35">
        <f>+'[2]por cuent'!G4294</f>
        <v>555099.6</v>
      </c>
      <c r="E4294" s="35">
        <f>+'[2]por cuent'!H4294</f>
        <v>830195859.76799989</v>
      </c>
      <c r="F4294" t="str">
        <f>+'[2]por cuent'!I4294</f>
        <v>560</v>
      </c>
    </row>
    <row r="4295" spans="1:6" x14ac:dyDescent="0.35">
      <c r="A4295" t="str">
        <f>+'[2]por cuent'!A4295</f>
        <v>USD</v>
      </c>
      <c r="B4295" t="str">
        <f>+'[2]por cuent'!B4295</f>
        <v>560636573</v>
      </c>
      <c r="C4295" t="str">
        <f>+'[2]por cuent'!C4295</f>
        <v>Gomez, Lucas Miguel</v>
      </c>
      <c r="D4295" s="35">
        <f>+'[2]por cuent'!G4295</f>
        <v>29343.25</v>
      </c>
      <c r="E4295" s="35">
        <f>+'[2]por cuent'!H4295</f>
        <v>43885177.835000001</v>
      </c>
      <c r="F4295" t="str">
        <f>+'[2]por cuent'!I4295</f>
        <v>560</v>
      </c>
    </row>
    <row r="4296" spans="1:6" x14ac:dyDescent="0.35">
      <c r="A4296" t="str">
        <f>+'[2]por cuent'!A4296</f>
        <v>USD</v>
      </c>
      <c r="B4296" t="str">
        <f>+'[2]por cuent'!B4296</f>
        <v>560636610</v>
      </c>
      <c r="C4296" t="str">
        <f>+'[2]por cuent'!C4296</f>
        <v>Montero, Diego</v>
      </c>
      <c r="D4296" s="35">
        <f>+'[2]por cuent'!G4296</f>
        <v>90052</v>
      </c>
      <c r="E4296" s="35">
        <f>+'[2]por cuent'!H4296</f>
        <v>134679970.16</v>
      </c>
      <c r="F4296" t="str">
        <f>+'[2]por cuent'!I4296</f>
        <v>560</v>
      </c>
    </row>
    <row r="4297" spans="1:6" x14ac:dyDescent="0.35">
      <c r="A4297" t="str">
        <f>+'[2]por cuent'!A4297</f>
        <v>USD</v>
      </c>
      <c r="B4297" t="str">
        <f>+'[2]por cuent'!B4297</f>
        <v>560636630</v>
      </c>
      <c r="C4297" t="str">
        <f>+'[2]por cuent'!C4297</f>
        <v>Hofferle, Eric</v>
      </c>
      <c r="D4297" s="35">
        <f>+'[2]por cuent'!G4297</f>
        <v>0.49</v>
      </c>
      <c r="E4297" s="35">
        <f>+'[2]por cuent'!H4297</f>
        <v>732.8341999999999</v>
      </c>
      <c r="F4297" t="str">
        <f>+'[2]por cuent'!I4297</f>
        <v>560</v>
      </c>
    </row>
    <row r="4298" spans="1:6" x14ac:dyDescent="0.35">
      <c r="A4298" t="str">
        <f>+'[2]por cuent'!A4298</f>
        <v>USD</v>
      </c>
      <c r="B4298" t="str">
        <f>+'[2]por cuent'!B4298</f>
        <v>560636647</v>
      </c>
      <c r="C4298" t="str">
        <f>+'[2]por cuent'!C4298</f>
        <v xml:space="preserve">Gomez, Eustaquio Ezequiel </v>
      </c>
      <c r="D4298" s="35">
        <f>+'[2]por cuent'!G4298</f>
        <v>32184.41</v>
      </c>
      <c r="E4298" s="35">
        <f>+'[2]por cuent'!H4298</f>
        <v>48134359.907799996</v>
      </c>
      <c r="F4298" t="str">
        <f>+'[2]por cuent'!I4298</f>
        <v>560</v>
      </c>
    </row>
    <row r="4299" spans="1:6" x14ac:dyDescent="0.35">
      <c r="A4299" t="str">
        <f>+'[2]por cuent'!A4299</f>
        <v>USD</v>
      </c>
      <c r="B4299" t="str">
        <f>+'[2]por cuent'!B4299</f>
        <v>560636695</v>
      </c>
      <c r="C4299" t="str">
        <f>+'[2]por cuent'!C4299</f>
        <v>LUCESOLI, CLAUDIO MARTIN</v>
      </c>
      <c r="D4299" s="35">
        <f>+'[2]por cuent'!G4299</f>
        <v>7397.75</v>
      </c>
      <c r="E4299" s="35">
        <f>+'[2]por cuent'!H4299</f>
        <v>11063926.945</v>
      </c>
      <c r="F4299" t="str">
        <f>+'[2]por cuent'!I4299</f>
        <v>560</v>
      </c>
    </row>
    <row r="4300" spans="1:6" x14ac:dyDescent="0.35">
      <c r="A4300" t="str">
        <f>+'[2]por cuent'!A4300</f>
        <v>USD</v>
      </c>
      <c r="B4300" t="str">
        <f>+'[2]por cuent'!B4300</f>
        <v>560636736</v>
      </c>
      <c r="C4300" t="str">
        <f>+'[2]por cuent'!C4300</f>
        <v>Alfonso, Jose Emilio</v>
      </c>
      <c r="D4300" s="35">
        <f>+'[2]por cuent'!G4300</f>
        <v>3070.67</v>
      </c>
      <c r="E4300" s="35">
        <f>+'[2]por cuent'!H4300</f>
        <v>4592432.6386000002</v>
      </c>
      <c r="F4300" t="str">
        <f>+'[2]por cuent'!I4300</f>
        <v>560</v>
      </c>
    </row>
    <row r="4301" spans="1:6" x14ac:dyDescent="0.35">
      <c r="A4301" t="str">
        <f>+'[2]por cuent'!A4301</f>
        <v>USD</v>
      </c>
      <c r="B4301" t="str">
        <f>+'[2]por cuent'!B4301</f>
        <v>560636923</v>
      </c>
      <c r="C4301" t="str">
        <f>+'[2]por cuent'!C4301</f>
        <v>Carugati, Sebastian</v>
      </c>
      <c r="D4301" s="35">
        <f>+'[2]por cuent'!G4301</f>
        <v>65.12</v>
      </c>
      <c r="E4301" s="35">
        <f>+'[2]por cuent'!H4301</f>
        <v>97392.169600000008</v>
      </c>
      <c r="F4301" t="str">
        <f>+'[2]por cuent'!I4301</f>
        <v>560</v>
      </c>
    </row>
    <row r="4302" spans="1:6" x14ac:dyDescent="0.35">
      <c r="A4302" t="str">
        <f>+'[2]por cuent'!A4302</f>
        <v>USD</v>
      </c>
      <c r="B4302" t="str">
        <f>+'[2]por cuent'!B4302</f>
        <v>560637024</v>
      </c>
      <c r="C4302" t="str">
        <f>+'[2]por cuent'!C4302</f>
        <v>Bianchi, Carolina y Thielemann, Martin Alfredo</v>
      </c>
      <c r="D4302" s="35">
        <f>+'[2]por cuent'!G4302</f>
        <v>242217.48</v>
      </c>
      <c r="E4302" s="35">
        <f>+'[2]por cuent'!H4302</f>
        <v>362255618.73839998</v>
      </c>
      <c r="F4302" t="str">
        <f>+'[2]por cuent'!I4302</f>
        <v>560</v>
      </c>
    </row>
    <row r="4303" spans="1:6" x14ac:dyDescent="0.35">
      <c r="A4303" t="str">
        <f>+'[2]por cuent'!A4303</f>
        <v>USD</v>
      </c>
      <c r="B4303" t="str">
        <f>+'[2]por cuent'!B4303</f>
        <v>560637051</v>
      </c>
      <c r="C4303" t="str">
        <f>+'[2]por cuent'!C4303</f>
        <v>Indihar, Gabriel Matias</v>
      </c>
      <c r="D4303" s="35">
        <f>+'[2]por cuent'!G4303</f>
        <v>5730.52</v>
      </c>
      <c r="E4303" s="35">
        <f>+'[2]por cuent'!H4303</f>
        <v>8570451.1016000006</v>
      </c>
      <c r="F4303" t="str">
        <f>+'[2]por cuent'!I4303</f>
        <v>560</v>
      </c>
    </row>
    <row r="4304" spans="1:6" x14ac:dyDescent="0.35">
      <c r="A4304" t="str">
        <f>+'[2]por cuent'!A4304</f>
        <v>USD</v>
      </c>
      <c r="B4304" t="str">
        <f>+'[2]por cuent'!B4304</f>
        <v>560637052</v>
      </c>
      <c r="C4304" t="str">
        <f>+'[2]por cuent'!C4304</f>
        <v>Indihar, Gabriel Matias</v>
      </c>
      <c r="D4304" s="35">
        <f>+'[2]por cuent'!G4304</f>
        <v>6138.51</v>
      </c>
      <c r="E4304" s="35">
        <f>+'[2]por cuent'!H4304</f>
        <v>9180632.7858000007</v>
      </c>
      <c r="F4304" t="str">
        <f>+'[2]por cuent'!I4304</f>
        <v>560</v>
      </c>
    </row>
    <row r="4305" spans="1:6" x14ac:dyDescent="0.35">
      <c r="A4305" t="str">
        <f>+'[2]por cuent'!A4305</f>
        <v>USD</v>
      </c>
      <c r="B4305" t="str">
        <f>+'[2]por cuent'!B4305</f>
        <v>560637053</v>
      </c>
      <c r="C4305" t="str">
        <f>+'[2]por cuent'!C4305</f>
        <v>Indihar, Gabriel Matias</v>
      </c>
      <c r="D4305" s="35">
        <f>+'[2]por cuent'!G4305</f>
        <v>6135.64</v>
      </c>
      <c r="E4305" s="35">
        <f>+'[2]por cuent'!H4305</f>
        <v>9176340.4712000005</v>
      </c>
      <c r="F4305" t="str">
        <f>+'[2]por cuent'!I4305</f>
        <v>560</v>
      </c>
    </row>
    <row r="4306" spans="1:6" x14ac:dyDescent="0.35">
      <c r="A4306" t="str">
        <f>+'[2]por cuent'!A4306</f>
        <v>USD</v>
      </c>
      <c r="B4306" t="str">
        <f>+'[2]por cuent'!B4306</f>
        <v>560637146</v>
      </c>
      <c r="C4306" t="str">
        <f>+'[2]por cuent'!C4306</f>
        <v>Basavilbaso, Pablo</v>
      </c>
      <c r="D4306" s="35">
        <f>+'[2]por cuent'!G4306</f>
        <v>3153.14</v>
      </c>
      <c r="E4306" s="35">
        <f>+'[2]por cuent'!H4306</f>
        <v>4715773.1211999999</v>
      </c>
      <c r="F4306" t="str">
        <f>+'[2]por cuent'!I4306</f>
        <v>560</v>
      </c>
    </row>
    <row r="4307" spans="1:6" x14ac:dyDescent="0.35">
      <c r="A4307" t="str">
        <f>+'[2]por cuent'!A4307</f>
        <v>USD</v>
      </c>
      <c r="B4307" t="str">
        <f>+'[2]por cuent'!B4307</f>
        <v>560637259</v>
      </c>
      <c r="C4307" t="str">
        <f>+'[2]por cuent'!C4307</f>
        <v>Asociacion mutual vida salud</v>
      </c>
      <c r="D4307" s="35">
        <f>+'[2]por cuent'!G4307</f>
        <v>324937.63</v>
      </c>
      <c r="E4307" s="35">
        <f>+'[2]por cuent'!H4307</f>
        <v>485970220.67539996</v>
      </c>
      <c r="F4307" t="str">
        <f>+'[2]por cuent'!I4307</f>
        <v>560</v>
      </c>
    </row>
    <row r="4308" spans="1:6" x14ac:dyDescent="0.35">
      <c r="A4308" t="str">
        <f>+'[2]por cuent'!A4308</f>
        <v>USD</v>
      </c>
      <c r="B4308" t="str">
        <f>+'[2]por cuent'!B4308</f>
        <v>560637453</v>
      </c>
      <c r="C4308" t="str">
        <f>+'[2]por cuent'!C4308</f>
        <v>Oblak, Gabriel y Klemencic, Lorena</v>
      </c>
      <c r="D4308" s="35">
        <f>+'[2]por cuent'!G4308</f>
        <v>1.91</v>
      </c>
      <c r="E4308" s="35">
        <f>+'[2]por cuent'!H4308</f>
        <v>2856.5577999999996</v>
      </c>
      <c r="F4308" t="str">
        <f>+'[2]por cuent'!I4308</f>
        <v>560</v>
      </c>
    </row>
    <row r="4309" spans="1:6" x14ac:dyDescent="0.35">
      <c r="A4309" t="str">
        <f>+'[2]por cuent'!A4309</f>
        <v>USD</v>
      </c>
      <c r="B4309" t="str">
        <f>+'[2]por cuent'!B4309</f>
        <v>560637470</v>
      </c>
      <c r="C4309" t="str">
        <f>+'[2]por cuent'!C4309</f>
        <v>BIGEYE</v>
      </c>
      <c r="D4309" s="35">
        <f>+'[2]por cuent'!G4309</f>
        <v>685.8</v>
      </c>
      <c r="E4309" s="35">
        <f>+'[2]por cuent'!H4309</f>
        <v>1025668.7639999999</v>
      </c>
      <c r="F4309" t="str">
        <f>+'[2]por cuent'!I4309</f>
        <v>560</v>
      </c>
    </row>
    <row r="4310" spans="1:6" x14ac:dyDescent="0.35">
      <c r="A4310" t="str">
        <f>+'[2]por cuent'!A4310</f>
        <v>USD</v>
      </c>
      <c r="B4310" t="str">
        <f>+'[2]por cuent'!B4310</f>
        <v>560637506</v>
      </c>
      <c r="C4310" t="str">
        <f>+'[2]por cuent'!C4310</f>
        <v>MAR EXCHANGE S.A.</v>
      </c>
      <c r="D4310" s="35">
        <f>+'[2]por cuent'!G4310</f>
        <v>147.35</v>
      </c>
      <c r="E4310" s="35">
        <f>+'[2]por cuent'!H4310</f>
        <v>220373.71299999999</v>
      </c>
      <c r="F4310" t="str">
        <f>+'[2]por cuent'!I4310</f>
        <v>560</v>
      </c>
    </row>
    <row r="4311" spans="1:6" x14ac:dyDescent="0.35">
      <c r="A4311" t="str">
        <f>+'[2]por cuent'!A4311</f>
        <v>USD</v>
      </c>
      <c r="B4311" t="str">
        <f>+'[2]por cuent'!B4311</f>
        <v>560637533</v>
      </c>
      <c r="C4311" t="str">
        <f>+'[2]por cuent'!C4311</f>
        <v>KOCMUR, ANDRES</v>
      </c>
      <c r="D4311" s="35">
        <f>+'[2]por cuent'!G4311</f>
        <v>74443</v>
      </c>
      <c r="E4311" s="35">
        <f>+'[2]por cuent'!H4311</f>
        <v>111335461.94</v>
      </c>
      <c r="F4311" t="str">
        <f>+'[2]por cuent'!I4311</f>
        <v>560</v>
      </c>
    </row>
    <row r="4312" spans="1:6" x14ac:dyDescent="0.35">
      <c r="A4312" t="str">
        <f>+'[2]por cuent'!A4312</f>
        <v>USD</v>
      </c>
      <c r="B4312" t="str">
        <f>+'[2]por cuent'!B4312</f>
        <v>560637582</v>
      </c>
      <c r="C4312" t="str">
        <f>+'[2]por cuent'!C4312</f>
        <v>GOMEZ, Maria Teresa</v>
      </c>
      <c r="D4312" s="35">
        <f>+'[2]por cuent'!G4312</f>
        <v>29893.7</v>
      </c>
      <c r="E4312" s="35">
        <f>+'[2]por cuent'!H4312</f>
        <v>44708419.846000001</v>
      </c>
      <c r="F4312" t="str">
        <f>+'[2]por cuent'!I4312</f>
        <v>560</v>
      </c>
    </row>
    <row r="4313" spans="1:6" x14ac:dyDescent="0.35">
      <c r="A4313" t="str">
        <f>+'[2]por cuent'!A4313</f>
        <v>USD</v>
      </c>
      <c r="B4313" t="str">
        <f>+'[2]por cuent'!B4313</f>
        <v>560637602</v>
      </c>
      <c r="C4313" t="str">
        <f>+'[2]por cuent'!C4313</f>
        <v>Laboratorios Frasca SRL</v>
      </c>
      <c r="D4313" s="35">
        <f>+'[2]por cuent'!G4313</f>
        <v>99976.4</v>
      </c>
      <c r="E4313" s="35">
        <f>+'[2]por cuent'!H4313</f>
        <v>149522704.31199998</v>
      </c>
      <c r="F4313" t="str">
        <f>+'[2]por cuent'!I4313</f>
        <v>560</v>
      </c>
    </row>
    <row r="4314" spans="1:6" x14ac:dyDescent="0.35">
      <c r="A4314" t="str">
        <f>+'[2]por cuent'!A4314</f>
        <v>USD</v>
      </c>
      <c r="B4314" t="str">
        <f>+'[2]por cuent'!B4314</f>
        <v>560637637</v>
      </c>
      <c r="C4314" t="str">
        <f>+'[2]por cuent'!C4314</f>
        <v>Ceschini, Juan Carlos</v>
      </c>
      <c r="D4314" s="35">
        <f>+'[2]por cuent'!G4314</f>
        <v>1137.03</v>
      </c>
      <c r="E4314" s="35">
        <f>+'[2]por cuent'!H4314</f>
        <v>1700519.3273999998</v>
      </c>
      <c r="F4314" t="str">
        <f>+'[2]por cuent'!I4314</f>
        <v>560</v>
      </c>
    </row>
    <row r="4315" spans="1:6" x14ac:dyDescent="0.35">
      <c r="A4315" t="str">
        <f>+'[2]por cuent'!A4315</f>
        <v>USD</v>
      </c>
      <c r="B4315" t="str">
        <f>+'[2]por cuent'!B4315</f>
        <v>560637653</v>
      </c>
      <c r="C4315" t="str">
        <f>+'[2]por cuent'!C4315</f>
        <v>Macia, Bono</v>
      </c>
      <c r="D4315" s="35">
        <f>+'[2]por cuent'!G4315</f>
        <v>82056.160000000003</v>
      </c>
      <c r="E4315" s="35">
        <f>+'[2]por cuent'!H4315</f>
        <v>122721551.7728</v>
      </c>
      <c r="F4315" t="str">
        <f>+'[2]por cuent'!I4315</f>
        <v>560</v>
      </c>
    </row>
    <row r="4316" spans="1:6" x14ac:dyDescent="0.35">
      <c r="A4316" t="str">
        <f>+'[2]por cuent'!A4316</f>
        <v>USD</v>
      </c>
      <c r="B4316" t="str">
        <f>+'[2]por cuent'!B4316</f>
        <v>560637660</v>
      </c>
      <c r="C4316" t="str">
        <f>+'[2]por cuent'!C4316</f>
        <v>[C.E.R.A.] Venditti Import S.A.</v>
      </c>
      <c r="D4316" s="35">
        <f>+'[2]por cuent'!G4316</f>
        <v>84.51</v>
      </c>
      <c r="E4316" s="35">
        <f>+'[2]por cuent'!H4316</f>
        <v>126391.46580000001</v>
      </c>
      <c r="F4316" t="str">
        <f>+'[2]por cuent'!I4316</f>
        <v>560</v>
      </c>
    </row>
    <row r="4317" spans="1:6" x14ac:dyDescent="0.35">
      <c r="A4317" t="str">
        <f>+'[2]por cuent'!A4317</f>
        <v>USD</v>
      </c>
      <c r="B4317" t="str">
        <f>+'[2]por cuent'!B4317</f>
        <v>560637760</v>
      </c>
      <c r="C4317" t="str">
        <f>+'[2]por cuent'!C4317</f>
        <v>Belitsky, Natalia Giselda</v>
      </c>
      <c r="D4317" s="35">
        <f>+'[2]por cuent'!G4317</f>
        <v>25011.360000000001</v>
      </c>
      <c r="E4317" s="35">
        <f>+'[2]por cuent'!H4317</f>
        <v>37406489.788800001</v>
      </c>
      <c r="F4317" t="str">
        <f>+'[2]por cuent'!I4317</f>
        <v>560</v>
      </c>
    </row>
    <row r="4318" spans="1:6" x14ac:dyDescent="0.35">
      <c r="A4318" t="str">
        <f>+'[2]por cuent'!A4318</f>
        <v>USD</v>
      </c>
      <c r="B4318" t="str">
        <f>+'[2]por cuent'!B4318</f>
        <v>560637772</v>
      </c>
      <c r="C4318" t="str">
        <f>+'[2]por cuent'!C4318</f>
        <v>TABOADA , CANDIDA MARIA</v>
      </c>
      <c r="D4318" s="35">
        <f>+'[2]por cuent'!G4318</f>
        <v>1999.83</v>
      </c>
      <c r="E4318" s="35">
        <f>+'[2]por cuent'!H4318</f>
        <v>2990905.7514</v>
      </c>
      <c r="F4318" t="str">
        <f>+'[2]por cuent'!I4318</f>
        <v>560</v>
      </c>
    </row>
    <row r="4319" spans="1:6" x14ac:dyDescent="0.35">
      <c r="A4319" t="str">
        <f>+'[2]por cuent'!A4319</f>
        <v>USD</v>
      </c>
      <c r="B4319" t="str">
        <f>+'[2]por cuent'!B4319</f>
        <v>560637774</v>
      </c>
      <c r="C4319" t="str">
        <f>+'[2]por cuent'!C4319</f>
        <v>Christian Pedro Becker &amp; Gabriela Alejandra Ruhl</v>
      </c>
      <c r="D4319" s="35">
        <f>+'[2]por cuent'!G4319</f>
        <v>5426</v>
      </c>
      <c r="E4319" s="35">
        <f>+'[2]por cuent'!H4319</f>
        <v>8115017.0799999991</v>
      </c>
      <c r="F4319" t="str">
        <f>+'[2]por cuent'!I4319</f>
        <v>560</v>
      </c>
    </row>
    <row r="4320" spans="1:6" x14ac:dyDescent="0.35">
      <c r="A4320" t="str">
        <f>+'[2]por cuent'!A4320</f>
        <v>USD</v>
      </c>
      <c r="B4320" t="str">
        <f>+'[2]por cuent'!B4320</f>
        <v>560637807</v>
      </c>
      <c r="C4320" t="str">
        <f>+'[2]por cuent'!C4320</f>
        <v>Spinaci, Ramiro</v>
      </c>
      <c r="D4320" s="35">
        <f>+'[2]por cuent'!G4320</f>
        <v>713871.64</v>
      </c>
      <c r="E4320" s="35">
        <f>+'[2]por cuent'!H4320</f>
        <v>1067652147.3512</v>
      </c>
      <c r="F4320" t="str">
        <f>+'[2]por cuent'!I4320</f>
        <v>560</v>
      </c>
    </row>
    <row r="4321" spans="1:6" x14ac:dyDescent="0.35">
      <c r="A4321" t="str">
        <f>+'[2]por cuent'!A4321</f>
        <v>USD</v>
      </c>
      <c r="B4321" t="str">
        <f>+'[2]por cuent'!B4321</f>
        <v>560637829</v>
      </c>
      <c r="C4321" t="str">
        <f>+'[2]por cuent'!C4321</f>
        <v>Levy, Luciano Nisim &amp; Falak, Olinda Noemi</v>
      </c>
      <c r="D4321" s="35">
        <f>+'[2]por cuent'!G4321</f>
        <v>29.58</v>
      </c>
      <c r="E4321" s="35">
        <f>+'[2]por cuent'!H4321</f>
        <v>44239.256399999998</v>
      </c>
      <c r="F4321" t="str">
        <f>+'[2]por cuent'!I4321</f>
        <v>560</v>
      </c>
    </row>
    <row r="4322" spans="1:6" x14ac:dyDescent="0.35">
      <c r="A4322" t="str">
        <f>+'[2]por cuent'!A4322</f>
        <v>USD</v>
      </c>
      <c r="B4322" t="str">
        <f>+'[2]por cuent'!B4322</f>
        <v>560639013</v>
      </c>
      <c r="C4322" t="str">
        <f>+'[2]por cuent'!C4322</f>
        <v>[C.E.R.A] Kocmur, Andres</v>
      </c>
      <c r="D4322" s="35">
        <f>+'[2]por cuent'!G4322</f>
        <v>37.130000000000003</v>
      </c>
      <c r="E4322" s="35">
        <f>+'[2]por cuent'!H4322</f>
        <v>55530.885399999999</v>
      </c>
      <c r="F4322" t="str">
        <f>+'[2]por cuent'!I4322</f>
        <v>560</v>
      </c>
    </row>
    <row r="4323" spans="1:6" x14ac:dyDescent="0.35">
      <c r="A4323" t="str">
        <f>+'[2]por cuent'!A4323</f>
        <v>USD</v>
      </c>
      <c r="B4323" t="str">
        <f>+'[2]por cuent'!B4323</f>
        <v>565000101</v>
      </c>
      <c r="C4323" t="str">
        <f>+'[2]por cuent'!C4323</f>
        <v>Buenos Aires Crédito S.A.</v>
      </c>
      <c r="D4323" s="35">
        <f>+'[2]por cuent'!G4323</f>
        <v>304839.32</v>
      </c>
      <c r="E4323" s="35">
        <f>+'[2]por cuent'!H4323</f>
        <v>455911590.20559996</v>
      </c>
      <c r="F4323" t="str">
        <f>+'[2]por cuent'!I4323</f>
        <v>565</v>
      </c>
    </row>
    <row r="4324" spans="1:6" x14ac:dyDescent="0.35">
      <c r="A4324" t="str">
        <f>+'[2]por cuent'!A4324</f>
        <v>USD</v>
      </c>
      <c r="B4324" t="str">
        <f>+'[2]por cuent'!B4324</f>
        <v>565000102</v>
      </c>
      <c r="C4324" t="str">
        <f>+'[2]por cuent'!C4324</f>
        <v>Guillermo Hector Ferrero</v>
      </c>
      <c r="D4324" s="35">
        <f>+'[2]por cuent'!G4324</f>
        <v>1353801.64</v>
      </c>
      <c r="E4324" s="35">
        <f>+'[2]por cuent'!H4324</f>
        <v>2024718656.7511997</v>
      </c>
      <c r="F4324" t="str">
        <f>+'[2]por cuent'!I4324</f>
        <v>565</v>
      </c>
    </row>
    <row r="4325" spans="1:6" x14ac:dyDescent="0.35">
      <c r="A4325" t="str">
        <f>+'[2]por cuent'!A4325</f>
        <v>USD</v>
      </c>
      <c r="B4325" t="str">
        <f>+'[2]por cuent'!B4325</f>
        <v>565000103</v>
      </c>
      <c r="C4325" t="str">
        <f>+'[2]por cuent'!C4325</f>
        <v>Enio Bendinelli</v>
      </c>
      <c r="D4325" s="35">
        <f>+'[2]por cuent'!G4325</f>
        <v>2362503.4</v>
      </c>
      <c r="E4325" s="35">
        <f>+'[2]por cuent'!H4325</f>
        <v>3533312834.9719996</v>
      </c>
      <c r="F4325" t="str">
        <f>+'[2]por cuent'!I4325</f>
        <v>565</v>
      </c>
    </row>
    <row r="4326" spans="1:6" x14ac:dyDescent="0.35">
      <c r="A4326" t="str">
        <f>+'[2]por cuent'!A4326</f>
        <v>USD</v>
      </c>
      <c r="B4326" t="str">
        <f>+'[2]por cuent'!B4326</f>
        <v>565000104</v>
      </c>
      <c r="C4326" t="str">
        <f>+'[2]por cuent'!C4326</f>
        <v>Edgardo Luis Sala</v>
      </c>
      <c r="D4326" s="35">
        <f>+'[2]por cuent'!G4326</f>
        <v>21060.61</v>
      </c>
      <c r="E4326" s="35">
        <f>+'[2]por cuent'!H4326</f>
        <v>31497827.103799999</v>
      </c>
      <c r="F4326" t="str">
        <f>+'[2]por cuent'!I4326</f>
        <v>565</v>
      </c>
    </row>
    <row r="4327" spans="1:6" x14ac:dyDescent="0.35">
      <c r="A4327" t="str">
        <f>+'[2]por cuent'!A4327</f>
        <v>USD</v>
      </c>
      <c r="B4327" t="str">
        <f>+'[2]por cuent'!B4327</f>
        <v>565000105</v>
      </c>
      <c r="C4327" t="str">
        <f>+'[2]por cuent'!C4327</f>
        <v>Nelida Rut Gonzalez</v>
      </c>
      <c r="D4327" s="35">
        <f>+'[2]por cuent'!G4327</f>
        <v>8527.16</v>
      </c>
      <c r="E4327" s="35">
        <f>+'[2]por cuent'!H4327</f>
        <v>12753049.9528</v>
      </c>
      <c r="F4327" t="str">
        <f>+'[2]por cuent'!I4327</f>
        <v>565</v>
      </c>
    </row>
    <row r="4328" spans="1:6" x14ac:dyDescent="0.35">
      <c r="A4328" t="str">
        <f>+'[2]por cuent'!A4328</f>
        <v>USD</v>
      </c>
      <c r="B4328" t="str">
        <f>+'[2]por cuent'!B4328</f>
        <v>565000107</v>
      </c>
      <c r="C4328" t="str">
        <f>+'[2]por cuent'!C4328</f>
        <v>Mateo Sala</v>
      </c>
      <c r="D4328" s="35">
        <f>+'[2]por cuent'!G4328</f>
        <v>11425.02</v>
      </c>
      <c r="E4328" s="35">
        <f>+'[2]por cuent'!H4328</f>
        <v>17087031.411600001</v>
      </c>
      <c r="F4328" t="str">
        <f>+'[2]por cuent'!I4328</f>
        <v>565</v>
      </c>
    </row>
    <row r="4329" spans="1:6" x14ac:dyDescent="0.35">
      <c r="A4329" t="str">
        <f>+'[2]por cuent'!A4329</f>
        <v>USD</v>
      </c>
      <c r="B4329" t="str">
        <f>+'[2]por cuent'!B4329</f>
        <v>565000112</v>
      </c>
      <c r="C4329" t="str">
        <f>+'[2]por cuent'!C4329</f>
        <v>Rojo Nora Mercedes</v>
      </c>
      <c r="D4329" s="35">
        <f>+'[2]por cuent'!G4329</f>
        <v>2200.0300000000002</v>
      </c>
      <c r="E4329" s="35">
        <f>+'[2]por cuent'!H4329</f>
        <v>3290320.8674000003</v>
      </c>
      <c r="F4329" t="str">
        <f>+'[2]por cuent'!I4329</f>
        <v>565</v>
      </c>
    </row>
    <row r="4330" spans="1:6" x14ac:dyDescent="0.35">
      <c r="A4330" t="str">
        <f>+'[2]por cuent'!A4330</f>
        <v>USD</v>
      </c>
      <c r="B4330" t="str">
        <f>+'[2]por cuent'!B4330</f>
        <v>565000113</v>
      </c>
      <c r="C4330" t="str">
        <f>+'[2]por cuent'!C4330</f>
        <v>OFMARTS S.A.</v>
      </c>
      <c r="D4330" s="35">
        <f>+'[2]por cuent'!G4330</f>
        <v>41879.94</v>
      </c>
      <c r="E4330" s="35">
        <f>+'[2]por cuent'!H4330</f>
        <v>62634800.665200002</v>
      </c>
      <c r="F4330" t="str">
        <f>+'[2]por cuent'!I4330</f>
        <v>565</v>
      </c>
    </row>
    <row r="4331" spans="1:6" x14ac:dyDescent="0.35">
      <c r="A4331" t="str">
        <f>+'[2]por cuent'!A4331</f>
        <v>USD</v>
      </c>
      <c r="B4331" t="str">
        <f>+'[2]por cuent'!B4331</f>
        <v>565000115</v>
      </c>
      <c r="C4331" t="str">
        <f>+'[2]por cuent'!C4331</f>
        <v>Juan Manuel Gaytan</v>
      </c>
      <c r="D4331" s="35">
        <f>+'[2]por cuent'!G4331</f>
        <v>25352.19</v>
      </c>
      <c r="E4331" s="35">
        <f>+'[2]por cuent'!H4331</f>
        <v>37916228.320199996</v>
      </c>
      <c r="F4331" t="str">
        <f>+'[2]por cuent'!I4331</f>
        <v>565</v>
      </c>
    </row>
    <row r="4332" spans="1:6" x14ac:dyDescent="0.35">
      <c r="A4332" t="str">
        <f>+'[2]por cuent'!A4332</f>
        <v>USD</v>
      </c>
      <c r="B4332" t="str">
        <f>+'[2]por cuent'!B4332</f>
        <v>565000125</v>
      </c>
      <c r="C4332" t="str">
        <f>+'[2]por cuent'!C4332</f>
        <v>Coop. de Cred., Cons. y Viv., Desarrollo y Participacion Ltda.</v>
      </c>
      <c r="D4332" s="35">
        <f>+'[2]por cuent'!G4332</f>
        <v>30389.7</v>
      </c>
      <c r="E4332" s="35">
        <f>+'[2]por cuent'!H4332</f>
        <v>45450227.526000001</v>
      </c>
      <c r="F4332" t="str">
        <f>+'[2]por cuent'!I4332</f>
        <v>565</v>
      </c>
    </row>
    <row r="4333" spans="1:6" x14ac:dyDescent="0.35">
      <c r="A4333" t="str">
        <f>+'[2]por cuent'!A4333</f>
        <v>USD</v>
      </c>
      <c r="B4333" t="str">
        <f>+'[2]por cuent'!B4333</f>
        <v>565000126</v>
      </c>
      <c r="C4333" t="str">
        <f>+'[2]por cuent'!C4333</f>
        <v>Susi Ben S. A.</v>
      </c>
      <c r="D4333" s="35">
        <f>+'[2]por cuent'!G4333</f>
        <v>41319.160000000003</v>
      </c>
      <c r="E4333" s="35">
        <f>+'[2]por cuent'!H4333</f>
        <v>61796109.312800005</v>
      </c>
      <c r="F4333" t="str">
        <f>+'[2]por cuent'!I4333</f>
        <v>565</v>
      </c>
    </row>
    <row r="4334" spans="1:6" x14ac:dyDescent="0.35">
      <c r="A4334" t="str">
        <f>+'[2]por cuent'!A4334</f>
        <v>USD</v>
      </c>
      <c r="B4334" t="str">
        <f>+'[2]por cuent'!B4334</f>
        <v>565000140</v>
      </c>
      <c r="C4334" t="str">
        <f>+'[2]por cuent'!C4334</f>
        <v>Maria Dolores Insua Darros</v>
      </c>
      <c r="D4334" s="35">
        <f>+'[2]por cuent'!G4334</f>
        <v>1472062.16</v>
      </c>
      <c r="E4334" s="35">
        <f>+'[2]por cuent'!H4334</f>
        <v>2201586725.2528</v>
      </c>
      <c r="F4334" t="str">
        <f>+'[2]por cuent'!I4334</f>
        <v>565</v>
      </c>
    </row>
    <row r="4335" spans="1:6" x14ac:dyDescent="0.35">
      <c r="A4335" t="str">
        <f>+'[2]por cuent'!A4335</f>
        <v>USD</v>
      </c>
      <c r="B4335" t="str">
        <f>+'[2]por cuent'!B4335</f>
        <v>565000149</v>
      </c>
      <c r="C4335" t="str">
        <f>+'[2]por cuent'!C4335</f>
        <v>Pedro Sala</v>
      </c>
      <c r="D4335" s="35">
        <f>+'[2]por cuent'!G4335</f>
        <v>20264.400000000001</v>
      </c>
      <c r="E4335" s="35">
        <f>+'[2]por cuent'!H4335</f>
        <v>30307031.352000002</v>
      </c>
      <c r="F4335" t="str">
        <f>+'[2]por cuent'!I4335</f>
        <v>565</v>
      </c>
    </row>
    <row r="4336" spans="1:6" x14ac:dyDescent="0.35">
      <c r="A4336" t="str">
        <f>+'[2]por cuent'!A4336</f>
        <v>USD</v>
      </c>
      <c r="B4336" t="str">
        <f>+'[2]por cuent'!B4336</f>
        <v>565000153</v>
      </c>
      <c r="C4336" t="str">
        <f>+'[2]por cuent'!C4336</f>
        <v>Matilde Rosa Ibarguren</v>
      </c>
      <c r="D4336" s="35">
        <f>+'[2]por cuent'!G4336</f>
        <v>308767.98</v>
      </c>
      <c r="E4336" s="35">
        <f>+'[2]por cuent'!H4336</f>
        <v>461787215.52839994</v>
      </c>
      <c r="F4336" t="str">
        <f>+'[2]por cuent'!I4336</f>
        <v>565</v>
      </c>
    </row>
    <row r="4337" spans="1:6" x14ac:dyDescent="0.35">
      <c r="A4337" t="str">
        <f>+'[2]por cuent'!A4337</f>
        <v>USD</v>
      </c>
      <c r="B4337" t="str">
        <f>+'[2]por cuent'!B4337</f>
        <v>565000155</v>
      </c>
      <c r="C4337" t="str">
        <f>+'[2]por cuent'!C4337</f>
        <v>Vito Lorenzo Marchetto</v>
      </c>
      <c r="D4337" s="35">
        <f>+'[2]por cuent'!G4337</f>
        <v>5847.89</v>
      </c>
      <c r="E4337" s="35">
        <f>+'[2]por cuent'!H4337</f>
        <v>8745987.3262000009</v>
      </c>
      <c r="F4337" t="str">
        <f>+'[2]por cuent'!I4337</f>
        <v>565</v>
      </c>
    </row>
    <row r="4338" spans="1:6" x14ac:dyDescent="0.35">
      <c r="A4338" t="str">
        <f>+'[2]por cuent'!A4338</f>
        <v>USD</v>
      </c>
      <c r="B4338" t="str">
        <f>+'[2]por cuent'!B4338</f>
        <v>565000159</v>
      </c>
      <c r="C4338" t="str">
        <f>+'[2]por cuent'!C4338</f>
        <v>AB INITIO S.A.</v>
      </c>
      <c r="D4338" s="35">
        <f>+'[2]por cuent'!G4338</f>
        <v>32405.599999999999</v>
      </c>
      <c r="E4338" s="35">
        <f>+'[2]por cuent'!H4338</f>
        <v>48465167.247999996</v>
      </c>
      <c r="F4338" t="str">
        <f>+'[2]por cuent'!I4338</f>
        <v>565</v>
      </c>
    </row>
    <row r="4339" spans="1:6" x14ac:dyDescent="0.35">
      <c r="A4339" t="str">
        <f>+'[2]por cuent'!A4339</f>
        <v>USD</v>
      </c>
      <c r="B4339" t="str">
        <f>+'[2]por cuent'!B4339</f>
        <v>565000161</v>
      </c>
      <c r="C4339" t="str">
        <f>+'[2]por cuent'!C4339</f>
        <v>Adriano Eduardo Jaichenco</v>
      </c>
      <c r="D4339" s="35">
        <f>+'[2]por cuent'!G4339</f>
        <v>21380.17</v>
      </c>
      <c r="E4339" s="35">
        <f>+'[2]por cuent'!H4339</f>
        <v>31975754.648599997</v>
      </c>
      <c r="F4339" t="str">
        <f>+'[2]por cuent'!I4339</f>
        <v>565</v>
      </c>
    </row>
    <row r="4340" spans="1:6" x14ac:dyDescent="0.35">
      <c r="A4340" t="str">
        <f>+'[2]por cuent'!A4340</f>
        <v>USD</v>
      </c>
      <c r="B4340" t="str">
        <f>+'[2]por cuent'!B4340</f>
        <v>565000162</v>
      </c>
      <c r="C4340" t="str">
        <f>+'[2]por cuent'!C4340</f>
        <v>Mora Jaichenco</v>
      </c>
      <c r="D4340" s="35">
        <f>+'[2]por cuent'!G4340</f>
        <v>43259.97</v>
      </c>
      <c r="E4340" s="35">
        <f>+'[2]por cuent'!H4340</f>
        <v>64698745.932599999</v>
      </c>
      <c r="F4340" t="str">
        <f>+'[2]por cuent'!I4340</f>
        <v>565</v>
      </c>
    </row>
    <row r="4341" spans="1:6" x14ac:dyDescent="0.35">
      <c r="A4341" t="str">
        <f>+'[2]por cuent'!A4341</f>
        <v>USD</v>
      </c>
      <c r="B4341" t="str">
        <f>+'[2]por cuent'!B4341</f>
        <v>565000163</v>
      </c>
      <c r="C4341" t="str">
        <f>+'[2]por cuent'!C4341</f>
        <v>Alejandro Martin Mastino</v>
      </c>
      <c r="D4341" s="35">
        <f>+'[2]por cuent'!G4341</f>
        <v>14328.26</v>
      </c>
      <c r="E4341" s="35">
        <f>+'[2]por cuent'!H4341</f>
        <v>21429059.090799998</v>
      </c>
      <c r="F4341" t="str">
        <f>+'[2]por cuent'!I4341</f>
        <v>565</v>
      </c>
    </row>
    <row r="4342" spans="1:6" x14ac:dyDescent="0.35">
      <c r="A4342" t="str">
        <f>+'[2]por cuent'!A4342</f>
        <v>USD</v>
      </c>
      <c r="B4342" t="str">
        <f>+'[2]por cuent'!B4342</f>
        <v>565000166</v>
      </c>
      <c r="C4342" t="str">
        <f>+'[2]por cuent'!C4342</f>
        <v>Ricardo Martín Martinez Peñorori</v>
      </c>
      <c r="D4342" s="35">
        <f>+'[2]por cuent'!G4342</f>
        <v>48353.1</v>
      </c>
      <c r="E4342" s="35">
        <f>+'[2]por cuent'!H4342</f>
        <v>72315929.297999993</v>
      </c>
      <c r="F4342" t="str">
        <f>+'[2]por cuent'!I4342</f>
        <v>565</v>
      </c>
    </row>
    <row r="4343" spans="1:6" x14ac:dyDescent="0.35">
      <c r="A4343" t="str">
        <f>+'[2]por cuent'!A4343</f>
        <v>USD</v>
      </c>
      <c r="B4343" t="str">
        <f>+'[2]por cuent'!B4343</f>
        <v>565000169</v>
      </c>
      <c r="C4343" t="str">
        <f>+'[2]por cuent'!C4343</f>
        <v>Susana Ursula Bencich</v>
      </c>
      <c r="D4343" s="35">
        <f>+'[2]por cuent'!G4343</f>
        <v>1850348.48</v>
      </c>
      <c r="E4343" s="35">
        <f>+'[2]por cuent'!H4343</f>
        <v>2767344179.7184</v>
      </c>
      <c r="F4343" t="str">
        <f>+'[2]por cuent'!I4343</f>
        <v>565</v>
      </c>
    </row>
    <row r="4344" spans="1:6" x14ac:dyDescent="0.35">
      <c r="A4344" t="str">
        <f>+'[2]por cuent'!A4344</f>
        <v>USD</v>
      </c>
      <c r="B4344" t="str">
        <f>+'[2]por cuent'!B4344</f>
        <v>565000171</v>
      </c>
      <c r="C4344" t="str">
        <f>+'[2]por cuent'!C4344</f>
        <v>Maria Crsitina Ratto</v>
      </c>
      <c r="D4344" s="35">
        <f>+'[2]por cuent'!G4344</f>
        <v>412343.78</v>
      </c>
      <c r="E4344" s="35">
        <f>+'[2]por cuent'!H4344</f>
        <v>616693110.49240005</v>
      </c>
      <c r="F4344" t="str">
        <f>+'[2]por cuent'!I4344</f>
        <v>565</v>
      </c>
    </row>
    <row r="4345" spans="1:6" x14ac:dyDescent="0.35">
      <c r="A4345" t="str">
        <f>+'[2]por cuent'!A4345</f>
        <v>USD</v>
      </c>
      <c r="B4345" t="str">
        <f>+'[2]por cuent'!B4345</f>
        <v>565000565</v>
      </c>
      <c r="C4345" t="str">
        <f>+'[2]por cuent'!C4345</f>
        <v>BUENOS AIRES CREDITOS Y VALORES SOCIEDAD ANONIMA</v>
      </c>
      <c r="D4345" s="35">
        <f>+'[2]por cuent'!G4345</f>
        <v>13018.08</v>
      </c>
      <c r="E4345" s="35">
        <f>+'[2]por cuent'!H4345</f>
        <v>19469580.086399999</v>
      </c>
      <c r="F4345" t="str">
        <f>+'[2]por cuent'!I4345</f>
        <v>565</v>
      </c>
    </row>
    <row r="4346" spans="1:6" x14ac:dyDescent="0.35">
      <c r="A4346" t="str">
        <f>+'[2]por cuent'!A4346</f>
        <v>USD</v>
      </c>
      <c r="B4346" t="str">
        <f>+'[2]por cuent'!B4346</f>
        <v>565000952</v>
      </c>
      <c r="C4346" t="str">
        <f>+'[2]por cuent'!C4346</f>
        <v>C.E.RA. Juan Hector Crouzel</v>
      </c>
      <c r="D4346" s="35">
        <f>+'[2]por cuent'!G4346</f>
        <v>159582.62</v>
      </c>
      <c r="E4346" s="35">
        <f>+'[2]por cuent'!H4346</f>
        <v>238668574.81959999</v>
      </c>
      <c r="F4346" t="str">
        <f>+'[2]por cuent'!I4346</f>
        <v>565</v>
      </c>
    </row>
    <row r="4347" spans="1:6" x14ac:dyDescent="0.35">
      <c r="A4347" t="str">
        <f>+'[2]por cuent'!A4347</f>
        <v>USD</v>
      </c>
      <c r="B4347" t="str">
        <f>+'[2]por cuent'!B4347</f>
        <v>565000953</v>
      </c>
      <c r="C4347" t="str">
        <f>+'[2]por cuent'!C4347</f>
        <v>C.E.R.A. Ricardo Alberto Cano</v>
      </c>
      <c r="D4347" s="35">
        <f>+'[2]por cuent'!G4347</f>
        <v>145256.70000000001</v>
      </c>
      <c r="E4347" s="35">
        <f>+'[2]por cuent'!H4347</f>
        <v>217243015.38600001</v>
      </c>
      <c r="F4347" t="str">
        <f>+'[2]por cuent'!I4347</f>
        <v>565</v>
      </c>
    </row>
    <row r="4348" spans="1:6" x14ac:dyDescent="0.35">
      <c r="A4348" t="str">
        <f>+'[2]por cuent'!A4348</f>
        <v>USD</v>
      </c>
      <c r="B4348" t="str">
        <f>+'[2]por cuent'!B4348</f>
        <v>565001268</v>
      </c>
      <c r="C4348" t="str">
        <f>+'[2]por cuent'!C4348</f>
        <v>Bendinelli, Fernanda Dina</v>
      </c>
      <c r="D4348" s="35">
        <f>+'[2]por cuent'!G4348</f>
        <v>20762.66</v>
      </c>
      <c r="E4348" s="35">
        <f>+'[2]por cuent'!H4348</f>
        <v>31052219.042799998</v>
      </c>
      <c r="F4348" t="str">
        <f>+'[2]por cuent'!I4348</f>
        <v>565</v>
      </c>
    </row>
    <row r="4349" spans="1:6" x14ac:dyDescent="0.35">
      <c r="A4349" t="str">
        <f>+'[2]por cuent'!A4349</f>
        <v>USD</v>
      </c>
      <c r="B4349" t="str">
        <f>+'[2]por cuent'!B4349</f>
        <v>565001933</v>
      </c>
      <c r="C4349" t="str">
        <f>+'[2]por cuent'!C4349</f>
        <v>Ennio Bendinelli</v>
      </c>
      <c r="D4349" s="35">
        <f>+'[2]por cuent'!G4349</f>
        <v>3266.12</v>
      </c>
      <c r="E4349" s="35">
        <f>+'[2]por cuent'!H4349</f>
        <v>4884743.7495999997</v>
      </c>
      <c r="F4349" t="str">
        <f>+'[2]por cuent'!I4349</f>
        <v>565</v>
      </c>
    </row>
    <row r="4350" spans="1:6" x14ac:dyDescent="0.35">
      <c r="A4350" t="str">
        <f>+'[2]por cuent'!A4350</f>
        <v>USD</v>
      </c>
      <c r="B4350" t="str">
        <f>+'[2]por cuent'!B4350</f>
        <v>568000004</v>
      </c>
      <c r="C4350" t="str">
        <f>+'[2]por cuent'!C4350</f>
        <v>AXON CAPITAL S.A</v>
      </c>
      <c r="D4350" s="35">
        <f>+'[2]por cuent'!G4350</f>
        <v>35789781.229999997</v>
      </c>
      <c r="E4350" s="35">
        <f>+'[2]por cuent'!H4350</f>
        <v>53526481011.963394</v>
      </c>
      <c r="F4350" t="str">
        <f>+'[2]por cuent'!I4350</f>
        <v>568</v>
      </c>
    </row>
    <row r="4351" spans="1:6" x14ac:dyDescent="0.35">
      <c r="A4351" t="str">
        <f>+'[2]por cuent'!A4351</f>
        <v>USD</v>
      </c>
      <c r="B4351" t="str">
        <f>+'[2]por cuent'!B4351</f>
        <v>568000007</v>
      </c>
      <c r="C4351" t="str">
        <f>+'[2]por cuent'!C4351</f>
        <v>Manzo, Matias Jose Argentino</v>
      </c>
      <c r="D4351" s="35">
        <f>+'[2]por cuent'!G4351</f>
        <v>144022.37</v>
      </c>
      <c r="E4351" s="35">
        <f>+'[2]por cuent'!H4351</f>
        <v>215396976.12459999</v>
      </c>
      <c r="F4351" t="str">
        <f>+'[2]por cuent'!I4351</f>
        <v>568</v>
      </c>
    </row>
    <row r="4352" spans="1:6" x14ac:dyDescent="0.35">
      <c r="A4352" t="str">
        <f>+'[2]por cuent'!A4352</f>
        <v>USD</v>
      </c>
      <c r="B4352" t="str">
        <f>+'[2]por cuent'!B4352</f>
        <v>568000010</v>
      </c>
      <c r="C4352" t="str">
        <f>+'[2]por cuent'!C4352</f>
        <v>Costantini, Gonzalo</v>
      </c>
      <c r="D4352" s="35">
        <f>+'[2]por cuent'!G4352</f>
        <v>21588817.25</v>
      </c>
      <c r="E4352" s="35">
        <f>+'[2]por cuent'!H4352</f>
        <v>32287803302.754997</v>
      </c>
      <c r="F4352" t="str">
        <f>+'[2]por cuent'!I4352</f>
        <v>568</v>
      </c>
    </row>
    <row r="4353" spans="1:6" x14ac:dyDescent="0.35">
      <c r="A4353" t="str">
        <f>+'[2]por cuent'!A4353</f>
        <v>USD</v>
      </c>
      <c r="B4353" t="str">
        <f>+'[2]por cuent'!B4353</f>
        <v>568000013</v>
      </c>
      <c r="C4353" t="str">
        <f>+'[2]por cuent'!C4353</f>
        <v xml:space="preserve"> Marcoff, Tomas Pablo </v>
      </c>
      <c r="D4353" s="35">
        <f>+'[2]por cuent'!G4353</f>
        <v>398.88</v>
      </c>
      <c r="E4353" s="35">
        <f>+'[2]por cuent'!H4353</f>
        <v>596556.95039999997</v>
      </c>
      <c r="F4353" t="str">
        <f>+'[2]por cuent'!I4353</f>
        <v>568</v>
      </c>
    </row>
    <row r="4354" spans="1:6" x14ac:dyDescent="0.35">
      <c r="A4354" t="str">
        <f>+'[2]por cuent'!A4354</f>
        <v>USD</v>
      </c>
      <c r="B4354" t="str">
        <f>+'[2]por cuent'!B4354</f>
        <v>568000016</v>
      </c>
      <c r="C4354" t="str">
        <f>+'[2]por cuent'!C4354</f>
        <v>Maria Jimena Penedo</v>
      </c>
      <c r="D4354" s="35">
        <f>+'[2]por cuent'!G4354</f>
        <v>18682.400000000001</v>
      </c>
      <c r="E4354" s="35">
        <f>+'[2]por cuent'!H4354</f>
        <v>27941023.791999999</v>
      </c>
      <c r="F4354" t="str">
        <f>+'[2]por cuent'!I4354</f>
        <v>568</v>
      </c>
    </row>
    <row r="4355" spans="1:6" x14ac:dyDescent="0.35">
      <c r="A4355" t="str">
        <f>+'[2]por cuent'!A4355</f>
        <v>USD</v>
      </c>
      <c r="B4355" t="str">
        <f>+'[2]por cuent'!B4355</f>
        <v>568000024</v>
      </c>
      <c r="C4355" t="str">
        <f>+'[2]por cuent'!C4355</f>
        <v>Dimo, Juan Ignacio</v>
      </c>
      <c r="D4355" s="35">
        <f>+'[2]por cuent'!G4355</f>
        <v>3751.65</v>
      </c>
      <c r="E4355" s="35">
        <f>+'[2]por cuent'!H4355</f>
        <v>5610892.7069999995</v>
      </c>
      <c r="F4355" t="str">
        <f>+'[2]por cuent'!I4355</f>
        <v>568</v>
      </c>
    </row>
    <row r="4356" spans="1:6" x14ac:dyDescent="0.35">
      <c r="A4356" t="str">
        <f>+'[2]por cuent'!A4356</f>
        <v>USD</v>
      </c>
      <c r="B4356" t="str">
        <f>+'[2]por cuent'!B4356</f>
        <v>568000114</v>
      </c>
      <c r="C4356" t="str">
        <f>+'[2]por cuent'!C4356</f>
        <v>AREX ACTIVOS DIGITALES SA</v>
      </c>
      <c r="D4356" s="35">
        <f>+'[2]por cuent'!G4356</f>
        <v>2959998.77</v>
      </c>
      <c r="E4356" s="35">
        <f>+'[2]por cuent'!H4356</f>
        <v>4426914960.4365997</v>
      </c>
      <c r="F4356" t="str">
        <f>+'[2]por cuent'!I4356</f>
        <v>568</v>
      </c>
    </row>
    <row r="4357" spans="1:6" x14ac:dyDescent="0.35">
      <c r="A4357" t="str">
        <f>+'[2]por cuent'!A4357</f>
        <v>USD</v>
      </c>
      <c r="B4357" t="str">
        <f>+'[2]por cuent'!B4357</f>
        <v>568010003</v>
      </c>
      <c r="C4357" t="str">
        <f>+'[2]por cuent'!C4357</f>
        <v>Canullo, Marta Noemi</v>
      </c>
      <c r="D4357" s="35">
        <f>+'[2]por cuent'!G4357</f>
        <v>19654</v>
      </c>
      <c r="E4357" s="35">
        <f>+'[2]por cuent'!H4357</f>
        <v>29394129.32</v>
      </c>
      <c r="F4357" t="str">
        <f>+'[2]por cuent'!I4357</f>
        <v>568</v>
      </c>
    </row>
    <row r="4358" spans="1:6" x14ac:dyDescent="0.35">
      <c r="A4358" t="str">
        <f>+'[2]por cuent'!A4358</f>
        <v>USD</v>
      </c>
      <c r="B4358" t="str">
        <f>+'[2]por cuent'!B4358</f>
        <v>568010006</v>
      </c>
      <c r="C4358" t="str">
        <f>+'[2]por cuent'!C4358</f>
        <v>Ballesteros, Ricardo Julian</v>
      </c>
      <c r="D4358" s="35">
        <f>+'[2]por cuent'!G4358</f>
        <v>793.8</v>
      </c>
      <c r="E4358" s="35">
        <f>+'[2]por cuent'!H4358</f>
        <v>1187191.4039999999</v>
      </c>
      <c r="F4358" t="str">
        <f>+'[2]por cuent'!I4358</f>
        <v>568</v>
      </c>
    </row>
    <row r="4359" spans="1:6" x14ac:dyDescent="0.35">
      <c r="A4359" t="str">
        <f>+'[2]por cuent'!A4359</f>
        <v>USD</v>
      </c>
      <c r="B4359" t="str">
        <f>+'[2]por cuent'!B4359</f>
        <v>568010008</v>
      </c>
      <c r="C4359" t="str">
        <f>+'[2]por cuent'!C4359</f>
        <v>Etchezar, Alejo</v>
      </c>
      <c r="D4359" s="35">
        <f>+'[2]por cuent'!G4359</f>
        <v>1496.31</v>
      </c>
      <c r="E4359" s="35">
        <f>+'[2]por cuent'!H4359</f>
        <v>2237851.3097999999</v>
      </c>
      <c r="F4359" t="str">
        <f>+'[2]por cuent'!I4359</f>
        <v>568</v>
      </c>
    </row>
    <row r="4360" spans="1:6" x14ac:dyDescent="0.35">
      <c r="A4360" t="str">
        <f>+'[2]por cuent'!A4360</f>
        <v>USD</v>
      </c>
      <c r="B4360" t="str">
        <f>+'[2]por cuent'!B4360</f>
        <v>568010014</v>
      </c>
      <c r="C4360" t="str">
        <f>+'[2]por cuent'!C4360</f>
        <v>Dimo, Salvador</v>
      </c>
      <c r="D4360" s="35">
        <f>+'[2]por cuent'!G4360</f>
        <v>5855.01</v>
      </c>
      <c r="E4360" s="35">
        <f>+'[2]por cuent'!H4360</f>
        <v>8756635.8557999991</v>
      </c>
      <c r="F4360" t="str">
        <f>+'[2]por cuent'!I4360</f>
        <v>568</v>
      </c>
    </row>
    <row r="4361" spans="1:6" x14ac:dyDescent="0.35">
      <c r="A4361" t="str">
        <f>+'[2]por cuent'!A4361</f>
        <v>USD</v>
      </c>
      <c r="B4361" t="str">
        <f>+'[2]por cuent'!B4361</f>
        <v>568010019</v>
      </c>
      <c r="C4361" t="str">
        <f>+'[2]por cuent'!C4361</f>
        <v>Urba, Dalmiro</v>
      </c>
      <c r="D4361" s="35">
        <f>+'[2]por cuent'!G4361</f>
        <v>659.83</v>
      </c>
      <c r="E4361" s="35">
        <f>+'[2]por cuent'!H4361</f>
        <v>986828.5514</v>
      </c>
      <c r="F4361" t="str">
        <f>+'[2]por cuent'!I4361</f>
        <v>568</v>
      </c>
    </row>
    <row r="4362" spans="1:6" x14ac:dyDescent="0.35">
      <c r="A4362" t="str">
        <f>+'[2]por cuent'!A4362</f>
        <v>USD</v>
      </c>
      <c r="B4362" t="str">
        <f>+'[2]por cuent'!B4362</f>
        <v>568010028</v>
      </c>
      <c r="C4362" t="str">
        <f>+'[2]por cuent'!C4362</f>
        <v>Kalciyan, Marcelo Alexis</v>
      </c>
      <c r="D4362" s="35">
        <f>+'[2]por cuent'!G4362</f>
        <v>488750</v>
      </c>
      <c r="E4362" s="35">
        <f>+'[2]por cuent'!H4362</f>
        <v>730964725</v>
      </c>
      <c r="F4362" t="str">
        <f>+'[2]por cuent'!I4362</f>
        <v>568</v>
      </c>
    </row>
    <row r="4363" spans="1:6" x14ac:dyDescent="0.35">
      <c r="A4363" t="str">
        <f>+'[2]por cuent'!A4363</f>
        <v>USD</v>
      </c>
      <c r="B4363" t="str">
        <f>+'[2]por cuent'!B4363</f>
        <v>568010032</v>
      </c>
      <c r="C4363" t="str">
        <f>+'[2]por cuent'!C4363</f>
        <v>Fogola, Juan Cruz Agustin</v>
      </c>
      <c r="D4363" s="35">
        <f>+'[2]por cuent'!G4363</f>
        <v>4500.92</v>
      </c>
      <c r="E4363" s="35">
        <f>+'[2]por cuent'!H4363</f>
        <v>6731485.9336000001</v>
      </c>
      <c r="F4363" t="str">
        <f>+'[2]por cuent'!I4363</f>
        <v>568</v>
      </c>
    </row>
    <row r="4364" spans="1:6" x14ac:dyDescent="0.35">
      <c r="A4364" t="str">
        <f>+'[2]por cuent'!A4364</f>
        <v>USD</v>
      </c>
      <c r="B4364" t="str">
        <f>+'[2]por cuent'!B4364</f>
        <v>568010046</v>
      </c>
      <c r="C4364" t="str">
        <f>+'[2]por cuent'!C4364</f>
        <v>Elberg, Jeremias Joaquin</v>
      </c>
      <c r="D4364" s="35">
        <f>+'[2]por cuent'!G4364</f>
        <v>628.32000000000005</v>
      </c>
      <c r="E4364" s="35">
        <f>+'[2]por cuent'!H4364</f>
        <v>939702.82559999998</v>
      </c>
      <c r="F4364" t="str">
        <f>+'[2]por cuent'!I4364</f>
        <v>568</v>
      </c>
    </row>
    <row r="4365" spans="1:6" x14ac:dyDescent="0.35">
      <c r="A4365" t="str">
        <f>+'[2]por cuent'!A4365</f>
        <v>USD</v>
      </c>
      <c r="B4365" t="str">
        <f>+'[2]por cuent'!B4365</f>
        <v>568010049</v>
      </c>
      <c r="C4365" t="str">
        <f>+'[2]por cuent'!C4365</f>
        <v>Labajos, Marcelo Anibal y/o Salerno, Olga Norma y/o Labajos, Flavio Miguel y/o Labajos, Camilo y/o Labajos, Mateo Angel</v>
      </c>
      <c r="D4365" s="35">
        <f>+'[2]por cuent'!G4365</f>
        <v>1867821.75</v>
      </c>
      <c r="E4365" s="35">
        <f>+'[2]por cuent'!H4365</f>
        <v>2793476852.8649998</v>
      </c>
      <c r="F4365" t="str">
        <f>+'[2]por cuent'!I4365</f>
        <v>568</v>
      </c>
    </row>
    <row r="4366" spans="1:6" x14ac:dyDescent="0.35">
      <c r="A4366" t="str">
        <f>+'[2]por cuent'!A4366</f>
        <v>USD</v>
      </c>
      <c r="B4366" t="str">
        <f>+'[2]por cuent'!B4366</f>
        <v>568010051</v>
      </c>
      <c r="C4366" t="str">
        <f>+'[2]por cuent'!C4366</f>
        <v>Furer, Olga Felisa</v>
      </c>
      <c r="D4366" s="35">
        <f>+'[2]por cuent'!G4366</f>
        <v>150000</v>
      </c>
      <c r="E4366" s="35">
        <f>+'[2]por cuent'!H4366</f>
        <v>224337000</v>
      </c>
      <c r="F4366" t="str">
        <f>+'[2]por cuent'!I4366</f>
        <v>568</v>
      </c>
    </row>
    <row r="4367" spans="1:6" x14ac:dyDescent="0.35">
      <c r="A4367" t="str">
        <f>+'[2]por cuent'!A4367</f>
        <v>USD</v>
      </c>
      <c r="B4367" t="str">
        <f>+'[2]por cuent'!B4367</f>
        <v>599000005</v>
      </c>
      <c r="C4367" t="str">
        <f>+'[2]por cuent'!C4367</f>
        <v>MARIO CALANDRI E HIJOS S.A.</v>
      </c>
      <c r="D4367" s="35">
        <f>+'[2]por cuent'!G4367</f>
        <v>1512</v>
      </c>
      <c r="E4367" s="35">
        <f>+'[2]por cuent'!H4367</f>
        <v>2261316.96</v>
      </c>
      <c r="F4367" t="str">
        <f>+'[2]por cuent'!I4367</f>
        <v>599</v>
      </c>
    </row>
    <row r="4368" spans="1:6" x14ac:dyDescent="0.35">
      <c r="A4368" t="str">
        <f>+'[2]por cuent'!A4368</f>
        <v>USD</v>
      </c>
      <c r="B4368" t="str">
        <f>+'[2]por cuent'!B4368</f>
        <v>599000008</v>
      </c>
      <c r="C4368" t="str">
        <f>+'[2]por cuent'!C4368</f>
        <v xml:space="preserve">SAUTHIER MARCELO ABEL </v>
      </c>
      <c r="D4368" s="35">
        <f>+'[2]por cuent'!G4368</f>
        <v>15615.14</v>
      </c>
      <c r="E4368" s="35">
        <f>+'[2]por cuent'!H4368</f>
        <v>23353691.081199996</v>
      </c>
      <c r="F4368" t="str">
        <f>+'[2]por cuent'!I4368</f>
        <v>599</v>
      </c>
    </row>
    <row r="4369" spans="1:6" x14ac:dyDescent="0.35">
      <c r="A4369" t="str">
        <f>+'[2]por cuent'!A4369</f>
        <v>USD</v>
      </c>
      <c r="B4369" t="str">
        <f>+'[2]por cuent'!B4369</f>
        <v>599000018</v>
      </c>
      <c r="C4369" t="str">
        <f>+'[2]por cuent'!C4369</f>
        <v>Berardo Ruben Alberto</v>
      </c>
      <c r="D4369" s="35">
        <f>+'[2]por cuent'!G4369</f>
        <v>20160</v>
      </c>
      <c r="E4369" s="35">
        <f>+'[2]por cuent'!H4369</f>
        <v>30150892.799999997</v>
      </c>
      <c r="F4369" t="str">
        <f>+'[2]por cuent'!I4369</f>
        <v>599</v>
      </c>
    </row>
    <row r="4370" spans="1:6" x14ac:dyDescent="0.35">
      <c r="A4370" t="str">
        <f>+'[2]por cuent'!A4370</f>
        <v>USD</v>
      </c>
      <c r="B4370" t="str">
        <f>+'[2]por cuent'!B4370</f>
        <v>599000022</v>
      </c>
      <c r="C4370" t="str">
        <f>+'[2]por cuent'!C4370</f>
        <v>Annan Maria Jose</v>
      </c>
      <c r="D4370" s="35">
        <f>+'[2]por cuent'!G4370</f>
        <v>4991</v>
      </c>
      <c r="E4370" s="35">
        <f>+'[2]por cuent'!H4370</f>
        <v>7464439.7799999993</v>
      </c>
      <c r="F4370" t="str">
        <f>+'[2]por cuent'!I4370</f>
        <v>599</v>
      </c>
    </row>
    <row r="4371" spans="1:6" x14ac:dyDescent="0.35">
      <c r="A4371" t="str">
        <f>+'[2]por cuent'!A4371</f>
        <v>USD</v>
      </c>
      <c r="B4371" t="str">
        <f>+'[2]por cuent'!B4371</f>
        <v>599000024</v>
      </c>
      <c r="C4371" t="str">
        <f>+'[2]por cuent'!C4371</f>
        <v>Clerc Maria Alicia</v>
      </c>
      <c r="D4371" s="35">
        <f>+'[2]por cuent'!G4371</f>
        <v>492.17</v>
      </c>
      <c r="E4371" s="35">
        <f>+'[2]por cuent'!H4371</f>
        <v>736079.60860000004</v>
      </c>
      <c r="F4371" t="str">
        <f>+'[2]por cuent'!I4371</f>
        <v>599</v>
      </c>
    </row>
    <row r="4372" spans="1:6" x14ac:dyDescent="0.35">
      <c r="A4372" t="str">
        <f>+'[2]por cuent'!A4372</f>
        <v>USD</v>
      </c>
      <c r="B4372" t="str">
        <f>+'[2]por cuent'!B4372</f>
        <v>599000031</v>
      </c>
      <c r="C4372" t="str">
        <f>+'[2]por cuent'!C4372</f>
        <v>PRETINI ARACELI RAQUEL</v>
      </c>
      <c r="D4372" s="35">
        <f>+'[2]por cuent'!G4372</f>
        <v>35453</v>
      </c>
      <c r="E4372" s="35">
        <f>+'[2]por cuent'!H4372</f>
        <v>53022797.739999995</v>
      </c>
      <c r="F4372" t="str">
        <f>+'[2]por cuent'!I4372</f>
        <v>599</v>
      </c>
    </row>
    <row r="4373" spans="1:6" x14ac:dyDescent="0.35">
      <c r="A4373" t="str">
        <f>+'[2]por cuent'!A4373</f>
        <v>USD</v>
      </c>
      <c r="B4373" t="str">
        <f>+'[2]por cuent'!B4373</f>
        <v>602124211</v>
      </c>
      <c r="C4373" t="str">
        <f>+'[2]por cuent'!C4373</f>
        <v>Bancora Eduardo Alberto</v>
      </c>
      <c r="D4373" s="35">
        <f>+'[2]por cuent'!G4373</f>
        <v>54461.32</v>
      </c>
      <c r="E4373" s="35">
        <f>+'[2]por cuent'!H4373</f>
        <v>81451260.965599999</v>
      </c>
      <c r="F4373" t="str">
        <f>+'[2]por cuent'!I4373</f>
        <v>602</v>
      </c>
    </row>
    <row r="4374" spans="1:6" x14ac:dyDescent="0.35">
      <c r="A4374" t="str">
        <f>+'[2]por cuent'!A4374</f>
        <v>USD</v>
      </c>
      <c r="B4374" t="str">
        <f>+'[2]por cuent'!B4374</f>
        <v>602234060</v>
      </c>
      <c r="C4374" t="str">
        <f>+'[2]por cuent'!C4374</f>
        <v>Lera, Silvia Liliana o Gazzaniga, Amadeo Ivo</v>
      </c>
      <c r="D4374" s="35">
        <f>+'[2]por cuent'!G4374</f>
        <v>6009.64</v>
      </c>
      <c r="E4374" s="35">
        <f>+'[2]por cuent'!H4374</f>
        <v>8987897.3912000004</v>
      </c>
      <c r="F4374" t="str">
        <f>+'[2]por cuent'!I4374</f>
        <v>602</v>
      </c>
    </row>
    <row r="4375" spans="1:6" x14ac:dyDescent="0.35">
      <c r="A4375" t="str">
        <f>+'[2]por cuent'!A4375</f>
        <v>USD</v>
      </c>
      <c r="B4375" t="str">
        <f>+'[2]por cuent'!B4375</f>
        <v>602251595</v>
      </c>
      <c r="C4375" t="str">
        <f>+'[2]por cuent'!C4375</f>
        <v>Mierez, Miguel Angel o Tonella, Maria Teresa</v>
      </c>
      <c r="D4375" s="35">
        <f>+'[2]por cuent'!G4375</f>
        <v>5760.3</v>
      </c>
      <c r="E4375" s="35">
        <f>+'[2]por cuent'!H4375</f>
        <v>8614989.4739999995</v>
      </c>
      <c r="F4375" t="str">
        <f>+'[2]por cuent'!I4375</f>
        <v>602</v>
      </c>
    </row>
    <row r="4376" spans="1:6" x14ac:dyDescent="0.35">
      <c r="A4376" t="str">
        <f>+'[2]por cuent'!A4376</f>
        <v>USD</v>
      </c>
      <c r="B4376" t="str">
        <f>+'[2]por cuent'!B4376</f>
        <v>602254215</v>
      </c>
      <c r="C4376" t="str">
        <f>+'[2]por cuent'!C4376</f>
        <v>Mierez, Maria Florencia o Mierez, Miguel Angel</v>
      </c>
      <c r="D4376" s="35">
        <f>+'[2]por cuent'!G4376</f>
        <v>6485.34</v>
      </c>
      <c r="E4376" s="35">
        <f>+'[2]por cuent'!H4376</f>
        <v>9699344.7971999999</v>
      </c>
      <c r="F4376" t="str">
        <f>+'[2]por cuent'!I4376</f>
        <v>602</v>
      </c>
    </row>
    <row r="4377" spans="1:6" x14ac:dyDescent="0.35">
      <c r="A4377" t="str">
        <f>+'[2]por cuent'!A4377</f>
        <v>USD</v>
      </c>
      <c r="B4377" t="str">
        <f>+'[2]por cuent'!B4377</f>
        <v>602294351</v>
      </c>
      <c r="C4377" t="str">
        <f>+'[2]por cuent'!C4377</f>
        <v>Pinto, Maria Andrea o Barzetti, Mauricio</v>
      </c>
      <c r="D4377" s="35">
        <f>+'[2]por cuent'!G4377</f>
        <v>16033.15</v>
      </c>
      <c r="E4377" s="35">
        <f>+'[2]por cuent'!H4377</f>
        <v>23978858.476999998</v>
      </c>
      <c r="F4377" t="str">
        <f>+'[2]por cuent'!I4377</f>
        <v>602</v>
      </c>
    </row>
    <row r="4378" spans="1:6" x14ac:dyDescent="0.35">
      <c r="A4378" t="str">
        <f>+'[2]por cuent'!A4378</f>
        <v>USD</v>
      </c>
      <c r="B4378" t="str">
        <f>+'[2]por cuent'!B4378</f>
        <v>619009999</v>
      </c>
      <c r="C4378" t="str">
        <f>+'[2]por cuent'!C4378</f>
        <v>BRIO VALORES AGENTE DE LIQUIDACION Y COMPENSACION S.A.</v>
      </c>
      <c r="D4378" s="35">
        <f>+'[2]por cuent'!G4378</f>
        <v>1495040.83</v>
      </c>
      <c r="E4378" s="35">
        <f>+'[2]por cuent'!H4378</f>
        <v>2235953164.5314002</v>
      </c>
      <c r="F4378" t="str">
        <f>+'[2]por cuent'!I4378</f>
        <v>619</v>
      </c>
    </row>
    <row r="4379" spans="1:6" x14ac:dyDescent="0.35">
      <c r="A4379" t="str">
        <f>+'[2]por cuent'!A4379</f>
        <v>USD</v>
      </c>
      <c r="B4379" t="str">
        <f>+'[2]por cuent'!B4379</f>
        <v>619031712</v>
      </c>
      <c r="C4379" t="str">
        <f>+'[2]por cuent'!C4379</f>
        <v>ORLANDI, ALFREDO GUILLERMO u ORLANDI, MARIA FLORENCIA u ORLANDI, SANTIAGO RUBEN u ORLANDI, Gisela Laura y MASETTI, Susana</v>
      </c>
      <c r="D4379" s="35">
        <f>+'[2]por cuent'!G4379</f>
        <v>544999.94999999995</v>
      </c>
      <c r="E4379" s="35">
        <f>+'[2]por cuent'!H4379</f>
        <v>815091025.22099984</v>
      </c>
      <c r="F4379" t="str">
        <f>+'[2]por cuent'!I4379</f>
        <v>619</v>
      </c>
    </row>
    <row r="4380" spans="1:6" x14ac:dyDescent="0.35">
      <c r="A4380" t="str">
        <f>+'[2]por cuent'!A4380</f>
        <v>USD</v>
      </c>
      <c r="B4380" t="str">
        <f>+'[2]por cuent'!B4380</f>
        <v>619050429</v>
      </c>
      <c r="C4380" t="str">
        <f>+'[2]por cuent'!C4380</f>
        <v>YASCI, Adriana Del Lujan</v>
      </c>
      <c r="D4380" s="35">
        <f>+'[2]por cuent'!G4380</f>
        <v>151359.73000000001</v>
      </c>
      <c r="E4380" s="35">
        <f>+'[2]por cuent'!H4380</f>
        <v>226370584.99340001</v>
      </c>
      <c r="F4380" t="str">
        <f>+'[2]por cuent'!I4380</f>
        <v>619</v>
      </c>
    </row>
    <row r="4381" spans="1:6" x14ac:dyDescent="0.35">
      <c r="A4381" t="str">
        <f>+'[2]por cuent'!A4381</f>
        <v>USD</v>
      </c>
      <c r="B4381" t="str">
        <f>+'[2]por cuent'!B4381</f>
        <v>619050824</v>
      </c>
      <c r="C4381" t="str">
        <f>+'[2]por cuent'!C4381</f>
        <v>CHEMES, HECTOR DANIEL</v>
      </c>
      <c r="D4381" s="35">
        <f>+'[2]por cuent'!G4381</f>
        <v>200000.59</v>
      </c>
      <c r="E4381" s="35">
        <f>+'[2]por cuent'!H4381</f>
        <v>299116882.39219999</v>
      </c>
      <c r="F4381" t="str">
        <f>+'[2]por cuent'!I4381</f>
        <v>619</v>
      </c>
    </row>
    <row r="4382" spans="1:6" x14ac:dyDescent="0.35">
      <c r="A4382" t="str">
        <f>+'[2]por cuent'!A4382</f>
        <v>USD</v>
      </c>
      <c r="B4382" t="str">
        <f>+'[2]por cuent'!B4382</f>
        <v>624000802</v>
      </c>
      <c r="C4382" t="str">
        <f>+'[2]por cuent'!C4382</f>
        <v>SIRI, OSCAR HORACIO o PRETINI DE SIRI, HAYDEE CLELIA</v>
      </c>
      <c r="D4382" s="35">
        <f>+'[2]por cuent'!G4382</f>
        <v>390.38</v>
      </c>
      <c r="E4382" s="35">
        <f>+'[2]por cuent'!H4382</f>
        <v>583844.52039999992</v>
      </c>
      <c r="F4382" t="str">
        <f>+'[2]por cuent'!I4382</f>
        <v>624</v>
      </c>
    </row>
    <row r="4383" spans="1:6" x14ac:dyDescent="0.35">
      <c r="A4383" t="str">
        <f>+'[2]por cuent'!A4383</f>
        <v>USD</v>
      </c>
      <c r="B4383" t="str">
        <f>+'[2]por cuent'!B4383</f>
        <v>624001802</v>
      </c>
      <c r="C4383" t="str">
        <f>+'[2]por cuent'!C4383</f>
        <v>BALDINO, DAVID PATRICIO o BUSTAMANTE , MARIA PATRICIA o BALDINO, LUCILA</v>
      </c>
      <c r="D4383" s="35">
        <f>+'[2]por cuent'!G4383</f>
        <v>6825.61</v>
      </c>
      <c r="E4383" s="35">
        <f>+'[2]por cuent'!H4383</f>
        <v>10208245.8038</v>
      </c>
      <c r="F4383" t="str">
        <f>+'[2]por cuent'!I4383</f>
        <v>624</v>
      </c>
    </row>
    <row r="4384" spans="1:6" x14ac:dyDescent="0.35">
      <c r="A4384" t="str">
        <f>+'[2]por cuent'!A4384</f>
        <v>USD</v>
      </c>
      <c r="B4384" t="str">
        <f>+'[2]por cuent'!B4384</f>
        <v>624001896</v>
      </c>
      <c r="C4384" t="str">
        <f>+'[2]por cuent'!C4384</f>
        <v>PALOU , BERNARDO CARLOS o BETRIA, ALICIA NORMA o FERNANDEZ BETRIA, NESTOR JAVIER u otros</v>
      </c>
      <c r="D4384" s="35">
        <f>+'[2]por cuent'!G4384</f>
        <v>8875.16</v>
      </c>
      <c r="E4384" s="35">
        <f>+'[2]por cuent'!H4384</f>
        <v>13273511.7928</v>
      </c>
      <c r="F4384" t="str">
        <f>+'[2]por cuent'!I4384</f>
        <v>624</v>
      </c>
    </row>
    <row r="4385" spans="1:6" x14ac:dyDescent="0.35">
      <c r="A4385" t="str">
        <f>+'[2]por cuent'!A4385</f>
        <v>USD</v>
      </c>
      <c r="B4385" t="str">
        <f>+'[2]por cuent'!B4385</f>
        <v>624001924</v>
      </c>
      <c r="C4385" t="str">
        <f>+'[2]por cuent'!C4385</f>
        <v>MARTINEZ , DAVID PABLO o MARTINEZ, MARIA SOL o MARTINEZ SCHENARDI, TOMAS</v>
      </c>
      <c r="D4385" s="35">
        <f>+'[2]por cuent'!G4385</f>
        <v>2623.65</v>
      </c>
      <c r="E4385" s="35">
        <f>+'[2]por cuent'!H4385</f>
        <v>3923878.4669999997</v>
      </c>
      <c r="F4385" t="str">
        <f>+'[2]por cuent'!I4385</f>
        <v>624</v>
      </c>
    </row>
    <row r="4386" spans="1:6" x14ac:dyDescent="0.35">
      <c r="A4386" t="str">
        <f>+'[2]por cuent'!A4386</f>
        <v>USD</v>
      </c>
      <c r="B4386" t="str">
        <f>+'[2]por cuent'!B4386</f>
        <v>624002531</v>
      </c>
      <c r="C4386" t="str">
        <f>+'[2]por cuent'!C4386</f>
        <v>SERCA DE BELOTTI , NELIDA BEATRIZ o BELOTTI, RAUL ALBERTO o BELOTTI, MARIA PAULA u otros</v>
      </c>
      <c r="D4386" s="35">
        <f>+'[2]por cuent'!G4386</f>
        <v>1147.8699999999999</v>
      </c>
      <c r="E4386" s="35">
        <f>+'[2]por cuent'!H4386</f>
        <v>1716731.4145999998</v>
      </c>
      <c r="F4386" t="str">
        <f>+'[2]por cuent'!I4386</f>
        <v>624</v>
      </c>
    </row>
    <row r="4387" spans="1:6" x14ac:dyDescent="0.35">
      <c r="A4387" t="str">
        <f>+'[2]por cuent'!A4387</f>
        <v>USD</v>
      </c>
      <c r="B4387" t="str">
        <f>+'[2]por cuent'!B4387</f>
        <v>624002953</v>
      </c>
      <c r="C4387" t="str">
        <f>+'[2]por cuent'!C4387</f>
        <v>BASTERRETCHE, MIGUEL ALBERTO o MONTERO MARIELA, LUJAN o BASTERRETCHE MONTERO,  MARINA PAULA</v>
      </c>
      <c r="D4387" s="35">
        <f>+'[2]por cuent'!G4387</f>
        <v>53368.9</v>
      </c>
      <c r="E4387" s="35">
        <f>+'[2]por cuent'!H4387</f>
        <v>79817459.461999997</v>
      </c>
      <c r="F4387" t="str">
        <f>+'[2]por cuent'!I4387</f>
        <v>624</v>
      </c>
    </row>
    <row r="4388" spans="1:6" x14ac:dyDescent="0.35">
      <c r="A4388" t="str">
        <f>+'[2]por cuent'!A4388</f>
        <v>USD</v>
      </c>
      <c r="B4388" t="str">
        <f>+'[2]por cuent'!B4388</f>
        <v>624003080</v>
      </c>
      <c r="C4388" t="str">
        <f>+'[2]por cuent'!C4388</f>
        <v>LISTRO GISELA RAQUEL (CARTERA PROPIA)</v>
      </c>
      <c r="D4388" s="35">
        <f>+'[2]por cuent'!G4388</f>
        <v>69048.570000000007</v>
      </c>
      <c r="E4388" s="35">
        <f>+'[2]por cuent'!H4388</f>
        <v>103267660.3206</v>
      </c>
      <c r="F4388" t="str">
        <f>+'[2]por cuent'!I4388</f>
        <v>624</v>
      </c>
    </row>
    <row r="4389" spans="1:6" x14ac:dyDescent="0.35">
      <c r="A4389" t="str">
        <f>+'[2]por cuent'!A4389</f>
        <v>USD</v>
      </c>
      <c r="B4389" t="str">
        <f>+'[2]por cuent'!B4389</f>
        <v>624003163</v>
      </c>
      <c r="C4389" t="str">
        <f>+'[2]por cuent'!C4389</f>
        <v>GUSTAFSSON , GUILLERMO MARTIN o GUSTAFSSON , MARCELO ANDRES o GUSTAFSSON, LUCILA u otros</v>
      </c>
      <c r="D4389" s="35">
        <f>+'[2]por cuent'!G4389</f>
        <v>3862.39</v>
      </c>
      <c r="E4389" s="35">
        <f>+'[2]por cuent'!H4389</f>
        <v>5776513.2361999992</v>
      </c>
      <c r="F4389" t="str">
        <f>+'[2]por cuent'!I4389</f>
        <v>624</v>
      </c>
    </row>
    <row r="4390" spans="1:6" x14ac:dyDescent="0.35">
      <c r="A4390" t="str">
        <f>+'[2]por cuent'!A4390</f>
        <v>USD</v>
      </c>
      <c r="B4390" t="str">
        <f>+'[2]por cuent'!B4390</f>
        <v>624003172</v>
      </c>
      <c r="C4390" t="str">
        <f>+'[2]por cuent'!C4390</f>
        <v>BELLOTTI  , GUSTAVO HERNAN o BELLOTTI, GUIDO</v>
      </c>
      <c r="D4390" s="35">
        <f>+'[2]por cuent'!G4390</f>
        <v>18146.47</v>
      </c>
      <c r="E4390" s="35">
        <f>+'[2]por cuent'!H4390</f>
        <v>27139497.602600001</v>
      </c>
      <c r="F4390" t="str">
        <f>+'[2]por cuent'!I4390</f>
        <v>624</v>
      </c>
    </row>
    <row r="4391" spans="1:6" x14ac:dyDescent="0.35">
      <c r="A4391" t="str">
        <f>+'[2]por cuent'!A4391</f>
        <v>USD</v>
      </c>
      <c r="B4391" t="str">
        <f>+'[2]por cuent'!B4391</f>
        <v>624003357</v>
      </c>
      <c r="C4391" t="str">
        <f>+'[2]por cuent'!C4391</f>
        <v>RONCO , CESAR ANGEL</v>
      </c>
      <c r="D4391" s="35">
        <f>+'[2]por cuent'!G4391</f>
        <v>2179.81</v>
      </c>
      <c r="E4391" s="35">
        <f>+'[2]por cuent'!H4391</f>
        <v>3260080.2397999996</v>
      </c>
      <c r="F4391" t="str">
        <f>+'[2]por cuent'!I4391</f>
        <v>624</v>
      </c>
    </row>
    <row r="4392" spans="1:6" x14ac:dyDescent="0.35">
      <c r="A4392" t="str">
        <f>+'[2]por cuent'!A4392</f>
        <v>USD</v>
      </c>
      <c r="B4392" t="str">
        <f>+'[2]por cuent'!B4392</f>
        <v>624003384</v>
      </c>
      <c r="C4392" t="str">
        <f>+'[2]por cuent'!C4392</f>
        <v>SACCO , MARIA CRISTINA o BELLOTTI, GUIDO</v>
      </c>
      <c r="D4392" s="35">
        <f>+'[2]por cuent'!G4392</f>
        <v>9353.4500000000007</v>
      </c>
      <c r="E4392" s="35">
        <f>+'[2]por cuent'!H4392</f>
        <v>13988832.751</v>
      </c>
      <c r="F4392" t="str">
        <f>+'[2]por cuent'!I4392</f>
        <v>624</v>
      </c>
    </row>
    <row r="4393" spans="1:6" x14ac:dyDescent="0.35">
      <c r="A4393" t="str">
        <f>+'[2]por cuent'!A4393</f>
        <v>USD</v>
      </c>
      <c r="B4393" t="str">
        <f>+'[2]por cuent'!B4393</f>
        <v>624003461</v>
      </c>
      <c r="C4393" t="str">
        <f>+'[2]por cuent'!C4393</f>
        <v>IDOMANICO, SANDRA EDIT o MAURUTTO, FABIO HERNAN</v>
      </c>
      <c r="D4393" s="35">
        <f>+'[2]por cuent'!G4393</f>
        <v>39958.800000000003</v>
      </c>
      <c r="E4393" s="35">
        <f>+'[2]por cuent'!H4393</f>
        <v>59761582.104000002</v>
      </c>
      <c r="F4393" t="str">
        <f>+'[2]por cuent'!I4393</f>
        <v>624</v>
      </c>
    </row>
    <row r="4394" spans="1:6" x14ac:dyDescent="0.35">
      <c r="A4394" t="str">
        <f>+'[2]por cuent'!A4394</f>
        <v>USD</v>
      </c>
      <c r="B4394" t="str">
        <f>+'[2]por cuent'!B4394</f>
        <v>624003484</v>
      </c>
      <c r="C4394" t="str">
        <f>+'[2]por cuent'!C4394</f>
        <v>CALABRO , EDUARDO FRANCISCO o MARUSSO , PATRICIA BEATRIZ</v>
      </c>
      <c r="D4394" s="35">
        <f>+'[2]por cuent'!G4394</f>
        <v>28591.01</v>
      </c>
      <c r="E4394" s="35">
        <f>+'[2]por cuent'!H4394</f>
        <v>42760142.735799998</v>
      </c>
      <c r="F4394" t="str">
        <f>+'[2]por cuent'!I4394</f>
        <v>624</v>
      </c>
    </row>
    <row r="4395" spans="1:6" x14ac:dyDescent="0.35">
      <c r="A4395" t="str">
        <f>+'[2]por cuent'!A4395</f>
        <v>USD</v>
      </c>
      <c r="B4395" t="str">
        <f>+'[2]por cuent'!B4395</f>
        <v>624003514</v>
      </c>
      <c r="C4395" t="str">
        <f>+'[2]por cuent'!C4395</f>
        <v>CIRCULO DE AVIACION</v>
      </c>
      <c r="D4395" s="35">
        <f>+'[2]por cuent'!G4395</f>
        <v>8862.51</v>
      </c>
      <c r="E4395" s="35">
        <f>+'[2]por cuent'!H4395</f>
        <v>13254592.705800001</v>
      </c>
      <c r="F4395" t="str">
        <f>+'[2]por cuent'!I4395</f>
        <v>624</v>
      </c>
    </row>
    <row r="4396" spans="1:6" x14ac:dyDescent="0.35">
      <c r="A4396" t="str">
        <f>+'[2]por cuent'!A4396</f>
        <v>USD</v>
      </c>
      <c r="B4396" t="str">
        <f>+'[2]por cuent'!B4396</f>
        <v>624003548</v>
      </c>
      <c r="C4396" t="str">
        <f>+'[2]por cuent'!C4396</f>
        <v>ARASA, EDGARDO JOSE o ARASA, NAZARENO JOSE o ARASA, LAUTARO EDGARDO</v>
      </c>
      <c r="D4396" s="35">
        <f>+'[2]por cuent'!G4396</f>
        <v>769.78</v>
      </c>
      <c r="E4396" s="35">
        <f>+'[2]por cuent'!H4396</f>
        <v>1151267.5723999999</v>
      </c>
      <c r="F4396" t="str">
        <f>+'[2]por cuent'!I4396</f>
        <v>624</v>
      </c>
    </row>
    <row r="4397" spans="1:6" x14ac:dyDescent="0.35">
      <c r="A4397" t="str">
        <f>+'[2]por cuent'!A4397</f>
        <v>USD</v>
      </c>
      <c r="B4397" t="str">
        <f>+'[2]por cuent'!B4397</f>
        <v>624003584</v>
      </c>
      <c r="C4397" t="str">
        <f>+'[2]por cuent'!C4397</f>
        <v>PERALTA, RAUL RAMON o AQUINO, OFELIA NELLY</v>
      </c>
      <c r="D4397" s="35">
        <f>+'[2]por cuent'!G4397</f>
        <v>3003.02</v>
      </c>
      <c r="E4397" s="35">
        <f>+'[2]por cuent'!H4397</f>
        <v>4491256.6515999995</v>
      </c>
      <c r="F4397" t="str">
        <f>+'[2]por cuent'!I4397</f>
        <v>624</v>
      </c>
    </row>
    <row r="4398" spans="1:6" x14ac:dyDescent="0.35">
      <c r="A4398" t="str">
        <f>+'[2]por cuent'!A4398</f>
        <v>USD</v>
      </c>
      <c r="B4398" t="str">
        <f>+'[2]por cuent'!B4398</f>
        <v>624003651</v>
      </c>
      <c r="C4398" t="str">
        <f>+'[2]por cuent'!C4398</f>
        <v>CALABRO S.R.L.</v>
      </c>
      <c r="D4398" s="35">
        <f>+'[2]por cuent'!G4398</f>
        <v>57714.2</v>
      </c>
      <c r="E4398" s="35">
        <f>+'[2]por cuent'!H4398</f>
        <v>86316203.235999987</v>
      </c>
      <c r="F4398" t="str">
        <f>+'[2]por cuent'!I4398</f>
        <v>624</v>
      </c>
    </row>
    <row r="4399" spans="1:6" x14ac:dyDescent="0.35">
      <c r="A4399" t="str">
        <f>+'[2]por cuent'!A4399</f>
        <v>USD</v>
      </c>
      <c r="B4399" t="str">
        <f>+'[2]por cuent'!B4399</f>
        <v>624003670</v>
      </c>
      <c r="C4399" t="str">
        <f>+'[2]por cuent'!C4399</f>
        <v>VIEYRA , DANIEL RUBEN o VIEYRA, FRANCO DANIEL</v>
      </c>
      <c r="D4399" s="35">
        <f>+'[2]por cuent'!G4399</f>
        <v>2935.83</v>
      </c>
      <c r="E4399" s="35">
        <f>+'[2]por cuent'!H4399</f>
        <v>4390768.6313999994</v>
      </c>
      <c r="F4399" t="str">
        <f>+'[2]por cuent'!I4399</f>
        <v>624</v>
      </c>
    </row>
    <row r="4400" spans="1:6" x14ac:dyDescent="0.35">
      <c r="A4400" t="str">
        <f>+'[2]por cuent'!A4400</f>
        <v>USD</v>
      </c>
      <c r="B4400" t="str">
        <f>+'[2]por cuent'!B4400</f>
        <v>624003723</v>
      </c>
      <c r="C4400" t="str">
        <f>+'[2]por cuent'!C4400</f>
        <v>ARIJON, JUAN JOSE o PASCUAL, VIVIANA EUGENIA</v>
      </c>
      <c r="D4400" s="35">
        <f>+'[2]por cuent'!G4400</f>
        <v>199.98</v>
      </c>
      <c r="E4400" s="35">
        <f>+'[2]por cuent'!H4400</f>
        <v>299086.08839999995</v>
      </c>
      <c r="F4400" t="str">
        <f>+'[2]por cuent'!I4400</f>
        <v>624</v>
      </c>
    </row>
    <row r="4401" spans="1:6" x14ac:dyDescent="0.35">
      <c r="A4401" t="str">
        <f>+'[2]por cuent'!A4401</f>
        <v>USD</v>
      </c>
      <c r="B4401" t="str">
        <f>+'[2]por cuent'!B4401</f>
        <v>624003731</v>
      </c>
      <c r="C4401" t="str">
        <f>+'[2]por cuent'!C4401</f>
        <v>BARAVALLE, ROBERTO ANIBAL</v>
      </c>
      <c r="D4401" s="35">
        <f>+'[2]por cuent'!G4401</f>
        <v>5.53</v>
      </c>
      <c r="E4401" s="35">
        <f>+'[2]por cuent'!H4401</f>
        <v>8270.5573999999997</v>
      </c>
      <c r="F4401" t="str">
        <f>+'[2]por cuent'!I4401</f>
        <v>624</v>
      </c>
    </row>
    <row r="4402" spans="1:6" x14ac:dyDescent="0.35">
      <c r="A4402" t="str">
        <f>+'[2]por cuent'!A4402</f>
        <v>USD</v>
      </c>
      <c r="B4402" t="str">
        <f>+'[2]por cuent'!B4402</f>
        <v>624003833</v>
      </c>
      <c r="C4402" t="str">
        <f>+'[2]por cuent'!C4402</f>
        <v>ALDANA, LILIANA MIRTA o BONGELLI, OSCAR ANTONIO o ZAMBRANO, LEANDRO ARIEL</v>
      </c>
      <c r="D4402" s="35">
        <f>+'[2]por cuent'!G4402</f>
        <v>1040.4000000000001</v>
      </c>
      <c r="E4402" s="35">
        <f>+'[2]por cuent'!H4402</f>
        <v>1556001.432</v>
      </c>
      <c r="F4402" t="str">
        <f>+'[2]por cuent'!I4402</f>
        <v>624</v>
      </c>
    </row>
    <row r="4403" spans="1:6" x14ac:dyDescent="0.35">
      <c r="A4403" t="str">
        <f>+'[2]por cuent'!A4403</f>
        <v>USD</v>
      </c>
      <c r="B4403" t="str">
        <f>+'[2]por cuent'!B4403</f>
        <v>624003835</v>
      </c>
      <c r="C4403" t="str">
        <f>+'[2]por cuent'!C4403</f>
        <v>GIORDANO, SUSANA RAQUEL o DE DOMINICIS, SANTIAGO ALDO</v>
      </c>
      <c r="D4403" s="35">
        <f>+'[2]por cuent'!G4403</f>
        <v>51753.84</v>
      </c>
      <c r="E4403" s="35">
        <f>+'[2]por cuent'!H4403</f>
        <v>77402008.027199984</v>
      </c>
      <c r="F4403" t="str">
        <f>+'[2]por cuent'!I4403</f>
        <v>624</v>
      </c>
    </row>
    <row r="4404" spans="1:6" x14ac:dyDescent="0.35">
      <c r="A4404" t="str">
        <f>+'[2]por cuent'!A4404</f>
        <v>USD</v>
      </c>
      <c r="B4404" t="str">
        <f>+'[2]por cuent'!B4404</f>
        <v>624003902</v>
      </c>
      <c r="C4404" t="str">
        <f>+'[2]por cuent'!C4404</f>
        <v>FUNES, MARCELO ALBERTO  o  DALLA PACE, DANIELA</v>
      </c>
      <c r="D4404" s="35">
        <f>+'[2]por cuent'!G4404</f>
        <v>867.5</v>
      </c>
      <c r="E4404" s="35">
        <f>+'[2]por cuent'!H4404</f>
        <v>1297415.6499999999</v>
      </c>
      <c r="F4404" t="str">
        <f>+'[2]por cuent'!I4404</f>
        <v>624</v>
      </c>
    </row>
    <row r="4405" spans="1:6" x14ac:dyDescent="0.35">
      <c r="A4405" t="str">
        <f>+'[2]por cuent'!A4405</f>
        <v>USD</v>
      </c>
      <c r="B4405" t="str">
        <f>+'[2]por cuent'!B4405</f>
        <v>624003933</v>
      </c>
      <c r="C4405" t="str">
        <f>+'[2]por cuent'!C4405</f>
        <v xml:space="preserve"> FORTE, BRUNO</v>
      </c>
      <c r="D4405" s="35">
        <f>+'[2]por cuent'!G4405</f>
        <v>21307.98</v>
      </c>
      <c r="E4405" s="35">
        <f>+'[2]por cuent'!H4405</f>
        <v>31867788.728399999</v>
      </c>
      <c r="F4405" t="str">
        <f>+'[2]por cuent'!I4405</f>
        <v>624</v>
      </c>
    </row>
    <row r="4406" spans="1:6" x14ac:dyDescent="0.35">
      <c r="A4406" t="str">
        <f>+'[2]por cuent'!A4406</f>
        <v>USD</v>
      </c>
      <c r="B4406" t="str">
        <f>+'[2]por cuent'!B4406</f>
        <v>624003935</v>
      </c>
      <c r="C4406" t="str">
        <f>+'[2]por cuent'!C4406</f>
        <v>MORENO, CECILIA CARLA o ZURBRIGGEN, GASTON CARLOS</v>
      </c>
      <c r="D4406" s="35">
        <f>+'[2]por cuent'!G4406</f>
        <v>2107.1</v>
      </c>
      <c r="E4406" s="35">
        <f>+'[2]por cuent'!H4406</f>
        <v>3151336.6179999998</v>
      </c>
      <c r="F4406" t="str">
        <f>+'[2]por cuent'!I4406</f>
        <v>624</v>
      </c>
    </row>
    <row r="4407" spans="1:6" x14ac:dyDescent="0.35">
      <c r="A4407" t="str">
        <f>+'[2]por cuent'!A4407</f>
        <v>USD</v>
      </c>
      <c r="B4407" t="str">
        <f>+'[2]por cuent'!B4407</f>
        <v>624004035</v>
      </c>
      <c r="C4407" t="str">
        <f>+'[2]por cuent'!C4407</f>
        <v>D'AMICO, JOSE LUIS VICTOR</v>
      </c>
      <c r="D4407" s="35">
        <f>+'[2]por cuent'!G4407</f>
        <v>7175.5</v>
      </c>
      <c r="E4407" s="35">
        <f>+'[2]por cuent'!H4407</f>
        <v>10731534.289999999</v>
      </c>
      <c r="F4407" t="str">
        <f>+'[2]por cuent'!I4407</f>
        <v>624</v>
      </c>
    </row>
    <row r="4408" spans="1:6" x14ac:dyDescent="0.35">
      <c r="A4408" t="str">
        <f>+'[2]por cuent'!A4408</f>
        <v>USD</v>
      </c>
      <c r="B4408" t="str">
        <f>+'[2]por cuent'!B4408</f>
        <v>624004065</v>
      </c>
      <c r="C4408" t="str">
        <f>+'[2]por cuent'!C4408</f>
        <v>ARIMANY, JEREMIAS</v>
      </c>
      <c r="D4408" s="35">
        <f>+'[2]por cuent'!G4408</f>
        <v>11771.32</v>
      </c>
      <c r="E4408" s="35">
        <f>+'[2]por cuent'!H4408</f>
        <v>17604950.7656</v>
      </c>
      <c r="F4408" t="str">
        <f>+'[2]por cuent'!I4408</f>
        <v>624</v>
      </c>
    </row>
    <row r="4409" spans="1:6" x14ac:dyDescent="0.35">
      <c r="A4409" t="str">
        <f>+'[2]por cuent'!A4409</f>
        <v>USD</v>
      </c>
      <c r="B4409" t="str">
        <f>+'[2]por cuent'!B4409</f>
        <v>624004071</v>
      </c>
      <c r="C4409" t="str">
        <f>+'[2]por cuent'!C4409</f>
        <v>CAFARELL, OSVALDO RAMON</v>
      </c>
      <c r="D4409" s="35">
        <f>+'[2]por cuent'!G4409</f>
        <v>1325.35</v>
      </c>
      <c r="E4409" s="35">
        <f>+'[2]por cuent'!H4409</f>
        <v>1982166.9529999997</v>
      </c>
      <c r="F4409" t="str">
        <f>+'[2]por cuent'!I4409</f>
        <v>624</v>
      </c>
    </row>
    <row r="4410" spans="1:6" x14ac:dyDescent="0.35">
      <c r="A4410" t="str">
        <f>+'[2]por cuent'!A4410</f>
        <v>USD</v>
      </c>
      <c r="B4410" t="str">
        <f>+'[2]por cuent'!B4410</f>
        <v>624004072</v>
      </c>
      <c r="C4410" t="str">
        <f>+'[2]por cuent'!C4410</f>
        <v>GALEAZZI, JOSE LUIS o FISSORE, MARIA SOLEDAD o GALEAZZI, FRANCO</v>
      </c>
      <c r="D4410" s="35">
        <f>+'[2]por cuent'!G4410</f>
        <v>205210.77</v>
      </c>
      <c r="E4410" s="35">
        <f>+'[2]por cuent'!H4410</f>
        <v>306909123.39659995</v>
      </c>
      <c r="F4410" t="str">
        <f>+'[2]por cuent'!I4410</f>
        <v>624</v>
      </c>
    </row>
    <row r="4411" spans="1:6" x14ac:dyDescent="0.35">
      <c r="A4411" t="str">
        <f>+'[2]por cuent'!A4411</f>
        <v>USD</v>
      </c>
      <c r="B4411" t="str">
        <f>+'[2]por cuent'!B4411</f>
        <v>624004124</v>
      </c>
      <c r="C4411" t="str">
        <f>+'[2]por cuent'!C4411</f>
        <v>TONSICH, INES DEL LUJAN o DI PEGO, BELEN INES o DI PEGO, IGNACIO FERNANDO</v>
      </c>
      <c r="D4411" s="35">
        <f>+'[2]por cuent'!G4411</f>
        <v>1201.8499999999999</v>
      </c>
      <c r="E4411" s="35">
        <f>+'[2]por cuent'!H4411</f>
        <v>1797462.8229999999</v>
      </c>
      <c r="F4411" t="str">
        <f>+'[2]por cuent'!I4411</f>
        <v>624</v>
      </c>
    </row>
    <row r="4412" spans="1:6" x14ac:dyDescent="0.35">
      <c r="A4412" t="str">
        <f>+'[2]por cuent'!A4412</f>
        <v>USD</v>
      </c>
      <c r="B4412" t="str">
        <f>+'[2]por cuent'!B4412</f>
        <v>624004153</v>
      </c>
      <c r="C4412" t="str">
        <f>+'[2]por cuent'!C4412</f>
        <v>SANTA CRUZ, MARIA TERESA</v>
      </c>
      <c r="D4412" s="35">
        <f>+'[2]por cuent'!G4412</f>
        <v>949.9</v>
      </c>
      <c r="E4412" s="35">
        <f>+'[2]por cuent'!H4412</f>
        <v>1420651.4419999998</v>
      </c>
      <c r="F4412" t="str">
        <f>+'[2]por cuent'!I4412</f>
        <v>624</v>
      </c>
    </row>
    <row r="4413" spans="1:6" x14ac:dyDescent="0.35">
      <c r="A4413" t="str">
        <f>+'[2]por cuent'!A4413</f>
        <v>USD</v>
      </c>
      <c r="B4413" t="str">
        <f>+'[2]por cuent'!B4413</f>
        <v>624004220</v>
      </c>
      <c r="C4413" t="str">
        <f>+'[2]por cuent'!C4413</f>
        <v>ROJAS , ANALIA BEATRIZ o MORENO, JUSTO MARIO  o MORENO, NICOLE NAHIR u otros</v>
      </c>
      <c r="D4413" s="35">
        <f>+'[2]por cuent'!G4413</f>
        <v>1303.02</v>
      </c>
      <c r="E4413" s="35">
        <f>+'[2]por cuent'!H4413</f>
        <v>1948770.6516</v>
      </c>
      <c r="F4413" t="str">
        <f>+'[2]por cuent'!I4413</f>
        <v>624</v>
      </c>
    </row>
    <row r="4414" spans="1:6" x14ac:dyDescent="0.35">
      <c r="A4414" t="str">
        <f>+'[2]por cuent'!A4414</f>
        <v>USD</v>
      </c>
      <c r="B4414" t="str">
        <f>+'[2]por cuent'!B4414</f>
        <v>624004233</v>
      </c>
      <c r="C4414" t="str">
        <f>+'[2]por cuent'!C4414</f>
        <v>RODRIGUEZ, JOSE OSCAR</v>
      </c>
      <c r="D4414" s="35">
        <f>+'[2]por cuent'!G4414</f>
        <v>3865.01</v>
      </c>
      <c r="E4414" s="35">
        <f>+'[2]por cuent'!H4414</f>
        <v>5780431.6557999998</v>
      </c>
      <c r="F4414" t="str">
        <f>+'[2]por cuent'!I4414</f>
        <v>624</v>
      </c>
    </row>
    <row r="4415" spans="1:6" x14ac:dyDescent="0.35">
      <c r="A4415" t="str">
        <f>+'[2]por cuent'!A4415</f>
        <v>USD</v>
      </c>
      <c r="B4415" t="str">
        <f>+'[2]por cuent'!B4415</f>
        <v>624004242</v>
      </c>
      <c r="C4415" t="str">
        <f>+'[2]por cuent'!C4415</f>
        <v>UNIAGRO S.A.</v>
      </c>
      <c r="D4415" s="35">
        <f>+'[2]por cuent'!G4415</f>
        <v>799</v>
      </c>
      <c r="E4415" s="35">
        <f>+'[2]por cuent'!H4415</f>
        <v>1194968.42</v>
      </c>
      <c r="F4415" t="str">
        <f>+'[2]por cuent'!I4415</f>
        <v>624</v>
      </c>
    </row>
    <row r="4416" spans="1:6" x14ac:dyDescent="0.35">
      <c r="A4416" t="str">
        <f>+'[2]por cuent'!A4416</f>
        <v>USD</v>
      </c>
      <c r="B4416" t="str">
        <f>+'[2]por cuent'!B4416</f>
        <v>624004273</v>
      </c>
      <c r="C4416" t="str">
        <f>+'[2]por cuent'!C4416</f>
        <v>MARTINO, ROXANA CARLA</v>
      </c>
      <c r="D4416" s="35">
        <f>+'[2]por cuent'!G4416</f>
        <v>31.36</v>
      </c>
      <c r="E4416" s="35">
        <f>+'[2]por cuent'!H4416</f>
        <v>46901.388799999993</v>
      </c>
      <c r="F4416" t="str">
        <f>+'[2]por cuent'!I4416</f>
        <v>624</v>
      </c>
    </row>
    <row r="4417" spans="1:6" x14ac:dyDescent="0.35">
      <c r="A4417" t="str">
        <f>+'[2]por cuent'!A4417</f>
        <v>USD</v>
      </c>
      <c r="B4417" t="str">
        <f>+'[2]por cuent'!B4417</f>
        <v>624004281</v>
      </c>
      <c r="C4417" t="str">
        <f>+'[2]por cuent'!C4417</f>
        <v>ROLDAN, ROSA LILIANA  o AGUSTI ROLDAN, MARIANELA o DJOUBAILI, JORGE FRANCISCO</v>
      </c>
      <c r="D4417" s="35">
        <f>+'[2]por cuent'!G4417</f>
        <v>2499.58</v>
      </c>
      <c r="E4417" s="35">
        <f>+'[2]por cuent'!H4417</f>
        <v>3738321.8563999999</v>
      </c>
      <c r="F4417" t="str">
        <f>+'[2]por cuent'!I4417</f>
        <v>624</v>
      </c>
    </row>
    <row r="4418" spans="1:6" x14ac:dyDescent="0.35">
      <c r="A4418" t="str">
        <f>+'[2]por cuent'!A4418</f>
        <v>USD</v>
      </c>
      <c r="B4418" t="str">
        <f>+'[2]por cuent'!B4418</f>
        <v>624004287</v>
      </c>
      <c r="C4418" t="str">
        <f>+'[2]por cuent'!C4418</f>
        <v xml:space="preserve">POGLIACOMI, ADELA ADA o MORENO, JUSTO MARIO </v>
      </c>
      <c r="D4418" s="35">
        <f>+'[2]por cuent'!G4418</f>
        <v>5.55</v>
      </c>
      <c r="E4418" s="35">
        <f>+'[2]por cuent'!H4418</f>
        <v>8300.4689999999991</v>
      </c>
      <c r="F4418" t="str">
        <f>+'[2]por cuent'!I4418</f>
        <v>624</v>
      </c>
    </row>
    <row r="4419" spans="1:6" x14ac:dyDescent="0.35">
      <c r="A4419" t="str">
        <f>+'[2]por cuent'!A4419</f>
        <v>USD</v>
      </c>
      <c r="B4419" t="str">
        <f>+'[2]por cuent'!B4419</f>
        <v>624004300</v>
      </c>
      <c r="C4419" t="str">
        <f>+'[2]por cuent'!C4419</f>
        <v>SETTECASI, JULIETA</v>
      </c>
      <c r="D4419" s="35">
        <f>+'[2]por cuent'!G4419</f>
        <v>1043.6099999999999</v>
      </c>
      <c r="E4419" s="35">
        <f>+'[2]por cuent'!H4419</f>
        <v>1560802.2437999998</v>
      </c>
      <c r="F4419" t="str">
        <f>+'[2]por cuent'!I4419</f>
        <v>624</v>
      </c>
    </row>
    <row r="4420" spans="1:6" x14ac:dyDescent="0.35">
      <c r="A4420" t="str">
        <f>+'[2]por cuent'!A4420</f>
        <v>USD</v>
      </c>
      <c r="B4420" t="str">
        <f>+'[2]por cuent'!B4420</f>
        <v>624004304</v>
      </c>
      <c r="C4420" t="str">
        <f>+'[2]por cuent'!C4420</f>
        <v>RESINAS ROSARIO S.R.L.</v>
      </c>
      <c r="D4420" s="35">
        <f>+'[2]por cuent'!G4420</f>
        <v>4488.7</v>
      </c>
      <c r="E4420" s="35">
        <f>+'[2]por cuent'!H4420</f>
        <v>6713209.9459999995</v>
      </c>
      <c r="F4420" t="str">
        <f>+'[2]por cuent'!I4420</f>
        <v>624</v>
      </c>
    </row>
    <row r="4421" spans="1:6" x14ac:dyDescent="0.35">
      <c r="A4421" t="str">
        <f>+'[2]por cuent'!A4421</f>
        <v>USD</v>
      </c>
      <c r="B4421" t="str">
        <f>+'[2]por cuent'!B4421</f>
        <v>624004305</v>
      </c>
      <c r="C4421" t="str">
        <f>+'[2]por cuent'!C4421</f>
        <v>VEGAS, NESTOR JOSE</v>
      </c>
      <c r="D4421" s="35">
        <f>+'[2]por cuent'!G4421</f>
        <v>5898.82</v>
      </c>
      <c r="E4421" s="35">
        <f>+'[2]por cuent'!H4421</f>
        <v>8822157.2155999988</v>
      </c>
      <c r="F4421" t="str">
        <f>+'[2]por cuent'!I4421</f>
        <v>624</v>
      </c>
    </row>
    <row r="4422" spans="1:6" x14ac:dyDescent="0.35">
      <c r="A4422" t="str">
        <f>+'[2]por cuent'!A4422</f>
        <v>USD</v>
      </c>
      <c r="B4422" t="str">
        <f>+'[2]por cuent'!B4422</f>
        <v>624004324</v>
      </c>
      <c r="C4422" t="str">
        <f>+'[2]por cuent'!C4422</f>
        <v>SILVA, DANIELA PRISCILA</v>
      </c>
      <c r="D4422" s="35">
        <f>+'[2]por cuent'!G4422</f>
        <v>359</v>
      </c>
      <c r="E4422" s="35">
        <f>+'[2]por cuent'!H4422</f>
        <v>536913.22</v>
      </c>
      <c r="F4422" t="str">
        <f>+'[2]por cuent'!I4422</f>
        <v>624</v>
      </c>
    </row>
    <row r="4423" spans="1:6" x14ac:dyDescent="0.35">
      <c r="A4423" t="str">
        <f>+'[2]por cuent'!A4423</f>
        <v>USD</v>
      </c>
      <c r="B4423" t="str">
        <f>+'[2]por cuent'!B4423</f>
        <v>624004332</v>
      </c>
      <c r="C4423" t="str">
        <f>+'[2]por cuent'!C4423</f>
        <v>EZPELETA, HORACIO ESTEBAN</v>
      </c>
      <c r="D4423" s="35">
        <f>+'[2]por cuent'!G4423</f>
        <v>28978.1</v>
      </c>
      <c r="E4423" s="35">
        <f>+'[2]por cuent'!H4423</f>
        <v>43339066.797999993</v>
      </c>
      <c r="F4423" t="str">
        <f>+'[2]por cuent'!I4423</f>
        <v>624</v>
      </c>
    </row>
    <row r="4424" spans="1:6" x14ac:dyDescent="0.35">
      <c r="A4424" t="str">
        <f>+'[2]por cuent'!A4424</f>
        <v>USD</v>
      </c>
      <c r="B4424" t="str">
        <f>+'[2]por cuent'!B4424</f>
        <v>624004363</v>
      </c>
      <c r="C4424" t="str">
        <f>+'[2]por cuent'!C4424</f>
        <v>KYOJIN S.A.</v>
      </c>
      <c r="D4424" s="35">
        <f>+'[2]por cuent'!G4424</f>
        <v>7256.46</v>
      </c>
      <c r="E4424" s="35">
        <f>+'[2]por cuent'!H4424</f>
        <v>10852616.446799999</v>
      </c>
      <c r="F4424" t="str">
        <f>+'[2]por cuent'!I4424</f>
        <v>624</v>
      </c>
    </row>
    <row r="4425" spans="1:6" x14ac:dyDescent="0.35">
      <c r="A4425" t="str">
        <f>+'[2]por cuent'!A4425</f>
        <v>USD</v>
      </c>
      <c r="B4425" t="str">
        <f>+'[2]por cuent'!B4425</f>
        <v>624004380</v>
      </c>
      <c r="C4425" t="str">
        <f>+'[2]por cuent'!C4425</f>
        <v>RODRIGUEZ , MARIA ROSA o LOPEZ, SILVINA ANDREA</v>
      </c>
      <c r="D4425" s="35">
        <f>+'[2]por cuent'!G4425</f>
        <v>3045.82</v>
      </c>
      <c r="E4425" s="35">
        <f>+'[2]por cuent'!H4425</f>
        <v>4555267.4756000005</v>
      </c>
      <c r="F4425" t="str">
        <f>+'[2]por cuent'!I4425</f>
        <v>624</v>
      </c>
    </row>
    <row r="4426" spans="1:6" x14ac:dyDescent="0.35">
      <c r="A4426" t="str">
        <f>+'[2]por cuent'!A4426</f>
        <v>USD</v>
      </c>
      <c r="B4426" t="str">
        <f>+'[2]por cuent'!B4426</f>
        <v>624004389</v>
      </c>
      <c r="C4426" t="str">
        <f>+'[2]por cuent'!C4426</f>
        <v>FERNANDEZ, MARIA DEL ROSARIO o HACHEN, LUCIANA  o HACHEN, ULISES</v>
      </c>
      <c r="D4426" s="35">
        <f>+'[2]por cuent'!G4426</f>
        <v>328.5</v>
      </c>
      <c r="E4426" s="35">
        <f>+'[2]por cuent'!H4426</f>
        <v>491298.02999999997</v>
      </c>
      <c r="F4426" t="str">
        <f>+'[2]por cuent'!I4426</f>
        <v>624</v>
      </c>
    </row>
    <row r="4427" spans="1:6" x14ac:dyDescent="0.35">
      <c r="A4427" t="str">
        <f>+'[2]por cuent'!A4427</f>
        <v>USD</v>
      </c>
      <c r="B4427" t="str">
        <f>+'[2]por cuent'!B4427</f>
        <v>624004415</v>
      </c>
      <c r="C4427" t="str">
        <f>+'[2]por cuent'!C4427</f>
        <v xml:space="preserve"> [C.E.R.A.] PINAZO, MARIA SUSANA</v>
      </c>
      <c r="D4427" s="35">
        <f>+'[2]por cuent'!G4427</f>
        <v>1545.58</v>
      </c>
      <c r="E4427" s="35">
        <f>+'[2]por cuent'!H4427</f>
        <v>2311538.5363999996</v>
      </c>
      <c r="F4427" t="str">
        <f>+'[2]por cuent'!I4427</f>
        <v>624</v>
      </c>
    </row>
    <row r="4428" spans="1:6" x14ac:dyDescent="0.35">
      <c r="A4428" t="str">
        <f>+'[2]por cuent'!A4428</f>
        <v>USD</v>
      </c>
      <c r="B4428" t="str">
        <f>+'[2]por cuent'!B4428</f>
        <v>687000022</v>
      </c>
      <c r="C4428" t="str">
        <f>+'[2]por cuent'!C4428</f>
        <v>PIANO DANIEL</v>
      </c>
      <c r="D4428" s="35">
        <f>+'[2]por cuent'!G4428</f>
        <v>159</v>
      </c>
      <c r="E4428" s="35">
        <f>+'[2]por cuent'!H4428</f>
        <v>237797.22</v>
      </c>
      <c r="F4428" t="str">
        <f>+'[2]por cuent'!I4428</f>
        <v>687</v>
      </c>
    </row>
    <row r="4429" spans="1:6" x14ac:dyDescent="0.35">
      <c r="A4429" t="str">
        <f>+'[2]por cuent'!A4429</f>
        <v>USD</v>
      </c>
      <c r="B4429" t="str">
        <f>+'[2]por cuent'!B4429</f>
        <v>687000272</v>
      </c>
      <c r="C4429" t="str">
        <f>+'[2]por cuent'!C4429</f>
        <v>MOGETTA, PEDRO LUIS o JIMENEZ, GABRIELA</v>
      </c>
      <c r="D4429" s="35">
        <f>+'[2]por cuent'!G4429</f>
        <v>22981.919999999998</v>
      </c>
      <c r="E4429" s="35">
        <f>+'[2]por cuent'!H4429</f>
        <v>34371299.913599998</v>
      </c>
      <c r="F4429" t="str">
        <f>+'[2]por cuent'!I4429</f>
        <v>687</v>
      </c>
    </row>
    <row r="4430" spans="1:6" x14ac:dyDescent="0.35">
      <c r="A4430" t="str">
        <f>+'[2]por cuent'!A4430</f>
        <v>USD</v>
      </c>
      <c r="B4430" t="str">
        <f>+'[2]por cuent'!B4430</f>
        <v>687000360</v>
      </c>
      <c r="C4430" t="str">
        <f>+'[2]por cuent'!C4430</f>
        <v>PELLEGRINI, ADRIANA MABEL o PAGANI, JORGE CRISTIAN</v>
      </c>
      <c r="D4430" s="35">
        <f>+'[2]por cuent'!G4430</f>
        <v>10300</v>
      </c>
      <c r="E4430" s="35">
        <f>+'[2]por cuent'!H4430</f>
        <v>15404474</v>
      </c>
      <c r="F4430" t="str">
        <f>+'[2]por cuent'!I4430</f>
        <v>687</v>
      </c>
    </row>
    <row r="4431" spans="1:6" x14ac:dyDescent="0.35">
      <c r="A4431" t="str">
        <f>+'[2]por cuent'!A4431</f>
        <v>USD</v>
      </c>
      <c r="B4431" t="str">
        <f>+'[2]por cuent'!B4431</f>
        <v>687000371</v>
      </c>
      <c r="C4431" t="str">
        <f>+'[2]por cuent'!C4431</f>
        <v>SUFFRITI, LEOPOLDO o CEFOLA, MARIA VERONICA</v>
      </c>
      <c r="D4431" s="35">
        <f>+'[2]por cuent'!G4431</f>
        <v>99.67</v>
      </c>
      <c r="E4431" s="35">
        <f>+'[2]por cuent'!H4431</f>
        <v>149064.45859999998</v>
      </c>
      <c r="F4431" t="str">
        <f>+'[2]por cuent'!I4431</f>
        <v>687</v>
      </c>
    </row>
    <row r="4432" spans="1:6" x14ac:dyDescent="0.35">
      <c r="A4432" t="str">
        <f>+'[2]por cuent'!A4432</f>
        <v>USD</v>
      </c>
      <c r="B4432" t="str">
        <f>+'[2]por cuent'!B4432</f>
        <v>687000432</v>
      </c>
      <c r="C4432" t="str">
        <f>+'[2]por cuent'!C4432</f>
        <v>FONTANA, HIPOLITO RIZIERI o GHIGLIONE, LUISA BEATRIZ o FONTANA, ADRIANA GRACIELA</v>
      </c>
      <c r="D4432" s="35">
        <f>+'[2]por cuent'!G4432</f>
        <v>8657.4</v>
      </c>
      <c r="E4432" s="35">
        <f>+'[2]por cuent'!H4432</f>
        <v>12947834.291999999</v>
      </c>
      <c r="F4432" t="str">
        <f>+'[2]por cuent'!I4432</f>
        <v>687</v>
      </c>
    </row>
    <row r="4433" spans="1:6" x14ac:dyDescent="0.35">
      <c r="A4433" t="str">
        <f>+'[2]por cuent'!A4433</f>
        <v>USD</v>
      </c>
      <c r="B4433" t="str">
        <f>+'[2]por cuent'!B4433</f>
        <v>687000470</v>
      </c>
      <c r="C4433" t="str">
        <f>+'[2]por cuent'!C4433</f>
        <v>DELALOYE, NICANOR FELIX ALEJO</v>
      </c>
      <c r="D4433" s="35">
        <f>+'[2]por cuent'!G4433</f>
        <v>149177.44</v>
      </c>
      <c r="E4433" s="35">
        <f>+'[2]por cuent'!H4433</f>
        <v>223106795.71520001</v>
      </c>
      <c r="F4433" t="str">
        <f>+'[2]por cuent'!I4433</f>
        <v>687</v>
      </c>
    </row>
    <row r="4434" spans="1:6" x14ac:dyDescent="0.35">
      <c r="A4434" t="str">
        <f>+'[2]por cuent'!A4434</f>
        <v>USD</v>
      </c>
      <c r="B4434" t="str">
        <f>+'[2]por cuent'!B4434</f>
        <v>687000550</v>
      </c>
      <c r="C4434" t="str">
        <f>+'[2]por cuent'!C4434</f>
        <v>BRIL, ANDRES SIMON o GUTIERREZ, VERONICA</v>
      </c>
      <c r="D4434" s="35">
        <f>+'[2]por cuent'!G4434</f>
        <v>14999.01</v>
      </c>
      <c r="E4434" s="35">
        <f>+'[2]por cuent'!H4434</f>
        <v>22432219.375799999</v>
      </c>
      <c r="F4434" t="str">
        <f>+'[2]por cuent'!I4434</f>
        <v>687</v>
      </c>
    </row>
    <row r="4435" spans="1:6" x14ac:dyDescent="0.35">
      <c r="A4435" t="str">
        <f>+'[2]por cuent'!A4435</f>
        <v>USD</v>
      </c>
      <c r="B4435" t="str">
        <f>+'[2]por cuent'!B4435</f>
        <v>687000551</v>
      </c>
      <c r="C4435" t="str">
        <f>+'[2]por cuent'!C4435</f>
        <v>CASADEI, GERARDO MARTIN</v>
      </c>
      <c r="D4435" s="35">
        <f>+'[2]por cuent'!G4435</f>
        <v>2299.0700000000002</v>
      </c>
      <c r="E4435" s="35">
        <f>+'[2]por cuent'!H4435</f>
        <v>3438443.1106000002</v>
      </c>
      <c r="F4435" t="str">
        <f>+'[2]por cuent'!I4435</f>
        <v>687</v>
      </c>
    </row>
    <row r="4436" spans="1:6" x14ac:dyDescent="0.35">
      <c r="A4436" t="str">
        <f>+'[2]por cuent'!A4436</f>
        <v>USD</v>
      </c>
      <c r="B4436" t="str">
        <f>+'[2]por cuent'!B4436</f>
        <v>687000581</v>
      </c>
      <c r="C4436" t="str">
        <f>+'[2]por cuent'!C4436</f>
        <v>LORTE, ERNESTO PABLO</v>
      </c>
      <c r="D4436" s="35">
        <f>+'[2]por cuent'!G4436</f>
        <v>123.74</v>
      </c>
      <c r="E4436" s="35">
        <f>+'[2]por cuent'!H4436</f>
        <v>185063.06919999997</v>
      </c>
      <c r="F4436" t="str">
        <f>+'[2]por cuent'!I4436</f>
        <v>687</v>
      </c>
    </row>
    <row r="4437" spans="1:6" x14ac:dyDescent="0.35">
      <c r="A4437" t="str">
        <f>+'[2]por cuent'!A4437</f>
        <v>USD</v>
      </c>
      <c r="B4437" t="str">
        <f>+'[2]por cuent'!B4437</f>
        <v>687000587</v>
      </c>
      <c r="C4437" t="str">
        <f>+'[2]por cuent'!C4437</f>
        <v>MAOLONI, PAOLA MARIA o GALVANI, LUCAS ARIEL o FIORENTINI, NORA ISABEL</v>
      </c>
      <c r="D4437" s="35">
        <f>+'[2]por cuent'!G4437</f>
        <v>202.53</v>
      </c>
      <c r="E4437" s="35">
        <f>+'[2]por cuent'!H4437</f>
        <v>302899.8174</v>
      </c>
      <c r="F4437" t="str">
        <f>+'[2]por cuent'!I4437</f>
        <v>687</v>
      </c>
    </row>
    <row r="4438" spans="1:6" x14ac:dyDescent="0.35">
      <c r="A4438" t="str">
        <f>+'[2]por cuent'!A4438</f>
        <v>USD</v>
      </c>
      <c r="B4438" t="str">
        <f>+'[2]por cuent'!B4438</f>
        <v>687000594</v>
      </c>
      <c r="C4438" t="str">
        <f>+'[2]por cuent'!C4438</f>
        <v>CACCHIONE, BEATRIZ ELENA o CACCHIONE, RAUL JUAN</v>
      </c>
      <c r="D4438" s="35">
        <f>+'[2]por cuent'!G4438</f>
        <v>350.29</v>
      </c>
      <c r="E4438" s="35">
        <f>+'[2]por cuent'!H4438</f>
        <v>523886.7182</v>
      </c>
      <c r="F4438" t="str">
        <f>+'[2]por cuent'!I4438</f>
        <v>687</v>
      </c>
    </row>
    <row r="4439" spans="1:6" x14ac:dyDescent="0.35">
      <c r="A4439" t="str">
        <f>+'[2]por cuent'!A4439</f>
        <v>USD</v>
      </c>
      <c r="B4439" t="str">
        <f>+'[2]por cuent'!B4439</f>
        <v>687000665</v>
      </c>
      <c r="C4439" t="str">
        <f>+'[2]por cuent'!C4439</f>
        <v>TORRES, NATALIA EVANGELINA o IANNARELLI ERCOLE, JUAN BRUNO</v>
      </c>
      <c r="D4439" s="35">
        <f>+'[2]por cuent'!G4439</f>
        <v>3531.3</v>
      </c>
      <c r="E4439" s="35">
        <f>+'[2]por cuent'!H4439</f>
        <v>5281341.6540000001</v>
      </c>
      <c r="F4439" t="str">
        <f>+'[2]por cuent'!I4439</f>
        <v>687</v>
      </c>
    </row>
    <row r="4440" spans="1:6" x14ac:dyDescent="0.35">
      <c r="A4440" t="str">
        <f>+'[2]por cuent'!A4440</f>
        <v>USD</v>
      </c>
      <c r="B4440" t="str">
        <f>+'[2]por cuent'!B4440</f>
        <v>687000674</v>
      </c>
      <c r="C4440" t="str">
        <f>+'[2]por cuent'!C4440</f>
        <v>DE SANCTIS , ANIBAL PERICLES  o DE SANCTIS, SOFIA FLAVIA</v>
      </c>
      <c r="D4440" s="35">
        <f>+'[2]por cuent'!G4440</f>
        <v>88310.03</v>
      </c>
      <c r="E4440" s="35">
        <f>+'[2]por cuent'!H4440</f>
        <v>132074714.66739999</v>
      </c>
      <c r="F4440" t="str">
        <f>+'[2]por cuent'!I4440</f>
        <v>687</v>
      </c>
    </row>
    <row r="4441" spans="1:6" x14ac:dyDescent="0.35">
      <c r="A4441" t="str">
        <f>+'[2]por cuent'!A4441</f>
        <v>USD</v>
      </c>
      <c r="B4441" t="str">
        <f>+'[2]por cuent'!B4441</f>
        <v>687000685</v>
      </c>
      <c r="C4441" t="str">
        <f>+'[2]por cuent'!C4441</f>
        <v xml:space="preserve">DE SANCTIS, NICOLAS ANIBAL o DE SANCTIS , ANIBAL PERICLES </v>
      </c>
      <c r="D4441" s="35">
        <f>+'[2]por cuent'!G4441</f>
        <v>28473.84</v>
      </c>
      <c r="E4441" s="35">
        <f>+'[2]por cuent'!H4441</f>
        <v>42584905.6272</v>
      </c>
      <c r="F4441" t="str">
        <f>+'[2]por cuent'!I4441</f>
        <v>687</v>
      </c>
    </row>
    <row r="4442" spans="1:6" x14ac:dyDescent="0.35">
      <c r="A4442" t="str">
        <f>+'[2]por cuent'!A4442</f>
        <v>USD</v>
      </c>
      <c r="B4442" t="str">
        <f>+'[2]por cuent'!B4442</f>
        <v>687000705</v>
      </c>
      <c r="C4442" t="str">
        <f>+'[2]por cuent'!C4442</f>
        <v>MARTIN, ALBERTO JORGE</v>
      </c>
      <c r="D4442" s="35">
        <f>+'[2]por cuent'!G4442</f>
        <v>17999.72</v>
      </c>
      <c r="E4442" s="35">
        <f>+'[2]por cuent'!H4442</f>
        <v>26920021.237599999</v>
      </c>
      <c r="F4442" t="str">
        <f>+'[2]por cuent'!I4442</f>
        <v>687</v>
      </c>
    </row>
    <row r="4443" spans="1:6" x14ac:dyDescent="0.35">
      <c r="A4443" t="str">
        <f>+'[2]por cuent'!A4443</f>
        <v>USD</v>
      </c>
      <c r="B4443" t="str">
        <f>+'[2]por cuent'!B4443</f>
        <v>687000761</v>
      </c>
      <c r="C4443" t="str">
        <f>+'[2]por cuent'!C4443</f>
        <v>ZORATTI, CRISTIAN PABLO o ZORATTI, ANDREA BEATRIZ o ZORATTI, VICTOR ANTONIO ESTEBAN</v>
      </c>
      <c r="D4443" s="35">
        <f>+'[2]por cuent'!G4443</f>
        <v>759.34</v>
      </c>
      <c r="E4443" s="35">
        <f>+'[2]por cuent'!H4443</f>
        <v>1135653.7172000001</v>
      </c>
      <c r="F4443" t="str">
        <f>+'[2]por cuent'!I4443</f>
        <v>687</v>
      </c>
    </row>
    <row r="4444" spans="1:6" x14ac:dyDescent="0.35">
      <c r="A4444" t="str">
        <f>+'[2]por cuent'!A4444</f>
        <v>USD</v>
      </c>
      <c r="B4444" t="str">
        <f>+'[2]por cuent'!B4444</f>
        <v>687000771</v>
      </c>
      <c r="C4444" t="str">
        <f>+'[2]por cuent'!C4444</f>
        <v>GALVANI, GASTON ALEJANDRO o MATTIA, MARIA VIRGINIA</v>
      </c>
      <c r="D4444" s="35">
        <f>+'[2]por cuent'!G4444</f>
        <v>197630.85</v>
      </c>
      <c r="E4444" s="35">
        <f>+'[2]por cuent'!H4444</f>
        <v>295572746.64300001</v>
      </c>
      <c r="F4444" t="str">
        <f>+'[2]por cuent'!I4444</f>
        <v>687</v>
      </c>
    </row>
    <row r="4445" spans="1:6" x14ac:dyDescent="0.35">
      <c r="A4445" t="str">
        <f>+'[2]por cuent'!A4445</f>
        <v>USD</v>
      </c>
      <c r="B4445" t="str">
        <f>+'[2]por cuent'!B4445</f>
        <v>687000789</v>
      </c>
      <c r="C4445" t="str">
        <f>+'[2]por cuent'!C4445</f>
        <v>RUIZ, HERNAN GERARDO</v>
      </c>
      <c r="D4445" s="35">
        <f>+'[2]por cuent'!G4445</f>
        <v>489.49</v>
      </c>
      <c r="E4445" s="35">
        <f>+'[2]por cuent'!H4445</f>
        <v>732071.45419999992</v>
      </c>
      <c r="F4445" t="str">
        <f>+'[2]por cuent'!I4445</f>
        <v>687</v>
      </c>
    </row>
    <row r="4446" spans="1:6" x14ac:dyDescent="0.35">
      <c r="A4446" t="str">
        <f>+'[2]por cuent'!A4446</f>
        <v>USD</v>
      </c>
      <c r="B4446" t="str">
        <f>+'[2]por cuent'!B4446</f>
        <v>687000814</v>
      </c>
      <c r="C4446" t="str">
        <f>+'[2]por cuent'!C4446</f>
        <v>PEREZ CORTES, IGNACIO o MARZIONI, MELISA AGOSTINA</v>
      </c>
      <c r="D4446" s="35">
        <f>+'[2]por cuent'!G4446</f>
        <v>344.26</v>
      </c>
      <c r="E4446" s="35">
        <f>+'[2]por cuent'!H4446</f>
        <v>514868.37079999998</v>
      </c>
      <c r="F4446" t="str">
        <f>+'[2]por cuent'!I4446</f>
        <v>687</v>
      </c>
    </row>
    <row r="4447" spans="1:6" x14ac:dyDescent="0.35">
      <c r="A4447" t="str">
        <f>+'[2]por cuent'!A4447</f>
        <v>USD</v>
      </c>
      <c r="B4447" t="str">
        <f>+'[2]por cuent'!B4447</f>
        <v>687000825</v>
      </c>
      <c r="C4447" t="str">
        <f>+'[2]por cuent'!C4447</f>
        <v>RISSO, EDUARDO ANTONIO</v>
      </c>
      <c r="D4447" s="35">
        <f>+'[2]por cuent'!G4447</f>
        <v>1999.33</v>
      </c>
      <c r="E4447" s="35">
        <f>+'[2]por cuent'!H4447</f>
        <v>2990157.9613999999</v>
      </c>
      <c r="F4447" t="str">
        <f>+'[2]por cuent'!I4447</f>
        <v>687</v>
      </c>
    </row>
    <row r="4448" spans="1:6" x14ac:dyDescent="0.35">
      <c r="A4448" t="str">
        <f>+'[2]por cuent'!A4448</f>
        <v>USD</v>
      </c>
      <c r="B4448" t="str">
        <f>+'[2]por cuent'!B4448</f>
        <v>687000829</v>
      </c>
      <c r="C4448" t="str">
        <f>+'[2]por cuent'!C4448</f>
        <v>MUTUAL DEL CLUB ATLETICO JUVENTUD UNIDA</v>
      </c>
      <c r="D4448" s="35">
        <f>+'[2]por cuent'!G4448</f>
        <v>402.09</v>
      </c>
      <c r="E4448" s="35">
        <f>+'[2]por cuent'!H4448</f>
        <v>601357.76219999988</v>
      </c>
      <c r="F4448" t="str">
        <f>+'[2]por cuent'!I4448</f>
        <v>687</v>
      </c>
    </row>
    <row r="4449" spans="1:6" x14ac:dyDescent="0.35">
      <c r="A4449" t="str">
        <f>+'[2]por cuent'!A4449</f>
        <v>USD</v>
      </c>
      <c r="B4449" t="str">
        <f>+'[2]por cuent'!B4449</f>
        <v>687000833</v>
      </c>
      <c r="C4449" t="str">
        <f>+'[2]por cuent'!C4449</f>
        <v>GALLI, EUGENIA MARIA o BARAT, JUAN MANUEL</v>
      </c>
      <c r="D4449" s="35">
        <f>+'[2]por cuent'!G4449</f>
        <v>10034</v>
      </c>
      <c r="E4449" s="35">
        <f>+'[2]por cuent'!H4449</f>
        <v>15006649.719999999</v>
      </c>
      <c r="F4449" t="str">
        <f>+'[2]por cuent'!I4449</f>
        <v>687</v>
      </c>
    </row>
    <row r="4450" spans="1:6" x14ac:dyDescent="0.35">
      <c r="A4450" t="str">
        <f>+'[2]por cuent'!A4450</f>
        <v>USD</v>
      </c>
      <c r="B4450" t="str">
        <f>+'[2]por cuent'!B4450</f>
        <v>687000845</v>
      </c>
      <c r="C4450" t="str">
        <f>+'[2]por cuent'!C4450</f>
        <v>LA FAMILLE S.A.</v>
      </c>
      <c r="D4450" s="35">
        <f>+'[2]por cuent'!G4450</f>
        <v>119999.54</v>
      </c>
      <c r="E4450" s="35">
        <f>+'[2]por cuent'!H4450</f>
        <v>179468912.0332</v>
      </c>
      <c r="F4450" t="str">
        <f>+'[2]por cuent'!I4450</f>
        <v>687</v>
      </c>
    </row>
    <row r="4451" spans="1:6" x14ac:dyDescent="0.35">
      <c r="A4451" t="str">
        <f>+'[2]por cuent'!A4451</f>
        <v>USD</v>
      </c>
      <c r="B4451" t="str">
        <f>+'[2]por cuent'!B4451</f>
        <v>687000928</v>
      </c>
      <c r="C4451" t="str">
        <f>+'[2]por cuent'!C4451</f>
        <v>CORDIVIOLA, ESTEBAN GABRIEL</v>
      </c>
      <c r="D4451" s="35">
        <f>+'[2]por cuent'!G4451</f>
        <v>533495.51</v>
      </c>
      <c r="E4451" s="35">
        <f>+'[2]por cuent'!H4451</f>
        <v>797885214.84579992</v>
      </c>
      <c r="F4451" t="str">
        <f>+'[2]por cuent'!I4451</f>
        <v>687</v>
      </c>
    </row>
    <row r="4452" spans="1:6" x14ac:dyDescent="0.35">
      <c r="A4452" t="str">
        <f>+'[2]por cuent'!A4452</f>
        <v>USD</v>
      </c>
      <c r="B4452" t="str">
        <f>+'[2]por cuent'!B4452</f>
        <v>687000931</v>
      </c>
      <c r="C4452" t="str">
        <f>+'[2]por cuent'!C4452</f>
        <v>MENENDEZ, IGNACIO MARTIN</v>
      </c>
      <c r="D4452" s="35">
        <f>+'[2]por cuent'!G4452</f>
        <v>495.53</v>
      </c>
      <c r="E4452" s="35">
        <f>+'[2]por cuent'!H4452</f>
        <v>741104.75739999989</v>
      </c>
      <c r="F4452" t="str">
        <f>+'[2]por cuent'!I4452</f>
        <v>687</v>
      </c>
    </row>
    <row r="4453" spans="1:6" x14ac:dyDescent="0.35">
      <c r="A4453" t="str">
        <f>+'[2]por cuent'!A4453</f>
        <v>USD</v>
      </c>
      <c r="B4453" t="str">
        <f>+'[2]por cuent'!B4453</f>
        <v>687000941</v>
      </c>
      <c r="C4453" t="str">
        <f>+'[2]por cuent'!C4453</f>
        <v xml:space="preserve">DE MATTIA, MAURICIO </v>
      </c>
      <c r="D4453" s="35">
        <f>+'[2]por cuent'!G4453</f>
        <v>267.14999999999998</v>
      </c>
      <c r="E4453" s="35">
        <f>+'[2]por cuent'!H4453</f>
        <v>399544.19699999993</v>
      </c>
      <c r="F4453" t="str">
        <f>+'[2]por cuent'!I4453</f>
        <v>687</v>
      </c>
    </row>
    <row r="4454" spans="1:6" x14ac:dyDescent="0.35">
      <c r="A4454" t="str">
        <f>+'[2]por cuent'!A4454</f>
        <v>USD</v>
      </c>
      <c r="B4454" t="str">
        <f>+'[2]por cuent'!B4454</f>
        <v>687000961</v>
      </c>
      <c r="C4454" t="str">
        <f>+'[2]por cuent'!C4454</f>
        <v>MARZIONI, MELISA AGOSTINA</v>
      </c>
      <c r="D4454" s="35">
        <f>+'[2]por cuent'!G4454</f>
        <v>420.03</v>
      </c>
      <c r="E4454" s="35">
        <f>+'[2]por cuent'!H4454</f>
        <v>628188.46739999996</v>
      </c>
      <c r="F4454" t="str">
        <f>+'[2]por cuent'!I4454</f>
        <v>687</v>
      </c>
    </row>
    <row r="4455" spans="1:6" x14ac:dyDescent="0.35">
      <c r="A4455" t="str">
        <f>+'[2]por cuent'!A4455</f>
        <v>USD</v>
      </c>
      <c r="B4455" t="str">
        <f>+'[2]por cuent'!B4455</f>
        <v>687000968</v>
      </c>
      <c r="C4455" t="str">
        <f>+'[2]por cuent'!C4455</f>
        <v>GARCIA, AGUSTIN GASTON</v>
      </c>
      <c r="D4455" s="35">
        <f>+'[2]por cuent'!G4455</f>
        <v>101.22</v>
      </c>
      <c r="E4455" s="35">
        <f>+'[2]por cuent'!H4455</f>
        <v>151382.60759999999</v>
      </c>
      <c r="F4455" t="str">
        <f>+'[2]por cuent'!I4455</f>
        <v>687</v>
      </c>
    </row>
    <row r="4456" spans="1:6" x14ac:dyDescent="0.35">
      <c r="A4456" t="str">
        <f>+'[2]por cuent'!A4456</f>
        <v>USD</v>
      </c>
      <c r="B4456" t="str">
        <f>+'[2]por cuent'!B4456</f>
        <v>687000970</v>
      </c>
      <c r="C4456" t="str">
        <f>+'[2]por cuent'!C4456</f>
        <v>SENTINELLI, LUCA</v>
      </c>
      <c r="D4456" s="35">
        <f>+'[2]por cuent'!G4456</f>
        <v>162.09</v>
      </c>
      <c r="E4456" s="35">
        <f>+'[2]por cuent'!H4456</f>
        <v>242418.56219999999</v>
      </c>
      <c r="F4456" t="str">
        <f>+'[2]por cuent'!I4456</f>
        <v>687</v>
      </c>
    </row>
    <row r="4457" spans="1:6" x14ac:dyDescent="0.35">
      <c r="A4457" t="str">
        <f>+'[2]por cuent'!A4457</f>
        <v>USD</v>
      </c>
      <c r="B4457" t="str">
        <f>+'[2]por cuent'!B4457</f>
        <v>687000973</v>
      </c>
      <c r="C4457" t="str">
        <f>+'[2]por cuent'!C4457</f>
        <v>MALPASSI, LUCIANO DAMIAN</v>
      </c>
      <c r="D4457" s="35">
        <f>+'[2]por cuent'!G4457</f>
        <v>242635.05</v>
      </c>
      <c r="E4457" s="35">
        <f>+'[2]por cuent'!H4457</f>
        <v>362880128.07899994</v>
      </c>
      <c r="F4457" t="str">
        <f>+'[2]por cuent'!I4457</f>
        <v>687</v>
      </c>
    </row>
    <row r="4458" spans="1:6" x14ac:dyDescent="0.35">
      <c r="A4458" t="str">
        <f>+'[2]por cuent'!A4458</f>
        <v>USD</v>
      </c>
      <c r="B4458" t="str">
        <f>+'[2]por cuent'!B4458</f>
        <v>687000978</v>
      </c>
      <c r="C4458" t="str">
        <f>+'[2]por cuent'!C4458</f>
        <v>KOBILA, ANIBAL ABEL o MESSINA, LORENA ANDREA</v>
      </c>
      <c r="D4458" s="35">
        <f>+'[2]por cuent'!G4458</f>
        <v>289.27999999999997</v>
      </c>
      <c r="E4458" s="35">
        <f>+'[2]por cuent'!H4458</f>
        <v>432641.38239999994</v>
      </c>
      <c r="F4458" t="str">
        <f>+'[2]por cuent'!I4458</f>
        <v>687</v>
      </c>
    </row>
    <row r="4459" spans="1:6" x14ac:dyDescent="0.35">
      <c r="A4459" t="str">
        <f>+'[2]por cuent'!A4459</f>
        <v>USD</v>
      </c>
      <c r="B4459" t="str">
        <f>+'[2]por cuent'!B4459</f>
        <v>687000980</v>
      </c>
      <c r="C4459" t="str">
        <f>+'[2]por cuent'!C4459</f>
        <v>MARTIN, JUAN IGNACIO</v>
      </c>
      <c r="D4459" s="35">
        <f>+'[2]por cuent'!G4459</f>
        <v>10.220000000000001</v>
      </c>
      <c r="E4459" s="35">
        <f>+'[2]por cuent'!H4459</f>
        <v>15284.827600000001</v>
      </c>
      <c r="F4459" t="str">
        <f>+'[2]por cuent'!I4459</f>
        <v>687</v>
      </c>
    </row>
    <row r="4460" spans="1:6" x14ac:dyDescent="0.35">
      <c r="A4460" t="str">
        <f>+'[2]por cuent'!A4460</f>
        <v>USD</v>
      </c>
      <c r="B4460" t="str">
        <f>+'[2]por cuent'!B4460</f>
        <v>687000981</v>
      </c>
      <c r="C4460" t="str">
        <f>+'[2]por cuent'!C4460</f>
        <v>GARCIA, FRANCO</v>
      </c>
      <c r="D4460" s="35">
        <f>+'[2]por cuent'!G4460</f>
        <v>34.6</v>
      </c>
      <c r="E4460" s="35">
        <f>+'[2]por cuent'!H4460</f>
        <v>51747.067999999999</v>
      </c>
      <c r="F4460" t="str">
        <f>+'[2]por cuent'!I4460</f>
        <v>687</v>
      </c>
    </row>
    <row r="4461" spans="1:6" x14ac:dyDescent="0.35">
      <c r="A4461" t="str">
        <f>+'[2]por cuent'!A4461</f>
        <v>USD</v>
      </c>
      <c r="B4461" t="str">
        <f>+'[2]por cuent'!B4461</f>
        <v>687000983</v>
      </c>
      <c r="C4461" t="str">
        <f>+'[2]por cuent'!C4461</f>
        <v>YALKH, ALAN HERNAN</v>
      </c>
      <c r="D4461" s="35">
        <f>+'[2]por cuent'!G4461</f>
        <v>18.18</v>
      </c>
      <c r="E4461" s="35">
        <f>+'[2]por cuent'!H4461</f>
        <v>27189.644399999997</v>
      </c>
      <c r="F4461" t="str">
        <f>+'[2]por cuent'!I4461</f>
        <v>687</v>
      </c>
    </row>
    <row r="4462" spans="1:6" x14ac:dyDescent="0.35">
      <c r="A4462" t="str">
        <f>+'[2]por cuent'!A4462</f>
        <v>USD</v>
      </c>
      <c r="B4462" t="str">
        <f>+'[2]por cuent'!B4462</f>
        <v>687000992</v>
      </c>
      <c r="C4462" t="str">
        <f>+'[2]por cuent'!C4462</f>
        <v>PIATTI, CRISTIAN LEONARDO o MANGIONE, CARLA o PIATTI, CAMILO</v>
      </c>
      <c r="D4462" s="35">
        <f>+'[2]por cuent'!G4462</f>
        <v>1117</v>
      </c>
      <c r="E4462" s="35">
        <f>+'[2]por cuent'!H4462</f>
        <v>1670562.8599999999</v>
      </c>
      <c r="F4462" t="str">
        <f>+'[2]por cuent'!I4462</f>
        <v>687</v>
      </c>
    </row>
    <row r="4463" spans="1:6" x14ac:dyDescent="0.35">
      <c r="A4463" t="str">
        <f>+'[2]por cuent'!A4463</f>
        <v>USD</v>
      </c>
      <c r="B4463" t="str">
        <f>+'[2]por cuent'!B4463</f>
        <v>687000995</v>
      </c>
      <c r="C4463" t="str">
        <f>+'[2]por cuent'!C4463</f>
        <v>ROMANO, PATRICIO</v>
      </c>
      <c r="D4463" s="35">
        <f>+'[2]por cuent'!G4463</f>
        <v>22543.759999999998</v>
      </c>
      <c r="E4463" s="35">
        <f>+'[2]por cuent'!H4463</f>
        <v>33715996.580799997</v>
      </c>
      <c r="F4463" t="str">
        <f>+'[2]por cuent'!I4463</f>
        <v>687</v>
      </c>
    </row>
    <row r="4464" spans="1:6" x14ac:dyDescent="0.35">
      <c r="A4464" t="str">
        <f>+'[2]por cuent'!A4464</f>
        <v>USD</v>
      </c>
      <c r="B4464" t="str">
        <f>+'[2]por cuent'!B4464</f>
        <v>687000996</v>
      </c>
      <c r="C4464" t="str">
        <f>+'[2]por cuent'!C4464</f>
        <v>LOTE 3 SRL</v>
      </c>
      <c r="D4464" s="35">
        <f>+'[2]por cuent'!G4464</f>
        <v>611.97</v>
      </c>
      <c r="E4464" s="35">
        <f>+'[2]por cuent'!H4464</f>
        <v>915250.09259999997</v>
      </c>
      <c r="F4464" t="str">
        <f>+'[2]por cuent'!I4464</f>
        <v>687</v>
      </c>
    </row>
    <row r="4465" spans="1:6" x14ac:dyDescent="0.35">
      <c r="A4465" t="str">
        <f>+'[2]por cuent'!A4465</f>
        <v>USD</v>
      </c>
      <c r="B4465" t="str">
        <f>+'[2]por cuent'!B4465</f>
        <v>687000997</v>
      </c>
      <c r="C4465" t="str">
        <f>+'[2]por cuent'!C4465</f>
        <v>OJEDA, GUIDO ANTONIO</v>
      </c>
      <c r="D4465" s="35">
        <f>+'[2]por cuent'!G4465</f>
        <v>179.5</v>
      </c>
      <c r="E4465" s="35">
        <f>+'[2]por cuent'!H4465</f>
        <v>268456.61</v>
      </c>
      <c r="F4465" t="str">
        <f>+'[2]por cuent'!I4465</f>
        <v>687</v>
      </c>
    </row>
    <row r="4466" spans="1:6" x14ac:dyDescent="0.35">
      <c r="A4466" t="str">
        <f>+'[2]por cuent'!A4466</f>
        <v>USD</v>
      </c>
      <c r="B4466" t="str">
        <f>+'[2]por cuent'!B4466</f>
        <v>687001003</v>
      </c>
      <c r="C4466" t="str">
        <f>+'[2]por cuent'!C4466</f>
        <v>SOCSeMe SAS</v>
      </c>
      <c r="D4466" s="35">
        <f>+'[2]por cuent'!G4466</f>
        <v>14632.34</v>
      </c>
      <c r="E4466" s="35">
        <f>+'[2]por cuent'!H4466</f>
        <v>21883835.0572</v>
      </c>
      <c r="F4466" t="str">
        <f>+'[2]por cuent'!I4466</f>
        <v>687</v>
      </c>
    </row>
    <row r="4467" spans="1:6" x14ac:dyDescent="0.35">
      <c r="A4467" t="str">
        <f>+'[2]por cuent'!A4467</f>
        <v>USD</v>
      </c>
      <c r="B4467" t="str">
        <f>+'[2]por cuent'!B4467</f>
        <v>717002001</v>
      </c>
      <c r="C4467" t="str">
        <f>+'[2]por cuent'!C4467</f>
        <v>BARRILLI S.A.</v>
      </c>
      <c r="D4467" s="35">
        <f>+'[2]por cuent'!G4467</f>
        <v>225949.32</v>
      </c>
      <c r="E4467" s="35">
        <f>+'[2]por cuent'!H4467</f>
        <v>337925284.00559998</v>
      </c>
      <c r="F4467" t="str">
        <f>+'[2]por cuent'!I4467</f>
        <v>717</v>
      </c>
    </row>
    <row r="4468" spans="1:6" x14ac:dyDescent="0.35">
      <c r="A4468" t="str">
        <f>+'[2]por cuent'!A4468</f>
        <v>USD</v>
      </c>
      <c r="B4468" t="str">
        <f>+'[2]por cuent'!B4468</f>
        <v>717008565</v>
      </c>
      <c r="C4468" t="str">
        <f>+'[2]por cuent'!C4468</f>
        <v>ESCARRA FERNANDO</v>
      </c>
      <c r="D4468" s="35">
        <f>+'[2]por cuent'!G4468</f>
        <v>11001.41</v>
      </c>
      <c r="E4468" s="35">
        <f>+'[2]por cuent'!H4468</f>
        <v>16453488.7678</v>
      </c>
      <c r="F4468" t="str">
        <f>+'[2]por cuent'!I4468</f>
        <v>717</v>
      </c>
    </row>
    <row r="4469" spans="1:6" x14ac:dyDescent="0.35">
      <c r="A4469" t="str">
        <f>+'[2]por cuent'!A4469</f>
        <v>USD</v>
      </c>
      <c r="B4469" t="str">
        <f>+'[2]por cuent'!B4469</f>
        <v>717019643</v>
      </c>
      <c r="C4469" t="str">
        <f>+'[2]por cuent'!C4469</f>
        <v>GRUPO MARYMAR S.A.</v>
      </c>
      <c r="D4469" s="35">
        <f>+'[2]por cuent'!G4469</f>
        <v>13937.72</v>
      </c>
      <c r="E4469" s="35">
        <f>+'[2]por cuent'!H4469</f>
        <v>20844975.277599998</v>
      </c>
      <c r="F4469" t="str">
        <f>+'[2]por cuent'!I4469</f>
        <v>717</v>
      </c>
    </row>
    <row r="4470" spans="1:6" x14ac:dyDescent="0.35">
      <c r="A4470" t="str">
        <f>+'[2]por cuent'!A4470</f>
        <v>USD</v>
      </c>
      <c r="B4470" t="str">
        <f>+'[2]por cuent'!B4470</f>
        <v>717041369</v>
      </c>
      <c r="C4470" t="str">
        <f>+'[2]por cuent'!C4470</f>
        <v>FENOGLIO DARIEN DIEGO</v>
      </c>
      <c r="D4470" s="35">
        <f>+'[2]por cuent'!G4470</f>
        <v>760.27</v>
      </c>
      <c r="E4470" s="35">
        <f>+'[2]por cuent'!H4470</f>
        <v>1137044.6065999998</v>
      </c>
      <c r="F4470" t="str">
        <f>+'[2]por cuent'!I4470</f>
        <v>717</v>
      </c>
    </row>
    <row r="4471" spans="1:6" x14ac:dyDescent="0.35">
      <c r="A4471" t="str">
        <f>+'[2]por cuent'!A4471</f>
        <v>USD</v>
      </c>
      <c r="B4471" t="str">
        <f>+'[2]por cuent'!B4471</f>
        <v>717041993</v>
      </c>
      <c r="C4471" t="str">
        <f>+'[2]por cuent'!C4471</f>
        <v>DERVA HERNAN JORGE</v>
      </c>
      <c r="D4471" s="35">
        <f>+'[2]por cuent'!G4471</f>
        <v>993.68</v>
      </c>
      <c r="E4471" s="35">
        <f>+'[2]por cuent'!H4471</f>
        <v>1486127.9343999999</v>
      </c>
      <c r="F4471" t="str">
        <f>+'[2]por cuent'!I4471</f>
        <v>717</v>
      </c>
    </row>
    <row r="4472" spans="1:6" x14ac:dyDescent="0.35">
      <c r="A4472" t="str">
        <f>+'[2]por cuent'!A4472</f>
        <v>USD</v>
      </c>
      <c r="B4472" t="str">
        <f>+'[2]por cuent'!B4472</f>
        <v>717042968</v>
      </c>
      <c r="C4472" t="str">
        <f>+'[2]por cuent'!C4472</f>
        <v>TORRIANI HARDING MAXIMILIANO ALFONSO</v>
      </c>
      <c r="D4472" s="35">
        <f>+'[2]por cuent'!G4472</f>
        <v>4949</v>
      </c>
      <c r="E4472" s="35">
        <f>+'[2]por cuent'!H4472</f>
        <v>7401625.4199999999</v>
      </c>
      <c r="F4472" t="str">
        <f>+'[2]por cuent'!I4472</f>
        <v>717</v>
      </c>
    </row>
    <row r="4473" spans="1:6" x14ac:dyDescent="0.35">
      <c r="A4473" t="str">
        <f>+'[2]por cuent'!A4473</f>
        <v>USD</v>
      </c>
      <c r="B4473" t="str">
        <f>+'[2]por cuent'!B4473</f>
        <v>717055664</v>
      </c>
      <c r="C4473" t="str">
        <f>+'[2]por cuent'!C4473</f>
        <v>AGRO RIO SA</v>
      </c>
      <c r="D4473" s="35">
        <f>+'[2]por cuent'!G4473</f>
        <v>42401.5</v>
      </c>
      <c r="E4473" s="35">
        <f>+'[2]por cuent'!H4473</f>
        <v>63414835.369999997</v>
      </c>
      <c r="F4473" t="str">
        <f>+'[2]por cuent'!I4473</f>
        <v>717</v>
      </c>
    </row>
    <row r="4474" spans="1:6" x14ac:dyDescent="0.35">
      <c r="A4474" t="str">
        <f>+'[2]por cuent'!A4474</f>
        <v>USD</v>
      </c>
      <c r="B4474" t="str">
        <f>+'[2]por cuent'!B4474</f>
        <v>717058834</v>
      </c>
      <c r="C4474" t="str">
        <f>+'[2]por cuent'!C4474</f>
        <v>FILOCCO, VICTOR EDUARDO</v>
      </c>
      <c r="D4474" s="35">
        <f>+'[2]por cuent'!G4474</f>
        <v>7003</v>
      </c>
      <c r="E4474" s="35">
        <f>+'[2]por cuent'!H4474</f>
        <v>10473546.74</v>
      </c>
      <c r="F4474" t="str">
        <f>+'[2]por cuent'!I4474</f>
        <v>717</v>
      </c>
    </row>
    <row r="4475" spans="1:6" x14ac:dyDescent="0.35">
      <c r="A4475" t="str">
        <f>+'[2]por cuent'!A4475</f>
        <v>USD</v>
      </c>
      <c r="B4475" t="str">
        <f>+'[2]por cuent'!B4475</f>
        <v>717060041</v>
      </c>
      <c r="C4475" t="str">
        <f>+'[2]por cuent'!C4475</f>
        <v>CUATRO HOJAS S.A.</v>
      </c>
      <c r="D4475" s="35">
        <f>+'[2]por cuent'!G4475</f>
        <v>37320</v>
      </c>
      <c r="E4475" s="35">
        <f>+'[2]por cuent'!H4475</f>
        <v>55815045.599999994</v>
      </c>
      <c r="F4475" t="str">
        <f>+'[2]por cuent'!I4475</f>
        <v>717</v>
      </c>
    </row>
    <row r="4476" spans="1:6" x14ac:dyDescent="0.35">
      <c r="A4476" t="str">
        <f>+'[2]por cuent'!A4476</f>
        <v>USD</v>
      </c>
      <c r="B4476" t="str">
        <f>+'[2]por cuent'!B4476</f>
        <v>717100016</v>
      </c>
      <c r="C4476" t="str">
        <f>+'[2]por cuent'!C4476</f>
        <v>BORRI ALDO JOSE</v>
      </c>
      <c r="D4476" s="35">
        <f>+'[2]por cuent'!G4476</f>
        <v>18251.03</v>
      </c>
      <c r="E4476" s="35">
        <f>+'[2]por cuent'!H4476</f>
        <v>27295875.447399996</v>
      </c>
      <c r="F4476" t="str">
        <f>+'[2]por cuent'!I4476</f>
        <v>717</v>
      </c>
    </row>
    <row r="4477" spans="1:6" x14ac:dyDescent="0.35">
      <c r="A4477" t="str">
        <f>+'[2]por cuent'!A4477</f>
        <v>USD</v>
      </c>
      <c r="B4477" t="str">
        <f>+'[2]por cuent'!B4477</f>
        <v>717100091</v>
      </c>
      <c r="C4477" t="str">
        <f>+'[2]por cuent'!C4477</f>
        <v>LA PIRCA SRL</v>
      </c>
      <c r="D4477" s="35">
        <f>+'[2]por cuent'!G4477</f>
        <v>10471.84</v>
      </c>
      <c r="E4477" s="35">
        <f>+'[2]por cuent'!H4477</f>
        <v>15661474.4672</v>
      </c>
      <c r="F4477" t="str">
        <f>+'[2]por cuent'!I4477</f>
        <v>717</v>
      </c>
    </row>
    <row r="4478" spans="1:6" x14ac:dyDescent="0.35">
      <c r="A4478" t="str">
        <f>+'[2]por cuent'!A4478</f>
        <v>USD</v>
      </c>
      <c r="B4478" t="str">
        <f>+'[2]por cuent'!B4478</f>
        <v>717100132</v>
      </c>
      <c r="C4478" t="str">
        <f>+'[2]por cuent'!C4478</f>
        <v>POZZI, SANTIAGO</v>
      </c>
      <c r="D4478" s="35">
        <f>+'[2]por cuent'!G4478</f>
        <v>14708.54</v>
      </c>
      <c r="E4478" s="35">
        <f>+'[2]por cuent'!H4478</f>
        <v>21997798.253200002</v>
      </c>
      <c r="F4478" t="str">
        <f>+'[2]por cuent'!I4478</f>
        <v>717</v>
      </c>
    </row>
    <row r="4479" spans="1:6" x14ac:dyDescent="0.35">
      <c r="A4479" t="str">
        <f>+'[2]por cuent'!A4479</f>
        <v>USD</v>
      </c>
      <c r="B4479" t="str">
        <f>+'[2]por cuent'!B4479</f>
        <v>717100161</v>
      </c>
      <c r="C4479" t="str">
        <f>+'[2]por cuent'!C4479</f>
        <v>FUNDACION CIENCIAS AGRARIAS</v>
      </c>
      <c r="D4479" s="35">
        <f>+'[2]por cuent'!G4479</f>
        <v>44354.01</v>
      </c>
      <c r="E4479" s="35">
        <f>+'[2]por cuent'!H4479</f>
        <v>66334970.275799997</v>
      </c>
      <c r="F4479" t="str">
        <f>+'[2]por cuent'!I4479</f>
        <v>717</v>
      </c>
    </row>
    <row r="4480" spans="1:6" x14ac:dyDescent="0.35">
      <c r="A4480" t="str">
        <f>+'[2]por cuent'!A4480</f>
        <v>USD</v>
      </c>
      <c r="B4480" t="str">
        <f>+'[2]por cuent'!B4480</f>
        <v>717100179</v>
      </c>
      <c r="C4480" t="str">
        <f>+'[2]por cuent'!C4480</f>
        <v>SAN EMILIO SOCIEDAD ANONIMA</v>
      </c>
      <c r="D4480" s="35">
        <f>+'[2]por cuent'!G4480</f>
        <v>32435.95</v>
      </c>
      <c r="E4480" s="35">
        <f>+'[2]por cuent'!H4480</f>
        <v>48510558.100999996</v>
      </c>
      <c r="F4480" t="str">
        <f>+'[2]por cuent'!I4480</f>
        <v>717</v>
      </c>
    </row>
    <row r="4481" spans="1:6" x14ac:dyDescent="0.35">
      <c r="A4481" t="str">
        <f>+'[2]por cuent'!A4481</f>
        <v>USD</v>
      </c>
      <c r="B4481" t="str">
        <f>+'[2]por cuent'!B4481</f>
        <v>717100185</v>
      </c>
      <c r="C4481" t="str">
        <f>+'[2]por cuent'!C4481</f>
        <v>ZURCHER, DANIEL HORACIO</v>
      </c>
      <c r="D4481" s="35">
        <f>+'[2]por cuent'!G4481</f>
        <v>87790</v>
      </c>
      <c r="E4481" s="35">
        <f>+'[2]por cuent'!H4481</f>
        <v>131296968.19999999</v>
      </c>
      <c r="F4481" t="str">
        <f>+'[2]por cuent'!I4481</f>
        <v>717</v>
      </c>
    </row>
    <row r="4482" spans="1:6" x14ac:dyDescent="0.35">
      <c r="A4482" t="str">
        <f>+'[2]por cuent'!A4482</f>
        <v>USD</v>
      </c>
      <c r="B4482" t="str">
        <f>+'[2]por cuent'!B4482</f>
        <v>717100214</v>
      </c>
      <c r="C4482" t="str">
        <f>+'[2]por cuent'!C4482</f>
        <v>TRECCO, DANIEL DOMINGO</v>
      </c>
      <c r="D4482" s="35">
        <f>+'[2]por cuent'!G4482</f>
        <v>31277.13</v>
      </c>
      <c r="E4482" s="35">
        <f>+'[2]por cuent'!H4482</f>
        <v>46777450.0854</v>
      </c>
      <c r="F4482" t="str">
        <f>+'[2]por cuent'!I4482</f>
        <v>717</v>
      </c>
    </row>
    <row r="4483" spans="1:6" x14ac:dyDescent="0.35">
      <c r="A4483" t="str">
        <f>+'[2]por cuent'!A4483</f>
        <v>USD</v>
      </c>
      <c r="B4483" t="str">
        <f>+'[2]por cuent'!B4483</f>
        <v>717100226</v>
      </c>
      <c r="C4483" t="str">
        <f>+'[2]por cuent'!C4483</f>
        <v>HABEGGER LUIS ALFREDO Y HABEGGER GABRIEL ALFREDO SOC DE HECHO</v>
      </c>
      <c r="D4483" s="35">
        <f>+'[2]por cuent'!G4483</f>
        <v>110486.68</v>
      </c>
      <c r="E4483" s="35">
        <f>+'[2]por cuent'!H4483</f>
        <v>165241668.87439999</v>
      </c>
      <c r="F4483" t="str">
        <f>+'[2]por cuent'!I4483</f>
        <v>717</v>
      </c>
    </row>
    <row r="4484" spans="1:6" x14ac:dyDescent="0.35">
      <c r="A4484" t="str">
        <f>+'[2]por cuent'!A4484</f>
        <v>USD</v>
      </c>
      <c r="B4484" t="str">
        <f>+'[2]por cuent'!B4484</f>
        <v>717100273</v>
      </c>
      <c r="C4484" t="str">
        <f>+'[2]por cuent'!C4484</f>
        <v>BORTOLUTTI MARGARITA</v>
      </c>
      <c r="D4484" s="35">
        <f>+'[2]por cuent'!G4484</f>
        <v>197002.65</v>
      </c>
      <c r="E4484" s="35">
        <f>+'[2]por cuent'!H4484</f>
        <v>294633223.287</v>
      </c>
      <c r="F4484" t="str">
        <f>+'[2]por cuent'!I4484</f>
        <v>717</v>
      </c>
    </row>
    <row r="4485" spans="1:6" x14ac:dyDescent="0.35">
      <c r="A4485" t="str">
        <f>+'[2]por cuent'!A4485</f>
        <v>USD</v>
      </c>
      <c r="B4485" t="str">
        <f>+'[2]por cuent'!B4485</f>
        <v>717100276</v>
      </c>
      <c r="C4485" t="str">
        <f>+'[2]por cuent'!C4485</f>
        <v>BUCHAILLOT, GISELLE IVANA</v>
      </c>
      <c r="D4485" s="35">
        <f>+'[2]por cuent'!G4485</f>
        <v>10695.82</v>
      </c>
      <c r="E4485" s="35">
        <f>+'[2]por cuent'!H4485</f>
        <v>15996454.475599999</v>
      </c>
      <c r="F4485" t="str">
        <f>+'[2]por cuent'!I4485</f>
        <v>717</v>
      </c>
    </row>
    <row r="4486" spans="1:6" x14ac:dyDescent="0.35">
      <c r="A4486" t="str">
        <f>+'[2]por cuent'!A4486</f>
        <v>USD</v>
      </c>
      <c r="B4486" t="str">
        <f>+'[2]por cuent'!B4486</f>
        <v>717100282</v>
      </c>
      <c r="C4486" t="str">
        <f>+'[2]por cuent'!C4486</f>
        <v>MEMELEN SA</v>
      </c>
      <c r="D4486" s="35">
        <f>+'[2]por cuent'!G4486</f>
        <v>20149.28</v>
      </c>
      <c r="E4486" s="35">
        <f>+'[2]por cuent'!H4486</f>
        <v>30134860.182399996</v>
      </c>
      <c r="F4486" t="str">
        <f>+'[2]por cuent'!I4486</f>
        <v>717</v>
      </c>
    </row>
    <row r="4487" spans="1:6" x14ac:dyDescent="0.35">
      <c r="A4487" t="str">
        <f>+'[2]por cuent'!A4487</f>
        <v>USD</v>
      </c>
      <c r="B4487" t="str">
        <f>+'[2]por cuent'!B4487</f>
        <v>717100302</v>
      </c>
      <c r="C4487" t="str">
        <f>+'[2]por cuent'!C4487</f>
        <v>BALDELLOU, NELSON ROBERTO</v>
      </c>
      <c r="D4487" s="35">
        <f>+'[2]por cuent'!G4487</f>
        <v>15079.74</v>
      </c>
      <c r="E4487" s="35">
        <f>+'[2]por cuent'!H4487</f>
        <v>22552957.549199998</v>
      </c>
      <c r="F4487" t="str">
        <f>+'[2]por cuent'!I4487</f>
        <v>717</v>
      </c>
    </row>
    <row r="4488" spans="1:6" x14ac:dyDescent="0.35">
      <c r="A4488" t="str">
        <f>+'[2]por cuent'!A4488</f>
        <v>USD</v>
      </c>
      <c r="B4488" t="str">
        <f>+'[2]por cuent'!B4488</f>
        <v>717100309</v>
      </c>
      <c r="C4488" t="str">
        <f>+'[2]por cuent'!C4488</f>
        <v>INDUSOIL SERVICIOS S. R. L.</v>
      </c>
      <c r="D4488" s="35">
        <f>+'[2]por cuent'!G4488</f>
        <v>20646.86</v>
      </c>
      <c r="E4488" s="35">
        <f>+'[2]por cuent'!H4488</f>
        <v>30879030.878800001</v>
      </c>
      <c r="F4488" t="str">
        <f>+'[2]por cuent'!I4488</f>
        <v>717</v>
      </c>
    </row>
    <row r="4489" spans="1:6" x14ac:dyDescent="0.35">
      <c r="A4489" t="str">
        <f>+'[2]por cuent'!A4489</f>
        <v>USD</v>
      </c>
      <c r="B4489" t="str">
        <f>+'[2]por cuent'!B4489</f>
        <v>758001000</v>
      </c>
      <c r="C4489" t="str">
        <f>+'[2]por cuent'!C4489</f>
        <v>Gorostiaga Bursatil S.A.</v>
      </c>
      <c r="D4489" s="35">
        <f>+'[2]por cuent'!G4489</f>
        <v>11773.5</v>
      </c>
      <c r="E4489" s="35">
        <f>+'[2]por cuent'!H4489</f>
        <v>17608211.129999999</v>
      </c>
      <c r="F4489" t="str">
        <f>+'[2]por cuent'!I4489</f>
        <v>758</v>
      </c>
    </row>
    <row r="4490" spans="1:6" x14ac:dyDescent="0.35">
      <c r="A4490" t="str">
        <f>+'[2]por cuent'!A4490</f>
        <v>USD</v>
      </c>
      <c r="B4490" t="str">
        <f>+'[2]por cuent'!B4490</f>
        <v>758002002</v>
      </c>
      <c r="C4490" t="str">
        <f>+'[2]por cuent'!C4490</f>
        <v>Gilone, Patricia Monica</v>
      </c>
      <c r="D4490" s="35">
        <f>+'[2]por cuent'!G4490</f>
        <v>74.37</v>
      </c>
      <c r="E4490" s="35">
        <f>+'[2]por cuent'!H4490</f>
        <v>111226.2846</v>
      </c>
      <c r="F4490" t="str">
        <f>+'[2]por cuent'!I4490</f>
        <v>758</v>
      </c>
    </row>
    <row r="4491" spans="1:6" x14ac:dyDescent="0.35">
      <c r="A4491" t="str">
        <f>+'[2]por cuent'!A4491</f>
        <v>USD</v>
      </c>
      <c r="B4491" t="str">
        <f>+'[2]por cuent'!B4491</f>
        <v>758003020</v>
      </c>
      <c r="C4491" t="str">
        <f>+'[2]por cuent'!C4491</f>
        <v>Santucho, Julio Cesar de Jesús</v>
      </c>
      <c r="D4491" s="35">
        <f>+'[2]por cuent'!G4491</f>
        <v>2525.15</v>
      </c>
      <c r="E4491" s="35">
        <f>+'[2]por cuent'!H4491</f>
        <v>3776563.8369999998</v>
      </c>
      <c r="F4491" t="str">
        <f>+'[2]por cuent'!I4491</f>
        <v>758</v>
      </c>
    </row>
    <row r="4492" spans="1:6" x14ac:dyDescent="0.35">
      <c r="A4492" t="str">
        <f>+'[2]por cuent'!A4492</f>
        <v>USD</v>
      </c>
      <c r="B4492" t="str">
        <f>+'[2]por cuent'!B4492</f>
        <v>758003031</v>
      </c>
      <c r="C4492" t="str">
        <f>+'[2]por cuent'!C4492</f>
        <v>Paolin, Gabriel Antonio y/o Prenollio, Jorgelina Noemi</v>
      </c>
      <c r="D4492" s="35">
        <f>+'[2]por cuent'!G4492</f>
        <v>2456.85</v>
      </c>
      <c r="E4492" s="35">
        <f>+'[2]por cuent'!H4492</f>
        <v>3674415.7229999998</v>
      </c>
      <c r="F4492" t="str">
        <f>+'[2]por cuent'!I4492</f>
        <v>758</v>
      </c>
    </row>
    <row r="4493" spans="1:6" x14ac:dyDescent="0.35">
      <c r="A4493" t="str">
        <f>+'[2]por cuent'!A4493</f>
        <v>USD</v>
      </c>
      <c r="B4493" t="str">
        <f>+'[2]por cuent'!B4493</f>
        <v>758003040</v>
      </c>
      <c r="C4493" t="str">
        <f>+'[2]por cuent'!C4493</f>
        <v>Gawlik, Jose Ramon y/o Valdovino, Maria Cristina</v>
      </c>
      <c r="D4493" s="35">
        <f>+'[2]por cuent'!G4493</f>
        <v>487.8</v>
      </c>
      <c r="E4493" s="35">
        <f>+'[2]por cuent'!H4493</f>
        <v>729543.924</v>
      </c>
      <c r="F4493" t="str">
        <f>+'[2]por cuent'!I4493</f>
        <v>758</v>
      </c>
    </row>
    <row r="4494" spans="1:6" x14ac:dyDescent="0.35">
      <c r="A4494" t="str">
        <f>+'[2]por cuent'!A4494</f>
        <v>USD</v>
      </c>
      <c r="B4494" t="str">
        <f>+'[2]por cuent'!B4494</f>
        <v>758003047</v>
      </c>
      <c r="C4494" t="str">
        <f>+'[2]por cuent'!C4494</f>
        <v xml:space="preserve">Korell, Mario Ernesto </v>
      </c>
      <c r="D4494" s="35">
        <f>+'[2]por cuent'!G4494</f>
        <v>993.96</v>
      </c>
      <c r="E4494" s="35">
        <f>+'[2]por cuent'!H4494</f>
        <v>1486546.6968</v>
      </c>
      <c r="F4494" t="str">
        <f>+'[2]por cuent'!I4494</f>
        <v>758</v>
      </c>
    </row>
    <row r="4495" spans="1:6" x14ac:dyDescent="0.35">
      <c r="A4495" t="str">
        <f>+'[2]por cuent'!A4495</f>
        <v>USD</v>
      </c>
      <c r="B4495" t="str">
        <f>+'[2]por cuent'!B4495</f>
        <v>758003048</v>
      </c>
      <c r="C4495" t="str">
        <f>+'[2]por cuent'!C4495</f>
        <v>Rpg Latam S.R.L.</v>
      </c>
      <c r="D4495" s="35">
        <f>+'[2]por cuent'!G4495</f>
        <v>6962.54</v>
      </c>
      <c r="E4495" s="35">
        <f>+'[2]por cuent'!H4495</f>
        <v>10413035.573199999</v>
      </c>
      <c r="F4495" t="str">
        <f>+'[2]por cuent'!I4495</f>
        <v>758</v>
      </c>
    </row>
    <row r="4496" spans="1:6" x14ac:dyDescent="0.35">
      <c r="A4496" t="str">
        <f>+'[2]por cuent'!A4496</f>
        <v>USD</v>
      </c>
      <c r="B4496" t="str">
        <f>+'[2]por cuent'!B4496</f>
        <v>758003061</v>
      </c>
      <c r="C4496" t="str">
        <f>+'[2]por cuent'!C4496</f>
        <v>Psj Global Solution</v>
      </c>
      <c r="D4496" s="35">
        <f>+'[2]por cuent'!G4496</f>
        <v>13996.91</v>
      </c>
      <c r="E4496" s="35">
        <f>+'[2]por cuent'!H4496</f>
        <v>20933498.6578</v>
      </c>
      <c r="F4496" t="str">
        <f>+'[2]por cuent'!I4496</f>
        <v>758</v>
      </c>
    </row>
    <row r="4497" spans="1:6" x14ac:dyDescent="0.35">
      <c r="A4497" t="str">
        <f>+'[2]por cuent'!A4497</f>
        <v>USD</v>
      </c>
      <c r="B4497" t="str">
        <f>+'[2]por cuent'!B4497</f>
        <v>758003076</v>
      </c>
      <c r="C4497" t="str">
        <f>+'[2]por cuent'!C4497</f>
        <v>Bock, Carlos Walter</v>
      </c>
      <c r="D4497" s="35">
        <f>+'[2]por cuent'!G4497</f>
        <v>1006.4</v>
      </c>
      <c r="E4497" s="35">
        <f>+'[2]por cuent'!H4497</f>
        <v>1505151.7119999998</v>
      </c>
      <c r="F4497" t="str">
        <f>+'[2]por cuent'!I4497</f>
        <v>758</v>
      </c>
    </row>
    <row r="4498" spans="1:6" x14ac:dyDescent="0.35">
      <c r="A4498" t="str">
        <f>+'[2]por cuent'!A4498</f>
        <v>USD</v>
      </c>
      <c r="B4498" t="str">
        <f>+'[2]por cuent'!B4498</f>
        <v>758003080</v>
      </c>
      <c r="C4498" t="str">
        <f>+'[2]por cuent'!C4498</f>
        <v>Mutual de profesionales y tecnicos de la administacion publica y/o Juarez, Matías Ezequiel</v>
      </c>
      <c r="D4498" s="35">
        <f>+'[2]por cuent'!G4498</f>
        <v>13503.53</v>
      </c>
      <c r="E4498" s="35">
        <f>+'[2]por cuent'!H4498</f>
        <v>20195609.397399999</v>
      </c>
      <c r="F4498" t="str">
        <f>+'[2]por cuent'!I4498</f>
        <v>758</v>
      </c>
    </row>
    <row r="4499" spans="1:6" x14ac:dyDescent="0.35">
      <c r="A4499" t="str">
        <f>+'[2]por cuent'!A4499</f>
        <v>USD</v>
      </c>
      <c r="B4499" t="str">
        <f>+'[2]por cuent'!B4499</f>
        <v>758003162</v>
      </c>
      <c r="C4499" t="str">
        <f>+'[2]por cuent'!C4499</f>
        <v>Perugini, Eduardo Daniel y/o Perugini, Ana Paula y/o Perugini, Valentina</v>
      </c>
      <c r="D4499" s="35">
        <f>+'[2]por cuent'!G4499</f>
        <v>20762.259999999998</v>
      </c>
      <c r="E4499" s="35">
        <f>+'[2]por cuent'!H4499</f>
        <v>31051620.810799997</v>
      </c>
      <c r="F4499" t="str">
        <f>+'[2]por cuent'!I4499</f>
        <v>758</v>
      </c>
    </row>
    <row r="4500" spans="1:6" x14ac:dyDescent="0.35">
      <c r="A4500" t="str">
        <f>+'[2]por cuent'!A4500</f>
        <v>USD</v>
      </c>
      <c r="B4500" t="str">
        <f>+'[2]por cuent'!B4500</f>
        <v>758003166</v>
      </c>
      <c r="C4500" t="str">
        <f>+'[2]por cuent'!C4500</f>
        <v>Fretes, Luis Alberto</v>
      </c>
      <c r="D4500" s="35">
        <f>+'[2]por cuent'!G4500</f>
        <v>497.12</v>
      </c>
      <c r="E4500" s="35">
        <f>+'[2]por cuent'!H4500</f>
        <v>743482.72959999996</v>
      </c>
      <c r="F4500" t="str">
        <f>+'[2]por cuent'!I4500</f>
        <v>758</v>
      </c>
    </row>
    <row r="4501" spans="1:6" x14ac:dyDescent="0.35">
      <c r="A4501" t="str">
        <f>+'[2]por cuent'!A4501</f>
        <v>USD</v>
      </c>
      <c r="B4501" t="str">
        <f>+'[2]por cuent'!B4501</f>
        <v>758005028</v>
      </c>
      <c r="C4501" t="str">
        <f>+'[2]por cuent'!C4501</f>
        <v>JPH SA</v>
      </c>
      <c r="D4501" s="35">
        <f>+'[2]por cuent'!G4501</f>
        <v>332613.92</v>
      </c>
      <c r="E4501" s="35">
        <f>+'[2]por cuent'!H4501</f>
        <v>497450726.47359997</v>
      </c>
      <c r="F4501" t="str">
        <f>+'[2]por cuent'!I4501</f>
        <v>758</v>
      </c>
    </row>
    <row r="4502" spans="1:6" x14ac:dyDescent="0.35">
      <c r="A4502" t="str">
        <f>+'[2]por cuent'!A4502</f>
        <v>USD</v>
      </c>
      <c r="B4502" t="str">
        <f>+'[2]por cuent'!B4502</f>
        <v>758005029</v>
      </c>
      <c r="C4502" t="str">
        <f>+'[2]por cuent'!C4502</f>
        <v>SEALS TECNO S.A.</v>
      </c>
      <c r="D4502" s="35">
        <f>+'[2]por cuent'!G4502</f>
        <v>106541.43</v>
      </c>
      <c r="E4502" s="35">
        <f>+'[2]por cuent'!H4502</f>
        <v>159341231.87939999</v>
      </c>
      <c r="F4502" t="str">
        <f>+'[2]por cuent'!I4502</f>
        <v>758</v>
      </c>
    </row>
    <row r="4503" spans="1:6" x14ac:dyDescent="0.35">
      <c r="A4503" t="str">
        <f>+'[2]por cuent'!A4503</f>
        <v>USD</v>
      </c>
      <c r="B4503" t="str">
        <f>+'[2]por cuent'!B4503</f>
        <v>758005030</v>
      </c>
      <c r="C4503" t="str">
        <f>+'[2]por cuent'!C4503</f>
        <v>Spacematic General Services SA</v>
      </c>
      <c r="D4503" s="35">
        <f>+'[2]por cuent'!G4503</f>
        <v>393093.16</v>
      </c>
      <c r="E4503" s="35">
        <f>+'[2]por cuent'!H4503</f>
        <v>587902268.23279989</v>
      </c>
      <c r="F4503" t="str">
        <f>+'[2]por cuent'!I4503</f>
        <v>758</v>
      </c>
    </row>
    <row r="4504" spans="1:6" x14ac:dyDescent="0.35">
      <c r="A4504" t="str">
        <f>+'[2]por cuent'!A4504</f>
        <v>USD</v>
      </c>
      <c r="B4504" t="str">
        <f>+'[2]por cuent'!B4504</f>
        <v>758005041</v>
      </c>
      <c r="C4504" t="str">
        <f>+'[2]por cuent'!C4504</f>
        <v>SEALS TECH</v>
      </c>
      <c r="D4504" s="35">
        <f>+'[2]por cuent'!G4504</f>
        <v>269482.7</v>
      </c>
      <c r="E4504" s="35">
        <f>+'[2]por cuent'!H4504</f>
        <v>403032936.46600002</v>
      </c>
      <c r="F4504" t="str">
        <f>+'[2]por cuent'!I4504</f>
        <v>758</v>
      </c>
    </row>
    <row r="4505" spans="1:6" x14ac:dyDescent="0.35">
      <c r="A4505" t="str">
        <f>+'[2]por cuent'!A4505</f>
        <v>USD</v>
      </c>
      <c r="B4505" t="str">
        <f>+'[2]por cuent'!B4505</f>
        <v>758006001</v>
      </c>
      <c r="C4505" t="str">
        <f>+'[2]por cuent'!C4505</f>
        <v>Vela, Andres Santiago</v>
      </c>
      <c r="D4505" s="35">
        <f>+'[2]por cuent'!G4505</f>
        <v>899.37</v>
      </c>
      <c r="E4505" s="35">
        <f>+'[2]por cuent'!H4505</f>
        <v>1345079.7845999999</v>
      </c>
      <c r="F4505" t="str">
        <f>+'[2]por cuent'!I4505</f>
        <v>758</v>
      </c>
    </row>
    <row r="4506" spans="1:6" x14ac:dyDescent="0.35">
      <c r="A4506" t="str">
        <f>+'[2]por cuent'!A4506</f>
        <v>USD</v>
      </c>
      <c r="B4506" t="str">
        <f>+'[2]por cuent'!B4506</f>
        <v>758006010</v>
      </c>
      <c r="C4506" t="str">
        <f>+'[2]por cuent'!C4506</f>
        <v>Vera Diego</v>
      </c>
      <c r="D4506" s="35">
        <f>+'[2]por cuent'!G4506</f>
        <v>307.58</v>
      </c>
      <c r="E4506" s="35">
        <f>+'[2]por cuent'!H4506</f>
        <v>460010.49639999995</v>
      </c>
      <c r="F4506" t="str">
        <f>+'[2]por cuent'!I4506</f>
        <v>758</v>
      </c>
    </row>
    <row r="4507" spans="1:6" x14ac:dyDescent="0.35">
      <c r="A4507" t="str">
        <f>+'[2]por cuent'!A4507</f>
        <v>USD</v>
      </c>
      <c r="B4507" t="str">
        <f>+'[2]por cuent'!B4507</f>
        <v>758006014</v>
      </c>
      <c r="C4507" t="str">
        <f>+'[2]por cuent'!C4507</f>
        <v>Sarcuno Andres Sebastian</v>
      </c>
      <c r="D4507" s="35">
        <f>+'[2]por cuent'!G4507</f>
        <v>2594.6</v>
      </c>
      <c r="E4507" s="35">
        <f>+'[2]por cuent'!H4507</f>
        <v>3880431.8679999998</v>
      </c>
      <c r="F4507" t="str">
        <f>+'[2]por cuent'!I4507</f>
        <v>758</v>
      </c>
    </row>
    <row r="4508" spans="1:6" x14ac:dyDescent="0.35">
      <c r="A4508" t="str">
        <f>+'[2]por cuent'!A4508</f>
        <v>USD</v>
      </c>
      <c r="B4508" t="str">
        <f>+'[2]por cuent'!B4508</f>
        <v>758006018</v>
      </c>
      <c r="C4508" t="str">
        <f>+'[2]por cuent'!C4508</f>
        <v>Verdun Gaston Haroldo y/o Fermanelli Maria Carolina</v>
      </c>
      <c r="D4508" s="35">
        <f>+'[2]por cuent'!G4508</f>
        <v>114.46</v>
      </c>
      <c r="E4508" s="35">
        <f>+'[2]por cuent'!H4508</f>
        <v>171184.08679999999</v>
      </c>
      <c r="F4508" t="str">
        <f>+'[2]por cuent'!I4508</f>
        <v>758</v>
      </c>
    </row>
    <row r="4509" spans="1:6" x14ac:dyDescent="0.35">
      <c r="A4509" t="str">
        <f>+'[2]por cuent'!A4509</f>
        <v>USD</v>
      </c>
      <c r="B4509" t="str">
        <f>+'[2]por cuent'!B4509</f>
        <v>758006019</v>
      </c>
      <c r="C4509" t="str">
        <f>+'[2]por cuent'!C4509</f>
        <v xml:space="preserve">Elementik SRL </v>
      </c>
      <c r="D4509" s="35">
        <f>+'[2]por cuent'!G4509</f>
        <v>554.79</v>
      </c>
      <c r="E4509" s="35">
        <f>+'[2]por cuent'!H4509</f>
        <v>829732.82819999987</v>
      </c>
      <c r="F4509" t="str">
        <f>+'[2]por cuent'!I4509</f>
        <v>758</v>
      </c>
    </row>
    <row r="4510" spans="1:6" x14ac:dyDescent="0.35">
      <c r="A4510" t="str">
        <f>+'[2]por cuent'!A4510</f>
        <v>USD</v>
      </c>
      <c r="B4510" t="str">
        <f>+'[2]por cuent'!B4510</f>
        <v>758006023</v>
      </c>
      <c r="C4510" t="str">
        <f>+'[2]por cuent'!C4510</f>
        <v>Gogoodie SRL</v>
      </c>
      <c r="D4510" s="35">
        <f>+'[2]por cuent'!G4510</f>
        <v>421.84</v>
      </c>
      <c r="E4510" s="35">
        <f>+'[2]por cuent'!H4510</f>
        <v>630895.46719999996</v>
      </c>
      <c r="F4510" t="str">
        <f>+'[2]por cuent'!I4510</f>
        <v>758</v>
      </c>
    </row>
    <row r="4511" spans="1:6" x14ac:dyDescent="0.35">
      <c r="A4511" t="str">
        <f>+'[2]por cuent'!A4511</f>
        <v>USD</v>
      </c>
      <c r="B4511" t="str">
        <f>+'[2]por cuent'!B4511</f>
        <v>758006026</v>
      </c>
      <c r="C4511" t="str">
        <f>+'[2]por cuent'!C4511</f>
        <v>GAMONDI, HUGO ARIEL</v>
      </c>
      <c r="D4511" s="35">
        <f>+'[2]por cuent'!G4511</f>
        <v>268.69</v>
      </c>
      <c r="E4511" s="35">
        <f>+'[2]por cuent'!H4511</f>
        <v>401847.39019999997</v>
      </c>
      <c r="F4511" t="str">
        <f>+'[2]por cuent'!I4511</f>
        <v>758</v>
      </c>
    </row>
    <row r="4512" spans="1:6" x14ac:dyDescent="0.35">
      <c r="A4512" t="str">
        <f>+'[2]por cuent'!A4512</f>
        <v>USD</v>
      </c>
      <c r="B4512" t="str">
        <f>+'[2]por cuent'!B4512</f>
        <v>758006033</v>
      </c>
      <c r="C4512" t="str">
        <f>+'[2]por cuent'!C4512</f>
        <v>Cerdeira, Santiago Enrique y/o Artese, Daiana Gisele</v>
      </c>
      <c r="D4512" s="35">
        <f>+'[2]por cuent'!G4512</f>
        <v>43.56</v>
      </c>
      <c r="E4512" s="35">
        <f>+'[2]por cuent'!H4512</f>
        <v>65147.464800000002</v>
      </c>
      <c r="F4512" t="str">
        <f>+'[2]por cuent'!I4512</f>
        <v>758</v>
      </c>
    </row>
    <row r="4513" spans="1:6" x14ac:dyDescent="0.35">
      <c r="A4513" t="str">
        <f>+'[2]por cuent'!A4513</f>
        <v>USD</v>
      </c>
      <c r="B4513" t="str">
        <f>+'[2]por cuent'!B4513</f>
        <v>758006034</v>
      </c>
      <c r="C4513" t="str">
        <f>+'[2]por cuent'!C4513</f>
        <v xml:space="preserve">Brandon, Alejandro </v>
      </c>
      <c r="D4513" s="35">
        <f>+'[2]por cuent'!G4513</f>
        <v>333.38</v>
      </c>
      <c r="E4513" s="35">
        <f>+'[2]por cuent'!H4513</f>
        <v>498596.46039999998</v>
      </c>
      <c r="F4513" t="str">
        <f>+'[2]por cuent'!I4513</f>
        <v>758</v>
      </c>
    </row>
    <row r="4514" spans="1:6" x14ac:dyDescent="0.35">
      <c r="A4514" t="str">
        <f>+'[2]por cuent'!A4514</f>
        <v>USD</v>
      </c>
      <c r="B4514" t="str">
        <f>+'[2]por cuent'!B4514</f>
        <v>758006040</v>
      </c>
      <c r="C4514" t="str">
        <f>+'[2]por cuent'!C4514</f>
        <v>Collia Ignacio Jose</v>
      </c>
      <c r="D4514" s="35">
        <f>+'[2]por cuent'!G4514</f>
        <v>58.49</v>
      </c>
      <c r="E4514" s="35">
        <f>+'[2]por cuent'!H4514</f>
        <v>87476.474199999997</v>
      </c>
      <c r="F4514" t="str">
        <f>+'[2]por cuent'!I4514</f>
        <v>758</v>
      </c>
    </row>
    <row r="4515" spans="1:6" x14ac:dyDescent="0.35">
      <c r="A4515" t="str">
        <f>+'[2]por cuent'!A4515</f>
        <v>USD</v>
      </c>
      <c r="B4515" t="str">
        <f>+'[2]por cuent'!B4515</f>
        <v>758006056</v>
      </c>
      <c r="C4515" t="str">
        <f>+'[2]por cuent'!C4515</f>
        <v>Graziani Nilda Mary y/o Barreiro Ricardo Oreste y/o Barreiro Silvio Francisco y/o Gianandrea Javier</v>
      </c>
      <c r="D4515" s="35">
        <f>+'[2]por cuent'!G4515</f>
        <v>681.88</v>
      </c>
      <c r="E4515" s="35">
        <f>+'[2]por cuent'!H4515</f>
        <v>1019806.0904</v>
      </c>
      <c r="F4515" t="str">
        <f>+'[2]por cuent'!I4515</f>
        <v>758</v>
      </c>
    </row>
    <row r="4516" spans="1:6" x14ac:dyDescent="0.35">
      <c r="A4516" t="str">
        <f>+'[2]por cuent'!A4516</f>
        <v>USD</v>
      </c>
      <c r="B4516" t="str">
        <f>+'[2]por cuent'!B4516</f>
        <v>758006057</v>
      </c>
      <c r="C4516" t="str">
        <f>+'[2]por cuent'!C4516</f>
        <v>AYALA MAGGI, CÉSAR NAZARENO</v>
      </c>
      <c r="D4516" s="35">
        <f>+'[2]por cuent'!G4516</f>
        <v>5739.69</v>
      </c>
      <c r="E4516" s="35">
        <f>+'[2]por cuent'!H4516</f>
        <v>8584165.5701999981</v>
      </c>
      <c r="F4516" t="str">
        <f>+'[2]por cuent'!I4516</f>
        <v>758</v>
      </c>
    </row>
    <row r="4517" spans="1:6" x14ac:dyDescent="0.35">
      <c r="A4517" t="str">
        <f>+'[2]por cuent'!A4517</f>
        <v>USD</v>
      </c>
      <c r="B4517" t="str">
        <f>+'[2]por cuent'!B4517</f>
        <v>758006068</v>
      </c>
      <c r="C4517" t="str">
        <f>+'[2]por cuent'!C4517</f>
        <v>SOLANO, CLAUDIO RODOLFO</v>
      </c>
      <c r="D4517" s="35">
        <f>+'[2]por cuent'!G4517</f>
        <v>395.54</v>
      </c>
      <c r="E4517" s="35">
        <f>+'[2]por cuent'!H4517</f>
        <v>591561.7132</v>
      </c>
      <c r="F4517" t="str">
        <f>+'[2]por cuent'!I4517</f>
        <v>758</v>
      </c>
    </row>
    <row r="4518" spans="1:6" x14ac:dyDescent="0.35">
      <c r="A4518" t="str">
        <f>+'[2]por cuent'!A4518</f>
        <v>USD</v>
      </c>
      <c r="B4518" t="str">
        <f>+'[2]por cuent'!B4518</f>
        <v>758006069</v>
      </c>
      <c r="C4518" t="str">
        <f>+'[2]por cuent'!C4518</f>
        <v>LARROQUE, CARLOS MIGUEL</v>
      </c>
      <c r="D4518" s="35">
        <f>+'[2]por cuent'!G4518</f>
        <v>10696.03</v>
      </c>
      <c r="E4518" s="35">
        <f>+'[2]por cuent'!H4518</f>
        <v>15996768.5474</v>
      </c>
      <c r="F4518" t="str">
        <f>+'[2]por cuent'!I4518</f>
        <v>758</v>
      </c>
    </row>
    <row r="4519" spans="1:6" x14ac:dyDescent="0.35">
      <c r="A4519" t="str">
        <f>+'[2]por cuent'!A4519</f>
        <v>USD</v>
      </c>
      <c r="B4519" t="str">
        <f>+'[2]por cuent'!B4519</f>
        <v>758006073</v>
      </c>
      <c r="C4519" t="str">
        <f>+'[2]por cuent'!C4519</f>
        <v>RIVAS, VIVIANI MARIA Y/O CARLOS FEDERICO HINCKELMANN</v>
      </c>
      <c r="D4519" s="35">
        <f>+'[2]por cuent'!G4519</f>
        <v>80.760000000000005</v>
      </c>
      <c r="E4519" s="35">
        <f>+'[2]por cuent'!H4519</f>
        <v>120783.0408</v>
      </c>
      <c r="F4519" t="str">
        <f>+'[2]por cuent'!I4519</f>
        <v>758</v>
      </c>
    </row>
    <row r="4520" spans="1:6" x14ac:dyDescent="0.35">
      <c r="A4520" t="str">
        <f>+'[2]por cuent'!A4520</f>
        <v>USD</v>
      </c>
      <c r="B4520" t="str">
        <f>+'[2]por cuent'!B4520</f>
        <v>758006075</v>
      </c>
      <c r="C4520" t="str">
        <f>+'[2]por cuent'!C4520</f>
        <v>BLANCO LARA, MARTIN FERNANDO o POSITIERI, LAURA MARIELA</v>
      </c>
      <c r="D4520" s="35">
        <f>+'[2]por cuent'!G4520</f>
        <v>2069.5</v>
      </c>
      <c r="E4520" s="35">
        <f>+'[2]por cuent'!H4520</f>
        <v>3095102.81</v>
      </c>
      <c r="F4520" t="str">
        <f>+'[2]por cuent'!I4520</f>
        <v>758</v>
      </c>
    </row>
    <row r="4521" spans="1:6" x14ac:dyDescent="0.35">
      <c r="A4521" t="str">
        <f>+'[2]por cuent'!A4521</f>
        <v>USD</v>
      </c>
      <c r="B4521" t="str">
        <f>+'[2]por cuent'!B4521</f>
        <v>758006084</v>
      </c>
      <c r="C4521" t="str">
        <f>+'[2]por cuent'!C4521</f>
        <v>GALLO, GASTON JORGE o LÓPEZ, NATACHA VERONICA</v>
      </c>
      <c r="D4521" s="35">
        <f>+'[2]por cuent'!G4521</f>
        <v>190.59</v>
      </c>
      <c r="E4521" s="35">
        <f>+'[2]por cuent'!H4521</f>
        <v>285042.59220000001</v>
      </c>
      <c r="F4521" t="str">
        <f>+'[2]por cuent'!I4521</f>
        <v>758</v>
      </c>
    </row>
    <row r="4522" spans="1:6" x14ac:dyDescent="0.35">
      <c r="A4522" t="str">
        <f>+'[2]por cuent'!A4522</f>
        <v>USD</v>
      </c>
      <c r="B4522" t="str">
        <f>+'[2]por cuent'!B4522</f>
        <v>758006100</v>
      </c>
      <c r="C4522" t="str">
        <f>+'[2]por cuent'!C4522</f>
        <v>LA MENTA SA</v>
      </c>
      <c r="D4522" s="35">
        <f>+'[2]por cuent'!G4522</f>
        <v>203.93</v>
      </c>
      <c r="E4522" s="35">
        <f>+'[2]por cuent'!H4522</f>
        <v>304993.62939999998</v>
      </c>
      <c r="F4522" t="str">
        <f>+'[2]por cuent'!I4522</f>
        <v>758</v>
      </c>
    </row>
    <row r="4523" spans="1:6" x14ac:dyDescent="0.35">
      <c r="A4523" t="str">
        <f>+'[2]por cuent'!A4523</f>
        <v>USD</v>
      </c>
      <c r="B4523" t="str">
        <f>+'[2]por cuent'!B4523</f>
        <v>758006105</v>
      </c>
      <c r="C4523" t="str">
        <f>+'[2]por cuent'!C4523</f>
        <v>LE BAS, ANDRES ROBERTO</v>
      </c>
      <c r="D4523" s="35">
        <f>+'[2]por cuent'!G4523</f>
        <v>199.48</v>
      </c>
      <c r="E4523" s="35">
        <f>+'[2]por cuent'!H4523</f>
        <v>298338.29839999997</v>
      </c>
      <c r="F4523" t="str">
        <f>+'[2]por cuent'!I4523</f>
        <v>758</v>
      </c>
    </row>
    <row r="4524" spans="1:6" x14ac:dyDescent="0.35">
      <c r="A4524" t="str">
        <f>+'[2]por cuent'!A4524</f>
        <v>USD</v>
      </c>
      <c r="B4524" t="str">
        <f>+'[2]por cuent'!B4524</f>
        <v>758006106</v>
      </c>
      <c r="C4524" t="str">
        <f>+'[2]por cuent'!C4524</f>
        <v>Alvarez Gabriel y/o Alvarez Walter Sebastian</v>
      </c>
      <c r="D4524" s="35">
        <f>+'[2]por cuent'!G4524</f>
        <v>1207.71</v>
      </c>
      <c r="E4524" s="35">
        <f>+'[2]por cuent'!H4524</f>
        <v>1806226.9217999999</v>
      </c>
      <c r="F4524" t="str">
        <f>+'[2]por cuent'!I4524</f>
        <v>758</v>
      </c>
    </row>
    <row r="4525" spans="1:6" x14ac:dyDescent="0.35">
      <c r="A4525" t="str">
        <f>+'[2]por cuent'!A4525</f>
        <v>USD</v>
      </c>
      <c r="B4525" t="str">
        <f>+'[2]por cuent'!B4525</f>
        <v>758006107</v>
      </c>
      <c r="C4525" t="str">
        <f>+'[2]por cuent'!C4525</f>
        <v>Alvarez Walter Sebastian y/o Alvarez Gabriel</v>
      </c>
      <c r="D4525" s="35">
        <f>+'[2]por cuent'!G4525</f>
        <v>325.76</v>
      </c>
      <c r="E4525" s="35">
        <f>+'[2]por cuent'!H4525</f>
        <v>487200.14079999994</v>
      </c>
      <c r="F4525" t="str">
        <f>+'[2]por cuent'!I4525</f>
        <v>758</v>
      </c>
    </row>
    <row r="4526" spans="1:6" x14ac:dyDescent="0.35">
      <c r="A4526" t="str">
        <f>+'[2]por cuent'!A4526</f>
        <v>USD</v>
      </c>
      <c r="B4526" t="str">
        <f>+'[2]por cuent'!B4526</f>
        <v>758006108</v>
      </c>
      <c r="C4526" t="str">
        <f>+'[2]por cuent'!C4526</f>
        <v>Trovato, Agostina Claudia</v>
      </c>
      <c r="D4526" s="35">
        <f>+'[2]por cuent'!G4526</f>
        <v>865.23</v>
      </c>
      <c r="E4526" s="35">
        <f>+'[2]por cuent'!H4526</f>
        <v>1294020.6834</v>
      </c>
      <c r="F4526" t="str">
        <f>+'[2]por cuent'!I4526</f>
        <v>758</v>
      </c>
    </row>
    <row r="4527" spans="1:6" x14ac:dyDescent="0.35">
      <c r="A4527" t="str">
        <f>+'[2]por cuent'!A4527</f>
        <v>USD</v>
      </c>
      <c r="B4527" t="str">
        <f>+'[2]por cuent'!B4527</f>
        <v>758006110</v>
      </c>
      <c r="C4527" t="str">
        <f>+'[2]por cuent'!C4527</f>
        <v>Trovato, Agostina Claudia y/o Rivero, Gabriela Berta</v>
      </c>
      <c r="D4527" s="35">
        <f>+'[2]por cuent'!G4527</f>
        <v>16.54</v>
      </c>
      <c r="E4527" s="35">
        <f>+'[2]por cuent'!H4527</f>
        <v>24736.893199999999</v>
      </c>
      <c r="F4527" t="str">
        <f>+'[2]por cuent'!I4527</f>
        <v>758</v>
      </c>
    </row>
    <row r="4528" spans="1:6" x14ac:dyDescent="0.35">
      <c r="A4528" t="str">
        <f>+'[2]por cuent'!A4528</f>
        <v>USD</v>
      </c>
      <c r="B4528" t="str">
        <f>+'[2]por cuent'!B4528</f>
        <v>758009022</v>
      </c>
      <c r="C4528" t="str">
        <f>+'[2]por cuent'!C4528</f>
        <v>Orlando, Ricardo Antonio y/o Brennan, Patricia Teresita y/o Orlando Brennan, Tomás Manuel</v>
      </c>
      <c r="D4528" s="35">
        <f>+'[2]por cuent'!G4528</f>
        <v>876694.45</v>
      </c>
      <c r="E4528" s="35">
        <f>+'[2]por cuent'!H4528</f>
        <v>1311166685.5309999</v>
      </c>
      <c r="F4528" t="str">
        <f>+'[2]por cuent'!I4528</f>
        <v>758</v>
      </c>
    </row>
    <row r="4529" spans="1:6" x14ac:dyDescent="0.35">
      <c r="A4529" t="str">
        <f>+'[2]por cuent'!A4529</f>
        <v>USD</v>
      </c>
      <c r="B4529" t="str">
        <f>+'[2]por cuent'!B4529</f>
        <v>758009042</v>
      </c>
      <c r="C4529" t="str">
        <f>+'[2]por cuent'!C4529</f>
        <v>Betanzos García Néstor Hugo y/o Betanzos Ubilla María Belén</v>
      </c>
      <c r="D4529" s="35">
        <f>+'[2]por cuent'!G4529</f>
        <v>13439.66</v>
      </c>
      <c r="E4529" s="35">
        <f>+'[2]por cuent'!H4529</f>
        <v>20100086.702799998</v>
      </c>
      <c r="F4529" t="str">
        <f>+'[2]por cuent'!I4529</f>
        <v>758</v>
      </c>
    </row>
    <row r="4530" spans="1:6" x14ac:dyDescent="0.35">
      <c r="A4530" t="str">
        <f>+'[2]por cuent'!A4530</f>
        <v>USD</v>
      </c>
      <c r="B4530" t="str">
        <f>+'[2]por cuent'!B4530</f>
        <v>758009540</v>
      </c>
      <c r="C4530" t="str">
        <f>+'[2]por cuent'!C4530</f>
        <v>Rodriguez Gabriel Omar y/o Rodriguez Joaquin</v>
      </c>
      <c r="D4530" s="35">
        <f>+'[2]por cuent'!G4530</f>
        <v>1371.04</v>
      </c>
      <c r="E4530" s="35">
        <f>+'[2]por cuent'!H4530</f>
        <v>2050500.0031999999</v>
      </c>
      <c r="F4530" t="str">
        <f>+'[2]por cuent'!I4530</f>
        <v>758</v>
      </c>
    </row>
    <row r="4531" spans="1:6" x14ac:dyDescent="0.35">
      <c r="A4531" t="str">
        <f>+'[2]por cuent'!A4531</f>
        <v>USD</v>
      </c>
      <c r="B4531" t="str">
        <f>+'[2]por cuent'!B4531</f>
        <v>758009542</v>
      </c>
      <c r="C4531" t="str">
        <f>+'[2]por cuent'!C4531</f>
        <v>ASOCIACION CRISTIANA DE JOVENES DE LA REPÚBLICA ARGENTINA</v>
      </c>
      <c r="D4531" s="35">
        <f>+'[2]por cuent'!G4531</f>
        <v>1508.4</v>
      </c>
      <c r="E4531" s="35">
        <f>+'[2]por cuent'!H4531</f>
        <v>2255932.872</v>
      </c>
      <c r="F4531" t="str">
        <f>+'[2]por cuent'!I4531</f>
        <v>758</v>
      </c>
    </row>
    <row r="4532" spans="1:6" x14ac:dyDescent="0.35">
      <c r="A4532" t="str">
        <f>+'[2]por cuent'!A4532</f>
        <v>USD</v>
      </c>
      <c r="B4532" t="str">
        <f>+'[2]por cuent'!B4532</f>
        <v>758009553</v>
      </c>
      <c r="C4532" t="str">
        <f>+'[2]por cuent'!C4532</f>
        <v>Rivanera, Gustavo Miguel</v>
      </c>
      <c r="D4532" s="35">
        <f>+'[2]por cuent'!G4532</f>
        <v>99.78</v>
      </c>
      <c r="E4532" s="35">
        <f>+'[2]por cuent'!H4532</f>
        <v>149228.9724</v>
      </c>
      <c r="F4532" t="str">
        <f>+'[2]por cuent'!I4532</f>
        <v>758</v>
      </c>
    </row>
    <row r="4533" spans="1:6" x14ac:dyDescent="0.35">
      <c r="A4533" t="str">
        <f>+'[2]por cuent'!A4533</f>
        <v>USD</v>
      </c>
      <c r="B4533" t="str">
        <f>+'[2]por cuent'!B4533</f>
        <v>758009560</v>
      </c>
      <c r="C4533" t="str">
        <f>+'[2]por cuent'!C4533</f>
        <v>Poncia, Daniel y/o Toledo, Veronica</v>
      </c>
      <c r="D4533" s="35">
        <f>+'[2]por cuent'!G4533</f>
        <v>7.46</v>
      </c>
      <c r="E4533" s="35">
        <f>+'[2]por cuent'!H4533</f>
        <v>11157.0268</v>
      </c>
      <c r="F4533" t="str">
        <f>+'[2]por cuent'!I4533</f>
        <v>758</v>
      </c>
    </row>
    <row r="4534" spans="1:6" x14ac:dyDescent="0.35">
      <c r="A4534" t="str">
        <f>+'[2]por cuent'!A4534</f>
        <v>USD</v>
      </c>
      <c r="B4534" t="str">
        <f>+'[2]por cuent'!B4534</f>
        <v>758009653</v>
      </c>
      <c r="C4534" t="str">
        <f>+'[2]por cuent'!C4534</f>
        <v>Vargas Rocha Fructuoso</v>
      </c>
      <c r="D4534" s="35">
        <f>+'[2]por cuent'!G4534</f>
        <v>1300.29</v>
      </c>
      <c r="E4534" s="35">
        <f>+'[2]por cuent'!H4534</f>
        <v>1944687.7181999998</v>
      </c>
      <c r="F4534" t="str">
        <f>+'[2]por cuent'!I4534</f>
        <v>758</v>
      </c>
    </row>
    <row r="4535" spans="1:6" x14ac:dyDescent="0.35">
      <c r="A4535" t="str">
        <f>+'[2]por cuent'!A4535</f>
        <v>USD</v>
      </c>
      <c r="B4535" t="str">
        <f>+'[2]por cuent'!B4535</f>
        <v>758009666</v>
      </c>
      <c r="C4535" t="str">
        <f>+'[2]por cuent'!C4535</f>
        <v>MARESCA DANIEL NESTOR Y/O LAURA NELIDA LEVETTI</v>
      </c>
      <c r="D4535" s="35">
        <f>+'[2]por cuent'!G4535</f>
        <v>1007.58</v>
      </c>
      <c r="E4535" s="35">
        <f>+'[2]por cuent'!H4535</f>
        <v>1506916.4964000001</v>
      </c>
      <c r="F4535" t="str">
        <f>+'[2]por cuent'!I4535</f>
        <v>758</v>
      </c>
    </row>
    <row r="4536" spans="1:6" x14ac:dyDescent="0.35">
      <c r="A4536" t="str">
        <f>+'[2]por cuent'!A4536</f>
        <v>USD</v>
      </c>
      <c r="B4536" t="str">
        <f>+'[2]por cuent'!B4536</f>
        <v>758011002</v>
      </c>
      <c r="C4536" t="str">
        <f>+'[2]por cuent'!C4536</f>
        <v>Orlando Brennan Tomas Manuel</v>
      </c>
      <c r="D4536" s="35">
        <f>+'[2]por cuent'!G4536</f>
        <v>573391.57999999996</v>
      </c>
      <c r="E4536" s="35">
        <f>+'[2]por cuent'!H4536</f>
        <v>857552979.21639991</v>
      </c>
      <c r="F4536" t="str">
        <f>+'[2]por cuent'!I4536</f>
        <v>758</v>
      </c>
    </row>
    <row r="4537" spans="1:6" x14ac:dyDescent="0.35">
      <c r="A4537" t="str">
        <f>+'[2]por cuent'!A4537</f>
        <v>USD</v>
      </c>
      <c r="B4537" t="str">
        <f>+'[2]por cuent'!B4537</f>
        <v>758030006</v>
      </c>
      <c r="C4537" t="str">
        <f>+'[2]por cuent'!C4537</f>
        <v>ROMERO, JOSÉ ALBERTO Y/O  HUERTA, MARIA ELENA</v>
      </c>
      <c r="D4537" s="35">
        <f>+'[2]por cuent'!G4537</f>
        <v>464.65</v>
      </c>
      <c r="E4537" s="35">
        <f>+'[2]por cuent'!H4537</f>
        <v>694921.24699999997</v>
      </c>
      <c r="F4537" t="str">
        <f>+'[2]por cuent'!I4537</f>
        <v>758</v>
      </c>
    </row>
    <row r="4538" spans="1:6" x14ac:dyDescent="0.35">
      <c r="A4538" t="str">
        <f>+'[2]por cuent'!A4538</f>
        <v>USD</v>
      </c>
      <c r="B4538" t="str">
        <f>+'[2]por cuent'!B4538</f>
        <v>765000101</v>
      </c>
      <c r="C4538" t="str">
        <f>+'[2]por cuent'!C4538</f>
        <v>Hoss SA</v>
      </c>
      <c r="D4538" s="35">
        <f>+'[2]por cuent'!G4538</f>
        <v>4849.53</v>
      </c>
      <c r="E4538" s="35">
        <f>+'[2]por cuent'!H4538</f>
        <v>7252860.0773999989</v>
      </c>
      <c r="F4538" t="str">
        <f>+'[2]por cuent'!I4538</f>
        <v>765</v>
      </c>
    </row>
    <row r="4539" spans="1:6" x14ac:dyDescent="0.35">
      <c r="A4539" t="str">
        <f>+'[2]por cuent'!A4539</f>
        <v>USD</v>
      </c>
      <c r="B4539" t="str">
        <f>+'[2]por cuent'!B4539</f>
        <v>765000102</v>
      </c>
      <c r="C4539" t="str">
        <f>+'[2]por cuent'!C4539</f>
        <v>Ignacio Andres Rodriguez</v>
      </c>
      <c r="D4539" s="35">
        <f>+'[2]por cuent'!G4539</f>
        <v>2552.63</v>
      </c>
      <c r="E4539" s="35">
        <f>+'[2]por cuent'!H4539</f>
        <v>3817662.3753999998</v>
      </c>
      <c r="F4539" t="str">
        <f>+'[2]por cuent'!I4539</f>
        <v>765</v>
      </c>
    </row>
    <row r="4540" spans="1:6" x14ac:dyDescent="0.35">
      <c r="A4540" t="str">
        <f>+'[2]por cuent'!A4540</f>
        <v>USD</v>
      </c>
      <c r="B4540" t="str">
        <f>+'[2]por cuent'!B4540</f>
        <v>765000108</v>
      </c>
      <c r="C4540" t="str">
        <f>+'[2]por cuent'!C4540</f>
        <v>Caballero, Leandro Nicolas</v>
      </c>
      <c r="D4540" s="35">
        <f>+'[2]por cuent'!G4540</f>
        <v>121.84</v>
      </c>
      <c r="E4540" s="35">
        <f>+'[2]por cuent'!H4540</f>
        <v>182221.46719999998</v>
      </c>
      <c r="F4540" t="str">
        <f>+'[2]por cuent'!I4540</f>
        <v>765</v>
      </c>
    </row>
    <row r="4541" spans="1:6" x14ac:dyDescent="0.35">
      <c r="A4541" t="str">
        <f>+'[2]por cuent'!A4541</f>
        <v>USD</v>
      </c>
      <c r="B4541" t="str">
        <f>+'[2]por cuent'!B4541</f>
        <v>765000109</v>
      </c>
      <c r="C4541" t="str">
        <f>+'[2]por cuent'!C4541</f>
        <v>Juncos, Lucila Maria</v>
      </c>
      <c r="D4541" s="35">
        <f>+'[2]por cuent'!G4541</f>
        <v>811.11</v>
      </c>
      <c r="E4541" s="35">
        <f>+'[2]por cuent'!H4541</f>
        <v>1213079.8938</v>
      </c>
      <c r="F4541" t="str">
        <f>+'[2]por cuent'!I4541</f>
        <v>765</v>
      </c>
    </row>
    <row r="4542" spans="1:6" x14ac:dyDescent="0.35">
      <c r="A4542" t="str">
        <f>+'[2]por cuent'!A4542</f>
        <v>USD</v>
      </c>
      <c r="B4542" t="str">
        <f>+'[2]por cuent'!B4542</f>
        <v>765000111</v>
      </c>
      <c r="C4542" t="str">
        <f>+'[2]por cuent'!C4542</f>
        <v>Radulovich, Marcos Daniel</v>
      </c>
      <c r="D4542" s="35">
        <f>+'[2]por cuent'!G4542</f>
        <v>5.15</v>
      </c>
      <c r="E4542" s="35">
        <f>+'[2]por cuent'!H4542</f>
        <v>7702.2370000000001</v>
      </c>
      <c r="F4542" t="str">
        <f>+'[2]por cuent'!I4542</f>
        <v>765</v>
      </c>
    </row>
    <row r="4543" spans="1:6" x14ac:dyDescent="0.35">
      <c r="A4543" t="str">
        <f>+'[2]por cuent'!A4543</f>
        <v>USD</v>
      </c>
      <c r="B4543" t="str">
        <f>+'[2]por cuent'!B4543</f>
        <v>765000112</v>
      </c>
      <c r="C4543" t="str">
        <f>+'[2]por cuent'!C4543</f>
        <v>Menendez, Patricia Graciela</v>
      </c>
      <c r="D4543" s="35">
        <f>+'[2]por cuent'!G4543</f>
        <v>42164.66</v>
      </c>
      <c r="E4543" s="35">
        <f>+'[2]por cuent'!H4543</f>
        <v>63060622.202800006</v>
      </c>
      <c r="F4543" t="str">
        <f>+'[2]por cuent'!I4543</f>
        <v>765</v>
      </c>
    </row>
    <row r="4544" spans="1:6" x14ac:dyDescent="0.35">
      <c r="A4544" t="str">
        <f>+'[2]por cuent'!A4544</f>
        <v>USD</v>
      </c>
      <c r="B4544" t="str">
        <f>+'[2]por cuent'!B4544</f>
        <v>765000114</v>
      </c>
      <c r="C4544" t="str">
        <f>+'[2]por cuent'!C4544</f>
        <v>Ariel Bozikovich</v>
      </c>
      <c r="D4544" s="35">
        <f>+'[2]por cuent'!G4544</f>
        <v>17.510000000000002</v>
      </c>
      <c r="E4544" s="35">
        <f>+'[2]por cuent'!H4544</f>
        <v>26187.605800000001</v>
      </c>
      <c r="F4544" t="str">
        <f>+'[2]por cuent'!I4544</f>
        <v>765</v>
      </c>
    </row>
    <row r="4545" spans="1:6" x14ac:dyDescent="0.35">
      <c r="A4545" t="str">
        <f>+'[2]por cuent'!A4545</f>
        <v>USD</v>
      </c>
      <c r="B4545" t="str">
        <f>+'[2]por cuent'!B4545</f>
        <v>765000119</v>
      </c>
      <c r="C4545" t="str">
        <f>+'[2]por cuent'!C4545</f>
        <v>Gianluca Torrazza</v>
      </c>
      <c r="D4545" s="35">
        <f>+'[2]por cuent'!G4545</f>
        <v>215005.3</v>
      </c>
      <c r="E4545" s="35">
        <f>+'[2]por cuent'!H4545</f>
        <v>321557626.57399994</v>
      </c>
      <c r="F4545" t="str">
        <f>+'[2]por cuent'!I4545</f>
        <v>765</v>
      </c>
    </row>
    <row r="4546" spans="1:6" x14ac:dyDescent="0.35">
      <c r="A4546" t="str">
        <f>+'[2]por cuent'!A4546</f>
        <v>USD</v>
      </c>
      <c r="B4546" t="str">
        <f>+'[2]por cuent'!B4546</f>
        <v>765000128</v>
      </c>
      <c r="C4546" t="str">
        <f>+'[2]por cuent'!C4546</f>
        <v>Instituto de quemados y cirugía reparadora S.R.L.</v>
      </c>
      <c r="D4546" s="35">
        <f>+'[2]por cuent'!G4546</f>
        <v>6.18</v>
      </c>
      <c r="E4546" s="35">
        <f>+'[2]por cuent'!H4546</f>
        <v>9242.6843999999983</v>
      </c>
      <c r="F4546" t="str">
        <f>+'[2]por cuent'!I4546</f>
        <v>765</v>
      </c>
    </row>
    <row r="4547" spans="1:6" x14ac:dyDescent="0.35">
      <c r="A4547" t="str">
        <f>+'[2]por cuent'!A4547</f>
        <v>USD</v>
      </c>
      <c r="B4547" t="str">
        <f>+'[2]por cuent'!B4547</f>
        <v>765000141</v>
      </c>
      <c r="C4547" t="str">
        <f>+'[2]por cuent'!C4547</f>
        <v>Tesarik, Francisco René</v>
      </c>
      <c r="D4547" s="35">
        <f>+'[2]por cuent'!G4547</f>
        <v>47.38</v>
      </c>
      <c r="E4547" s="35">
        <f>+'[2]por cuent'!H4547</f>
        <v>70860.580400000006</v>
      </c>
      <c r="F4547" t="str">
        <f>+'[2]por cuent'!I4547</f>
        <v>765</v>
      </c>
    </row>
    <row r="4548" spans="1:6" x14ac:dyDescent="0.35">
      <c r="A4548" t="str">
        <f>+'[2]por cuent'!A4548</f>
        <v>USD</v>
      </c>
      <c r="B4548" t="str">
        <f>+'[2]por cuent'!B4548</f>
        <v>765000156</v>
      </c>
      <c r="C4548" t="str">
        <f>+'[2]por cuent'!C4548</f>
        <v>María Pamela Tonelli</v>
      </c>
      <c r="D4548" s="35">
        <f>+'[2]por cuent'!G4548</f>
        <v>5.15</v>
      </c>
      <c r="E4548" s="35">
        <f>+'[2]por cuent'!H4548</f>
        <v>7702.2370000000001</v>
      </c>
      <c r="F4548" t="str">
        <f>+'[2]por cuent'!I4548</f>
        <v>765</v>
      </c>
    </row>
    <row r="4549" spans="1:6" x14ac:dyDescent="0.35">
      <c r="A4549" t="str">
        <f>+'[2]por cuent'!A4549</f>
        <v>USD</v>
      </c>
      <c r="B4549" t="str">
        <f>+'[2]por cuent'!B4549</f>
        <v>765000170</v>
      </c>
      <c r="C4549" t="str">
        <f>+'[2]por cuent'!C4549</f>
        <v>ROMA MANAGEMENT S.R.L.</v>
      </c>
      <c r="D4549" s="35">
        <f>+'[2]por cuent'!G4549</f>
        <v>15740.04</v>
      </c>
      <c r="E4549" s="35">
        <f>+'[2]por cuent'!H4549</f>
        <v>23540489.023200002</v>
      </c>
      <c r="F4549" t="str">
        <f>+'[2]por cuent'!I4549</f>
        <v>765</v>
      </c>
    </row>
    <row r="4550" spans="1:6" x14ac:dyDescent="0.35">
      <c r="A4550" t="str">
        <f>+'[2]por cuent'!A4550</f>
        <v>USD</v>
      </c>
      <c r="B4550" t="str">
        <f>+'[2]por cuent'!B4550</f>
        <v>765000171</v>
      </c>
      <c r="C4550" t="str">
        <f>+'[2]por cuent'!C4550</f>
        <v>FIDEICOMISO DE ADMINISTRACIÓN Y DESARROLLO INMOBILIARIO TIERRA DE AUTORES</v>
      </c>
      <c r="D4550" s="35">
        <f>+'[2]por cuent'!G4550</f>
        <v>346.12</v>
      </c>
      <c r="E4550" s="35">
        <f>+'[2]por cuent'!H4550</f>
        <v>517650.1496</v>
      </c>
      <c r="F4550" t="str">
        <f>+'[2]por cuent'!I4550</f>
        <v>765</v>
      </c>
    </row>
    <row r="4551" spans="1:6" x14ac:dyDescent="0.35">
      <c r="A4551" t="str">
        <f>+'[2]por cuent'!A4551</f>
        <v>USD</v>
      </c>
      <c r="B4551" t="str">
        <f>+'[2]por cuent'!B4551</f>
        <v>765000174</v>
      </c>
      <c r="C4551" t="str">
        <f>+'[2]por cuent'!C4551</f>
        <v>FIDEICOMISO COMUNIDAD EVOLUTIVA PUEBLO ESTHER</v>
      </c>
      <c r="D4551" s="35">
        <f>+'[2]por cuent'!G4551</f>
        <v>2968.27</v>
      </c>
      <c r="E4551" s="35">
        <f>+'[2]por cuent'!H4551</f>
        <v>4439285.2466000002</v>
      </c>
      <c r="F4551" t="str">
        <f>+'[2]por cuent'!I4551</f>
        <v>765</v>
      </c>
    </row>
    <row r="4552" spans="1:6" x14ac:dyDescent="0.35">
      <c r="A4552" t="str">
        <f>+'[2]por cuent'!A4552</f>
        <v>USD</v>
      </c>
      <c r="B4552" t="str">
        <f>+'[2]por cuent'!B4552</f>
        <v>765000175</v>
      </c>
      <c r="C4552" t="str">
        <f>+'[2]por cuent'!C4552</f>
        <v>FIDEICOMISO DE ADM Y DES INMB BARRIO ABIERTO ORIGENES</v>
      </c>
      <c r="D4552" s="35">
        <f>+'[2]por cuent'!G4552</f>
        <v>494.47</v>
      </c>
      <c r="E4552" s="35">
        <f>+'[2]por cuent'!H4552</f>
        <v>739519.44259999995</v>
      </c>
      <c r="F4552" t="str">
        <f>+'[2]por cuent'!I4552</f>
        <v>765</v>
      </c>
    </row>
    <row r="4553" spans="1:6" x14ac:dyDescent="0.35">
      <c r="A4553" t="str">
        <f>+'[2]por cuent'!A4553</f>
        <v>USD</v>
      </c>
      <c r="B4553" t="str">
        <f>+'[2]por cuent'!B4553</f>
        <v>765000184</v>
      </c>
      <c r="C4553" t="str">
        <f>+'[2]por cuent'!C4553</f>
        <v>EL NARANJO II FIDEICOMISO</v>
      </c>
      <c r="D4553" s="35">
        <f>+'[2]por cuent'!G4553</f>
        <v>2967.2</v>
      </c>
      <c r="E4553" s="35">
        <f>+'[2]por cuent'!H4553</f>
        <v>4437684.9759999998</v>
      </c>
      <c r="F4553" t="str">
        <f>+'[2]por cuent'!I4553</f>
        <v>765</v>
      </c>
    </row>
    <row r="4554" spans="1:6" x14ac:dyDescent="0.35">
      <c r="A4554" t="str">
        <f>+'[2]por cuent'!A4554</f>
        <v>USD</v>
      </c>
      <c r="B4554" t="str">
        <f>+'[2]por cuent'!B4554</f>
        <v>765000192</v>
      </c>
      <c r="C4554" t="str">
        <f>+'[2]por cuent'!C4554</f>
        <v>Osia, Facundo Javier</v>
      </c>
      <c r="D4554" s="35">
        <f>+'[2]por cuent'!G4554</f>
        <v>160.68</v>
      </c>
      <c r="E4554" s="35">
        <f>+'[2]por cuent'!H4554</f>
        <v>240309.79439999998</v>
      </c>
      <c r="F4554" t="str">
        <f>+'[2]por cuent'!I4554</f>
        <v>765</v>
      </c>
    </row>
    <row r="4555" spans="1:6" x14ac:dyDescent="0.35">
      <c r="A4555" t="str">
        <f>+'[2]por cuent'!A4555</f>
        <v>USD</v>
      </c>
      <c r="B4555" t="str">
        <f>+'[2]por cuent'!B4555</f>
        <v>765000201</v>
      </c>
      <c r="C4555" t="str">
        <f>+'[2]por cuent'!C4555</f>
        <v>Helguera, María Celeste</v>
      </c>
      <c r="D4555" s="35">
        <f>+'[2]por cuent'!G4555</f>
        <v>1180.82</v>
      </c>
      <c r="E4555" s="35">
        <f>+'[2]por cuent'!H4555</f>
        <v>1766010.7755999998</v>
      </c>
      <c r="F4555" t="str">
        <f>+'[2]por cuent'!I4555</f>
        <v>765</v>
      </c>
    </row>
    <row r="4556" spans="1:6" x14ac:dyDescent="0.35">
      <c r="A4556" t="str">
        <f>+'[2]por cuent'!A4556</f>
        <v>USD</v>
      </c>
      <c r="B4556" t="str">
        <f>+'[2]por cuent'!B4556</f>
        <v>765000203</v>
      </c>
      <c r="C4556" t="str">
        <f>+'[2]por cuent'!C4556</f>
        <v>Santilli, Jorge Ignacio</v>
      </c>
      <c r="D4556" s="35">
        <f>+'[2]por cuent'!G4556</f>
        <v>10.3</v>
      </c>
      <c r="E4556" s="35">
        <f>+'[2]por cuent'!H4556</f>
        <v>15404.474</v>
      </c>
      <c r="F4556" t="str">
        <f>+'[2]por cuent'!I4556</f>
        <v>765</v>
      </c>
    </row>
    <row r="4557" spans="1:6" x14ac:dyDescent="0.35">
      <c r="A4557" t="str">
        <f>+'[2]por cuent'!A4557</f>
        <v>USD</v>
      </c>
      <c r="B4557" t="str">
        <f>+'[2]por cuent'!B4557</f>
        <v>765000209</v>
      </c>
      <c r="C4557" t="str">
        <f>+'[2]por cuent'!C4557</f>
        <v>Trivisonno, Marcela Alejandra</v>
      </c>
      <c r="D4557" s="35">
        <f>+'[2]por cuent'!G4557</f>
        <v>23.69</v>
      </c>
      <c r="E4557" s="35">
        <f>+'[2]por cuent'!H4557</f>
        <v>35430.290200000003</v>
      </c>
      <c r="F4557" t="str">
        <f>+'[2]por cuent'!I4557</f>
        <v>765</v>
      </c>
    </row>
    <row r="4558" spans="1:6" x14ac:dyDescent="0.35">
      <c r="A4558" t="str">
        <f>+'[2]por cuent'!A4558</f>
        <v>USD</v>
      </c>
      <c r="B4558" t="str">
        <f>+'[2]por cuent'!B4558</f>
        <v>765000210</v>
      </c>
      <c r="C4558" t="str">
        <f>+'[2]por cuent'!C4558</f>
        <v>Culasso, Ariel Carlos</v>
      </c>
      <c r="D4558" s="35">
        <f>+'[2]por cuent'!G4558</f>
        <v>182.22</v>
      </c>
      <c r="E4558" s="35">
        <f>+'[2]por cuent'!H4558</f>
        <v>272524.58759999997</v>
      </c>
      <c r="F4558" t="str">
        <f>+'[2]por cuent'!I4558</f>
        <v>765</v>
      </c>
    </row>
    <row r="4559" spans="1:6" x14ac:dyDescent="0.35">
      <c r="A4559" t="str">
        <f>+'[2]por cuent'!A4559</f>
        <v>USD</v>
      </c>
      <c r="B4559" t="str">
        <f>+'[2]por cuent'!B4559</f>
        <v>765000215</v>
      </c>
      <c r="C4559" t="str">
        <f>+'[2]por cuent'!C4559</f>
        <v>Lepore, Livio Oscar</v>
      </c>
      <c r="D4559" s="35">
        <f>+'[2]por cuent'!G4559</f>
        <v>57.68</v>
      </c>
      <c r="E4559" s="35">
        <f>+'[2]por cuent'!H4559</f>
        <v>86265.054399999994</v>
      </c>
      <c r="F4559" t="str">
        <f>+'[2]por cuent'!I4559</f>
        <v>765</v>
      </c>
    </row>
    <row r="4560" spans="1:6" x14ac:dyDescent="0.35">
      <c r="A4560" t="str">
        <f>+'[2]por cuent'!A4560</f>
        <v>USD</v>
      </c>
      <c r="B4560" t="str">
        <f>+'[2]por cuent'!B4560</f>
        <v>765000217</v>
      </c>
      <c r="C4560" t="str">
        <f>+'[2]por cuent'!C4560</f>
        <v>Manasseri, Hernán Gustavo</v>
      </c>
      <c r="D4560" s="35">
        <f>+'[2]por cuent'!G4560</f>
        <v>962.58</v>
      </c>
      <c r="E4560" s="35">
        <f>+'[2]por cuent'!H4560</f>
        <v>1439615.3964</v>
      </c>
      <c r="F4560" t="str">
        <f>+'[2]por cuent'!I4560</f>
        <v>765</v>
      </c>
    </row>
    <row r="4561" spans="1:6" x14ac:dyDescent="0.35">
      <c r="A4561" t="str">
        <f>+'[2]por cuent'!A4561</f>
        <v>USD</v>
      </c>
      <c r="B4561" t="str">
        <f>+'[2]por cuent'!B4561</f>
        <v>765000218</v>
      </c>
      <c r="C4561" t="str">
        <f>+'[2]por cuent'!C4561</f>
        <v>Cingolani, Adrián Alberto</v>
      </c>
      <c r="D4561" s="35">
        <f>+'[2]por cuent'!G4561</f>
        <v>30.9</v>
      </c>
      <c r="E4561" s="35">
        <f>+'[2]por cuent'!H4561</f>
        <v>46213.421999999999</v>
      </c>
      <c r="F4561" t="str">
        <f>+'[2]por cuent'!I4561</f>
        <v>765</v>
      </c>
    </row>
    <row r="4562" spans="1:6" x14ac:dyDescent="0.35">
      <c r="A4562" t="str">
        <f>+'[2]por cuent'!A4562</f>
        <v>USD</v>
      </c>
      <c r="B4562" t="str">
        <f>+'[2]por cuent'!B4562</f>
        <v>765000225</v>
      </c>
      <c r="C4562" t="str">
        <f>+'[2]por cuent'!C4562</f>
        <v>Silvana Alejandra Castillejos</v>
      </c>
      <c r="D4562" s="35">
        <f>+'[2]por cuent'!G4562</f>
        <v>20464.55</v>
      </c>
      <c r="E4562" s="35">
        <f>+'[2]por cuent'!H4562</f>
        <v>30606371.688999996</v>
      </c>
      <c r="F4562" t="str">
        <f>+'[2]por cuent'!I4562</f>
        <v>765</v>
      </c>
    </row>
    <row r="4563" spans="1:6" x14ac:dyDescent="0.35">
      <c r="A4563" t="str">
        <f>+'[2]por cuent'!A4563</f>
        <v>USD</v>
      </c>
      <c r="B4563" t="str">
        <f>+'[2]por cuent'!B4563</f>
        <v>765000228</v>
      </c>
      <c r="C4563" t="str">
        <f>+'[2]por cuent'!C4563</f>
        <v>Bruno Jorge Angel</v>
      </c>
      <c r="D4563" s="35">
        <f>+'[2]por cuent'!G4563</f>
        <v>24.72</v>
      </c>
      <c r="E4563" s="35">
        <f>+'[2]por cuent'!H4563</f>
        <v>36970.737599999993</v>
      </c>
      <c r="F4563" t="str">
        <f>+'[2]por cuent'!I4563</f>
        <v>765</v>
      </c>
    </row>
    <row r="4564" spans="1:6" x14ac:dyDescent="0.35">
      <c r="A4564" t="str">
        <f>+'[2]por cuent'!A4564</f>
        <v>USD</v>
      </c>
      <c r="B4564" t="str">
        <f>+'[2]por cuent'!B4564</f>
        <v>765000250</v>
      </c>
      <c r="C4564" t="str">
        <f>+'[2]por cuent'!C4564</f>
        <v>Borri, Mayra Alejandra</v>
      </c>
      <c r="D4564" s="35">
        <f>+'[2]por cuent'!G4564</f>
        <v>6.18</v>
      </c>
      <c r="E4564" s="35">
        <f>+'[2]por cuent'!H4564</f>
        <v>9242.6843999999983</v>
      </c>
      <c r="F4564" t="str">
        <f>+'[2]por cuent'!I4564</f>
        <v>765</v>
      </c>
    </row>
    <row r="4565" spans="1:6" x14ac:dyDescent="0.35">
      <c r="A4565" t="str">
        <f>+'[2]por cuent'!A4565</f>
        <v>USD</v>
      </c>
      <c r="B4565" t="str">
        <f>+'[2]por cuent'!B4565</f>
        <v>765000254</v>
      </c>
      <c r="C4565" t="str">
        <f>+'[2]por cuent'!C4565</f>
        <v>Mazzini, Rita Marta</v>
      </c>
      <c r="D4565" s="35">
        <f>+'[2]por cuent'!G4565</f>
        <v>47.38</v>
      </c>
      <c r="E4565" s="35">
        <f>+'[2]por cuent'!H4565</f>
        <v>70860.580400000006</v>
      </c>
      <c r="F4565" t="str">
        <f>+'[2]por cuent'!I4565</f>
        <v>765</v>
      </c>
    </row>
    <row r="4566" spans="1:6" x14ac:dyDescent="0.35">
      <c r="A4566" t="str">
        <f>+'[2]por cuent'!A4566</f>
        <v>USD</v>
      </c>
      <c r="B4566" t="str">
        <f>+'[2]por cuent'!B4566</f>
        <v>765000260</v>
      </c>
      <c r="C4566" t="str">
        <f>+'[2]por cuent'!C4566</f>
        <v xml:space="preserve"> CAMPO MADERO II FIDEICOMISO</v>
      </c>
      <c r="D4566" s="35">
        <f>+'[2]por cuent'!G4566</f>
        <v>296.55</v>
      </c>
      <c r="E4566" s="35">
        <f>+'[2]por cuent'!H4566</f>
        <v>443514.24900000001</v>
      </c>
      <c r="F4566" t="str">
        <f>+'[2]por cuent'!I4566</f>
        <v>765</v>
      </c>
    </row>
    <row r="4567" spans="1:6" x14ac:dyDescent="0.35">
      <c r="A4567" t="str">
        <f>+'[2]por cuent'!A4567</f>
        <v>USD</v>
      </c>
      <c r="B4567" t="str">
        <f>+'[2]por cuent'!B4567</f>
        <v>765000261</v>
      </c>
      <c r="C4567" t="str">
        <f>+'[2]por cuent'!C4567</f>
        <v>CLUB ATLETICO TREBOLENSE MUTUAL SOCIAL Y BIBLIOTECA</v>
      </c>
      <c r="D4567" s="35">
        <f>+'[2]por cuent'!G4567</f>
        <v>103845.62</v>
      </c>
      <c r="E4567" s="35">
        <f>+'[2]por cuent'!H4567</f>
        <v>155309432.35959998</v>
      </c>
      <c r="F4567" t="str">
        <f>+'[2]por cuent'!I4567</f>
        <v>765</v>
      </c>
    </row>
    <row r="4568" spans="1:6" x14ac:dyDescent="0.35">
      <c r="A4568" t="str">
        <f>+'[2]por cuent'!A4568</f>
        <v>USD</v>
      </c>
      <c r="B4568" t="str">
        <f>+'[2]por cuent'!B4568</f>
        <v>765000264</v>
      </c>
      <c r="C4568" t="str">
        <f>+'[2]por cuent'!C4568</f>
        <v>Manasseri, Franco</v>
      </c>
      <c r="D4568" s="35">
        <f>+'[2]por cuent'!G4568</f>
        <v>395940.72</v>
      </c>
      <c r="E4568" s="35">
        <f>+'[2]por cuent'!H4568</f>
        <v>592161022.01759994</v>
      </c>
      <c r="F4568" t="str">
        <f>+'[2]por cuent'!I4568</f>
        <v>765</v>
      </c>
    </row>
    <row r="4569" spans="1:6" x14ac:dyDescent="0.35">
      <c r="A4569" t="str">
        <f>+'[2]por cuent'!A4569</f>
        <v>USD</v>
      </c>
      <c r="B4569" t="str">
        <f>+'[2]por cuent'!B4569</f>
        <v>765000265</v>
      </c>
      <c r="C4569" t="str">
        <f>+'[2]por cuent'!C4569</f>
        <v>Pedraza, Franco Ramon</v>
      </c>
      <c r="D4569" s="35">
        <f>+'[2]por cuent'!G4569</f>
        <v>8.24</v>
      </c>
      <c r="E4569" s="35">
        <f>+'[2]por cuent'!H4569</f>
        <v>12323.5792</v>
      </c>
      <c r="F4569" t="str">
        <f>+'[2]por cuent'!I4569</f>
        <v>765</v>
      </c>
    </row>
    <row r="4570" spans="1:6" x14ac:dyDescent="0.35">
      <c r="A4570" t="str">
        <f>+'[2]por cuent'!A4570</f>
        <v>USD</v>
      </c>
      <c r="B4570" t="str">
        <f>+'[2]por cuent'!B4570</f>
        <v>765000276</v>
      </c>
      <c r="C4570" t="str">
        <f>+'[2]por cuent'!C4570</f>
        <v>Poire, Raul Jose</v>
      </c>
      <c r="D4570" s="35">
        <f>+'[2]por cuent'!G4570</f>
        <v>25.75</v>
      </c>
      <c r="E4570" s="35">
        <f>+'[2]por cuent'!H4570</f>
        <v>38511.184999999998</v>
      </c>
      <c r="F4570" t="str">
        <f>+'[2]por cuent'!I4570</f>
        <v>765</v>
      </c>
    </row>
    <row r="4571" spans="1:6" x14ac:dyDescent="0.35">
      <c r="A4571" t="str">
        <f>+'[2]por cuent'!A4571</f>
        <v>USD</v>
      </c>
      <c r="B4571" t="str">
        <f>+'[2]por cuent'!B4571</f>
        <v>765000280</v>
      </c>
      <c r="C4571" t="str">
        <f>+'[2]por cuent'!C4571</f>
        <v>SOCIEDAD ITALIANA DE SOCORROS MUTUOS "ESTRELLA DE ITALIA"</v>
      </c>
      <c r="D4571" s="35">
        <f>+'[2]por cuent'!G4571</f>
        <v>2898.04</v>
      </c>
      <c r="E4571" s="35">
        <f>+'[2]por cuent'!H4571</f>
        <v>4334250.6631999994</v>
      </c>
      <c r="F4571" t="str">
        <f>+'[2]por cuent'!I4571</f>
        <v>765</v>
      </c>
    </row>
    <row r="4572" spans="1:6" x14ac:dyDescent="0.35">
      <c r="A4572" t="str">
        <f>+'[2]por cuent'!A4572</f>
        <v>USD</v>
      </c>
      <c r="B4572" t="str">
        <f>+'[2]por cuent'!B4572</f>
        <v>765000290</v>
      </c>
      <c r="C4572" t="str">
        <f>+'[2]por cuent'!C4572</f>
        <v>Penhalvel, Alvaro</v>
      </c>
      <c r="D4572" s="35">
        <f>+'[2]por cuent'!G4572</f>
        <v>295.39</v>
      </c>
      <c r="E4572" s="35">
        <f>+'[2]por cuent'!H4572</f>
        <v>441779.37619999994</v>
      </c>
      <c r="F4572" t="str">
        <f>+'[2]por cuent'!I4572</f>
        <v>765</v>
      </c>
    </row>
    <row r="4573" spans="1:6" x14ac:dyDescent="0.35">
      <c r="A4573" t="str">
        <f>+'[2]por cuent'!A4573</f>
        <v>USD</v>
      </c>
      <c r="B4573" t="str">
        <f>+'[2]por cuent'!B4573</f>
        <v>765000296</v>
      </c>
      <c r="C4573" t="str">
        <f>+'[2]por cuent'!C4573</f>
        <v>Cegna Gerardo Marcelo</v>
      </c>
      <c r="D4573" s="35">
        <f>+'[2]por cuent'!G4573</f>
        <v>51.5</v>
      </c>
      <c r="E4573" s="35">
        <f>+'[2]por cuent'!H4573</f>
        <v>77022.37</v>
      </c>
      <c r="F4573" t="str">
        <f>+'[2]por cuent'!I4573</f>
        <v>765</v>
      </c>
    </row>
    <row r="4574" spans="1:6" x14ac:dyDescent="0.35">
      <c r="A4574" t="str">
        <f>+'[2]por cuent'!A4574</f>
        <v>USD</v>
      </c>
      <c r="B4574" t="str">
        <f>+'[2]por cuent'!B4574</f>
        <v>765000297</v>
      </c>
      <c r="C4574" t="str">
        <f>+'[2]por cuent'!C4574</f>
        <v>Rolando, Nelvis María</v>
      </c>
      <c r="D4574" s="35">
        <f>+'[2]por cuent'!G4574</f>
        <v>61.8</v>
      </c>
      <c r="E4574" s="35">
        <f>+'[2]por cuent'!H4574</f>
        <v>92426.843999999997</v>
      </c>
      <c r="F4574" t="str">
        <f>+'[2]por cuent'!I4574</f>
        <v>765</v>
      </c>
    </row>
    <row r="4575" spans="1:6" x14ac:dyDescent="0.35">
      <c r="A4575" t="str">
        <f>+'[2]por cuent'!A4575</f>
        <v>USD</v>
      </c>
      <c r="B4575" t="str">
        <f>+'[2]por cuent'!B4575</f>
        <v>765000301</v>
      </c>
      <c r="C4575" t="str">
        <f>+'[2]por cuent'!C4575</f>
        <v>Díaz, Mauricio Gabriel</v>
      </c>
      <c r="D4575" s="35">
        <f>+'[2]por cuent'!G4575</f>
        <v>31.93</v>
      </c>
      <c r="E4575" s="35">
        <f>+'[2]por cuent'!H4575</f>
        <v>47753.869399999996</v>
      </c>
      <c r="F4575" t="str">
        <f>+'[2]por cuent'!I4575</f>
        <v>765</v>
      </c>
    </row>
    <row r="4576" spans="1:6" x14ac:dyDescent="0.35">
      <c r="A4576" t="str">
        <f>+'[2]por cuent'!A4576</f>
        <v>USD</v>
      </c>
      <c r="B4576" t="str">
        <f>+'[2]por cuent'!B4576</f>
        <v>765000306</v>
      </c>
      <c r="C4576" t="str">
        <f>+'[2]por cuent'!C4576</f>
        <v>Cappello, Elio Alberto</v>
      </c>
      <c r="D4576" s="35">
        <f>+'[2]por cuent'!G4576</f>
        <v>93.12</v>
      </c>
      <c r="E4576" s="35">
        <f>+'[2]por cuent'!H4576</f>
        <v>139268.40960000001</v>
      </c>
      <c r="F4576" t="str">
        <f>+'[2]por cuent'!I4576</f>
        <v>765</v>
      </c>
    </row>
    <row r="4577" spans="1:6" x14ac:dyDescent="0.35">
      <c r="A4577" t="str">
        <f>+'[2]por cuent'!A4577</f>
        <v>USD</v>
      </c>
      <c r="B4577" t="str">
        <f>+'[2]por cuent'!B4577</f>
        <v>765000307</v>
      </c>
      <c r="C4577" t="str">
        <f>+'[2]por cuent'!C4577</f>
        <v>Etbul, Fabiana Alejandra</v>
      </c>
      <c r="D4577" s="35">
        <f>+'[2]por cuent'!G4577</f>
        <v>12.36</v>
      </c>
      <c r="E4577" s="35">
        <f>+'[2]por cuent'!H4577</f>
        <v>18485.368799999997</v>
      </c>
      <c r="F4577" t="str">
        <f>+'[2]por cuent'!I4577</f>
        <v>765</v>
      </c>
    </row>
    <row r="4578" spans="1:6" x14ac:dyDescent="0.35">
      <c r="A4578" t="str">
        <f>+'[2]por cuent'!A4578</f>
        <v>USD</v>
      </c>
      <c r="B4578" t="str">
        <f>+'[2]por cuent'!B4578</f>
        <v>765000309</v>
      </c>
      <c r="C4578" t="str">
        <f>+'[2]por cuent'!C4578</f>
        <v>Racca-Pistarelli</v>
      </c>
      <c r="D4578" s="35">
        <f>+'[2]por cuent'!G4578</f>
        <v>21.63</v>
      </c>
      <c r="E4578" s="35">
        <f>+'[2]por cuent'!H4578</f>
        <v>32349.395399999998</v>
      </c>
      <c r="F4578" t="str">
        <f>+'[2]por cuent'!I4578</f>
        <v>765</v>
      </c>
    </row>
    <row r="4579" spans="1:6" x14ac:dyDescent="0.35">
      <c r="A4579" t="str">
        <f>+'[2]por cuent'!A4579</f>
        <v>USD</v>
      </c>
      <c r="B4579" t="str">
        <f>+'[2]por cuent'!B4579</f>
        <v>765000311</v>
      </c>
      <c r="C4579" t="str">
        <f>+'[2]por cuent'!C4579</f>
        <v>Americano Mutual y Social</v>
      </c>
      <c r="D4579" s="35">
        <f>+'[2]por cuent'!G4579</f>
        <v>3291.55</v>
      </c>
      <c r="E4579" s="35">
        <f>+'[2]por cuent'!H4579</f>
        <v>4922776.3490000004</v>
      </c>
      <c r="F4579" t="str">
        <f>+'[2]por cuent'!I4579</f>
        <v>765</v>
      </c>
    </row>
    <row r="4580" spans="1:6" x14ac:dyDescent="0.35">
      <c r="A4580" t="str">
        <f>+'[2]por cuent'!A4580</f>
        <v>USD</v>
      </c>
      <c r="B4580" t="str">
        <f>+'[2]por cuent'!B4580</f>
        <v>765000312</v>
      </c>
      <c r="C4580" t="str">
        <f>+'[2]por cuent'!C4580</f>
        <v>Pistarelli, Gerardo Mario</v>
      </c>
      <c r="D4580" s="35">
        <f>+'[2]por cuent'!G4580</f>
        <v>7.21</v>
      </c>
      <c r="E4580" s="35">
        <f>+'[2]por cuent'!H4580</f>
        <v>10783.131799999999</v>
      </c>
      <c r="F4580" t="str">
        <f>+'[2]por cuent'!I4580</f>
        <v>765</v>
      </c>
    </row>
    <row r="4581" spans="1:6" x14ac:dyDescent="0.35">
      <c r="A4581" t="str">
        <f>+'[2]por cuent'!A4581</f>
        <v>USD</v>
      </c>
      <c r="B4581" t="str">
        <f>+'[2]por cuent'!B4581</f>
        <v>765000313</v>
      </c>
      <c r="C4581" t="str">
        <f>+'[2]por cuent'!C4581</f>
        <v xml:space="preserve">Piacentini, Carlos Dante </v>
      </c>
      <c r="D4581" s="35">
        <f>+'[2]por cuent'!G4581</f>
        <v>14.42</v>
      </c>
      <c r="E4581" s="35">
        <f>+'[2]por cuent'!H4581</f>
        <v>21566.263599999998</v>
      </c>
      <c r="F4581" t="str">
        <f>+'[2]por cuent'!I4581</f>
        <v>765</v>
      </c>
    </row>
    <row r="4582" spans="1:6" x14ac:dyDescent="0.35">
      <c r="A4582" t="str">
        <f>+'[2]por cuent'!A4582</f>
        <v>USD</v>
      </c>
      <c r="B4582" t="str">
        <f>+'[2]por cuent'!B4582</f>
        <v>765000320</v>
      </c>
      <c r="C4582" t="str">
        <f>+'[2]por cuent'!C4582</f>
        <v>Cooperativa Agropecuaria Federada Argentina Limitada</v>
      </c>
      <c r="D4582" s="35">
        <f>+'[2]por cuent'!G4582</f>
        <v>641.38</v>
      </c>
      <c r="E4582" s="35">
        <f>+'[2]por cuent'!H4582</f>
        <v>959235.1004</v>
      </c>
      <c r="F4582" t="str">
        <f>+'[2]por cuent'!I4582</f>
        <v>765</v>
      </c>
    </row>
    <row r="4583" spans="1:6" x14ac:dyDescent="0.35">
      <c r="A4583" t="str">
        <f>+'[2]por cuent'!A4583</f>
        <v>USD</v>
      </c>
      <c r="B4583" t="str">
        <f>+'[2]por cuent'!B4583</f>
        <v>765000321</v>
      </c>
      <c r="C4583" t="str">
        <f>+'[2]por cuent'!C4583</f>
        <v>Sociedad Italiana de Socorros Mutuos de Carcarañá</v>
      </c>
      <c r="D4583" s="35">
        <f>+'[2]por cuent'!G4583</f>
        <v>8098.27</v>
      </c>
      <c r="E4583" s="35">
        <f>+'[2]por cuent'!H4583</f>
        <v>12111610.646600001</v>
      </c>
      <c r="F4583" t="str">
        <f>+'[2]por cuent'!I4583</f>
        <v>765</v>
      </c>
    </row>
    <row r="4584" spans="1:6" x14ac:dyDescent="0.35">
      <c r="A4584" t="str">
        <f>+'[2]por cuent'!A4584</f>
        <v>USD</v>
      </c>
      <c r="B4584" t="str">
        <f>+'[2]por cuent'!B4584</f>
        <v>765000324</v>
      </c>
      <c r="C4584" t="str">
        <f>+'[2]por cuent'!C4584</f>
        <v>Libonatti, Andrés</v>
      </c>
      <c r="D4584" s="35">
        <f>+'[2]por cuent'!G4584</f>
        <v>355489.27</v>
      </c>
      <c r="E4584" s="35">
        <f>+'[2]por cuent'!H4584</f>
        <v>531662642.42659998</v>
      </c>
      <c r="F4584" t="str">
        <f>+'[2]por cuent'!I4584</f>
        <v>765</v>
      </c>
    </row>
    <row r="4585" spans="1:6" x14ac:dyDescent="0.35">
      <c r="A4585" t="str">
        <f>+'[2]por cuent'!A4585</f>
        <v>USD</v>
      </c>
      <c r="B4585" t="str">
        <f>+'[2]por cuent'!B4585</f>
        <v>765000326</v>
      </c>
      <c r="C4585" t="str">
        <f>+'[2]por cuent'!C4585</f>
        <v xml:space="preserve">Díaz, Luciano Fernando </v>
      </c>
      <c r="D4585" s="35">
        <f>+'[2]por cuent'!G4585</f>
        <v>11.87</v>
      </c>
      <c r="E4585" s="35">
        <f>+'[2]por cuent'!H4585</f>
        <v>17752.534599999999</v>
      </c>
      <c r="F4585" t="str">
        <f>+'[2]por cuent'!I4585</f>
        <v>765</v>
      </c>
    </row>
    <row r="4586" spans="1:6" x14ac:dyDescent="0.35">
      <c r="A4586" t="str">
        <f>+'[2]por cuent'!A4586</f>
        <v>USD</v>
      </c>
      <c r="B4586" t="str">
        <f>+'[2]por cuent'!B4586</f>
        <v>765000328</v>
      </c>
      <c r="C4586" t="str">
        <f>+'[2]por cuent'!C4586</f>
        <v>Racca, Alicia Mercedes</v>
      </c>
      <c r="D4586" s="35">
        <f>+'[2]por cuent'!G4586</f>
        <v>74.16</v>
      </c>
      <c r="E4586" s="35">
        <f>+'[2]por cuent'!H4586</f>
        <v>110912.21279999999</v>
      </c>
      <c r="F4586" t="str">
        <f>+'[2]por cuent'!I4586</f>
        <v>765</v>
      </c>
    </row>
    <row r="4587" spans="1:6" x14ac:dyDescent="0.35">
      <c r="A4587" t="str">
        <f>+'[2]por cuent'!A4587</f>
        <v>USD</v>
      </c>
      <c r="B4587" t="str">
        <f>+'[2]por cuent'!B4587</f>
        <v>765000332</v>
      </c>
      <c r="C4587" t="str">
        <f>+'[2]por cuent'!C4587</f>
        <v>Bosio, Mauricio Juan</v>
      </c>
      <c r="D4587" s="35">
        <f>+'[2]por cuent'!G4587</f>
        <v>8.24</v>
      </c>
      <c r="E4587" s="35">
        <f>+'[2]por cuent'!H4587</f>
        <v>12323.5792</v>
      </c>
      <c r="F4587" t="str">
        <f>+'[2]por cuent'!I4587</f>
        <v>765</v>
      </c>
    </row>
    <row r="4588" spans="1:6" x14ac:dyDescent="0.35">
      <c r="A4588" t="str">
        <f>+'[2]por cuent'!A4588</f>
        <v>USD</v>
      </c>
      <c r="B4588" t="str">
        <f>+'[2]por cuent'!B4588</f>
        <v>765000336</v>
      </c>
      <c r="C4588" t="str">
        <f>+'[2]por cuent'!C4588</f>
        <v>Deluca Martin, Trivisonno Gabriela</v>
      </c>
      <c r="D4588" s="35">
        <f>+'[2]por cuent'!G4588</f>
        <v>19.57</v>
      </c>
      <c r="E4588" s="35">
        <f>+'[2]por cuent'!H4588</f>
        <v>29268.500599999999</v>
      </c>
      <c r="F4588" t="str">
        <f>+'[2]por cuent'!I4588</f>
        <v>765</v>
      </c>
    </row>
    <row r="4589" spans="1:6" x14ac:dyDescent="0.35">
      <c r="A4589" t="str">
        <f>+'[2]por cuent'!A4589</f>
        <v>USD</v>
      </c>
      <c r="B4589" t="str">
        <f>+'[2]por cuent'!B4589</f>
        <v>765000343</v>
      </c>
      <c r="C4589" t="str">
        <f>+'[2]por cuent'!C4589</f>
        <v>Karina Verónica Bernardi</v>
      </c>
      <c r="D4589" s="35">
        <f>+'[2]por cuent'!G4589</f>
        <v>98.13</v>
      </c>
      <c r="E4589" s="35">
        <f>+'[2]por cuent'!H4589</f>
        <v>146761.26539999997</v>
      </c>
      <c r="F4589" t="str">
        <f>+'[2]por cuent'!I4589</f>
        <v>765</v>
      </c>
    </row>
    <row r="4590" spans="1:6" x14ac:dyDescent="0.35">
      <c r="A4590" t="str">
        <f>+'[2]por cuent'!A4590</f>
        <v>USD</v>
      </c>
      <c r="B4590" t="str">
        <f>+'[2]por cuent'!B4590</f>
        <v>765000345</v>
      </c>
      <c r="C4590" t="str">
        <f>+'[2]por cuent'!C4590</f>
        <v xml:space="preserve">Ciccocioppo, Ramiro </v>
      </c>
      <c r="D4590" s="35">
        <f>+'[2]por cuent'!G4590</f>
        <v>19.75</v>
      </c>
      <c r="E4590" s="35">
        <f>+'[2]por cuent'!H4590</f>
        <v>29537.704999999998</v>
      </c>
      <c r="F4590" t="str">
        <f>+'[2]por cuent'!I4590</f>
        <v>765</v>
      </c>
    </row>
    <row r="4591" spans="1:6" x14ac:dyDescent="0.35">
      <c r="A4591" t="str">
        <f>+'[2]por cuent'!A4591</f>
        <v>USD</v>
      </c>
      <c r="B4591" t="str">
        <f>+'[2]por cuent'!B4591</f>
        <v>765000348</v>
      </c>
      <c r="C4591" t="str">
        <f>+'[2]por cuent'!C4591</f>
        <v>Flores, Leilen Damila</v>
      </c>
      <c r="D4591" s="35">
        <f>+'[2]por cuent'!G4591</f>
        <v>11.27</v>
      </c>
      <c r="E4591" s="35">
        <f>+'[2]por cuent'!H4591</f>
        <v>16855.186599999997</v>
      </c>
      <c r="F4591" t="str">
        <f>+'[2]por cuent'!I4591</f>
        <v>765</v>
      </c>
    </row>
    <row r="4592" spans="1:6" x14ac:dyDescent="0.35">
      <c r="A4592" t="str">
        <f>+'[2]por cuent'!A4592</f>
        <v>USD</v>
      </c>
      <c r="B4592" t="str">
        <f>+'[2]por cuent'!B4592</f>
        <v>765000352</v>
      </c>
      <c r="C4592" t="str">
        <f>+'[2]por cuent'!C4592</f>
        <v xml:space="preserve">Girotti, Valentín </v>
      </c>
      <c r="D4592" s="35">
        <f>+'[2]por cuent'!G4592</f>
        <v>37.08</v>
      </c>
      <c r="E4592" s="35">
        <f>+'[2]por cuent'!H4592</f>
        <v>55456.106399999997</v>
      </c>
      <c r="F4592" t="str">
        <f>+'[2]por cuent'!I4592</f>
        <v>765</v>
      </c>
    </row>
    <row r="4593" spans="1:6" x14ac:dyDescent="0.35">
      <c r="A4593" t="str">
        <f>+'[2]por cuent'!A4593</f>
        <v>USD</v>
      </c>
      <c r="B4593" t="str">
        <f>+'[2]por cuent'!B4593</f>
        <v>765000357</v>
      </c>
      <c r="C4593" t="str">
        <f>+'[2]por cuent'!C4593</f>
        <v>Chiera, Ignacio Agustín</v>
      </c>
      <c r="D4593" s="35">
        <f>+'[2]por cuent'!G4593</f>
        <v>41.37</v>
      </c>
      <c r="E4593" s="35">
        <f>+'[2]por cuent'!H4593</f>
        <v>61872.144599999992</v>
      </c>
      <c r="F4593" t="str">
        <f>+'[2]por cuent'!I4593</f>
        <v>765</v>
      </c>
    </row>
    <row r="4594" spans="1:6" x14ac:dyDescent="0.35">
      <c r="A4594" t="str">
        <f>+'[2]por cuent'!A4594</f>
        <v>USD</v>
      </c>
      <c r="B4594" t="str">
        <f>+'[2]por cuent'!B4594</f>
        <v>765000360</v>
      </c>
      <c r="C4594" t="str">
        <f>+'[2]por cuent'!C4594</f>
        <v>Trossero, Silvia María</v>
      </c>
      <c r="D4594" s="35">
        <f>+'[2]por cuent'!G4594</f>
        <v>8.24</v>
      </c>
      <c r="E4594" s="35">
        <f>+'[2]por cuent'!H4594</f>
        <v>12323.5792</v>
      </c>
      <c r="F4594" t="str">
        <f>+'[2]por cuent'!I4594</f>
        <v>765</v>
      </c>
    </row>
    <row r="4595" spans="1:6" x14ac:dyDescent="0.35">
      <c r="A4595" t="str">
        <f>+'[2]por cuent'!A4595</f>
        <v>USD</v>
      </c>
      <c r="B4595" t="str">
        <f>+'[2]por cuent'!B4595</f>
        <v>765000365</v>
      </c>
      <c r="C4595" t="str">
        <f>+'[2]por cuent'!C4595</f>
        <v>Peña, Sebastían</v>
      </c>
      <c r="D4595" s="35">
        <f>+'[2]por cuent'!G4595</f>
        <v>851.3</v>
      </c>
      <c r="E4595" s="35">
        <f>+'[2]por cuent'!H4595</f>
        <v>1273187.254</v>
      </c>
      <c r="F4595" t="str">
        <f>+'[2]por cuent'!I4595</f>
        <v>765</v>
      </c>
    </row>
    <row r="4596" spans="1:6" x14ac:dyDescent="0.35">
      <c r="A4596" t="str">
        <f>+'[2]por cuent'!A4596</f>
        <v>USD</v>
      </c>
      <c r="B4596" t="str">
        <f>+'[2]por cuent'!B4596</f>
        <v>765000367</v>
      </c>
      <c r="C4596" t="str">
        <f>+'[2]por cuent'!C4596</f>
        <v>Martínez, Adrián Omar</v>
      </c>
      <c r="D4596" s="35">
        <f>+'[2]por cuent'!G4596</f>
        <v>293.41000000000003</v>
      </c>
      <c r="E4596" s="35">
        <f>+'[2]por cuent'!H4596</f>
        <v>438818.12780000002</v>
      </c>
      <c r="F4596" t="str">
        <f>+'[2]por cuent'!I4596</f>
        <v>765</v>
      </c>
    </row>
    <row r="4597" spans="1:6" x14ac:dyDescent="0.35">
      <c r="A4597" t="str">
        <f>+'[2]por cuent'!A4597</f>
        <v>USD</v>
      </c>
      <c r="B4597" t="str">
        <f>+'[2]por cuent'!B4597</f>
        <v>765000376</v>
      </c>
      <c r="C4597" t="str">
        <f>+'[2]por cuent'!C4597</f>
        <v>Deschamps, Sandra Roxana</v>
      </c>
      <c r="D4597" s="35">
        <f>+'[2]por cuent'!G4597</f>
        <v>42.4</v>
      </c>
      <c r="E4597" s="35">
        <f>+'[2]por cuent'!H4597</f>
        <v>63412.591999999997</v>
      </c>
      <c r="F4597" t="str">
        <f>+'[2]por cuent'!I4597</f>
        <v>765</v>
      </c>
    </row>
    <row r="4598" spans="1:6" x14ac:dyDescent="0.35">
      <c r="A4598" t="str">
        <f>+'[2]por cuent'!A4598</f>
        <v>USD</v>
      </c>
      <c r="B4598" t="str">
        <f>+'[2]por cuent'!B4598</f>
        <v>765000378</v>
      </c>
      <c r="C4598" t="str">
        <f>+'[2]por cuent'!C4598</f>
        <v>Beltrando, Javier Juan</v>
      </c>
      <c r="D4598" s="35">
        <f>+'[2]por cuent'!G4598</f>
        <v>110659.55</v>
      </c>
      <c r="E4598" s="35">
        <f>+'[2]por cuent'!H4598</f>
        <v>165500209.789</v>
      </c>
      <c r="F4598" t="str">
        <f>+'[2]por cuent'!I4598</f>
        <v>765</v>
      </c>
    </row>
    <row r="4599" spans="1:6" x14ac:dyDescent="0.35">
      <c r="A4599" t="str">
        <f>+'[2]por cuent'!A4599</f>
        <v>USD</v>
      </c>
      <c r="B4599" t="str">
        <f>+'[2]por cuent'!B4599</f>
        <v>765000382</v>
      </c>
      <c r="C4599" t="str">
        <f>+'[2]por cuent'!C4599</f>
        <v xml:space="preserve">Manasseri, Andrea de Pilar </v>
      </c>
      <c r="D4599" s="35">
        <f>+'[2]por cuent'!G4599</f>
        <v>9.27</v>
      </c>
      <c r="E4599" s="35">
        <f>+'[2]por cuent'!H4599</f>
        <v>13864.026599999999</v>
      </c>
      <c r="F4599" t="str">
        <f>+'[2]por cuent'!I4599</f>
        <v>765</v>
      </c>
    </row>
    <row r="4600" spans="1:6" x14ac:dyDescent="0.35">
      <c r="A4600" t="str">
        <f>+'[2]por cuent'!A4600</f>
        <v>USD</v>
      </c>
      <c r="B4600" t="str">
        <f>+'[2]por cuent'!B4600</f>
        <v>765000387</v>
      </c>
      <c r="C4600" t="str">
        <f>+'[2]por cuent'!C4600</f>
        <v>Romanow, María Gabriela</v>
      </c>
      <c r="D4600" s="35">
        <f>+'[2]por cuent'!G4600</f>
        <v>117.42</v>
      </c>
      <c r="E4600" s="35">
        <f>+'[2]por cuent'!H4600</f>
        <v>175611.0036</v>
      </c>
      <c r="F4600" t="str">
        <f>+'[2]por cuent'!I4600</f>
        <v>765</v>
      </c>
    </row>
    <row r="4601" spans="1:6" x14ac:dyDescent="0.35">
      <c r="A4601" t="str">
        <f>+'[2]por cuent'!A4601</f>
        <v>USD</v>
      </c>
      <c r="B4601" t="str">
        <f>+'[2]por cuent'!B4601</f>
        <v>765000388</v>
      </c>
      <c r="C4601" t="str">
        <f>+'[2]por cuent'!C4601</f>
        <v>Gerstner, Julio Ignacio</v>
      </c>
      <c r="D4601" s="35">
        <f>+'[2]por cuent'!G4601</f>
        <v>2.5499999999999998</v>
      </c>
      <c r="E4601" s="35">
        <f>+'[2]por cuent'!H4601</f>
        <v>3813.7289999999994</v>
      </c>
      <c r="F4601" t="str">
        <f>+'[2]por cuent'!I4601</f>
        <v>765</v>
      </c>
    </row>
    <row r="4602" spans="1:6" x14ac:dyDescent="0.35">
      <c r="A4602" t="str">
        <f>+'[2]por cuent'!A4602</f>
        <v>USD</v>
      </c>
      <c r="B4602" t="str">
        <f>+'[2]por cuent'!B4602</f>
        <v>765000393</v>
      </c>
      <c r="C4602" t="str">
        <f>+'[2]por cuent'!C4602</f>
        <v xml:space="preserve">Bergia, María Cristina </v>
      </c>
      <c r="D4602" s="35">
        <f>+'[2]por cuent'!G4602</f>
        <v>6.07</v>
      </c>
      <c r="E4602" s="35">
        <f>+'[2]por cuent'!H4602</f>
        <v>9078.1705999999995</v>
      </c>
      <c r="F4602" t="str">
        <f>+'[2]por cuent'!I4602</f>
        <v>765</v>
      </c>
    </row>
    <row r="4603" spans="1:6" x14ac:dyDescent="0.35">
      <c r="A4603" t="str">
        <f>+'[2]por cuent'!A4603</f>
        <v>USD</v>
      </c>
      <c r="B4603" t="str">
        <f>+'[2]por cuent'!B4603</f>
        <v>765000395</v>
      </c>
      <c r="C4603" t="str">
        <f>+'[2]por cuent'!C4603</f>
        <v>IMOBERDORF HNOS. S.A</v>
      </c>
      <c r="D4603" s="35">
        <f>+'[2]por cuent'!G4603</f>
        <v>34386.78</v>
      </c>
      <c r="E4603" s="35">
        <f>+'[2]por cuent'!H4603</f>
        <v>51428180.432399996</v>
      </c>
      <c r="F4603" t="str">
        <f>+'[2]por cuent'!I4603</f>
        <v>765</v>
      </c>
    </row>
    <row r="4604" spans="1:6" x14ac:dyDescent="0.35">
      <c r="A4604" t="str">
        <f>+'[2]por cuent'!A4604</f>
        <v>USD</v>
      </c>
      <c r="B4604" t="str">
        <f>+'[2]por cuent'!B4604</f>
        <v>765000396</v>
      </c>
      <c r="C4604" t="str">
        <f>+'[2]por cuent'!C4604</f>
        <v>Álvarez , Adriana Nelida</v>
      </c>
      <c r="D4604" s="35">
        <f>+'[2]por cuent'!G4604</f>
        <v>76.22</v>
      </c>
      <c r="E4604" s="35">
        <f>+'[2]por cuent'!H4604</f>
        <v>113993.10759999999</v>
      </c>
      <c r="F4604" t="str">
        <f>+'[2]por cuent'!I4604</f>
        <v>765</v>
      </c>
    </row>
    <row r="4605" spans="1:6" x14ac:dyDescent="0.35">
      <c r="A4605" t="str">
        <f>+'[2]por cuent'!A4605</f>
        <v>USD</v>
      </c>
      <c r="B4605" t="str">
        <f>+'[2]por cuent'!B4605</f>
        <v>765000404</v>
      </c>
      <c r="C4605" t="str">
        <f>+'[2]por cuent'!C4605</f>
        <v>Aguilar, Sergio Eduardo Alejandro</v>
      </c>
      <c r="D4605" s="35">
        <f>+'[2]por cuent'!G4605</f>
        <v>336.8</v>
      </c>
      <c r="E4605" s="35">
        <f>+'[2]por cuent'!H4605</f>
        <v>503711.34399999998</v>
      </c>
      <c r="F4605" t="str">
        <f>+'[2]por cuent'!I4605</f>
        <v>765</v>
      </c>
    </row>
    <row r="4606" spans="1:6" x14ac:dyDescent="0.35">
      <c r="A4606" t="str">
        <f>+'[2]por cuent'!A4606</f>
        <v>USD</v>
      </c>
      <c r="B4606" t="str">
        <f>+'[2]por cuent'!B4606</f>
        <v>765000408</v>
      </c>
      <c r="C4606" t="str">
        <f>+'[2]por cuent'!C4606</f>
        <v>Rico, Emilia Beatriz</v>
      </c>
      <c r="D4606" s="35">
        <f>+'[2]por cuent'!G4606</f>
        <v>30.9</v>
      </c>
      <c r="E4606" s="35">
        <f>+'[2]por cuent'!H4606</f>
        <v>46213.421999999999</v>
      </c>
      <c r="F4606" t="str">
        <f>+'[2]por cuent'!I4606</f>
        <v>765</v>
      </c>
    </row>
    <row r="4607" spans="1:6" x14ac:dyDescent="0.35">
      <c r="A4607" t="str">
        <f>+'[2]por cuent'!A4607</f>
        <v>USD</v>
      </c>
      <c r="B4607" t="str">
        <f>+'[2]por cuent'!B4607</f>
        <v>765000419</v>
      </c>
      <c r="C4607" t="str">
        <f>+'[2]por cuent'!C4607</f>
        <v>Caffaratti, Guillermo Cesar</v>
      </c>
      <c r="D4607" s="35">
        <f>+'[2]por cuent'!G4607</f>
        <v>117.42</v>
      </c>
      <c r="E4607" s="35">
        <f>+'[2]por cuent'!H4607</f>
        <v>175611.0036</v>
      </c>
      <c r="F4607" t="str">
        <f>+'[2]por cuent'!I4607</f>
        <v>765</v>
      </c>
    </row>
    <row r="4608" spans="1:6" x14ac:dyDescent="0.35">
      <c r="A4608" t="str">
        <f>+'[2]por cuent'!A4608</f>
        <v>USD</v>
      </c>
      <c r="B4608" t="str">
        <f>+'[2]por cuent'!B4608</f>
        <v>765000424</v>
      </c>
      <c r="C4608" t="str">
        <f>+'[2]por cuent'!C4608</f>
        <v>Cappello, Angelo</v>
      </c>
      <c r="D4608" s="35">
        <f>+'[2]por cuent'!G4608</f>
        <v>11.34</v>
      </c>
      <c r="E4608" s="35">
        <f>+'[2]por cuent'!H4608</f>
        <v>16959.877199999999</v>
      </c>
      <c r="F4608" t="str">
        <f>+'[2]por cuent'!I4608</f>
        <v>765</v>
      </c>
    </row>
    <row r="4609" spans="1:6" x14ac:dyDescent="0.35">
      <c r="A4609" t="str">
        <f>+'[2]por cuent'!A4609</f>
        <v>USD</v>
      </c>
      <c r="B4609" t="str">
        <f>+'[2]por cuent'!B4609</f>
        <v>765000427</v>
      </c>
      <c r="C4609" t="str">
        <f>+'[2]por cuent'!C4609</f>
        <v>Carranza, Juan Manuel</v>
      </c>
      <c r="D4609" s="35">
        <f>+'[2]por cuent'!G4609</f>
        <v>47.38</v>
      </c>
      <c r="E4609" s="35">
        <f>+'[2]por cuent'!H4609</f>
        <v>70860.580400000006</v>
      </c>
      <c r="F4609" t="str">
        <f>+'[2]por cuent'!I4609</f>
        <v>765</v>
      </c>
    </row>
    <row r="4610" spans="1:6" x14ac:dyDescent="0.35">
      <c r="A4610" t="str">
        <f>+'[2]por cuent'!A4610</f>
        <v>USD</v>
      </c>
      <c r="B4610" t="str">
        <f>+'[2]por cuent'!B4610</f>
        <v>765000433</v>
      </c>
      <c r="C4610" t="str">
        <f>+'[2]por cuent'!C4610</f>
        <v>Gudel, Franco Eduardo</v>
      </c>
      <c r="D4610" s="35">
        <f>+'[2]por cuent'!G4610</f>
        <v>1226783.51</v>
      </c>
      <c r="E4610" s="35">
        <f>+'[2]por cuent'!H4610</f>
        <v>1834752881.8857999</v>
      </c>
      <c r="F4610" t="str">
        <f>+'[2]por cuent'!I4610</f>
        <v>765</v>
      </c>
    </row>
    <row r="4611" spans="1:6" x14ac:dyDescent="0.35">
      <c r="A4611" t="str">
        <f>+'[2]por cuent'!A4611</f>
        <v>USD</v>
      </c>
      <c r="B4611" t="str">
        <f>+'[2]por cuent'!B4611</f>
        <v>765000437</v>
      </c>
      <c r="C4611" t="str">
        <f>+'[2]por cuent'!C4611</f>
        <v>Castellino, Marcos Jose</v>
      </c>
      <c r="D4611" s="35">
        <f>+'[2]por cuent'!G4611</f>
        <v>7.21</v>
      </c>
      <c r="E4611" s="35">
        <f>+'[2]por cuent'!H4611</f>
        <v>10783.131799999999</v>
      </c>
      <c r="F4611" t="str">
        <f>+'[2]por cuent'!I4611</f>
        <v>765</v>
      </c>
    </row>
    <row r="4612" spans="1:6" x14ac:dyDescent="0.35">
      <c r="A4612" t="str">
        <f>+'[2]por cuent'!A4612</f>
        <v>USD</v>
      </c>
      <c r="B4612" t="str">
        <f>+'[2]por cuent'!B4612</f>
        <v>765000443</v>
      </c>
      <c r="C4612" t="str">
        <f>+'[2]por cuent'!C4612</f>
        <v xml:space="preserve">Gozzi Pecci, Gaston Matias Jose </v>
      </c>
      <c r="D4612" s="35">
        <f>+'[2]por cuent'!G4612</f>
        <v>13.39</v>
      </c>
      <c r="E4612" s="35">
        <f>+'[2]por cuent'!H4612</f>
        <v>20025.816200000001</v>
      </c>
      <c r="F4612" t="str">
        <f>+'[2]por cuent'!I4612</f>
        <v>765</v>
      </c>
    </row>
    <row r="4613" spans="1:6" x14ac:dyDescent="0.35">
      <c r="A4613" t="str">
        <f>+'[2]por cuent'!A4613</f>
        <v>USD</v>
      </c>
      <c r="B4613" t="str">
        <f>+'[2]por cuent'!B4613</f>
        <v>765000448</v>
      </c>
      <c r="C4613" t="str">
        <f>+'[2]por cuent'!C4613</f>
        <v>Allegranza, Mauricio Alfredo</v>
      </c>
      <c r="D4613" s="35">
        <f>+'[2]por cuent'!G4613</f>
        <v>350.03</v>
      </c>
      <c r="E4613" s="35">
        <f>+'[2]por cuent'!H4613</f>
        <v>523497.86739999993</v>
      </c>
      <c r="F4613" t="str">
        <f>+'[2]por cuent'!I4613</f>
        <v>765</v>
      </c>
    </row>
    <row r="4614" spans="1:6" x14ac:dyDescent="0.35">
      <c r="A4614" t="str">
        <f>+'[2]por cuent'!A4614</f>
        <v>USD</v>
      </c>
      <c r="B4614" t="str">
        <f>+'[2]por cuent'!B4614</f>
        <v>765000457</v>
      </c>
      <c r="C4614" t="str">
        <f>+'[2]por cuent'!C4614</f>
        <v>Sibona, Enilda Margarita</v>
      </c>
      <c r="D4614" s="35">
        <f>+'[2]por cuent'!G4614</f>
        <v>85.49</v>
      </c>
      <c r="E4614" s="35">
        <f>+'[2]por cuent'!H4614</f>
        <v>127857.13419999999</v>
      </c>
      <c r="F4614" t="str">
        <f>+'[2]por cuent'!I4614</f>
        <v>765</v>
      </c>
    </row>
    <row r="4615" spans="1:6" x14ac:dyDescent="0.35">
      <c r="A4615" t="str">
        <f>+'[2]por cuent'!A4615</f>
        <v>USD</v>
      </c>
      <c r="B4615" t="str">
        <f>+'[2]por cuent'!B4615</f>
        <v>765000458</v>
      </c>
      <c r="C4615" t="str">
        <f>+'[2]por cuent'!C4615</f>
        <v>Piumetti, María Alejandra</v>
      </c>
      <c r="D4615" s="35">
        <f>+'[2]por cuent'!G4615</f>
        <v>110.21</v>
      </c>
      <c r="E4615" s="35">
        <f>+'[2]por cuent'!H4615</f>
        <v>164827.87179999999</v>
      </c>
      <c r="F4615" t="str">
        <f>+'[2]por cuent'!I4615</f>
        <v>765</v>
      </c>
    </row>
    <row r="4616" spans="1:6" x14ac:dyDescent="0.35">
      <c r="A4616" t="str">
        <f>+'[2]por cuent'!A4616</f>
        <v>USD</v>
      </c>
      <c r="B4616" t="str">
        <f>+'[2]por cuent'!B4616</f>
        <v>765000467</v>
      </c>
      <c r="C4616" t="str">
        <f>+'[2]por cuent'!C4616</f>
        <v>Alvarez, Diego Matias</v>
      </c>
      <c r="D4616" s="35">
        <f>+'[2]por cuent'!G4616</f>
        <v>65.92</v>
      </c>
      <c r="E4616" s="35">
        <f>+'[2]por cuent'!H4616</f>
        <v>98588.633600000001</v>
      </c>
      <c r="F4616" t="str">
        <f>+'[2]por cuent'!I4616</f>
        <v>765</v>
      </c>
    </row>
    <row r="4617" spans="1:6" x14ac:dyDescent="0.35">
      <c r="A4617" t="str">
        <f>+'[2]por cuent'!A4617</f>
        <v>USD</v>
      </c>
      <c r="B4617" t="str">
        <f>+'[2]por cuent'!B4617</f>
        <v>765000468</v>
      </c>
      <c r="C4617" t="str">
        <f>+'[2]por cuent'!C4617</f>
        <v xml:space="preserve">Quiroga, Hernán Darío </v>
      </c>
      <c r="D4617" s="35">
        <f>+'[2]por cuent'!G4617</f>
        <v>33.840000000000003</v>
      </c>
      <c r="E4617" s="35">
        <f>+'[2]por cuent'!H4617</f>
        <v>50610.427200000006</v>
      </c>
      <c r="F4617" t="str">
        <f>+'[2]por cuent'!I4617</f>
        <v>765</v>
      </c>
    </row>
    <row r="4618" spans="1:6" x14ac:dyDescent="0.35">
      <c r="A4618" t="str">
        <f>+'[2]por cuent'!A4618</f>
        <v>USD</v>
      </c>
      <c r="B4618" t="str">
        <f>+'[2]por cuent'!B4618</f>
        <v>765000469</v>
      </c>
      <c r="C4618" t="str">
        <f>+'[2]por cuent'!C4618</f>
        <v>Maccari, Lorena Silvia</v>
      </c>
      <c r="D4618" s="35">
        <f>+'[2]por cuent'!G4618</f>
        <v>29792.06</v>
      </c>
      <c r="E4618" s="35">
        <f>+'[2]por cuent'!H4618</f>
        <v>44556409.094800003</v>
      </c>
      <c r="F4618" t="str">
        <f>+'[2]por cuent'!I4618</f>
        <v>765</v>
      </c>
    </row>
    <row r="4619" spans="1:6" x14ac:dyDescent="0.35">
      <c r="A4619" t="str">
        <f>+'[2]por cuent'!A4619</f>
        <v>USD</v>
      </c>
      <c r="B4619" t="str">
        <f>+'[2]por cuent'!B4619</f>
        <v>765000476</v>
      </c>
      <c r="C4619" t="str">
        <f>+'[2]por cuent'!C4619</f>
        <v>Torné, Nicolas Martín</v>
      </c>
      <c r="D4619" s="35">
        <f>+'[2]por cuent'!G4619</f>
        <v>47.38</v>
      </c>
      <c r="E4619" s="35">
        <f>+'[2]por cuent'!H4619</f>
        <v>70860.580400000006</v>
      </c>
      <c r="F4619" t="str">
        <f>+'[2]por cuent'!I4619</f>
        <v>765</v>
      </c>
    </row>
    <row r="4620" spans="1:6" x14ac:dyDescent="0.35">
      <c r="A4620" t="str">
        <f>+'[2]por cuent'!A4620</f>
        <v>USD</v>
      </c>
      <c r="B4620" t="str">
        <f>+'[2]por cuent'!B4620</f>
        <v>765000478</v>
      </c>
      <c r="C4620" t="str">
        <f>+'[2]por cuent'!C4620</f>
        <v>Lopez, Gimena Mabel</v>
      </c>
      <c r="D4620" s="35">
        <f>+'[2]por cuent'!G4620</f>
        <v>8.24</v>
      </c>
      <c r="E4620" s="35">
        <f>+'[2]por cuent'!H4620</f>
        <v>12323.5792</v>
      </c>
      <c r="F4620" t="str">
        <f>+'[2]por cuent'!I4620</f>
        <v>765</v>
      </c>
    </row>
    <row r="4621" spans="1:6" x14ac:dyDescent="0.35">
      <c r="A4621" t="str">
        <f>+'[2]por cuent'!A4621</f>
        <v>USD</v>
      </c>
      <c r="B4621" t="str">
        <f>+'[2]por cuent'!B4621</f>
        <v>765000483</v>
      </c>
      <c r="C4621" t="str">
        <f>+'[2]por cuent'!C4621</f>
        <v>Perona, Sebastian Mauro</v>
      </c>
      <c r="D4621" s="35">
        <f>+'[2]por cuent'!G4621</f>
        <v>56.65</v>
      </c>
      <c r="E4621" s="35">
        <f>+'[2]por cuent'!H4621</f>
        <v>84724.606999999989</v>
      </c>
      <c r="F4621" t="str">
        <f>+'[2]por cuent'!I4621</f>
        <v>765</v>
      </c>
    </row>
    <row r="4622" spans="1:6" x14ac:dyDescent="0.35">
      <c r="A4622" t="str">
        <f>+'[2]por cuent'!A4622</f>
        <v>USD</v>
      </c>
      <c r="B4622" t="str">
        <f>+'[2]por cuent'!B4622</f>
        <v>765000486</v>
      </c>
      <c r="C4622" t="str">
        <f>+'[2]por cuent'!C4622</f>
        <v>Ebani, Emanuel Alejandro</v>
      </c>
      <c r="D4622" s="35">
        <f>+'[2]por cuent'!G4622</f>
        <v>44.29</v>
      </c>
      <c r="E4622" s="35">
        <f>+'[2]por cuent'!H4622</f>
        <v>66239.238199999993</v>
      </c>
      <c r="F4622" t="str">
        <f>+'[2]por cuent'!I4622</f>
        <v>765</v>
      </c>
    </row>
    <row r="4623" spans="1:6" x14ac:dyDescent="0.35">
      <c r="A4623" t="str">
        <f>+'[2]por cuent'!A4623</f>
        <v>USD</v>
      </c>
      <c r="B4623" t="str">
        <f>+'[2]por cuent'!B4623</f>
        <v>765000488</v>
      </c>
      <c r="C4623" t="str">
        <f>+'[2]por cuent'!C4623</f>
        <v>Franco, Mauro Emmanuel</v>
      </c>
      <c r="D4623" s="35">
        <f>+'[2]por cuent'!G4623</f>
        <v>28.84</v>
      </c>
      <c r="E4623" s="35">
        <f>+'[2]por cuent'!H4623</f>
        <v>43132.527199999997</v>
      </c>
      <c r="F4623" t="str">
        <f>+'[2]por cuent'!I4623</f>
        <v>765</v>
      </c>
    </row>
    <row r="4624" spans="1:6" x14ac:dyDescent="0.35">
      <c r="A4624" t="str">
        <f>+'[2]por cuent'!A4624</f>
        <v>USD</v>
      </c>
      <c r="B4624" t="str">
        <f>+'[2]por cuent'!B4624</f>
        <v>765000489</v>
      </c>
      <c r="C4624" t="str">
        <f>+'[2]por cuent'!C4624</f>
        <v>Torrazza, Stefano</v>
      </c>
      <c r="D4624" s="35">
        <f>+'[2]por cuent'!G4624</f>
        <v>29563.06</v>
      </c>
      <c r="E4624" s="35">
        <f>+'[2]por cuent'!H4624</f>
        <v>44213921.274800003</v>
      </c>
      <c r="F4624" t="str">
        <f>+'[2]por cuent'!I4624</f>
        <v>765</v>
      </c>
    </row>
    <row r="4625" spans="1:6" x14ac:dyDescent="0.35">
      <c r="A4625" t="str">
        <f>+'[2]por cuent'!A4625</f>
        <v>USD</v>
      </c>
      <c r="B4625" t="str">
        <f>+'[2]por cuent'!B4625</f>
        <v>765000491</v>
      </c>
      <c r="C4625" t="str">
        <f>+'[2]por cuent'!C4625</f>
        <v>Martina, Julian Andres</v>
      </c>
      <c r="D4625" s="35">
        <f>+'[2]por cuent'!G4625</f>
        <v>1.1599999999999999</v>
      </c>
      <c r="E4625" s="35">
        <f>+'[2]por cuent'!H4625</f>
        <v>1734.8727999999999</v>
      </c>
      <c r="F4625" t="str">
        <f>+'[2]por cuent'!I4625</f>
        <v>765</v>
      </c>
    </row>
    <row r="4626" spans="1:6" x14ac:dyDescent="0.35">
      <c r="A4626" t="str">
        <f>+'[2]por cuent'!A4626</f>
        <v>USD</v>
      </c>
      <c r="B4626" t="str">
        <f>+'[2]por cuent'!B4626</f>
        <v>765000492</v>
      </c>
      <c r="C4626" t="str">
        <f>+'[2]por cuent'!C4626</f>
        <v xml:space="preserve">Perlo, Gino Andres </v>
      </c>
      <c r="D4626" s="35">
        <f>+'[2]por cuent'!G4626</f>
        <v>20.6</v>
      </c>
      <c r="E4626" s="35">
        <f>+'[2]por cuent'!H4626</f>
        <v>30808.948</v>
      </c>
      <c r="F4626" t="str">
        <f>+'[2]por cuent'!I4626</f>
        <v>765</v>
      </c>
    </row>
    <row r="4627" spans="1:6" x14ac:dyDescent="0.35">
      <c r="A4627" t="str">
        <f>+'[2]por cuent'!A4627</f>
        <v>USD</v>
      </c>
      <c r="B4627" t="str">
        <f>+'[2]por cuent'!B4627</f>
        <v>765000494</v>
      </c>
      <c r="C4627" t="str">
        <f>+'[2]por cuent'!C4627</f>
        <v>Picabea, Juan Manuel</v>
      </c>
      <c r="D4627" s="35">
        <f>+'[2]por cuent'!G4627</f>
        <v>72.099999999999994</v>
      </c>
      <c r="E4627" s="35">
        <f>+'[2]por cuent'!H4627</f>
        <v>107831.31799999998</v>
      </c>
      <c r="F4627" t="str">
        <f>+'[2]por cuent'!I4627</f>
        <v>765</v>
      </c>
    </row>
    <row r="4628" spans="1:6" x14ac:dyDescent="0.35">
      <c r="A4628" t="str">
        <f>+'[2]por cuent'!A4628</f>
        <v>USD</v>
      </c>
      <c r="B4628" t="str">
        <f>+'[2]por cuent'!B4628</f>
        <v>765000496</v>
      </c>
      <c r="C4628" t="str">
        <f>+'[2]por cuent'!C4628</f>
        <v>BOASSO Y CIA SRL</v>
      </c>
      <c r="D4628" s="35">
        <f>+'[2]por cuent'!G4628</f>
        <v>8.24</v>
      </c>
      <c r="E4628" s="35">
        <f>+'[2]por cuent'!H4628</f>
        <v>12323.5792</v>
      </c>
      <c r="F4628" t="str">
        <f>+'[2]por cuent'!I4628</f>
        <v>765</v>
      </c>
    </row>
    <row r="4629" spans="1:6" x14ac:dyDescent="0.35">
      <c r="A4629" t="str">
        <f>+'[2]por cuent'!A4629</f>
        <v>USD</v>
      </c>
      <c r="B4629" t="str">
        <f>+'[2]por cuent'!B4629</f>
        <v>765000497</v>
      </c>
      <c r="C4629" t="str">
        <f>+'[2]por cuent'!C4629</f>
        <v>Rossi, Mariella Irene</v>
      </c>
      <c r="D4629" s="35">
        <f>+'[2]por cuent'!G4629</f>
        <v>442.26</v>
      </c>
      <c r="E4629" s="35">
        <f>+'[2]por cuent'!H4629</f>
        <v>661435.2108</v>
      </c>
      <c r="F4629" t="str">
        <f>+'[2]por cuent'!I4629</f>
        <v>765</v>
      </c>
    </row>
    <row r="4630" spans="1:6" x14ac:dyDescent="0.35">
      <c r="A4630" t="str">
        <f>+'[2]por cuent'!A4630</f>
        <v>USD</v>
      </c>
      <c r="B4630" t="str">
        <f>+'[2]por cuent'!B4630</f>
        <v>765000498</v>
      </c>
      <c r="C4630" t="str">
        <f>+'[2]por cuent'!C4630</f>
        <v>Celotti, Sofía</v>
      </c>
      <c r="D4630" s="35">
        <f>+'[2]por cuent'!G4630</f>
        <v>101.97</v>
      </c>
      <c r="E4630" s="35">
        <f>+'[2]por cuent'!H4630</f>
        <v>152504.29259999999</v>
      </c>
      <c r="F4630" t="str">
        <f>+'[2]por cuent'!I4630</f>
        <v>765</v>
      </c>
    </row>
    <row r="4631" spans="1:6" x14ac:dyDescent="0.35">
      <c r="A4631" t="str">
        <f>+'[2]por cuent'!A4631</f>
        <v>USD</v>
      </c>
      <c r="B4631" t="str">
        <f>+'[2]por cuent'!B4631</f>
        <v>765000499</v>
      </c>
      <c r="C4631" t="str">
        <f>+'[2]por cuent'!C4631</f>
        <v>Lapassini, Guillermo Raúl</v>
      </c>
      <c r="D4631" s="35">
        <f>+'[2]por cuent'!G4631</f>
        <v>6630.49</v>
      </c>
      <c r="E4631" s="35">
        <f>+'[2]por cuent'!H4631</f>
        <v>9916428.2341999989</v>
      </c>
      <c r="F4631" t="str">
        <f>+'[2]por cuent'!I4631</f>
        <v>765</v>
      </c>
    </row>
    <row r="4632" spans="1:6" x14ac:dyDescent="0.35">
      <c r="A4632" t="str">
        <f>+'[2]por cuent'!A4632</f>
        <v>USD</v>
      </c>
      <c r="B4632" t="str">
        <f>+'[2]por cuent'!B4632</f>
        <v>765000501</v>
      </c>
      <c r="C4632" t="str">
        <f>+'[2]por cuent'!C4632</f>
        <v>Ulla, Facundo</v>
      </c>
      <c r="D4632" s="35">
        <f>+'[2]por cuent'!G4632</f>
        <v>62.83</v>
      </c>
      <c r="E4632" s="35">
        <f>+'[2]por cuent'!H4632</f>
        <v>93967.291399999987</v>
      </c>
      <c r="F4632" t="str">
        <f>+'[2]por cuent'!I4632</f>
        <v>765</v>
      </c>
    </row>
    <row r="4633" spans="1:6" x14ac:dyDescent="0.35">
      <c r="A4633" t="str">
        <f>+'[2]por cuent'!A4633</f>
        <v>USD</v>
      </c>
      <c r="B4633" t="str">
        <f>+'[2]por cuent'!B4633</f>
        <v>765000502</v>
      </c>
      <c r="C4633" t="str">
        <f>+'[2]por cuent'!C4633</f>
        <v>Delgado, Fabiana Belén</v>
      </c>
      <c r="D4633" s="35">
        <f>+'[2]por cuent'!G4633</f>
        <v>2475.0300000000002</v>
      </c>
      <c r="E4633" s="35">
        <f>+'[2]por cuent'!H4633</f>
        <v>3701605.3674000003</v>
      </c>
      <c r="F4633" t="str">
        <f>+'[2]por cuent'!I4633</f>
        <v>765</v>
      </c>
    </row>
    <row r="4634" spans="1:6" x14ac:dyDescent="0.35">
      <c r="A4634" t="str">
        <f>+'[2]por cuent'!A4634</f>
        <v>USD</v>
      </c>
      <c r="B4634" t="str">
        <f>+'[2]por cuent'!B4634</f>
        <v>765000504</v>
      </c>
      <c r="C4634" t="str">
        <f>+'[2]por cuent'!C4634</f>
        <v>Coppari, Mirta Beatriz</v>
      </c>
      <c r="D4634" s="35">
        <f>+'[2]por cuent'!G4634</f>
        <v>25.75</v>
      </c>
      <c r="E4634" s="35">
        <f>+'[2]por cuent'!H4634</f>
        <v>38511.184999999998</v>
      </c>
      <c r="F4634" t="str">
        <f>+'[2]por cuent'!I4634</f>
        <v>765</v>
      </c>
    </row>
    <row r="4635" spans="1:6" x14ac:dyDescent="0.35">
      <c r="A4635" t="str">
        <f>+'[2]por cuent'!A4635</f>
        <v>USD</v>
      </c>
      <c r="B4635" t="str">
        <f>+'[2]por cuent'!B4635</f>
        <v>765000505</v>
      </c>
      <c r="C4635" t="str">
        <f>+'[2]por cuent'!C4635</f>
        <v>Ebani, Julio Cesar</v>
      </c>
      <c r="D4635" s="35">
        <f>+'[2]por cuent'!G4635</f>
        <v>18.54</v>
      </c>
      <c r="E4635" s="35">
        <f>+'[2]por cuent'!H4635</f>
        <v>27728.053199999998</v>
      </c>
      <c r="F4635" t="str">
        <f>+'[2]por cuent'!I4635</f>
        <v>765</v>
      </c>
    </row>
    <row r="4636" spans="1:6" x14ac:dyDescent="0.35">
      <c r="A4636" t="str">
        <f>+'[2]por cuent'!A4636</f>
        <v>USD</v>
      </c>
      <c r="B4636" t="str">
        <f>+'[2]por cuent'!B4636</f>
        <v>765000508</v>
      </c>
      <c r="C4636" t="str">
        <f>+'[2]por cuent'!C4636</f>
        <v>Fernandez, Lara</v>
      </c>
      <c r="D4636" s="35">
        <f>+'[2]por cuent'!G4636</f>
        <v>57.37</v>
      </c>
      <c r="E4636" s="35">
        <f>+'[2]por cuent'!H4636</f>
        <v>85801.424599999998</v>
      </c>
      <c r="F4636" t="str">
        <f>+'[2]por cuent'!I4636</f>
        <v>765</v>
      </c>
    </row>
    <row r="4637" spans="1:6" x14ac:dyDescent="0.35">
      <c r="A4637" t="str">
        <f>+'[2]por cuent'!A4637</f>
        <v>USD</v>
      </c>
      <c r="B4637" t="str">
        <f>+'[2]por cuent'!B4637</f>
        <v>765000509</v>
      </c>
      <c r="C4637" t="str">
        <f>+'[2]por cuent'!C4637</f>
        <v>Aresse, Adriana Raquel</v>
      </c>
      <c r="D4637" s="35">
        <f>+'[2]por cuent'!G4637</f>
        <v>4.12</v>
      </c>
      <c r="E4637" s="35">
        <f>+'[2]por cuent'!H4637</f>
        <v>6161.7896000000001</v>
      </c>
      <c r="F4637" t="str">
        <f>+'[2]por cuent'!I4637</f>
        <v>765</v>
      </c>
    </row>
    <row r="4638" spans="1:6" x14ac:dyDescent="0.35">
      <c r="A4638" t="str">
        <f>+'[2]por cuent'!A4638</f>
        <v>USD</v>
      </c>
      <c r="B4638" t="str">
        <f>+'[2]por cuent'!B4638</f>
        <v>765000511</v>
      </c>
      <c r="C4638" t="str">
        <f>+'[2]por cuent'!C4638</f>
        <v xml:space="preserve">Lombardo, Roció Belén </v>
      </c>
      <c r="D4638" s="35">
        <f>+'[2]por cuent'!G4638</f>
        <v>324.5</v>
      </c>
      <c r="E4638" s="35">
        <f>+'[2]por cuent'!H4638</f>
        <v>485315.70999999996</v>
      </c>
      <c r="F4638" t="str">
        <f>+'[2]por cuent'!I4638</f>
        <v>765</v>
      </c>
    </row>
    <row r="4639" spans="1:6" x14ac:dyDescent="0.35">
      <c r="A4639" t="str">
        <f>+'[2]por cuent'!A4639</f>
        <v>USD</v>
      </c>
      <c r="B4639" t="str">
        <f>+'[2]por cuent'!B4639</f>
        <v>765000513</v>
      </c>
      <c r="C4639" t="str">
        <f>+'[2]por cuent'!C4639</f>
        <v>Avalle, Luciana María</v>
      </c>
      <c r="D4639" s="35">
        <f>+'[2]por cuent'!G4639</f>
        <v>7.65</v>
      </c>
      <c r="E4639" s="35">
        <f>+'[2]por cuent'!H4639</f>
        <v>11441.187</v>
      </c>
      <c r="F4639" t="str">
        <f>+'[2]por cuent'!I4639</f>
        <v>765</v>
      </c>
    </row>
    <row r="4640" spans="1:6" x14ac:dyDescent="0.35">
      <c r="A4640" t="str">
        <f>+'[2]por cuent'!A4640</f>
        <v>USD</v>
      </c>
      <c r="B4640" t="str">
        <f>+'[2]por cuent'!B4640</f>
        <v>765000517</v>
      </c>
      <c r="C4640" t="str">
        <f>+'[2]por cuent'!C4640</f>
        <v xml:space="preserve">Celotti, Guillermo Federico </v>
      </c>
      <c r="D4640" s="35">
        <f>+'[2]por cuent'!G4640</f>
        <v>9.27</v>
      </c>
      <c r="E4640" s="35">
        <f>+'[2]por cuent'!H4640</f>
        <v>13864.026599999999</v>
      </c>
      <c r="F4640" t="str">
        <f>+'[2]por cuent'!I4640</f>
        <v>765</v>
      </c>
    </row>
    <row r="4641" spans="1:6" x14ac:dyDescent="0.35">
      <c r="A4641" t="str">
        <f>+'[2]por cuent'!A4641</f>
        <v>USD</v>
      </c>
      <c r="B4641" t="str">
        <f>+'[2]por cuent'!B4641</f>
        <v>765000521</v>
      </c>
      <c r="C4641" t="str">
        <f>+'[2]por cuent'!C4641</f>
        <v>Azeretzky, Gastón</v>
      </c>
      <c r="D4641" s="35">
        <f>+'[2]por cuent'!G4641</f>
        <v>52.53</v>
      </c>
      <c r="E4641" s="35">
        <f>+'[2]por cuent'!H4641</f>
        <v>78562.8174</v>
      </c>
      <c r="F4641" t="str">
        <f>+'[2]por cuent'!I4641</f>
        <v>765</v>
      </c>
    </row>
    <row r="4642" spans="1:6" x14ac:dyDescent="0.35">
      <c r="A4642" t="str">
        <f>+'[2]por cuent'!A4642</f>
        <v>USD</v>
      </c>
      <c r="B4642" t="str">
        <f>+'[2]por cuent'!B4642</f>
        <v>765000523</v>
      </c>
      <c r="C4642" t="str">
        <f>+'[2]por cuent'!C4642</f>
        <v xml:space="preserve">Mutual de Ayuda Entre Asociados y Adherentes del Club Atlético Def de Centeno </v>
      </c>
      <c r="D4642" s="35">
        <f>+'[2]por cuent'!G4642</f>
        <v>99006.54</v>
      </c>
      <c r="E4642" s="35">
        <f>+'[2]por cuent'!H4642</f>
        <v>148072201.09319997</v>
      </c>
      <c r="F4642" t="str">
        <f>+'[2]por cuent'!I4642</f>
        <v>765</v>
      </c>
    </row>
    <row r="4643" spans="1:6" x14ac:dyDescent="0.35">
      <c r="A4643" t="str">
        <f>+'[2]por cuent'!A4643</f>
        <v>USD</v>
      </c>
      <c r="B4643" t="str">
        <f>+'[2]por cuent'!B4643</f>
        <v>765000524</v>
      </c>
      <c r="C4643" t="str">
        <f>+'[2]por cuent'!C4643</f>
        <v>Bartolelli, Cristian Walter</v>
      </c>
      <c r="D4643" s="35">
        <f>+'[2]por cuent'!G4643</f>
        <v>5.15</v>
      </c>
      <c r="E4643" s="35">
        <f>+'[2]por cuent'!H4643</f>
        <v>7702.2370000000001</v>
      </c>
      <c r="F4643" t="str">
        <f>+'[2]por cuent'!I4643</f>
        <v>765</v>
      </c>
    </row>
    <row r="4644" spans="1:6" x14ac:dyDescent="0.35">
      <c r="A4644" t="str">
        <f>+'[2]por cuent'!A4644</f>
        <v>USD</v>
      </c>
      <c r="B4644" t="str">
        <f>+'[2]por cuent'!B4644</f>
        <v>765000527</v>
      </c>
      <c r="C4644" t="str">
        <f>+'[2]por cuent'!C4644</f>
        <v>Calzada, Ignacio Ariel</v>
      </c>
      <c r="D4644" s="35">
        <f>+'[2]por cuent'!G4644</f>
        <v>8.24</v>
      </c>
      <c r="E4644" s="35">
        <f>+'[2]por cuent'!H4644</f>
        <v>12323.5792</v>
      </c>
      <c r="F4644" t="str">
        <f>+'[2]por cuent'!I4644</f>
        <v>765</v>
      </c>
    </row>
    <row r="4645" spans="1:6" x14ac:dyDescent="0.35">
      <c r="A4645" t="str">
        <f>+'[2]por cuent'!A4645</f>
        <v>USD</v>
      </c>
      <c r="B4645" t="str">
        <f>+'[2]por cuent'!B4645</f>
        <v>765000529</v>
      </c>
      <c r="C4645" t="str">
        <f>+'[2]por cuent'!C4645</f>
        <v>Arias, Gustavo Daniel</v>
      </c>
      <c r="D4645" s="35">
        <f>+'[2]por cuent'!G4645</f>
        <v>9.27</v>
      </c>
      <c r="E4645" s="35">
        <f>+'[2]por cuent'!H4645</f>
        <v>13864.026599999999</v>
      </c>
      <c r="F4645" t="str">
        <f>+'[2]por cuent'!I4645</f>
        <v>765</v>
      </c>
    </row>
    <row r="4646" spans="1:6" x14ac:dyDescent="0.35">
      <c r="A4646" t="str">
        <f>+'[2]por cuent'!A4646</f>
        <v>USD</v>
      </c>
      <c r="B4646" t="str">
        <f>+'[2]por cuent'!B4646</f>
        <v>765000535</v>
      </c>
      <c r="C4646" t="str">
        <f>+'[2]por cuent'!C4646</f>
        <v>Soria, Omar Alberto</v>
      </c>
      <c r="D4646" s="35">
        <f>+'[2]por cuent'!G4646</f>
        <v>9.7799999999999994</v>
      </c>
      <c r="E4646" s="35">
        <f>+'[2]por cuent'!H4646</f>
        <v>14626.772399999998</v>
      </c>
      <c r="F4646" t="str">
        <f>+'[2]por cuent'!I4646</f>
        <v>765</v>
      </c>
    </row>
    <row r="4647" spans="1:6" x14ac:dyDescent="0.35">
      <c r="A4647" t="str">
        <f>+'[2]por cuent'!A4647</f>
        <v>USD</v>
      </c>
      <c r="B4647" t="str">
        <f>+'[2]por cuent'!B4647</f>
        <v>765000536</v>
      </c>
      <c r="C4647" t="str">
        <f>+'[2]por cuent'!C4647</f>
        <v>RAF EVENTOS SRL</v>
      </c>
      <c r="D4647" s="35">
        <f>+'[2]por cuent'!G4647</f>
        <v>40416.85</v>
      </c>
      <c r="E4647" s="35">
        <f>+'[2]por cuent'!H4647</f>
        <v>60446632.522999994</v>
      </c>
      <c r="F4647" t="str">
        <f>+'[2]por cuent'!I4647</f>
        <v>765</v>
      </c>
    </row>
    <row r="4648" spans="1:6" x14ac:dyDescent="0.35">
      <c r="A4648" t="str">
        <f>+'[2]por cuent'!A4648</f>
        <v>USD</v>
      </c>
      <c r="B4648" t="str">
        <f>+'[2]por cuent'!B4648</f>
        <v>765000540</v>
      </c>
      <c r="C4648" t="str">
        <f>+'[2]por cuent'!C4648</f>
        <v xml:space="preserve">Lombardo, Mariano Daniel </v>
      </c>
      <c r="D4648" s="35">
        <f>+'[2]por cuent'!G4648</f>
        <v>59.74</v>
      </c>
      <c r="E4648" s="35">
        <f>+'[2]por cuent'!H4648</f>
        <v>89345.949200000003</v>
      </c>
      <c r="F4648" t="str">
        <f>+'[2]por cuent'!I4648</f>
        <v>765</v>
      </c>
    </row>
    <row r="4649" spans="1:6" x14ac:dyDescent="0.35">
      <c r="A4649" t="str">
        <f>+'[2]por cuent'!A4649</f>
        <v>USD</v>
      </c>
      <c r="B4649" t="str">
        <f>+'[2]por cuent'!B4649</f>
        <v>765000542</v>
      </c>
      <c r="C4649" t="str">
        <f>+'[2]por cuent'!C4649</f>
        <v>Figueredo, Paul</v>
      </c>
      <c r="D4649" s="35">
        <f>+'[2]por cuent'!G4649</f>
        <v>9.27</v>
      </c>
      <c r="E4649" s="35">
        <f>+'[2]por cuent'!H4649</f>
        <v>13864.026599999999</v>
      </c>
      <c r="F4649" t="str">
        <f>+'[2]por cuent'!I4649</f>
        <v>765</v>
      </c>
    </row>
    <row r="4650" spans="1:6" x14ac:dyDescent="0.35">
      <c r="A4650" t="str">
        <f>+'[2]por cuent'!A4650</f>
        <v>USD</v>
      </c>
      <c r="B4650" t="str">
        <f>+'[2]por cuent'!B4650</f>
        <v>765000549</v>
      </c>
      <c r="C4650" t="str">
        <f>+'[2]por cuent'!C4650</f>
        <v>Surace, Nerina Flavia</v>
      </c>
      <c r="D4650" s="35">
        <f>+'[2]por cuent'!G4650</f>
        <v>11500.66</v>
      </c>
      <c r="E4650" s="35">
        <f>+'[2]por cuent'!H4650</f>
        <v>17200157.082799997</v>
      </c>
      <c r="F4650" t="str">
        <f>+'[2]por cuent'!I4650</f>
        <v>765</v>
      </c>
    </row>
    <row r="4651" spans="1:6" x14ac:dyDescent="0.35">
      <c r="A4651" t="str">
        <f>+'[2]por cuent'!A4651</f>
        <v>USD</v>
      </c>
      <c r="B4651" t="str">
        <f>+'[2]por cuent'!B4651</f>
        <v>765000553</v>
      </c>
      <c r="C4651" t="str">
        <f>+'[2]por cuent'!C4651</f>
        <v>Boasso, Maria Victoria</v>
      </c>
      <c r="D4651" s="35">
        <f>+'[2]por cuent'!G4651</f>
        <v>13.39</v>
      </c>
      <c r="E4651" s="35">
        <f>+'[2]por cuent'!H4651</f>
        <v>20025.816200000001</v>
      </c>
      <c r="F4651" t="str">
        <f>+'[2]por cuent'!I4651</f>
        <v>765</v>
      </c>
    </row>
    <row r="4652" spans="1:6" x14ac:dyDescent="0.35">
      <c r="A4652" t="str">
        <f>+'[2]por cuent'!A4652</f>
        <v>USD</v>
      </c>
      <c r="B4652" t="str">
        <f>+'[2]por cuent'!B4652</f>
        <v>765000557</v>
      </c>
      <c r="C4652" t="str">
        <f>+'[2]por cuent'!C4652</f>
        <v>Celotti, Ignacio</v>
      </c>
      <c r="D4652" s="35">
        <f>+'[2]por cuent'!G4652</f>
        <v>45.32</v>
      </c>
      <c r="E4652" s="35">
        <f>+'[2]por cuent'!H4652</f>
        <v>67779.685599999997</v>
      </c>
      <c r="F4652" t="str">
        <f>+'[2]por cuent'!I4652</f>
        <v>765</v>
      </c>
    </row>
    <row r="4653" spans="1:6" x14ac:dyDescent="0.35">
      <c r="A4653" t="str">
        <f>+'[2]por cuent'!A4653</f>
        <v>USD</v>
      </c>
      <c r="B4653" t="str">
        <f>+'[2]por cuent'!B4653</f>
        <v>765000561</v>
      </c>
      <c r="C4653" t="str">
        <f>+'[2]por cuent'!C4653</f>
        <v>Nonino, María Guadalupe</v>
      </c>
      <c r="D4653" s="35">
        <f>+'[2]por cuent'!G4653</f>
        <v>29.45</v>
      </c>
      <c r="E4653" s="35">
        <f>+'[2]por cuent'!H4653</f>
        <v>44044.830999999998</v>
      </c>
      <c r="F4653" t="str">
        <f>+'[2]por cuent'!I4653</f>
        <v>765</v>
      </c>
    </row>
    <row r="4654" spans="1:6" x14ac:dyDescent="0.35">
      <c r="A4654" t="str">
        <f>+'[2]por cuent'!A4654</f>
        <v>USD</v>
      </c>
      <c r="B4654" t="str">
        <f>+'[2]por cuent'!B4654</f>
        <v>765000564</v>
      </c>
      <c r="C4654" t="str">
        <f>+'[2]por cuent'!C4654</f>
        <v>Sequeira, Agustin Pablo</v>
      </c>
      <c r="D4654" s="35">
        <f>+'[2]por cuent'!G4654</f>
        <v>61348.95</v>
      </c>
      <c r="E4654" s="35">
        <f>+'[2]por cuent'!H4654</f>
        <v>91752262.640999988</v>
      </c>
      <c r="F4654" t="str">
        <f>+'[2]por cuent'!I4654</f>
        <v>765</v>
      </c>
    </row>
    <row r="4655" spans="1:6" x14ac:dyDescent="0.35">
      <c r="A4655" t="str">
        <f>+'[2]por cuent'!A4655</f>
        <v>USD</v>
      </c>
      <c r="B4655" t="str">
        <f>+'[2]por cuent'!B4655</f>
        <v>765000567</v>
      </c>
      <c r="C4655" t="str">
        <f>+'[2]por cuent'!C4655</f>
        <v>Ribecco, Maria Cecilia</v>
      </c>
      <c r="D4655" s="35">
        <f>+'[2]por cuent'!G4655</f>
        <v>7.21</v>
      </c>
      <c r="E4655" s="35">
        <f>+'[2]por cuent'!H4655</f>
        <v>10783.131799999999</v>
      </c>
      <c r="F4655" t="str">
        <f>+'[2]por cuent'!I4655</f>
        <v>765</v>
      </c>
    </row>
    <row r="4656" spans="1:6" x14ac:dyDescent="0.35">
      <c r="A4656" t="str">
        <f>+'[2]por cuent'!A4656</f>
        <v>USD</v>
      </c>
      <c r="B4656" t="str">
        <f>+'[2]por cuent'!B4656</f>
        <v>765000568</v>
      </c>
      <c r="C4656" t="str">
        <f>+'[2]por cuent'!C4656</f>
        <v>Cruz Joya, Luisina Araceli</v>
      </c>
      <c r="D4656" s="35">
        <f>+'[2]por cuent'!G4656</f>
        <v>24.72</v>
      </c>
      <c r="E4656" s="35">
        <f>+'[2]por cuent'!H4656</f>
        <v>36970.737599999993</v>
      </c>
      <c r="F4656" t="str">
        <f>+'[2]por cuent'!I4656</f>
        <v>765</v>
      </c>
    </row>
    <row r="4657" spans="1:6" x14ac:dyDescent="0.35">
      <c r="A4657" t="str">
        <f>+'[2]por cuent'!A4657</f>
        <v>USD</v>
      </c>
      <c r="B4657" t="str">
        <f>+'[2]por cuent'!B4657</f>
        <v>765000569</v>
      </c>
      <c r="C4657" t="str">
        <f>+'[2]por cuent'!C4657</f>
        <v>Morel Figueiras, Valentin</v>
      </c>
      <c r="D4657" s="35">
        <f>+'[2]por cuent'!G4657</f>
        <v>25.69</v>
      </c>
      <c r="E4657" s="35">
        <f>+'[2]por cuent'!H4657</f>
        <v>38421.450199999999</v>
      </c>
      <c r="F4657" t="str">
        <f>+'[2]por cuent'!I4657</f>
        <v>765</v>
      </c>
    </row>
    <row r="4658" spans="1:6" x14ac:dyDescent="0.35">
      <c r="A4658" t="str">
        <f>+'[2]por cuent'!A4658</f>
        <v>USD</v>
      </c>
      <c r="B4658" t="str">
        <f>+'[2]por cuent'!B4658</f>
        <v>765000572</v>
      </c>
      <c r="C4658" t="str">
        <f>+'[2]por cuent'!C4658</f>
        <v>Delorenzi, Martin Hector</v>
      </c>
      <c r="D4658" s="35">
        <f>+'[2]por cuent'!G4658</f>
        <v>257.38</v>
      </c>
      <c r="E4658" s="35">
        <f>+'[2]por cuent'!H4658</f>
        <v>384932.38039999997</v>
      </c>
      <c r="F4658" t="str">
        <f>+'[2]por cuent'!I4658</f>
        <v>765</v>
      </c>
    </row>
    <row r="4659" spans="1:6" x14ac:dyDescent="0.35">
      <c r="A4659" t="str">
        <f>+'[2]por cuent'!A4659</f>
        <v>USD</v>
      </c>
      <c r="B4659" t="str">
        <f>+'[2]por cuent'!B4659</f>
        <v>765000574</v>
      </c>
      <c r="C4659" t="str">
        <f>+'[2]por cuent'!C4659</f>
        <v>Tosetti, Fernando Luis</v>
      </c>
      <c r="D4659" s="35">
        <f>+'[2]por cuent'!G4659</f>
        <v>10.3</v>
      </c>
      <c r="E4659" s="35">
        <f>+'[2]por cuent'!H4659</f>
        <v>15404.474</v>
      </c>
      <c r="F4659" t="str">
        <f>+'[2]por cuent'!I4659</f>
        <v>765</v>
      </c>
    </row>
    <row r="4660" spans="1:6" x14ac:dyDescent="0.35">
      <c r="A4660" t="str">
        <f>+'[2]por cuent'!A4660</f>
        <v>USD</v>
      </c>
      <c r="B4660" t="str">
        <f>+'[2]por cuent'!B4660</f>
        <v>765000577</v>
      </c>
      <c r="C4660" t="str">
        <f>+'[2]por cuent'!C4660</f>
        <v>Giaime, Santiago Luis</v>
      </c>
      <c r="D4660" s="35">
        <f>+'[2]por cuent'!G4660</f>
        <v>88.58</v>
      </c>
      <c r="E4660" s="35">
        <f>+'[2]por cuent'!H4660</f>
        <v>132478.47639999999</v>
      </c>
      <c r="F4660" t="str">
        <f>+'[2]por cuent'!I4660</f>
        <v>765</v>
      </c>
    </row>
    <row r="4661" spans="1:6" x14ac:dyDescent="0.35">
      <c r="A4661" t="str">
        <f>+'[2]por cuent'!A4661</f>
        <v>USD</v>
      </c>
      <c r="B4661" t="str">
        <f>+'[2]por cuent'!B4661</f>
        <v>765000581</v>
      </c>
      <c r="C4661" t="str">
        <f>+'[2]por cuent'!C4661</f>
        <v>Manias, Juan Santiago</v>
      </c>
      <c r="D4661" s="35">
        <f>+'[2]por cuent'!G4661</f>
        <v>18.54</v>
      </c>
      <c r="E4661" s="35">
        <f>+'[2]por cuent'!H4661</f>
        <v>27728.053199999998</v>
      </c>
      <c r="F4661" t="str">
        <f>+'[2]por cuent'!I4661</f>
        <v>765</v>
      </c>
    </row>
    <row r="4662" spans="1:6" x14ac:dyDescent="0.35">
      <c r="A4662" t="str">
        <f>+'[2]por cuent'!A4662</f>
        <v>USD</v>
      </c>
      <c r="B4662" t="str">
        <f>+'[2]por cuent'!B4662</f>
        <v>765000582</v>
      </c>
      <c r="C4662" t="str">
        <f>+'[2]por cuent'!C4662</f>
        <v>MARIA BELEN, MANSILLA</v>
      </c>
      <c r="D4662" s="35">
        <f>+'[2]por cuent'!G4662</f>
        <v>15.45</v>
      </c>
      <c r="E4662" s="35">
        <f>+'[2]por cuent'!H4662</f>
        <v>23106.710999999999</v>
      </c>
      <c r="F4662" t="str">
        <f>+'[2]por cuent'!I4662</f>
        <v>765</v>
      </c>
    </row>
    <row r="4663" spans="1:6" x14ac:dyDescent="0.35">
      <c r="A4663" t="str">
        <f>+'[2]por cuent'!A4663</f>
        <v>USD</v>
      </c>
      <c r="B4663" t="str">
        <f>+'[2]por cuent'!B4663</f>
        <v>765000588</v>
      </c>
      <c r="C4663" t="str">
        <f>+'[2]por cuent'!C4663</f>
        <v>Bianco, Luciano Andres</v>
      </c>
      <c r="D4663" s="35">
        <f>+'[2]por cuent'!G4663</f>
        <v>12.36</v>
      </c>
      <c r="E4663" s="35">
        <f>+'[2]por cuent'!H4663</f>
        <v>18485.368799999997</v>
      </c>
      <c r="F4663" t="str">
        <f>+'[2]por cuent'!I4663</f>
        <v>765</v>
      </c>
    </row>
    <row r="4664" spans="1:6" x14ac:dyDescent="0.35">
      <c r="A4664" t="str">
        <f>+'[2]por cuent'!A4664</f>
        <v>USD</v>
      </c>
      <c r="B4664" t="str">
        <f>+'[2]por cuent'!B4664</f>
        <v>765000589</v>
      </c>
      <c r="C4664" t="str">
        <f>+'[2]por cuent'!C4664</f>
        <v>Celotti, Claudio Jose</v>
      </c>
      <c r="D4664" s="35">
        <f>+'[2]por cuent'!G4664</f>
        <v>9884.93</v>
      </c>
      <c r="E4664" s="35">
        <f>+'[2]por cuent'!H4664</f>
        <v>14783703.6094</v>
      </c>
      <c r="F4664" t="str">
        <f>+'[2]por cuent'!I4664</f>
        <v>765</v>
      </c>
    </row>
    <row r="4665" spans="1:6" x14ac:dyDescent="0.35">
      <c r="A4665" t="str">
        <f>+'[2]por cuent'!A4665</f>
        <v>USD</v>
      </c>
      <c r="B4665" t="str">
        <f>+'[2]por cuent'!B4665</f>
        <v>765000590</v>
      </c>
      <c r="C4665" t="str">
        <f>+'[2]por cuent'!C4665</f>
        <v>Demaria, Leonardo Orlando</v>
      </c>
      <c r="D4665" s="35">
        <f>+'[2]por cuent'!G4665</f>
        <v>14.42</v>
      </c>
      <c r="E4665" s="35">
        <f>+'[2]por cuent'!H4665</f>
        <v>21566.263599999998</v>
      </c>
      <c r="F4665" t="str">
        <f>+'[2]por cuent'!I4665</f>
        <v>765</v>
      </c>
    </row>
    <row r="4666" spans="1:6" x14ac:dyDescent="0.35">
      <c r="A4666" t="str">
        <f>+'[2]por cuent'!A4666</f>
        <v>USD</v>
      </c>
      <c r="B4666" t="str">
        <f>+'[2]por cuent'!B4666</f>
        <v>765000591</v>
      </c>
      <c r="C4666" t="str">
        <f>+'[2]por cuent'!C4666</f>
        <v>Prus, Maria Ines</v>
      </c>
      <c r="D4666" s="35">
        <f>+'[2]por cuent'!G4666</f>
        <v>399.45</v>
      </c>
      <c r="E4666" s="35">
        <f>+'[2]por cuent'!H4666</f>
        <v>597409.43099999998</v>
      </c>
      <c r="F4666" t="str">
        <f>+'[2]por cuent'!I4666</f>
        <v>765</v>
      </c>
    </row>
    <row r="4667" spans="1:6" x14ac:dyDescent="0.35">
      <c r="A4667" t="str">
        <f>+'[2]por cuent'!A4667</f>
        <v>USD</v>
      </c>
      <c r="B4667" t="str">
        <f>+'[2]por cuent'!B4667</f>
        <v>765000593</v>
      </c>
      <c r="C4667" t="str">
        <f>+'[2]por cuent'!C4667</f>
        <v>Melano, Ivan Luis</v>
      </c>
      <c r="D4667" s="35">
        <f>+'[2]por cuent'!G4667</f>
        <v>19.57</v>
      </c>
      <c r="E4667" s="35">
        <f>+'[2]por cuent'!H4667</f>
        <v>29268.500599999999</v>
      </c>
      <c r="F4667" t="str">
        <f>+'[2]por cuent'!I4667</f>
        <v>765</v>
      </c>
    </row>
    <row r="4668" spans="1:6" x14ac:dyDescent="0.35">
      <c r="A4668" t="str">
        <f>+'[2]por cuent'!A4668</f>
        <v>USD</v>
      </c>
      <c r="B4668" t="str">
        <f>+'[2]por cuent'!B4668</f>
        <v>765000594</v>
      </c>
      <c r="C4668" t="str">
        <f>+'[2]por cuent'!C4668</f>
        <v>Mayolini, Enzo Horacio</v>
      </c>
      <c r="D4668" s="35">
        <f>+'[2]por cuent'!G4668</f>
        <v>10.3</v>
      </c>
      <c r="E4668" s="35">
        <f>+'[2]por cuent'!H4668</f>
        <v>15404.474</v>
      </c>
      <c r="F4668" t="str">
        <f>+'[2]por cuent'!I4668</f>
        <v>765</v>
      </c>
    </row>
    <row r="4669" spans="1:6" x14ac:dyDescent="0.35">
      <c r="A4669" t="str">
        <f>+'[2]por cuent'!A4669</f>
        <v>USD</v>
      </c>
      <c r="B4669" t="str">
        <f>+'[2]por cuent'!B4669</f>
        <v>765000595</v>
      </c>
      <c r="C4669" t="str">
        <f>+'[2]por cuent'!C4669</f>
        <v>Galletta, Santo Gaudencio</v>
      </c>
      <c r="D4669" s="35">
        <f>+'[2]por cuent'!G4669</f>
        <v>487.98</v>
      </c>
      <c r="E4669" s="35">
        <f>+'[2]por cuent'!H4669</f>
        <v>729813.12840000005</v>
      </c>
      <c r="F4669" t="str">
        <f>+'[2]por cuent'!I4669</f>
        <v>765</v>
      </c>
    </row>
    <row r="4670" spans="1:6" x14ac:dyDescent="0.35">
      <c r="A4670" t="str">
        <f>+'[2]por cuent'!A4670</f>
        <v>USD</v>
      </c>
      <c r="B4670" t="str">
        <f>+'[2]por cuent'!B4670</f>
        <v>765000596</v>
      </c>
      <c r="C4670" t="str">
        <f>+'[2]por cuent'!C4670</f>
        <v>Ramello, Veronica Gabriela</v>
      </c>
      <c r="D4670" s="35">
        <f>+'[2]por cuent'!G4670</f>
        <v>6.18</v>
      </c>
      <c r="E4670" s="35">
        <f>+'[2]por cuent'!H4670</f>
        <v>9242.6843999999983</v>
      </c>
      <c r="F4670" t="str">
        <f>+'[2]por cuent'!I4670</f>
        <v>765</v>
      </c>
    </row>
    <row r="4671" spans="1:6" x14ac:dyDescent="0.35">
      <c r="A4671" t="str">
        <f>+'[2]por cuent'!A4671</f>
        <v>USD</v>
      </c>
      <c r="B4671" t="str">
        <f>+'[2]por cuent'!B4671</f>
        <v>765000605</v>
      </c>
      <c r="C4671" t="str">
        <f>+'[2]por cuent'!C4671</f>
        <v>Pizarro, Julian</v>
      </c>
      <c r="D4671" s="35">
        <f>+'[2]por cuent'!G4671</f>
        <v>27.81</v>
      </c>
      <c r="E4671" s="35">
        <f>+'[2]por cuent'!H4671</f>
        <v>41592.0798</v>
      </c>
      <c r="F4671" t="str">
        <f>+'[2]por cuent'!I4671</f>
        <v>765</v>
      </c>
    </row>
    <row r="4672" spans="1:6" x14ac:dyDescent="0.35">
      <c r="A4672" t="str">
        <f>+'[2]por cuent'!A4672</f>
        <v>USD</v>
      </c>
      <c r="B4672" t="str">
        <f>+'[2]por cuent'!B4672</f>
        <v>765000606</v>
      </c>
      <c r="C4672" t="str">
        <f>+'[2]por cuent'!C4672</f>
        <v>[C.E.R.A] Busso Fernando Javier</v>
      </c>
      <c r="D4672" s="35">
        <f>+'[2]por cuent'!G4672</f>
        <v>499.69</v>
      </c>
      <c r="E4672" s="35">
        <f>+'[2]por cuent'!H4672</f>
        <v>747326.3702</v>
      </c>
      <c r="F4672" t="str">
        <f>+'[2]por cuent'!I4672</f>
        <v>765</v>
      </c>
    </row>
    <row r="4673" spans="1:6" x14ac:dyDescent="0.35">
      <c r="A4673" t="str">
        <f>+'[2]por cuent'!A4673</f>
        <v>USD</v>
      </c>
      <c r="B4673" t="str">
        <f>+'[2]por cuent'!B4673</f>
        <v>765000609</v>
      </c>
      <c r="C4673" t="str">
        <f>+'[2]por cuent'!C4673</f>
        <v>Quevedo, Fernando Hector</v>
      </c>
      <c r="D4673" s="35">
        <f>+'[2]por cuent'!G4673</f>
        <v>1030.3</v>
      </c>
      <c r="E4673" s="35">
        <f>+'[2]por cuent'!H4673</f>
        <v>1540896.0739999998</v>
      </c>
      <c r="F4673" t="str">
        <f>+'[2]por cuent'!I4673</f>
        <v>765</v>
      </c>
    </row>
    <row r="4674" spans="1:6" x14ac:dyDescent="0.35">
      <c r="A4674" t="str">
        <f>+'[2]por cuent'!A4674</f>
        <v>USD</v>
      </c>
      <c r="B4674" t="str">
        <f>+'[2]por cuent'!B4674</f>
        <v>765000615</v>
      </c>
      <c r="C4674" t="str">
        <f>+'[2]por cuent'!C4674</f>
        <v>Suarez, Silvina Gabriela</v>
      </c>
      <c r="D4674" s="35">
        <f>+'[2]por cuent'!G4674</f>
        <v>106.97</v>
      </c>
      <c r="E4674" s="35">
        <f>+'[2]por cuent'!H4674</f>
        <v>159982.19259999998</v>
      </c>
      <c r="F4674" t="str">
        <f>+'[2]por cuent'!I4674</f>
        <v>765</v>
      </c>
    </row>
    <row r="4675" spans="1:6" x14ac:dyDescent="0.35">
      <c r="A4675" t="str">
        <f>+'[2]por cuent'!A4675</f>
        <v>USD</v>
      </c>
      <c r="B4675" t="str">
        <f>+'[2]por cuent'!B4675</f>
        <v>765000617</v>
      </c>
      <c r="C4675" t="str">
        <f>+'[2]por cuent'!C4675</f>
        <v>Marionsini, Alejo Humberto</v>
      </c>
      <c r="D4675" s="35">
        <f>+'[2]por cuent'!G4675</f>
        <v>194.58</v>
      </c>
      <c r="E4675" s="35">
        <f>+'[2]por cuent'!H4675</f>
        <v>291009.95640000002</v>
      </c>
      <c r="F4675" t="str">
        <f>+'[2]por cuent'!I4675</f>
        <v>765</v>
      </c>
    </row>
    <row r="4676" spans="1:6" x14ac:dyDescent="0.35">
      <c r="A4676" t="str">
        <f>+'[2]por cuent'!A4676</f>
        <v>USD</v>
      </c>
      <c r="B4676" t="str">
        <f>+'[2]por cuent'!B4676</f>
        <v>765000619</v>
      </c>
      <c r="C4676" t="str">
        <f>+'[2]por cuent'!C4676</f>
        <v>Bosio, Juan Augusto</v>
      </c>
      <c r="D4676" s="35">
        <f>+'[2]por cuent'!G4676</f>
        <v>100.94</v>
      </c>
      <c r="E4676" s="35">
        <f>+'[2]por cuent'!H4676</f>
        <v>150963.84519999998</v>
      </c>
      <c r="F4676" t="str">
        <f>+'[2]por cuent'!I4676</f>
        <v>765</v>
      </c>
    </row>
    <row r="4677" spans="1:6" x14ac:dyDescent="0.35">
      <c r="A4677" t="str">
        <f>+'[2]por cuent'!A4677</f>
        <v>USD</v>
      </c>
      <c r="B4677" t="str">
        <f>+'[2]por cuent'!B4677</f>
        <v>765000623</v>
      </c>
      <c r="C4677" t="str">
        <f>+'[2]por cuent'!C4677</f>
        <v>Rodriguez, Anabella Mariana</v>
      </c>
      <c r="D4677" s="35">
        <f>+'[2]por cuent'!G4677</f>
        <v>6.18</v>
      </c>
      <c r="E4677" s="35">
        <f>+'[2]por cuent'!H4677</f>
        <v>9242.6843999999983</v>
      </c>
      <c r="F4677" t="str">
        <f>+'[2]por cuent'!I4677</f>
        <v>765</v>
      </c>
    </row>
    <row r="4678" spans="1:6" x14ac:dyDescent="0.35">
      <c r="A4678" t="str">
        <f>+'[2]por cuent'!A4678</f>
        <v>USD</v>
      </c>
      <c r="B4678" t="str">
        <f>+'[2]por cuent'!B4678</f>
        <v>765000625</v>
      </c>
      <c r="C4678" t="str">
        <f>+'[2]por cuent'!C4678</f>
        <v>Antelo, Sergio Ruben</v>
      </c>
      <c r="D4678" s="35">
        <f>+'[2]por cuent'!G4678</f>
        <v>111.24</v>
      </c>
      <c r="E4678" s="35">
        <f>+'[2]por cuent'!H4678</f>
        <v>166368.3192</v>
      </c>
      <c r="F4678" t="str">
        <f>+'[2]por cuent'!I4678</f>
        <v>765</v>
      </c>
    </row>
    <row r="4679" spans="1:6" x14ac:dyDescent="0.35">
      <c r="A4679" t="str">
        <f>+'[2]por cuent'!A4679</f>
        <v>USD</v>
      </c>
      <c r="B4679" t="str">
        <f>+'[2]por cuent'!B4679</f>
        <v>765000626</v>
      </c>
      <c r="C4679" t="str">
        <f>+'[2]por cuent'!C4679</f>
        <v>Marigliano, Analia Veronica</v>
      </c>
      <c r="D4679" s="35">
        <f>+'[2]por cuent'!G4679</f>
        <v>226.49</v>
      </c>
      <c r="E4679" s="35">
        <f>+'[2]por cuent'!H4679</f>
        <v>338733.9142</v>
      </c>
      <c r="F4679" t="str">
        <f>+'[2]por cuent'!I4679</f>
        <v>765</v>
      </c>
    </row>
    <row r="4680" spans="1:6" x14ac:dyDescent="0.35">
      <c r="A4680" t="str">
        <f>+'[2]por cuent'!A4680</f>
        <v>USD</v>
      </c>
      <c r="B4680" t="str">
        <f>+'[2]por cuent'!B4680</f>
        <v>765000629</v>
      </c>
      <c r="C4680" t="str">
        <f>+'[2]por cuent'!C4680</f>
        <v>Sacovechi, Facundo Jose</v>
      </c>
      <c r="D4680" s="35">
        <f>+'[2]por cuent'!G4680</f>
        <v>20279.36</v>
      </c>
      <c r="E4680" s="35">
        <f>+'[2]por cuent'!H4680</f>
        <v>30329405.228799999</v>
      </c>
      <c r="F4680" t="str">
        <f>+'[2]por cuent'!I4680</f>
        <v>765</v>
      </c>
    </row>
    <row r="4681" spans="1:6" x14ac:dyDescent="0.35">
      <c r="A4681" t="str">
        <f>+'[2]por cuent'!A4681</f>
        <v>USD</v>
      </c>
      <c r="B4681" t="str">
        <f>+'[2]por cuent'!B4681</f>
        <v>765000630</v>
      </c>
      <c r="C4681" t="str">
        <f>+'[2]por cuent'!C4681</f>
        <v>Bearzotti, Sonia Bibiana</v>
      </c>
      <c r="D4681" s="35">
        <f>+'[2]por cuent'!G4681</f>
        <v>13.39</v>
      </c>
      <c r="E4681" s="35">
        <f>+'[2]por cuent'!H4681</f>
        <v>20025.816200000001</v>
      </c>
      <c r="F4681" t="str">
        <f>+'[2]por cuent'!I4681</f>
        <v>765</v>
      </c>
    </row>
    <row r="4682" spans="1:6" x14ac:dyDescent="0.35">
      <c r="A4682" t="str">
        <f>+'[2]por cuent'!A4682</f>
        <v>USD</v>
      </c>
      <c r="B4682" t="str">
        <f>+'[2]por cuent'!B4682</f>
        <v>765000632</v>
      </c>
      <c r="C4682" t="str">
        <f>+'[2]por cuent'!C4682</f>
        <v>Ruppen, Adrian Dario</v>
      </c>
      <c r="D4682" s="35">
        <f>+'[2]por cuent'!G4682</f>
        <v>25.75</v>
      </c>
      <c r="E4682" s="35">
        <f>+'[2]por cuent'!H4682</f>
        <v>38511.184999999998</v>
      </c>
      <c r="F4682" t="str">
        <f>+'[2]por cuent'!I4682</f>
        <v>765</v>
      </c>
    </row>
    <row r="4683" spans="1:6" x14ac:dyDescent="0.35">
      <c r="A4683" t="str">
        <f>+'[2]por cuent'!A4683</f>
        <v>USD</v>
      </c>
      <c r="B4683" t="str">
        <f>+'[2]por cuent'!B4683</f>
        <v>765000634</v>
      </c>
      <c r="C4683" t="str">
        <f>+'[2]por cuent'!C4683</f>
        <v>DE LORENZI, ESTEBAN IGNACIO</v>
      </c>
      <c r="D4683" s="35">
        <f>+'[2]por cuent'!G4683</f>
        <v>92.7</v>
      </c>
      <c r="E4683" s="35">
        <f>+'[2]por cuent'!H4683</f>
        <v>138640.266</v>
      </c>
      <c r="F4683" t="str">
        <f>+'[2]por cuent'!I4683</f>
        <v>765</v>
      </c>
    </row>
    <row r="4684" spans="1:6" x14ac:dyDescent="0.35">
      <c r="A4684" t="str">
        <f>+'[2]por cuent'!A4684</f>
        <v>USD</v>
      </c>
      <c r="B4684" t="str">
        <f>+'[2]por cuent'!B4684</f>
        <v>765000635</v>
      </c>
      <c r="C4684" t="str">
        <f>+'[2]por cuent'!C4684</f>
        <v>Chialvo, Alfonsina</v>
      </c>
      <c r="D4684" s="35">
        <f>+'[2]por cuent'!G4684</f>
        <v>17.510000000000002</v>
      </c>
      <c r="E4684" s="35">
        <f>+'[2]por cuent'!H4684</f>
        <v>26187.605800000001</v>
      </c>
      <c r="F4684" t="str">
        <f>+'[2]por cuent'!I4684</f>
        <v>765</v>
      </c>
    </row>
    <row r="4685" spans="1:6" x14ac:dyDescent="0.35">
      <c r="A4685" t="str">
        <f>+'[2]por cuent'!A4685</f>
        <v>USD</v>
      </c>
      <c r="B4685" t="str">
        <f>+'[2]por cuent'!B4685</f>
        <v>765000637</v>
      </c>
      <c r="C4685" t="str">
        <f>+'[2]por cuent'!C4685</f>
        <v>Schuhmacher, Martin Enrique</v>
      </c>
      <c r="D4685" s="35">
        <f>+'[2]por cuent'!G4685</f>
        <v>6.18</v>
      </c>
      <c r="E4685" s="35">
        <f>+'[2]por cuent'!H4685</f>
        <v>9242.6843999999983</v>
      </c>
      <c r="F4685" t="str">
        <f>+'[2]por cuent'!I4685</f>
        <v>765</v>
      </c>
    </row>
    <row r="4686" spans="1:6" x14ac:dyDescent="0.35">
      <c r="A4686" t="str">
        <f>+'[2]por cuent'!A4686</f>
        <v>USD</v>
      </c>
      <c r="B4686" t="str">
        <f>+'[2]por cuent'!B4686</f>
        <v>765000640</v>
      </c>
      <c r="C4686" t="str">
        <f>+'[2]por cuent'!C4686</f>
        <v>Bergamasco, Javier Jesus</v>
      </c>
      <c r="D4686" s="35">
        <f>+'[2]por cuent'!G4686</f>
        <v>8.24</v>
      </c>
      <c r="E4686" s="35">
        <f>+'[2]por cuent'!H4686</f>
        <v>12323.5792</v>
      </c>
      <c r="F4686" t="str">
        <f>+'[2]por cuent'!I4686</f>
        <v>765</v>
      </c>
    </row>
    <row r="4687" spans="1:6" x14ac:dyDescent="0.35">
      <c r="A4687" t="str">
        <f>+'[2]por cuent'!A4687</f>
        <v>USD</v>
      </c>
      <c r="B4687" t="str">
        <f>+'[2]por cuent'!B4687</f>
        <v>765000645</v>
      </c>
      <c r="C4687" t="str">
        <f>+'[2]por cuent'!C4687</f>
        <v>Provinciali, Nelci Lujan</v>
      </c>
      <c r="D4687" s="35">
        <f>+'[2]por cuent'!G4687</f>
        <v>916.23</v>
      </c>
      <c r="E4687" s="35">
        <f>+'[2]por cuent'!H4687</f>
        <v>1370295.2634000001</v>
      </c>
      <c r="F4687" t="str">
        <f>+'[2]por cuent'!I4687</f>
        <v>765</v>
      </c>
    </row>
    <row r="4688" spans="1:6" x14ac:dyDescent="0.35">
      <c r="A4688" t="str">
        <f>+'[2]por cuent'!A4688</f>
        <v>USD</v>
      </c>
      <c r="B4688" t="str">
        <f>+'[2]por cuent'!B4688</f>
        <v>765000646</v>
      </c>
      <c r="C4688" t="str">
        <f>+'[2]por cuent'!C4688</f>
        <v>Di Feo, Sandra del Valle</v>
      </c>
      <c r="D4688" s="35">
        <f>+'[2]por cuent'!G4688</f>
        <v>144.19999999999999</v>
      </c>
      <c r="E4688" s="35">
        <f>+'[2]por cuent'!H4688</f>
        <v>215662.63599999997</v>
      </c>
      <c r="F4688" t="str">
        <f>+'[2]por cuent'!I4688</f>
        <v>765</v>
      </c>
    </row>
    <row r="4689" spans="1:6" x14ac:dyDescent="0.35">
      <c r="A4689" t="str">
        <f>+'[2]por cuent'!A4689</f>
        <v>USD</v>
      </c>
      <c r="B4689" t="str">
        <f>+'[2]por cuent'!B4689</f>
        <v>765000647</v>
      </c>
      <c r="C4689" t="str">
        <f>+'[2]por cuent'!C4689</f>
        <v xml:space="preserve">Pedrana, Lucrecia </v>
      </c>
      <c r="D4689" s="35">
        <f>+'[2]por cuent'!G4689</f>
        <v>31.93</v>
      </c>
      <c r="E4689" s="35">
        <f>+'[2]por cuent'!H4689</f>
        <v>47753.869399999996</v>
      </c>
      <c r="F4689" t="str">
        <f>+'[2]por cuent'!I4689</f>
        <v>765</v>
      </c>
    </row>
    <row r="4690" spans="1:6" x14ac:dyDescent="0.35">
      <c r="A4690" t="str">
        <f>+'[2]por cuent'!A4690</f>
        <v>USD</v>
      </c>
      <c r="B4690" t="str">
        <f>+'[2]por cuent'!B4690</f>
        <v>765000650</v>
      </c>
      <c r="C4690" t="str">
        <f>+'[2]por cuent'!C4690</f>
        <v>Priolo, Ludmila Soledad</v>
      </c>
      <c r="D4690" s="35">
        <f>+'[2]por cuent'!G4690</f>
        <v>2277.06</v>
      </c>
      <c r="E4690" s="35">
        <f>+'[2]por cuent'!H4690</f>
        <v>3405525.3947999999</v>
      </c>
      <c r="F4690" t="str">
        <f>+'[2]por cuent'!I4690</f>
        <v>765</v>
      </c>
    </row>
    <row r="4691" spans="1:6" x14ac:dyDescent="0.35">
      <c r="A4691" t="str">
        <f>+'[2]por cuent'!A4691</f>
        <v>USD</v>
      </c>
      <c r="B4691" t="str">
        <f>+'[2]por cuent'!B4691</f>
        <v>765000652</v>
      </c>
      <c r="C4691" t="str">
        <f>+'[2]por cuent'!C4691</f>
        <v>Bovo,  Jorge Alberto</v>
      </c>
      <c r="D4691" s="35">
        <f>+'[2]por cuent'!G4691</f>
        <v>43.26</v>
      </c>
      <c r="E4691" s="35">
        <f>+'[2]por cuent'!H4691</f>
        <v>64698.790799999995</v>
      </c>
      <c r="F4691" t="str">
        <f>+'[2]por cuent'!I4691</f>
        <v>765</v>
      </c>
    </row>
    <row r="4692" spans="1:6" x14ac:dyDescent="0.35">
      <c r="A4692" t="str">
        <f>+'[2]por cuent'!A4692</f>
        <v>USD</v>
      </c>
      <c r="B4692" t="str">
        <f>+'[2]por cuent'!B4692</f>
        <v>765000656</v>
      </c>
      <c r="C4692" t="str">
        <f>+'[2]por cuent'!C4692</f>
        <v>Gapesa S.A</v>
      </c>
      <c r="D4692" s="35">
        <f>+'[2]por cuent'!G4692</f>
        <v>44.29</v>
      </c>
      <c r="E4692" s="35">
        <f>+'[2]por cuent'!H4692</f>
        <v>66239.238199999993</v>
      </c>
      <c r="F4692" t="str">
        <f>+'[2]por cuent'!I4692</f>
        <v>765</v>
      </c>
    </row>
    <row r="4693" spans="1:6" x14ac:dyDescent="0.35">
      <c r="A4693" t="str">
        <f>+'[2]por cuent'!A4693</f>
        <v>USD</v>
      </c>
      <c r="B4693" t="str">
        <f>+'[2]por cuent'!B4693</f>
        <v>765000657</v>
      </c>
      <c r="C4693" t="str">
        <f>+'[2]por cuent'!C4693</f>
        <v>Petrochi, Rodolfo Juan</v>
      </c>
      <c r="D4693" s="35">
        <f>+'[2]por cuent'!G4693</f>
        <v>19.57</v>
      </c>
      <c r="E4693" s="35">
        <f>+'[2]por cuent'!H4693</f>
        <v>29268.500599999999</v>
      </c>
      <c r="F4693" t="str">
        <f>+'[2]por cuent'!I4693</f>
        <v>765</v>
      </c>
    </row>
    <row r="4694" spans="1:6" x14ac:dyDescent="0.35">
      <c r="A4694" t="str">
        <f>+'[2]por cuent'!A4694</f>
        <v>USD</v>
      </c>
      <c r="B4694" t="str">
        <f>+'[2]por cuent'!B4694</f>
        <v>765000661</v>
      </c>
      <c r="C4694" t="str">
        <f>+'[2]por cuent'!C4694</f>
        <v>CREARQ SRL</v>
      </c>
      <c r="D4694" s="35">
        <f>+'[2]por cuent'!G4694</f>
        <v>389.32</v>
      </c>
      <c r="E4694" s="35">
        <f>+'[2]por cuent'!H4694</f>
        <v>582259.20559999999</v>
      </c>
      <c r="F4694" t="str">
        <f>+'[2]por cuent'!I4694</f>
        <v>765</v>
      </c>
    </row>
    <row r="4695" spans="1:6" x14ac:dyDescent="0.35">
      <c r="A4695" t="str">
        <f>+'[2]por cuent'!A4695</f>
        <v>USD</v>
      </c>
      <c r="B4695" t="str">
        <f>+'[2]por cuent'!B4695</f>
        <v>765000662</v>
      </c>
      <c r="C4695" t="str">
        <f>+'[2]por cuent'!C4695</f>
        <v>Martin, Horacio Gabriel</v>
      </c>
      <c r="D4695" s="35">
        <f>+'[2]por cuent'!G4695</f>
        <v>204.85</v>
      </c>
      <c r="E4695" s="35">
        <f>+'[2]por cuent'!H4695</f>
        <v>306369.56299999997</v>
      </c>
      <c r="F4695" t="str">
        <f>+'[2]por cuent'!I4695</f>
        <v>765</v>
      </c>
    </row>
    <row r="4696" spans="1:6" x14ac:dyDescent="0.35">
      <c r="A4696" t="str">
        <f>+'[2]por cuent'!A4696</f>
        <v>USD</v>
      </c>
      <c r="B4696" t="str">
        <f>+'[2]por cuent'!B4696</f>
        <v>765000666</v>
      </c>
      <c r="C4696" t="str">
        <f>+'[2]por cuent'!C4696</f>
        <v>Martinez, Debora Paola</v>
      </c>
      <c r="D4696" s="35">
        <f>+'[2]por cuent'!G4696</f>
        <v>29135.29</v>
      </c>
      <c r="E4696" s="35">
        <f>+'[2]por cuent'!H4696</f>
        <v>43574157.018200003</v>
      </c>
      <c r="F4696" t="str">
        <f>+'[2]por cuent'!I4696</f>
        <v>765</v>
      </c>
    </row>
    <row r="4697" spans="1:6" x14ac:dyDescent="0.35">
      <c r="A4697" t="str">
        <f>+'[2]por cuent'!A4697</f>
        <v>USD</v>
      </c>
      <c r="B4697" t="str">
        <f>+'[2]por cuent'!B4697</f>
        <v>765000667</v>
      </c>
      <c r="C4697" t="str">
        <f>+'[2]por cuent'!C4697</f>
        <v>Compagnucci, Luisina Maria Belen</v>
      </c>
      <c r="D4697" s="35">
        <f>+'[2]por cuent'!G4697</f>
        <v>164.76</v>
      </c>
      <c r="E4697" s="35">
        <f>+'[2]por cuent'!H4697</f>
        <v>246411.76079999996</v>
      </c>
      <c r="F4697" t="str">
        <f>+'[2]por cuent'!I4697</f>
        <v>765</v>
      </c>
    </row>
    <row r="4698" spans="1:6" x14ac:dyDescent="0.35">
      <c r="A4698" t="str">
        <f>+'[2]por cuent'!A4698</f>
        <v>USD</v>
      </c>
      <c r="B4698" t="str">
        <f>+'[2]por cuent'!B4698</f>
        <v>765000668</v>
      </c>
      <c r="C4698" t="str">
        <f>+'[2]por cuent'!C4698</f>
        <v>Piumetti, Gabriel Alejandro</v>
      </c>
      <c r="D4698" s="35">
        <f>+'[2]por cuent'!G4698</f>
        <v>44.29</v>
      </c>
      <c r="E4698" s="35">
        <f>+'[2]por cuent'!H4698</f>
        <v>66239.238199999993</v>
      </c>
      <c r="F4698" t="str">
        <f>+'[2]por cuent'!I4698</f>
        <v>765</v>
      </c>
    </row>
    <row r="4699" spans="1:6" x14ac:dyDescent="0.35">
      <c r="A4699" t="str">
        <f>+'[2]por cuent'!A4699</f>
        <v>USD</v>
      </c>
      <c r="B4699" t="str">
        <f>+'[2]por cuent'!B4699</f>
        <v>765000670</v>
      </c>
      <c r="C4699" t="str">
        <f>+'[2]por cuent'!C4699</f>
        <v>Zancocchia, Nelson Jose Luis</v>
      </c>
      <c r="D4699" s="35">
        <f>+'[2]por cuent'!G4699</f>
        <v>9857.0499999999993</v>
      </c>
      <c r="E4699" s="35">
        <f>+'[2]por cuent'!H4699</f>
        <v>14742006.838999998</v>
      </c>
      <c r="F4699" t="str">
        <f>+'[2]por cuent'!I4699</f>
        <v>765</v>
      </c>
    </row>
    <row r="4700" spans="1:6" x14ac:dyDescent="0.35">
      <c r="A4700" t="str">
        <f>+'[2]por cuent'!A4700</f>
        <v>USD</v>
      </c>
      <c r="B4700" t="str">
        <f>+'[2]por cuent'!B4700</f>
        <v>765000672</v>
      </c>
      <c r="C4700" t="str">
        <f>+'[2]por cuent'!C4700</f>
        <v>Galletta, Mauricio Gabriel</v>
      </c>
      <c r="D4700" s="35">
        <f>+'[2]por cuent'!G4700</f>
        <v>101.97</v>
      </c>
      <c r="E4700" s="35">
        <f>+'[2]por cuent'!H4700</f>
        <v>152504.29259999999</v>
      </c>
      <c r="F4700" t="str">
        <f>+'[2]por cuent'!I4700</f>
        <v>765</v>
      </c>
    </row>
    <row r="4701" spans="1:6" x14ac:dyDescent="0.35">
      <c r="A4701" t="str">
        <f>+'[2]por cuent'!A4701</f>
        <v>USD</v>
      </c>
      <c r="B4701" t="str">
        <f>+'[2]por cuent'!B4701</f>
        <v>765000673</v>
      </c>
      <c r="C4701" t="str">
        <f>+'[2]por cuent'!C4701</f>
        <v xml:space="preserve">Racca, Sonia Raquel </v>
      </c>
      <c r="D4701" s="35">
        <f>+'[2]por cuent'!G4701</f>
        <v>6.18</v>
      </c>
      <c r="E4701" s="35">
        <f>+'[2]por cuent'!H4701</f>
        <v>9242.6843999999983</v>
      </c>
      <c r="F4701" t="str">
        <f>+'[2]por cuent'!I4701</f>
        <v>765</v>
      </c>
    </row>
    <row r="4702" spans="1:6" x14ac:dyDescent="0.35">
      <c r="A4702" t="str">
        <f>+'[2]por cuent'!A4702</f>
        <v>USD</v>
      </c>
      <c r="B4702" t="str">
        <f>+'[2]por cuent'!B4702</f>
        <v>765000681</v>
      </c>
      <c r="C4702" t="str">
        <f>+'[2]por cuent'!C4702</f>
        <v>Bodini, Egidio Eduardo</v>
      </c>
      <c r="D4702" s="35">
        <f>+'[2]por cuent'!G4702</f>
        <v>462.3</v>
      </c>
      <c r="E4702" s="35">
        <f>+'[2]por cuent'!H4702</f>
        <v>691406.63399999996</v>
      </c>
      <c r="F4702" t="str">
        <f>+'[2]por cuent'!I4702</f>
        <v>765</v>
      </c>
    </row>
    <row r="4703" spans="1:6" x14ac:dyDescent="0.35">
      <c r="A4703" t="str">
        <f>+'[2]por cuent'!A4703</f>
        <v>USD</v>
      </c>
      <c r="B4703" t="str">
        <f>+'[2]por cuent'!B4703</f>
        <v>765000686</v>
      </c>
      <c r="C4703" t="str">
        <f>+'[2]por cuent'!C4703</f>
        <v xml:space="preserve">Marcucci, Roberto Hernan </v>
      </c>
      <c r="D4703" s="35">
        <f>+'[2]por cuent'!G4703</f>
        <v>21.63</v>
      </c>
      <c r="E4703" s="35">
        <f>+'[2]por cuent'!H4703</f>
        <v>32349.395399999998</v>
      </c>
      <c r="F4703" t="str">
        <f>+'[2]por cuent'!I4703</f>
        <v>765</v>
      </c>
    </row>
    <row r="4704" spans="1:6" x14ac:dyDescent="0.35">
      <c r="A4704" t="str">
        <f>+'[2]por cuent'!A4704</f>
        <v>USD</v>
      </c>
      <c r="B4704" t="str">
        <f>+'[2]por cuent'!B4704</f>
        <v>765000688</v>
      </c>
      <c r="C4704" t="str">
        <f>+'[2]por cuent'!C4704</f>
        <v>Alonso, Fabian Eduardo</v>
      </c>
      <c r="D4704" s="35">
        <f>+'[2]por cuent'!G4704</f>
        <v>39.14</v>
      </c>
      <c r="E4704" s="35">
        <f>+'[2]por cuent'!H4704</f>
        <v>58537.001199999999</v>
      </c>
      <c r="F4704" t="str">
        <f>+'[2]por cuent'!I4704</f>
        <v>765</v>
      </c>
    </row>
    <row r="4705" spans="1:6" x14ac:dyDescent="0.35">
      <c r="A4705" t="str">
        <f>+'[2]por cuent'!A4705</f>
        <v>USD</v>
      </c>
      <c r="B4705" t="str">
        <f>+'[2]por cuent'!B4705</f>
        <v>765000689</v>
      </c>
      <c r="C4705" t="str">
        <f>+'[2]por cuent'!C4705</f>
        <v>Kovacevich, Mirko</v>
      </c>
      <c r="D4705" s="35">
        <f>+'[2]por cuent'!G4705</f>
        <v>400.13</v>
      </c>
      <c r="E4705" s="35">
        <f>+'[2]por cuent'!H4705</f>
        <v>598426.42539999995</v>
      </c>
      <c r="F4705" t="str">
        <f>+'[2]por cuent'!I4705</f>
        <v>765</v>
      </c>
    </row>
    <row r="4706" spans="1:6" x14ac:dyDescent="0.35">
      <c r="A4706" t="str">
        <f>+'[2]por cuent'!A4706</f>
        <v>USD</v>
      </c>
      <c r="B4706" t="str">
        <f>+'[2]por cuent'!B4706</f>
        <v>765000696</v>
      </c>
      <c r="C4706" t="str">
        <f>+'[2]por cuent'!C4706</f>
        <v>Degano Moretti, Milagros</v>
      </c>
      <c r="D4706" s="35">
        <f>+'[2]por cuent'!G4706</f>
        <v>32.96</v>
      </c>
      <c r="E4706" s="35">
        <f>+'[2]por cuent'!H4706</f>
        <v>49294.316800000001</v>
      </c>
      <c r="F4706" t="str">
        <f>+'[2]por cuent'!I4706</f>
        <v>765</v>
      </c>
    </row>
    <row r="4707" spans="1:6" x14ac:dyDescent="0.35">
      <c r="A4707" t="str">
        <f>+'[2]por cuent'!A4707</f>
        <v>USD</v>
      </c>
      <c r="B4707" t="str">
        <f>+'[2]por cuent'!B4707</f>
        <v>765000698</v>
      </c>
      <c r="C4707" t="str">
        <f>+'[2]por cuent'!C4707</f>
        <v xml:space="preserve">Bosio, Bautista </v>
      </c>
      <c r="D4707" s="35">
        <f>+'[2]por cuent'!G4707</f>
        <v>40.17</v>
      </c>
      <c r="E4707" s="35">
        <f>+'[2]por cuent'!H4707</f>
        <v>60077.448599999996</v>
      </c>
      <c r="F4707" t="str">
        <f>+'[2]por cuent'!I4707</f>
        <v>765</v>
      </c>
    </row>
    <row r="4708" spans="1:6" x14ac:dyDescent="0.35">
      <c r="A4708" t="str">
        <f>+'[2]por cuent'!A4708</f>
        <v>USD</v>
      </c>
      <c r="B4708" t="str">
        <f>+'[2]por cuent'!B4708</f>
        <v>765000701</v>
      </c>
      <c r="C4708" t="str">
        <f>+'[2]por cuent'!C4708</f>
        <v>Saloj Muia, Julia</v>
      </c>
      <c r="D4708" s="35">
        <f>+'[2]por cuent'!G4708</f>
        <v>10.3</v>
      </c>
      <c r="E4708" s="35">
        <f>+'[2]por cuent'!H4708</f>
        <v>15404.474</v>
      </c>
      <c r="F4708" t="str">
        <f>+'[2]por cuent'!I4708</f>
        <v>765</v>
      </c>
    </row>
    <row r="4709" spans="1:6" x14ac:dyDescent="0.35">
      <c r="A4709" t="str">
        <f>+'[2]por cuent'!A4709</f>
        <v>USD</v>
      </c>
      <c r="B4709" t="str">
        <f>+'[2]por cuent'!B4709</f>
        <v>765000702</v>
      </c>
      <c r="C4709" t="str">
        <f>+'[2]por cuent'!C4709</f>
        <v>Surra, Martha Noemi</v>
      </c>
      <c r="D4709" s="35">
        <f>+'[2]por cuent'!G4709</f>
        <v>70.040000000000006</v>
      </c>
      <c r="E4709" s="35">
        <f>+'[2]por cuent'!H4709</f>
        <v>104750.4232</v>
      </c>
      <c r="F4709" t="str">
        <f>+'[2]por cuent'!I4709</f>
        <v>765</v>
      </c>
    </row>
    <row r="4710" spans="1:6" x14ac:dyDescent="0.35">
      <c r="A4710" t="str">
        <f>+'[2]por cuent'!A4710</f>
        <v>USD</v>
      </c>
      <c r="B4710" t="str">
        <f>+'[2]por cuent'!B4710</f>
        <v>765000703</v>
      </c>
      <c r="C4710" t="str">
        <f>+'[2]por cuent'!C4710</f>
        <v>Moretti, Mariela y Claudia</v>
      </c>
      <c r="D4710" s="35">
        <f>+'[2]por cuent'!G4710</f>
        <v>220.31</v>
      </c>
      <c r="E4710" s="35">
        <f>+'[2]por cuent'!H4710</f>
        <v>329491.22979999997</v>
      </c>
      <c r="F4710" t="str">
        <f>+'[2]por cuent'!I4710</f>
        <v>765</v>
      </c>
    </row>
    <row r="4711" spans="1:6" x14ac:dyDescent="0.35">
      <c r="A4711" t="str">
        <f>+'[2]por cuent'!A4711</f>
        <v>USD</v>
      </c>
      <c r="B4711" t="str">
        <f>+'[2]por cuent'!B4711</f>
        <v>765000704</v>
      </c>
      <c r="C4711" t="str">
        <f>+'[2]por cuent'!C4711</f>
        <v>Monti, Jesús María Santiago</v>
      </c>
      <c r="D4711" s="35">
        <f>+'[2]por cuent'!G4711</f>
        <v>50.47</v>
      </c>
      <c r="E4711" s="35">
        <f>+'[2]por cuent'!H4711</f>
        <v>75481.922599999991</v>
      </c>
      <c r="F4711" t="str">
        <f>+'[2]por cuent'!I4711</f>
        <v>765</v>
      </c>
    </row>
    <row r="4712" spans="1:6" x14ac:dyDescent="0.35">
      <c r="A4712" t="str">
        <f>+'[2]por cuent'!A4712</f>
        <v>USD</v>
      </c>
      <c r="B4712" t="str">
        <f>+'[2]por cuent'!B4712</f>
        <v>765000707</v>
      </c>
      <c r="C4712" t="str">
        <f>+'[2]por cuent'!C4712</f>
        <v>Feraboli, Cristian José</v>
      </c>
      <c r="D4712" s="35">
        <f>+'[2]por cuent'!G4712</f>
        <v>74.16</v>
      </c>
      <c r="E4712" s="35">
        <f>+'[2]por cuent'!H4712</f>
        <v>110912.21279999999</v>
      </c>
      <c r="F4712" t="str">
        <f>+'[2]por cuent'!I4712</f>
        <v>765</v>
      </c>
    </row>
    <row r="4713" spans="1:6" x14ac:dyDescent="0.35">
      <c r="A4713" t="str">
        <f>+'[2]por cuent'!A4713</f>
        <v>USD</v>
      </c>
      <c r="B4713" t="str">
        <f>+'[2]por cuent'!B4713</f>
        <v>765000709</v>
      </c>
      <c r="C4713" t="str">
        <f>+'[2]por cuent'!C4713</f>
        <v>Monti Celina Paula 2</v>
      </c>
      <c r="D4713" s="35">
        <f>+'[2]por cuent'!G4713</f>
        <v>2938.56</v>
      </c>
      <c r="E4713" s="35">
        <f>+'[2]por cuent'!H4713</f>
        <v>4394851.5647999998</v>
      </c>
      <c r="F4713" t="str">
        <f>+'[2]por cuent'!I4713</f>
        <v>765</v>
      </c>
    </row>
    <row r="4714" spans="1:6" x14ac:dyDescent="0.35">
      <c r="A4714" t="str">
        <f>+'[2]por cuent'!A4714</f>
        <v>USD</v>
      </c>
      <c r="B4714" t="str">
        <f>+'[2]por cuent'!B4714</f>
        <v>765000712</v>
      </c>
      <c r="C4714" t="str">
        <f>+'[2]por cuent'!C4714</f>
        <v>Margiotta, Fernando Gabriel</v>
      </c>
      <c r="D4714" s="35">
        <f>+'[2]por cuent'!G4714</f>
        <v>1173.76</v>
      </c>
      <c r="E4714" s="35">
        <f>+'[2]por cuent'!H4714</f>
        <v>1755451.9807999998</v>
      </c>
      <c r="F4714" t="str">
        <f>+'[2]por cuent'!I4714</f>
        <v>765</v>
      </c>
    </row>
    <row r="4715" spans="1:6" x14ac:dyDescent="0.35">
      <c r="A4715" t="str">
        <f>+'[2]por cuent'!A4715</f>
        <v>USD</v>
      </c>
      <c r="B4715" t="str">
        <f>+'[2]por cuent'!B4715</f>
        <v>765000713</v>
      </c>
      <c r="C4715" t="str">
        <f>+'[2]por cuent'!C4715</f>
        <v>Depetris, Mara Belén</v>
      </c>
      <c r="D4715" s="35">
        <f>+'[2]por cuent'!G4715</f>
        <v>74509.66</v>
      </c>
      <c r="E4715" s="35">
        <f>+'[2]por cuent'!H4715</f>
        <v>111435157.3028</v>
      </c>
      <c r="F4715" t="str">
        <f>+'[2]por cuent'!I4715</f>
        <v>765</v>
      </c>
    </row>
    <row r="4716" spans="1:6" x14ac:dyDescent="0.35">
      <c r="A4716" t="str">
        <f>+'[2]por cuent'!A4716</f>
        <v>USD</v>
      </c>
      <c r="B4716" t="str">
        <f>+'[2]por cuent'!B4716</f>
        <v>766000024</v>
      </c>
      <c r="C4716" t="str">
        <f>+'[2]por cuent'!C4716</f>
        <v>Gianni, Gabriela Paola</v>
      </c>
      <c r="D4716" s="35">
        <f>+'[2]por cuent'!G4716</f>
        <v>1354.73</v>
      </c>
      <c r="E4716" s="35">
        <f>+'[2]por cuent'!H4716</f>
        <v>2026107.0933999999</v>
      </c>
      <c r="F4716" t="str">
        <f>+'[2]por cuent'!I4716</f>
        <v>766</v>
      </c>
    </row>
    <row r="4717" spans="1:6" x14ac:dyDescent="0.35">
      <c r="A4717" t="str">
        <f>+'[2]por cuent'!A4717</f>
        <v>USD</v>
      </c>
      <c r="B4717" t="str">
        <f>+'[2]por cuent'!B4717</f>
        <v>766000026</v>
      </c>
      <c r="C4717" t="str">
        <f>+'[2]por cuent'!C4717</f>
        <v>Cuello Facundo</v>
      </c>
      <c r="D4717" s="35">
        <f>+'[2]por cuent'!G4717</f>
        <v>182.34</v>
      </c>
      <c r="E4717" s="35">
        <f>+'[2]por cuent'!H4717</f>
        <v>272704.05719999998</v>
      </c>
      <c r="F4717" t="str">
        <f>+'[2]por cuent'!I4717</f>
        <v>766</v>
      </c>
    </row>
    <row r="4718" spans="1:6" x14ac:dyDescent="0.35">
      <c r="A4718" t="str">
        <f>+'[2]por cuent'!A4718</f>
        <v>USD</v>
      </c>
      <c r="B4718" t="str">
        <f>+'[2]por cuent'!B4718</f>
        <v>766000033</v>
      </c>
      <c r="C4718" t="str">
        <f>+'[2]por cuent'!C4718</f>
        <v>Cuello, Emilio</v>
      </c>
      <c r="D4718" s="35">
        <f>+'[2]por cuent'!G4718</f>
        <v>1303.73</v>
      </c>
      <c r="E4718" s="35">
        <f>+'[2]por cuent'!H4718</f>
        <v>1949832.5133999998</v>
      </c>
      <c r="F4718" t="str">
        <f>+'[2]por cuent'!I4718</f>
        <v>766</v>
      </c>
    </row>
    <row r="4719" spans="1:6" x14ac:dyDescent="0.35">
      <c r="A4719" t="str">
        <f>+'[2]por cuent'!A4719</f>
        <v>USD</v>
      </c>
      <c r="B4719" t="str">
        <f>+'[2]por cuent'!B4719</f>
        <v>766000040</v>
      </c>
      <c r="C4719" t="str">
        <f>+'[2]por cuent'!C4719</f>
        <v>Pires, Miryam Susana</v>
      </c>
      <c r="D4719" s="35">
        <f>+'[2]por cuent'!G4719</f>
        <v>1115.4000000000001</v>
      </c>
      <c r="E4719" s="35">
        <f>+'[2]por cuent'!H4719</f>
        <v>1668169.932</v>
      </c>
      <c r="F4719" t="str">
        <f>+'[2]por cuent'!I4719</f>
        <v>766</v>
      </c>
    </row>
    <row r="4720" spans="1:6" x14ac:dyDescent="0.35">
      <c r="A4720" t="str">
        <f>+'[2]por cuent'!A4720</f>
        <v>USD</v>
      </c>
      <c r="B4720" t="str">
        <f>+'[2]por cuent'!B4720</f>
        <v>766000062</v>
      </c>
      <c r="C4720" t="str">
        <f>+'[2]por cuent'!C4720</f>
        <v>Salerno, Graciela Rita</v>
      </c>
      <c r="D4720" s="35">
        <f>+'[2]por cuent'!G4720</f>
        <v>3855.82</v>
      </c>
      <c r="E4720" s="35">
        <f>+'[2]por cuent'!H4720</f>
        <v>5766687.2756000003</v>
      </c>
      <c r="F4720" t="str">
        <f>+'[2]por cuent'!I4720</f>
        <v>766</v>
      </c>
    </row>
    <row r="4721" spans="1:6" x14ac:dyDescent="0.35">
      <c r="A4721" t="str">
        <f>+'[2]por cuent'!A4721</f>
        <v>USD</v>
      </c>
      <c r="B4721" t="str">
        <f>+'[2]por cuent'!B4721</f>
        <v>766000073</v>
      </c>
      <c r="C4721" t="str">
        <f>+'[2]por cuent'!C4721</f>
        <v xml:space="preserve">Quiles, Marta Beatriz </v>
      </c>
      <c r="D4721" s="35">
        <f>+'[2]por cuent'!G4721</f>
        <v>199.49</v>
      </c>
      <c r="E4721" s="35">
        <f>+'[2]por cuent'!H4721</f>
        <v>298353.25420000002</v>
      </c>
      <c r="F4721" t="str">
        <f>+'[2]por cuent'!I4721</f>
        <v>766</v>
      </c>
    </row>
    <row r="4722" spans="1:6" x14ac:dyDescent="0.35">
      <c r="A4722" t="str">
        <f>+'[2]por cuent'!A4722</f>
        <v>USD</v>
      </c>
      <c r="B4722" t="str">
        <f>+'[2]por cuent'!B4722</f>
        <v>766000078</v>
      </c>
      <c r="C4722" t="str">
        <f>+'[2]por cuent'!C4722</f>
        <v>Asociación Civil Agrupación Deportiva Infantil Unión Rosario</v>
      </c>
      <c r="D4722" s="35">
        <f>+'[2]por cuent'!G4722</f>
        <v>10805.97</v>
      </c>
      <c r="E4722" s="35">
        <f>+'[2]por cuent'!H4722</f>
        <v>16161192.612599999</v>
      </c>
      <c r="F4722" t="str">
        <f>+'[2]por cuent'!I4722</f>
        <v>766</v>
      </c>
    </row>
    <row r="4723" spans="1:6" x14ac:dyDescent="0.35">
      <c r="A4723" t="str">
        <f>+'[2]por cuent'!A4723</f>
        <v>USD</v>
      </c>
      <c r="B4723" t="str">
        <f>+'[2]por cuent'!B4723</f>
        <v>766000080</v>
      </c>
      <c r="C4723" t="str">
        <f>+'[2]por cuent'!C4723</f>
        <v>Milano, Luis José</v>
      </c>
      <c r="D4723" s="35">
        <f>+'[2]por cuent'!G4723</f>
        <v>697.86</v>
      </c>
      <c r="E4723" s="35">
        <f>+'[2]por cuent'!H4723</f>
        <v>1043705.4588</v>
      </c>
      <c r="F4723" t="str">
        <f>+'[2]por cuent'!I4723</f>
        <v>766</v>
      </c>
    </row>
    <row r="4724" spans="1:6" x14ac:dyDescent="0.35">
      <c r="A4724" t="str">
        <f>+'[2]por cuent'!A4724</f>
        <v>USD</v>
      </c>
      <c r="B4724" t="str">
        <f>+'[2]por cuent'!B4724</f>
        <v>766000104</v>
      </c>
      <c r="C4724" t="str">
        <f>+'[2]por cuent'!C4724</f>
        <v>Alfieri, Jose Maria</v>
      </c>
      <c r="D4724" s="35">
        <f>+'[2]por cuent'!G4724</f>
        <v>1009.43</v>
      </c>
      <c r="E4724" s="35">
        <f>+'[2]por cuent'!H4724</f>
        <v>1509683.3193999999</v>
      </c>
      <c r="F4724" t="str">
        <f>+'[2]por cuent'!I4724</f>
        <v>766</v>
      </c>
    </row>
    <row r="4725" spans="1:6" x14ac:dyDescent="0.35">
      <c r="A4725" t="str">
        <f>+'[2]por cuent'!A4725</f>
        <v>USD</v>
      </c>
      <c r="B4725" t="str">
        <f>+'[2]por cuent'!B4725</f>
        <v>766000137</v>
      </c>
      <c r="C4725" t="str">
        <f>+'[2]por cuent'!C4725</f>
        <v>Barrau , Guillermo</v>
      </c>
      <c r="D4725" s="35">
        <f>+'[2]por cuent'!G4725</f>
        <v>3003.35</v>
      </c>
      <c r="E4725" s="35">
        <f>+'[2]por cuent'!H4725</f>
        <v>4491750.193</v>
      </c>
      <c r="F4725" t="str">
        <f>+'[2]por cuent'!I4725</f>
        <v>766</v>
      </c>
    </row>
    <row r="4726" spans="1:6" x14ac:dyDescent="0.35">
      <c r="A4726" t="str">
        <f>+'[2]por cuent'!A4726</f>
        <v>USD</v>
      </c>
      <c r="B4726" t="str">
        <f>+'[2]por cuent'!B4726</f>
        <v>766000179</v>
      </c>
      <c r="C4726" t="str">
        <f>+'[2]por cuent'!C4726</f>
        <v>Roig, Pablo César</v>
      </c>
      <c r="D4726" s="35">
        <f>+'[2]por cuent'!G4726</f>
        <v>39.130000000000003</v>
      </c>
      <c r="E4726" s="35">
        <f>+'[2]por cuent'!H4726</f>
        <v>58522.045400000003</v>
      </c>
      <c r="F4726" t="str">
        <f>+'[2]por cuent'!I4726</f>
        <v>766</v>
      </c>
    </row>
    <row r="4727" spans="1:6" x14ac:dyDescent="0.35">
      <c r="A4727" t="str">
        <f>+'[2]por cuent'!A4727</f>
        <v>USD</v>
      </c>
      <c r="B4727" t="str">
        <f>+'[2]por cuent'!B4727</f>
        <v>766000202</v>
      </c>
      <c r="C4727" t="str">
        <f>+'[2]por cuent'!C4727</f>
        <v>Bussi, Sebastián</v>
      </c>
      <c r="D4727" s="35">
        <f>+'[2]por cuent'!G4727</f>
        <v>7023.49</v>
      </c>
      <c r="E4727" s="35">
        <f>+'[2]por cuent'!H4727</f>
        <v>10504191.174199998</v>
      </c>
      <c r="F4727" t="str">
        <f>+'[2]por cuent'!I4727</f>
        <v>766</v>
      </c>
    </row>
    <row r="4728" spans="1:6" x14ac:dyDescent="0.35">
      <c r="A4728" t="str">
        <f>+'[2]por cuent'!A4728</f>
        <v>USD</v>
      </c>
      <c r="B4728" t="str">
        <f>+'[2]por cuent'!B4728</f>
        <v>766000205</v>
      </c>
      <c r="C4728" t="str">
        <f>+'[2]por cuent'!C4728</f>
        <v xml:space="preserve">Blanch, Martin o Blanco, Lucrecia </v>
      </c>
      <c r="D4728" s="35">
        <f>+'[2]por cuent'!G4728</f>
        <v>881.43</v>
      </c>
      <c r="E4728" s="35">
        <f>+'[2]por cuent'!H4728</f>
        <v>1318249.0793999999</v>
      </c>
      <c r="F4728" t="str">
        <f>+'[2]por cuent'!I4728</f>
        <v>766</v>
      </c>
    </row>
    <row r="4729" spans="1:6" x14ac:dyDescent="0.35">
      <c r="A4729" t="str">
        <f>+'[2]por cuent'!A4729</f>
        <v>USD</v>
      </c>
      <c r="B4729" t="str">
        <f>+'[2]por cuent'!B4729</f>
        <v>766000228</v>
      </c>
      <c r="C4729" t="str">
        <f>+'[2]por cuent'!C4729</f>
        <v>AMOBLAMIENTOS RENO</v>
      </c>
      <c r="D4729" s="35">
        <f>+'[2]por cuent'!G4729</f>
        <v>31003.67</v>
      </c>
      <c r="E4729" s="35">
        <f>+'[2]por cuent'!H4729</f>
        <v>46368468.778599992</v>
      </c>
      <c r="F4729" t="str">
        <f>+'[2]por cuent'!I4729</f>
        <v>766</v>
      </c>
    </row>
    <row r="4730" spans="1:6" x14ac:dyDescent="0.35">
      <c r="A4730" t="str">
        <f>+'[2]por cuent'!A4730</f>
        <v>USD</v>
      </c>
      <c r="B4730" t="str">
        <f>+'[2]por cuent'!B4730</f>
        <v>766000250</v>
      </c>
      <c r="C4730" t="str">
        <f>+'[2]por cuent'!C4730</f>
        <v>CRABSA S.A.</v>
      </c>
      <c r="D4730" s="35">
        <f>+'[2]por cuent'!G4730</f>
        <v>3748.66</v>
      </c>
      <c r="E4730" s="35">
        <f>+'[2]por cuent'!H4730</f>
        <v>5606420.9227999998</v>
      </c>
      <c r="F4730" t="str">
        <f>+'[2]por cuent'!I4730</f>
        <v>766</v>
      </c>
    </row>
    <row r="4731" spans="1:6" x14ac:dyDescent="0.35">
      <c r="A4731" t="str">
        <f>+'[2]por cuent'!A4731</f>
        <v>USD</v>
      </c>
      <c r="B4731" t="str">
        <f>+'[2]por cuent'!B4731</f>
        <v>766000319</v>
      </c>
      <c r="C4731" t="str">
        <f>+'[2]por cuent'!C4731</f>
        <v>Tommasi, Javier Alejandro</v>
      </c>
      <c r="D4731" s="35">
        <f>+'[2]por cuent'!G4731</f>
        <v>1988.3</v>
      </c>
      <c r="E4731" s="35">
        <f>+'[2]por cuent'!H4731</f>
        <v>2973661.7139999997</v>
      </c>
      <c r="F4731" t="str">
        <f>+'[2]por cuent'!I4731</f>
        <v>766</v>
      </c>
    </row>
    <row r="4732" spans="1:6" x14ac:dyDescent="0.35">
      <c r="A4732" t="str">
        <f>+'[2]por cuent'!A4732</f>
        <v>USD</v>
      </c>
      <c r="B4732" t="str">
        <f>+'[2]por cuent'!B4732</f>
        <v>766000352</v>
      </c>
      <c r="C4732" t="str">
        <f>+'[2]por cuent'!C4732</f>
        <v>KAMCHATKA S.R.L.</v>
      </c>
      <c r="D4732" s="35">
        <f>+'[2]por cuent'!G4732</f>
        <v>41088.25</v>
      </c>
      <c r="E4732" s="35">
        <f>+'[2]por cuent'!H4732</f>
        <v>61450764.934999995</v>
      </c>
      <c r="F4732" t="str">
        <f>+'[2]por cuent'!I4732</f>
        <v>766</v>
      </c>
    </row>
    <row r="4733" spans="1:6" x14ac:dyDescent="0.35">
      <c r="A4733" t="str">
        <f>+'[2]por cuent'!A4733</f>
        <v>USD</v>
      </c>
      <c r="B4733" t="str">
        <f>+'[2]por cuent'!B4733</f>
        <v>766000367</v>
      </c>
      <c r="C4733" t="str">
        <f>+'[2]por cuent'!C4733</f>
        <v>Pico, Ramiro José</v>
      </c>
      <c r="D4733" s="35">
        <f>+'[2]por cuent'!G4733</f>
        <v>1850.87</v>
      </c>
      <c r="E4733" s="35">
        <f>+'[2]por cuent'!H4733</f>
        <v>2768124.1545999995</v>
      </c>
      <c r="F4733" t="str">
        <f>+'[2]por cuent'!I4733</f>
        <v>766</v>
      </c>
    </row>
    <row r="4734" spans="1:6" x14ac:dyDescent="0.35">
      <c r="A4734" t="str">
        <f>+'[2]por cuent'!A4734</f>
        <v>USD</v>
      </c>
      <c r="B4734" t="str">
        <f>+'[2]por cuent'!B4734</f>
        <v>766000432</v>
      </c>
      <c r="C4734" t="str">
        <f>+'[2]por cuent'!C4734</f>
        <v>Mariño, Raúl Eduardo</v>
      </c>
      <c r="D4734" s="35">
        <f>+'[2]por cuent'!G4734</f>
        <v>1020.72</v>
      </c>
      <c r="E4734" s="35">
        <f>+'[2]por cuent'!H4734</f>
        <v>1526568.4176</v>
      </c>
      <c r="F4734" t="str">
        <f>+'[2]por cuent'!I4734</f>
        <v>766</v>
      </c>
    </row>
    <row r="4735" spans="1:6" x14ac:dyDescent="0.35">
      <c r="A4735" t="str">
        <f>+'[2]por cuent'!A4735</f>
        <v>USD</v>
      </c>
      <c r="B4735" t="str">
        <f>+'[2]por cuent'!B4735</f>
        <v>766000441</v>
      </c>
      <c r="C4735" t="str">
        <f>+'[2]por cuent'!C4735</f>
        <v>Mayoraz, Gonzalo Javier</v>
      </c>
      <c r="D4735" s="35">
        <f>+'[2]por cuent'!G4735</f>
        <v>11898.63</v>
      </c>
      <c r="E4735" s="35">
        <f>+'[2]por cuent'!H4735</f>
        <v>17795353.055399999</v>
      </c>
      <c r="F4735" t="str">
        <f>+'[2]por cuent'!I4735</f>
        <v>766</v>
      </c>
    </row>
    <row r="4736" spans="1:6" x14ac:dyDescent="0.35">
      <c r="A4736" t="str">
        <f>+'[2]por cuent'!A4736</f>
        <v>USD</v>
      </c>
      <c r="B4736" t="str">
        <f>+'[2]por cuent'!B4736</f>
        <v>766000448</v>
      </c>
      <c r="C4736" t="str">
        <f>+'[2]por cuent'!C4736</f>
        <v>Livieri, Carlos Ruben o Ruiz, Maria Eugenia o Livieri, Maria Florencia</v>
      </c>
      <c r="D4736" s="35">
        <f>+'[2]por cuent'!G4736</f>
        <v>2862</v>
      </c>
      <c r="E4736" s="35">
        <f>+'[2]por cuent'!H4736</f>
        <v>4280349.96</v>
      </c>
      <c r="F4736" t="str">
        <f>+'[2]por cuent'!I4736</f>
        <v>766</v>
      </c>
    </row>
    <row r="4737" spans="1:6" x14ac:dyDescent="0.35">
      <c r="A4737" t="str">
        <f>+'[2]por cuent'!A4737</f>
        <v>USD</v>
      </c>
      <c r="B4737" t="str">
        <f>+'[2]por cuent'!B4737</f>
        <v>766000469</v>
      </c>
      <c r="C4737" t="str">
        <f>+'[2]por cuent'!C4737</f>
        <v>Mendez Amadei, Lisandro o Mendez Amadei, Guillermo</v>
      </c>
      <c r="D4737" s="35">
        <f>+'[2]por cuent'!G4737</f>
        <v>276</v>
      </c>
      <c r="E4737" s="35">
        <f>+'[2]por cuent'!H4737</f>
        <v>412780.07999999996</v>
      </c>
      <c r="F4737" t="str">
        <f>+'[2]por cuent'!I4737</f>
        <v>766</v>
      </c>
    </row>
    <row r="4738" spans="1:6" x14ac:dyDescent="0.35">
      <c r="A4738" t="str">
        <f>+'[2]por cuent'!A4738</f>
        <v>USD</v>
      </c>
      <c r="B4738" t="str">
        <f>+'[2]por cuent'!B4738</f>
        <v>766000509</v>
      </c>
      <c r="C4738" t="str">
        <f>+'[2]por cuent'!C4738</f>
        <v>Escalante, Pablo Julio</v>
      </c>
      <c r="D4738" s="35">
        <f>+'[2]por cuent'!G4738</f>
        <v>7900.31</v>
      </c>
      <c r="E4738" s="35">
        <f>+'[2]por cuent'!H4738</f>
        <v>11815545.629799999</v>
      </c>
      <c r="F4738" t="str">
        <f>+'[2]por cuent'!I4738</f>
        <v>766</v>
      </c>
    </row>
    <row r="4739" spans="1:6" x14ac:dyDescent="0.35">
      <c r="A4739" t="str">
        <f>+'[2]por cuent'!A4739</f>
        <v>USD</v>
      </c>
      <c r="B4739" t="str">
        <f>+'[2]por cuent'!B4739</f>
        <v>766000514</v>
      </c>
      <c r="C4739" t="str">
        <f>+'[2]por cuent'!C4739</f>
        <v>Barletta, Federica</v>
      </c>
      <c r="D4739" s="35">
        <f>+'[2]por cuent'!G4739</f>
        <v>177.5</v>
      </c>
      <c r="E4739" s="35">
        <f>+'[2]por cuent'!H4739</f>
        <v>265465.45</v>
      </c>
      <c r="F4739" t="str">
        <f>+'[2]por cuent'!I4739</f>
        <v>766</v>
      </c>
    </row>
    <row r="4740" spans="1:6" x14ac:dyDescent="0.35">
      <c r="A4740" t="str">
        <f>+'[2]por cuent'!A4740</f>
        <v>USD</v>
      </c>
      <c r="B4740" t="str">
        <f>+'[2]por cuent'!B4740</f>
        <v>766000517</v>
      </c>
      <c r="C4740" t="str">
        <f>+'[2]por cuent'!C4740</f>
        <v>Lattuca, Mateo</v>
      </c>
      <c r="D4740" s="35">
        <f>+'[2]por cuent'!G4740</f>
        <v>198.11</v>
      </c>
      <c r="E4740" s="35">
        <f>+'[2]por cuent'!H4740</f>
        <v>296289.35379999998</v>
      </c>
      <c r="F4740" t="str">
        <f>+'[2]por cuent'!I4740</f>
        <v>766</v>
      </c>
    </row>
    <row r="4741" spans="1:6" x14ac:dyDescent="0.35">
      <c r="A4741" t="str">
        <f>+'[2]por cuent'!A4741</f>
        <v>USD</v>
      </c>
      <c r="B4741" t="str">
        <f>+'[2]por cuent'!B4741</f>
        <v>766000525</v>
      </c>
      <c r="C4741" t="str">
        <f>+'[2]por cuent'!C4741</f>
        <v>Gonzalez Diez, Delfina</v>
      </c>
      <c r="D4741" s="35">
        <f>+'[2]por cuent'!G4741</f>
        <v>1394.81</v>
      </c>
      <c r="E4741" s="35">
        <f>+'[2]por cuent'!H4741</f>
        <v>2086049.9397999998</v>
      </c>
      <c r="F4741" t="str">
        <f>+'[2]por cuent'!I4741</f>
        <v>766</v>
      </c>
    </row>
    <row r="4742" spans="1:6" x14ac:dyDescent="0.35">
      <c r="A4742" t="str">
        <f>+'[2]por cuent'!A4742</f>
        <v>USD</v>
      </c>
      <c r="B4742" t="str">
        <f>+'[2]por cuent'!B4742</f>
        <v>788002147</v>
      </c>
      <c r="C4742" t="str">
        <f>+'[2]por cuent'!C4742</f>
        <v>Tarallo, Agustín</v>
      </c>
      <c r="D4742" s="35">
        <f>+'[2]por cuent'!G4742</f>
        <v>9926.44</v>
      </c>
      <c r="E4742" s="35">
        <f>+'[2]por cuent'!H4742</f>
        <v>14845785.135199999</v>
      </c>
      <c r="F4742" t="str">
        <f>+'[2]por cuent'!I4742</f>
        <v>788</v>
      </c>
    </row>
    <row r="4743" spans="1:6" x14ac:dyDescent="0.35">
      <c r="A4743" t="str">
        <f>+'[2]por cuent'!A4743</f>
        <v>USD</v>
      </c>
      <c r="B4743" t="str">
        <f>+'[2]por cuent'!B4743</f>
        <v>794000105</v>
      </c>
      <c r="C4743" t="str">
        <f>+'[2]por cuent'!C4743</f>
        <v>Carla Merlini</v>
      </c>
      <c r="D4743" s="35">
        <f>+'[2]por cuent'!G4743</f>
        <v>45096.99</v>
      </c>
      <c r="E4743" s="35">
        <f>+'[2]por cuent'!H4743</f>
        <v>67446156.304199994</v>
      </c>
      <c r="F4743" t="str">
        <f>+'[2]por cuent'!I4743</f>
        <v>794</v>
      </c>
    </row>
    <row r="4744" spans="1:6" x14ac:dyDescent="0.35">
      <c r="A4744" t="str">
        <f>+'[2]por cuent'!A4744</f>
        <v>USD</v>
      </c>
      <c r="B4744" t="str">
        <f>+'[2]por cuent'!B4744</f>
        <v>794000106</v>
      </c>
      <c r="C4744" t="str">
        <f>+'[2]por cuent'!C4744</f>
        <v>OLGA ISABEL GOMEZ</v>
      </c>
      <c r="D4744" s="35">
        <f>+'[2]por cuent'!G4744</f>
        <v>3227.25</v>
      </c>
      <c r="E4744" s="35">
        <f>+'[2]por cuent'!H4744</f>
        <v>4826610.5549999997</v>
      </c>
      <c r="F4744" t="str">
        <f>+'[2]por cuent'!I4744</f>
        <v>794</v>
      </c>
    </row>
    <row r="4745" spans="1:6" x14ac:dyDescent="0.35">
      <c r="A4745" t="str">
        <f>+'[2]por cuent'!A4745</f>
        <v>USD</v>
      </c>
      <c r="B4745" t="str">
        <f>+'[2]por cuent'!B4745</f>
        <v>802000999</v>
      </c>
      <c r="C4745" t="str">
        <f>+'[2]por cuent'!C4745</f>
        <v>META INVERSIONES SA</v>
      </c>
      <c r="D4745" s="35">
        <f>+'[2]por cuent'!G4745</f>
        <v>133306</v>
      </c>
      <c r="E4745" s="35">
        <f>+'[2]por cuent'!H4745</f>
        <v>199369787.47999999</v>
      </c>
      <c r="F4745" t="str">
        <f>+'[2]por cuent'!I4745</f>
        <v>802</v>
      </c>
    </row>
    <row r="4746" spans="1:6" x14ac:dyDescent="0.35">
      <c r="A4746" t="str">
        <f>+'[2]por cuent'!A4746</f>
        <v>USD</v>
      </c>
      <c r="B4746" t="str">
        <f>+'[2]por cuent'!B4746</f>
        <v>802001094</v>
      </c>
      <c r="C4746" t="str">
        <f>+'[2]por cuent'!C4746</f>
        <v>DE DONATO, ANTONIO JESUS</v>
      </c>
      <c r="D4746" s="35">
        <f>+'[2]por cuent'!G4746</f>
        <v>7996.14</v>
      </c>
      <c r="E4746" s="35">
        <f>+'[2]por cuent'!H4746</f>
        <v>11958867.0612</v>
      </c>
      <c r="F4746" t="str">
        <f>+'[2]por cuent'!I4746</f>
        <v>802</v>
      </c>
    </row>
    <row r="4747" spans="1:6" x14ac:dyDescent="0.35">
      <c r="A4747" t="str">
        <f>+'[2]por cuent'!A4747</f>
        <v>USD</v>
      </c>
      <c r="B4747" t="str">
        <f>+'[2]por cuent'!B4747</f>
        <v>802001481</v>
      </c>
      <c r="C4747" t="str">
        <f>+'[2]por cuent'!C4747</f>
        <v>PANASONIC DO BRASIL LIMITADA - SUCURSAL ARGENTINA</v>
      </c>
      <c r="D4747" s="35">
        <f>+'[2]por cuent'!G4747</f>
        <v>10195.83</v>
      </c>
      <c r="E4747" s="35">
        <f>+'[2]por cuent'!H4747</f>
        <v>15248679.431399999</v>
      </c>
      <c r="F4747" t="str">
        <f>+'[2]por cuent'!I4747</f>
        <v>802</v>
      </c>
    </row>
    <row r="4748" spans="1:6" x14ac:dyDescent="0.35">
      <c r="A4748" t="str">
        <f>+'[2]por cuent'!A4748</f>
        <v>USD</v>
      </c>
      <c r="B4748" t="str">
        <f>+'[2]por cuent'!B4748</f>
        <v>802001579</v>
      </c>
      <c r="C4748" t="str">
        <f>+'[2]por cuent'!C4748</f>
        <v>PEREIRA, MARIA CECILIA</v>
      </c>
      <c r="D4748" s="35">
        <f>+'[2]por cuent'!G4748</f>
        <v>7110.65</v>
      </c>
      <c r="E4748" s="35">
        <f>+'[2]por cuent'!H4748</f>
        <v>10634545.926999999</v>
      </c>
      <c r="F4748" t="str">
        <f>+'[2]por cuent'!I4748</f>
        <v>802</v>
      </c>
    </row>
    <row r="4749" spans="1:6" x14ac:dyDescent="0.35">
      <c r="A4749" t="str">
        <f>+'[2]por cuent'!A4749</f>
        <v>USD</v>
      </c>
      <c r="B4749" t="str">
        <f>+'[2]por cuent'!B4749</f>
        <v>802001640</v>
      </c>
      <c r="C4749" t="str">
        <f>+'[2]por cuent'!C4749</f>
        <v>FIORENZA, ANNERIS FLAVIA EVELYN</v>
      </c>
      <c r="D4749" s="35">
        <f>+'[2]por cuent'!G4749</f>
        <v>7999.85</v>
      </c>
      <c r="E4749" s="35">
        <f>+'[2]por cuent'!H4749</f>
        <v>11964415.663000001</v>
      </c>
      <c r="F4749" t="str">
        <f>+'[2]por cuent'!I4749</f>
        <v>802</v>
      </c>
    </row>
    <row r="4750" spans="1:6" x14ac:dyDescent="0.35">
      <c r="A4750" t="str">
        <f>+'[2]por cuent'!A4750</f>
        <v>USD</v>
      </c>
      <c r="B4750" t="str">
        <f>+'[2]por cuent'!B4750</f>
        <v>802001735</v>
      </c>
      <c r="C4750" t="str">
        <f>+'[2]por cuent'!C4750</f>
        <v>SRD PRODUCCIONES SRL</v>
      </c>
      <c r="D4750" s="35">
        <f>+'[2]por cuent'!G4750</f>
        <v>31578.6</v>
      </c>
      <c r="E4750" s="35">
        <f>+'[2]por cuent'!H4750</f>
        <v>47228322.587999992</v>
      </c>
      <c r="F4750" t="str">
        <f>+'[2]por cuent'!I4750</f>
        <v>802</v>
      </c>
    </row>
    <row r="4751" spans="1:6" x14ac:dyDescent="0.35">
      <c r="A4751" t="str">
        <f>+'[2]por cuent'!A4751</f>
        <v>USD</v>
      </c>
      <c r="B4751" t="str">
        <f>+'[2]por cuent'!B4751</f>
        <v>802001793</v>
      </c>
      <c r="C4751" t="str">
        <f>+'[2]por cuent'!C4751</f>
        <v>DISTRIBUIDORA AMERICANA DEL RELOJ SUIZO S.A.</v>
      </c>
      <c r="D4751" s="35">
        <f>+'[2]por cuent'!G4751</f>
        <v>42521.13</v>
      </c>
      <c r="E4751" s="35">
        <f>+'[2]por cuent'!H4751</f>
        <v>63593751.605399996</v>
      </c>
      <c r="F4751" t="str">
        <f>+'[2]por cuent'!I4751</f>
        <v>802</v>
      </c>
    </row>
    <row r="4752" spans="1:6" x14ac:dyDescent="0.35">
      <c r="A4752" t="str">
        <f>+'[2]por cuent'!A4752</f>
        <v>USD</v>
      </c>
      <c r="B4752" t="str">
        <f>+'[2]por cuent'!B4752</f>
        <v>802001885</v>
      </c>
      <c r="C4752" t="str">
        <f>+'[2]por cuent'!C4752</f>
        <v>LOS AUTENTICOS DECADENTES SRL</v>
      </c>
      <c r="D4752" s="35">
        <f>+'[2]por cuent'!G4752</f>
        <v>60000</v>
      </c>
      <c r="E4752" s="35">
        <f>+'[2]por cuent'!H4752</f>
        <v>89734800</v>
      </c>
      <c r="F4752" t="str">
        <f>+'[2]por cuent'!I4752</f>
        <v>802</v>
      </c>
    </row>
    <row r="4753" spans="1:6" x14ac:dyDescent="0.35">
      <c r="A4753" t="str">
        <f>+'[2]por cuent'!A4753</f>
        <v>USD</v>
      </c>
      <c r="B4753" t="str">
        <f>+'[2]por cuent'!B4753</f>
        <v>802001942</v>
      </c>
      <c r="C4753" t="str">
        <f>+'[2]por cuent'!C4753</f>
        <v>YAÑEZ, SANTIAGO MANUEL</v>
      </c>
      <c r="D4753" s="35">
        <f>+'[2]por cuent'!G4753</f>
        <v>4442.1499999999996</v>
      </c>
      <c r="E4753" s="35">
        <f>+'[2]por cuent'!H4753</f>
        <v>6643590.6969999988</v>
      </c>
      <c r="F4753" t="str">
        <f>+'[2]por cuent'!I4753</f>
        <v>802</v>
      </c>
    </row>
    <row r="4754" spans="1:6" x14ac:dyDescent="0.35">
      <c r="A4754" t="str">
        <f>+'[2]por cuent'!A4754</f>
        <v>USD</v>
      </c>
      <c r="B4754" t="str">
        <f>+'[2]por cuent'!B4754</f>
        <v>802001974</v>
      </c>
      <c r="C4754" t="str">
        <f>+'[2]por cuent'!C4754</f>
        <v>CHERVONKO, ROMINA VANESA</v>
      </c>
      <c r="D4754" s="35">
        <f>+'[2]por cuent'!G4754</f>
        <v>1994.71</v>
      </c>
      <c r="E4754" s="35">
        <f>+'[2]por cuent'!H4754</f>
        <v>2983248.3818000001</v>
      </c>
      <c r="F4754" t="str">
        <f>+'[2]por cuent'!I4754</f>
        <v>802</v>
      </c>
    </row>
    <row r="4755" spans="1:6" x14ac:dyDescent="0.35">
      <c r="A4755" t="str">
        <f>+'[2]por cuent'!A4755</f>
        <v>USD</v>
      </c>
      <c r="B4755" t="str">
        <f>+'[2]por cuent'!B4755</f>
        <v>802001989</v>
      </c>
      <c r="C4755" t="str">
        <f>+'[2]por cuent'!C4755</f>
        <v>[C.E.R.A.] ANDREATINI SERGIO ADRIAN</v>
      </c>
      <c r="D4755" s="35">
        <f>+'[2]por cuent'!G4755</f>
        <v>14.86</v>
      </c>
      <c r="E4755" s="35">
        <f>+'[2]por cuent'!H4755</f>
        <v>22224.318799999997</v>
      </c>
      <c r="F4755" t="str">
        <f>+'[2]por cuent'!I4755</f>
        <v>802</v>
      </c>
    </row>
    <row r="4756" spans="1:6" x14ac:dyDescent="0.35">
      <c r="A4756" t="str">
        <f>+'[2]por cuent'!A4756</f>
        <v>USD</v>
      </c>
      <c r="B4756" t="str">
        <f>+'[2]por cuent'!B4756</f>
        <v>802001990</v>
      </c>
      <c r="C4756" t="str">
        <f>+'[2]por cuent'!C4756</f>
        <v>[C.E.R.A.] TA PLASTIC S.A.</v>
      </c>
      <c r="D4756" s="35">
        <f>+'[2]por cuent'!G4756</f>
        <v>14.84</v>
      </c>
      <c r="E4756" s="35">
        <f>+'[2]por cuent'!H4756</f>
        <v>22194.407199999998</v>
      </c>
      <c r="F4756" t="str">
        <f>+'[2]por cuent'!I4756</f>
        <v>802</v>
      </c>
    </row>
    <row r="4757" spans="1:6" x14ac:dyDescent="0.35">
      <c r="A4757" t="str">
        <f>+'[2]por cuent'!A4757</f>
        <v>USD</v>
      </c>
      <c r="B4757" t="str">
        <f>+'[2]por cuent'!B4757</f>
        <v>802002076</v>
      </c>
      <c r="C4757" t="str">
        <f>+'[2]por cuent'!C4757</f>
        <v>[C.E.R.A.] ANDREATINI EMILIO</v>
      </c>
      <c r="D4757" s="35">
        <f>+'[2]por cuent'!G4757</f>
        <v>14.86</v>
      </c>
      <c r="E4757" s="35">
        <f>+'[2]por cuent'!H4757</f>
        <v>22224.318799999997</v>
      </c>
      <c r="F4757" t="str">
        <f>+'[2]por cuent'!I4757</f>
        <v>802</v>
      </c>
    </row>
    <row r="4758" spans="1:6" x14ac:dyDescent="0.35">
      <c r="A4758" t="str">
        <f>+'[2]por cuent'!A4758</f>
        <v>USD</v>
      </c>
      <c r="B4758" t="str">
        <f>+'[2]por cuent'!B4758</f>
        <v>806000010</v>
      </c>
      <c r="C4758" t="str">
        <f>+'[2]por cuent'!C4758</f>
        <v>INVERSIONES CUYANAS S.A.</v>
      </c>
      <c r="D4758" s="35">
        <f>+'[2]por cuent'!G4758</f>
        <v>4999.13</v>
      </c>
      <c r="E4758" s="35">
        <f>+'[2]por cuent'!H4758</f>
        <v>7476598.8454</v>
      </c>
      <c r="F4758" t="str">
        <f>+'[2]por cuent'!I4758</f>
        <v>806</v>
      </c>
    </row>
    <row r="4759" spans="1:6" x14ac:dyDescent="0.35">
      <c r="A4759" t="str">
        <f>+'[2]por cuent'!A4759</f>
        <v>USD</v>
      </c>
      <c r="B4759" t="str">
        <f>+'[2]por cuent'!B4759</f>
        <v>806000155</v>
      </c>
      <c r="C4759" t="str">
        <f>+'[2]por cuent'!C4759</f>
        <v>GUIDOLIN, Ariel Hector</v>
      </c>
      <c r="D4759" s="35">
        <f>+'[2]por cuent'!G4759</f>
        <v>117291.84</v>
      </c>
      <c r="E4759" s="35">
        <f>+'[2]por cuent'!H4759</f>
        <v>175419330.06719998</v>
      </c>
      <c r="F4759" t="str">
        <f>+'[2]por cuent'!I4759</f>
        <v>806</v>
      </c>
    </row>
    <row r="4760" spans="1:6" x14ac:dyDescent="0.35">
      <c r="A4760" t="str">
        <f>+'[2]por cuent'!A4760</f>
        <v>USD</v>
      </c>
      <c r="B4760" t="str">
        <f>+'[2]por cuent'!B4760</f>
        <v>806000158</v>
      </c>
      <c r="C4760" t="str">
        <f>+'[2]por cuent'!C4760</f>
        <v>BOERO, Gustavo y/o LAVIANO, Analia</v>
      </c>
      <c r="D4760" s="35">
        <f>+'[2]por cuent'!G4760</f>
        <v>19953.169999999998</v>
      </c>
      <c r="E4760" s="35">
        <f>+'[2]por cuent'!H4760</f>
        <v>29841561.988599997</v>
      </c>
      <c r="F4760" t="str">
        <f>+'[2]por cuent'!I4760</f>
        <v>806</v>
      </c>
    </row>
    <row r="4761" spans="1:6" x14ac:dyDescent="0.35">
      <c r="A4761" t="str">
        <f>+'[2]por cuent'!A4761</f>
        <v>USD</v>
      </c>
      <c r="B4761" t="str">
        <f>+'[2]por cuent'!B4761</f>
        <v>806000165</v>
      </c>
      <c r="C4761" t="str">
        <f>+'[2]por cuent'!C4761</f>
        <v>Franco Guidolin</v>
      </c>
      <c r="D4761" s="35">
        <f>+'[2]por cuent'!G4761</f>
        <v>40000</v>
      </c>
      <c r="E4761" s="35">
        <f>+'[2]por cuent'!H4761</f>
        <v>59823200</v>
      </c>
      <c r="F4761" t="str">
        <f>+'[2]por cuent'!I4761</f>
        <v>806</v>
      </c>
    </row>
    <row r="4762" spans="1:6" x14ac:dyDescent="0.35">
      <c r="A4762" t="str">
        <f>+'[2]por cuent'!A4762</f>
        <v>USD</v>
      </c>
      <c r="B4762" t="str">
        <f>+'[2]por cuent'!B4762</f>
        <v>806000166</v>
      </c>
      <c r="C4762" t="str">
        <f>+'[2]por cuent'!C4762</f>
        <v>OLMEDO, Alberto Rafael</v>
      </c>
      <c r="D4762" s="35">
        <f>+'[2]por cuent'!G4762</f>
        <v>531582.18000000005</v>
      </c>
      <c r="E4762" s="35">
        <f>+'[2]por cuent'!H4762</f>
        <v>795023676.76440001</v>
      </c>
      <c r="F4762" t="str">
        <f>+'[2]por cuent'!I4762</f>
        <v>806</v>
      </c>
    </row>
    <row r="4763" spans="1:6" x14ac:dyDescent="0.35">
      <c r="A4763" t="str">
        <f>+'[2]por cuent'!A4763</f>
        <v>USD</v>
      </c>
      <c r="B4763" t="str">
        <f>+'[2]por cuent'!B4763</f>
        <v>806000245</v>
      </c>
      <c r="C4763" t="str">
        <f>+'[2]por cuent'!C4763</f>
        <v>RIJKEBOER GWENDELINE</v>
      </c>
      <c r="D4763" s="35">
        <f>+'[2]por cuent'!G4763</f>
        <v>41799.86</v>
      </c>
      <c r="E4763" s="35">
        <f>+'[2]por cuent'!H4763</f>
        <v>62515034.618799999</v>
      </c>
      <c r="F4763" t="str">
        <f>+'[2]por cuent'!I4763</f>
        <v>806</v>
      </c>
    </row>
    <row r="4764" spans="1:6" x14ac:dyDescent="0.35">
      <c r="A4764" t="str">
        <f>+'[2]por cuent'!A4764</f>
        <v>USD</v>
      </c>
      <c r="B4764" t="str">
        <f>+'[2]por cuent'!B4764</f>
        <v>806000295</v>
      </c>
      <c r="C4764" t="str">
        <f>+'[2]por cuent'!C4764</f>
        <v>LIBONATTI, GUIDO EMILIANO</v>
      </c>
      <c r="D4764" s="35">
        <f>+'[2]por cuent'!G4764</f>
        <v>1399.48</v>
      </c>
      <c r="E4764" s="35">
        <f>+'[2]por cuent'!H4764</f>
        <v>2093034.2984</v>
      </c>
      <c r="F4764" t="str">
        <f>+'[2]por cuent'!I4764</f>
        <v>806</v>
      </c>
    </row>
    <row r="4765" spans="1:6" x14ac:dyDescent="0.35">
      <c r="A4765" t="str">
        <f>+'[2]por cuent'!A4765</f>
        <v>USD</v>
      </c>
      <c r="B4765" t="str">
        <f>+'[2]por cuent'!B4765</f>
        <v>806000301</v>
      </c>
      <c r="C4765" t="str">
        <f>+'[2]por cuent'!C4765</f>
        <v>DURIGAN ANA MARIA Y GARCIA VIRTUDES</v>
      </c>
      <c r="D4765" s="35">
        <f>+'[2]por cuent'!G4765</f>
        <v>12274.57</v>
      </c>
      <c r="E4765" s="35">
        <f>+'[2]por cuent'!H4765</f>
        <v>18357601.400599997</v>
      </c>
      <c r="F4765" t="str">
        <f>+'[2]por cuent'!I4765</f>
        <v>806</v>
      </c>
    </row>
    <row r="4766" spans="1:6" x14ac:dyDescent="0.35">
      <c r="A4766" t="str">
        <f>+'[2]por cuent'!A4766</f>
        <v>USD</v>
      </c>
      <c r="B4766" t="str">
        <f>+'[2]por cuent'!B4766</f>
        <v>806000323</v>
      </c>
      <c r="C4766" t="str">
        <f>+'[2]por cuent'!C4766</f>
        <v>Ramiro Olmedo</v>
      </c>
      <c r="D4766" s="35">
        <f>+'[2]por cuent'!G4766</f>
        <v>151057.79999999999</v>
      </c>
      <c r="E4766" s="35">
        <f>+'[2]por cuent'!H4766</f>
        <v>225919024.52399996</v>
      </c>
      <c r="F4766" t="str">
        <f>+'[2]por cuent'!I4766</f>
        <v>806</v>
      </c>
    </row>
    <row r="4767" spans="1:6" x14ac:dyDescent="0.35">
      <c r="A4767" t="str">
        <f>+'[2]por cuent'!A4767</f>
        <v>USD</v>
      </c>
      <c r="B4767" t="str">
        <f>+'[2]por cuent'!B4767</f>
        <v>806000325</v>
      </c>
      <c r="C4767" t="str">
        <f>+'[2]por cuent'!C4767</f>
        <v>CARLOS DENIS RAMOS</v>
      </c>
      <c r="D4767" s="35">
        <f>+'[2]por cuent'!G4767</f>
        <v>3014.58</v>
      </c>
      <c r="E4767" s="35">
        <f>+'[2]por cuent'!H4767</f>
        <v>4508545.5564000001</v>
      </c>
      <c r="F4767" t="str">
        <f>+'[2]por cuent'!I4767</f>
        <v>806</v>
      </c>
    </row>
    <row r="4768" spans="1:6" x14ac:dyDescent="0.35">
      <c r="A4768" t="str">
        <f>+'[2]por cuent'!A4768</f>
        <v>USD</v>
      </c>
      <c r="B4768" t="str">
        <f>+'[2]por cuent'!B4768</f>
        <v>806000365</v>
      </c>
      <c r="C4768" t="str">
        <f>+'[2]por cuent'!C4768</f>
        <v>FERNANDO BUSCIOLANO</v>
      </c>
      <c r="D4768" s="35">
        <f>+'[2]por cuent'!G4768</f>
        <v>99.64</v>
      </c>
      <c r="E4768" s="35">
        <f>+'[2]por cuent'!H4768</f>
        <v>149019.5912</v>
      </c>
      <c r="F4768" t="str">
        <f>+'[2]por cuent'!I4768</f>
        <v>806</v>
      </c>
    </row>
    <row r="4769" spans="1:6" x14ac:dyDescent="0.35">
      <c r="A4769" t="str">
        <f>+'[2]por cuent'!A4769</f>
        <v>USD</v>
      </c>
      <c r="B4769" t="str">
        <f>+'[2]por cuent'!B4769</f>
        <v>806000376</v>
      </c>
      <c r="C4769" t="str">
        <f>+'[2]por cuent'!C4769</f>
        <v>DARDO AGUILAR</v>
      </c>
      <c r="D4769" s="35">
        <f>+'[2]por cuent'!G4769</f>
        <v>4777.8900000000003</v>
      </c>
      <c r="E4769" s="35">
        <f>+'[2]por cuent'!H4769</f>
        <v>7145716.7262000004</v>
      </c>
      <c r="F4769" t="str">
        <f>+'[2]por cuent'!I4769</f>
        <v>806</v>
      </c>
    </row>
    <row r="4770" spans="1:6" x14ac:dyDescent="0.35">
      <c r="A4770" t="str">
        <f>+'[2]por cuent'!A4770</f>
        <v>USD</v>
      </c>
      <c r="B4770" t="str">
        <f>+'[2]por cuent'!B4770</f>
        <v>806000401</v>
      </c>
      <c r="C4770" t="str">
        <f>+'[2]por cuent'!C4770</f>
        <v>NICOLAS JAVIER NIGRO</v>
      </c>
      <c r="D4770" s="35">
        <f>+'[2]por cuent'!G4770</f>
        <v>2272.4</v>
      </c>
      <c r="E4770" s="35">
        <f>+'[2]por cuent'!H4770</f>
        <v>3398555.9920000001</v>
      </c>
      <c r="F4770" t="str">
        <f>+'[2]por cuent'!I4770</f>
        <v>806</v>
      </c>
    </row>
    <row r="4771" spans="1:6" x14ac:dyDescent="0.35">
      <c r="A4771" t="str">
        <f>+'[2]por cuent'!A4771</f>
        <v>USD</v>
      </c>
      <c r="B4771" t="str">
        <f>+'[2]por cuent'!B4771</f>
        <v>806000416</v>
      </c>
      <c r="C4771" t="str">
        <f>+'[2]por cuent'!C4771</f>
        <v>CARPES ALL S.A.</v>
      </c>
      <c r="D4771" s="35">
        <f>+'[2]por cuent'!G4771</f>
        <v>265582.08000000002</v>
      </c>
      <c r="E4771" s="35">
        <f>+'[2]por cuent'!H4771</f>
        <v>397199247.20639998</v>
      </c>
      <c r="F4771" t="str">
        <f>+'[2]por cuent'!I4771</f>
        <v>806</v>
      </c>
    </row>
    <row r="4772" spans="1:6" x14ac:dyDescent="0.35">
      <c r="A4772" t="str">
        <f>+'[2]por cuent'!A4772</f>
        <v>USD</v>
      </c>
      <c r="B4772" t="str">
        <f>+'[2]por cuent'!B4772</f>
        <v>806000912</v>
      </c>
      <c r="C4772" t="str">
        <f>+'[2]por cuent'!C4772</f>
        <v>MAURO PASCALI</v>
      </c>
      <c r="D4772" s="35">
        <f>+'[2]por cuent'!G4772</f>
        <v>176616.7</v>
      </c>
      <c r="E4772" s="35">
        <f>+'[2]por cuent'!H4772</f>
        <v>264144404.18600002</v>
      </c>
      <c r="F4772" t="str">
        <f>+'[2]por cuent'!I4772</f>
        <v>806</v>
      </c>
    </row>
    <row r="4773" spans="1:6" x14ac:dyDescent="0.35">
      <c r="A4773" t="str">
        <f>+'[2]por cuent'!A4773</f>
        <v>USD</v>
      </c>
      <c r="B4773" t="str">
        <f>+'[2]por cuent'!B4773</f>
        <v>811000005</v>
      </c>
      <c r="C4773" t="str">
        <f>+'[2]por cuent'!C4773</f>
        <v>[C.E.R.A .] Gustavo Adolfo Kohnen</v>
      </c>
      <c r="D4773" s="35">
        <f>+'[2]por cuent'!G4773</f>
        <v>103667.97</v>
      </c>
      <c r="E4773" s="35">
        <f>+'[2]por cuent'!H4773</f>
        <v>155043742.57260001</v>
      </c>
      <c r="F4773" t="str">
        <f>+'[2]por cuent'!I4773</f>
        <v>811</v>
      </c>
    </row>
    <row r="4774" spans="1:6" x14ac:dyDescent="0.35">
      <c r="A4774" t="str">
        <f>+'[2]por cuent'!A4774</f>
        <v>USD</v>
      </c>
      <c r="B4774" t="str">
        <f>+'[2]por cuent'!B4774</f>
        <v>811000016</v>
      </c>
      <c r="C4774" t="str">
        <f>+'[2]por cuent'!C4774</f>
        <v>Verlin Capital S.A</v>
      </c>
      <c r="D4774" s="35">
        <f>+'[2]por cuent'!G4774</f>
        <v>501.6</v>
      </c>
      <c r="E4774" s="35">
        <f>+'[2]por cuent'!H4774</f>
        <v>750182.92799999996</v>
      </c>
      <c r="F4774" t="str">
        <f>+'[2]por cuent'!I4774</f>
        <v>811</v>
      </c>
    </row>
    <row r="4775" spans="1:6" x14ac:dyDescent="0.35">
      <c r="A4775" t="str">
        <f>+'[2]por cuent'!A4775</f>
        <v>USD</v>
      </c>
      <c r="B4775" t="str">
        <f>+'[2]por cuent'!B4775</f>
        <v>812000015</v>
      </c>
      <c r="C4775" t="str">
        <f>+'[2]por cuent'!C4775</f>
        <v>Pelozo, Pablo Sebastian</v>
      </c>
      <c r="D4775" s="35">
        <f>+'[2]por cuent'!G4775</f>
        <v>60742.51</v>
      </c>
      <c r="E4775" s="35">
        <f>+'[2]por cuent'!H4775</f>
        <v>90845283.105800003</v>
      </c>
      <c r="F4775" t="str">
        <f>+'[2]por cuent'!I4775</f>
        <v>812</v>
      </c>
    </row>
    <row r="4776" spans="1:6" x14ac:dyDescent="0.35">
      <c r="A4776" t="str">
        <f>+'[2]por cuent'!A4776</f>
        <v>USD</v>
      </c>
      <c r="B4776" t="str">
        <f>+'[2]por cuent'!B4776</f>
        <v>812000024</v>
      </c>
      <c r="C4776" t="str">
        <f>+'[2]por cuent'!C4776</f>
        <v>Lanza, Cynthia</v>
      </c>
      <c r="D4776" s="35">
        <f>+'[2]por cuent'!G4776</f>
        <v>4807.3599999999997</v>
      </c>
      <c r="E4776" s="35">
        <f>+'[2]por cuent'!H4776</f>
        <v>7189791.468799999</v>
      </c>
      <c r="F4776" t="str">
        <f>+'[2]por cuent'!I4776</f>
        <v>812</v>
      </c>
    </row>
    <row r="4777" spans="1:6" x14ac:dyDescent="0.35">
      <c r="A4777" t="str">
        <f>+'[2]por cuent'!A4777</f>
        <v>USD</v>
      </c>
      <c r="B4777" t="str">
        <f>+'[2]por cuent'!B4777</f>
        <v>816000105</v>
      </c>
      <c r="C4777" t="str">
        <f>+'[2]por cuent'!C4777</f>
        <v>Ustariz, Cristian Alberto y Cardona, Maria Dolores y Ustariz, Segundo</v>
      </c>
      <c r="D4777" s="35">
        <f>+'[2]por cuent'!G4777</f>
        <v>1295274.1000000001</v>
      </c>
      <c r="E4777" s="35">
        <f>+'[2]por cuent'!H4777</f>
        <v>1937186038.4780002</v>
      </c>
      <c r="F4777" t="str">
        <f>+'[2]por cuent'!I4777</f>
        <v>816</v>
      </c>
    </row>
    <row r="4778" spans="1:6" x14ac:dyDescent="0.35">
      <c r="A4778" t="str">
        <f>+'[2]por cuent'!A4778</f>
        <v>USD</v>
      </c>
      <c r="B4778" t="str">
        <f>+'[2]por cuent'!B4778</f>
        <v>816000139</v>
      </c>
      <c r="C4778" t="str">
        <f>+'[2]por cuent'!C4778</f>
        <v>Boixart, Hugo Ramon y Montaña Corina V.</v>
      </c>
      <c r="D4778" s="35">
        <f>+'[2]por cuent'!G4778</f>
        <v>185594.35</v>
      </c>
      <c r="E4778" s="35">
        <f>+'[2]por cuent'!H4778</f>
        <v>277571197.97299999</v>
      </c>
      <c r="F4778" t="str">
        <f>+'[2]por cuent'!I4778</f>
        <v>816</v>
      </c>
    </row>
    <row r="4779" spans="1:6" x14ac:dyDescent="0.35">
      <c r="A4779" t="str">
        <f>+'[2]por cuent'!A4779</f>
        <v>USD</v>
      </c>
      <c r="B4779" t="str">
        <f>+'[2]por cuent'!B4779</f>
        <v>816000156</v>
      </c>
      <c r="C4779" t="str">
        <f>+'[2]por cuent'!C4779</f>
        <v>Moroni, Gustavo y Semino, Adriana</v>
      </c>
      <c r="D4779" s="35">
        <f>+'[2]por cuent'!G4779</f>
        <v>246367</v>
      </c>
      <c r="E4779" s="35">
        <f>+'[2]por cuent'!H4779</f>
        <v>368461557.85999995</v>
      </c>
      <c r="F4779" t="str">
        <f>+'[2]por cuent'!I4779</f>
        <v>816</v>
      </c>
    </row>
    <row r="4780" spans="1:6" x14ac:dyDescent="0.35">
      <c r="A4780" t="str">
        <f>+'[2]por cuent'!A4780</f>
        <v>USD</v>
      </c>
      <c r="B4780" t="str">
        <f>+'[2]por cuent'!B4780</f>
        <v>816000239</v>
      </c>
      <c r="C4780" t="str">
        <f>+'[2]por cuent'!C4780</f>
        <v>Kakoom SA</v>
      </c>
      <c r="D4780" s="35">
        <f>+'[2]por cuent'!G4780</f>
        <v>402775.37</v>
      </c>
      <c r="E4780" s="35">
        <f>+'[2]por cuent'!H4780</f>
        <v>602382787.86459994</v>
      </c>
      <c r="F4780" t="str">
        <f>+'[2]por cuent'!I4780</f>
        <v>816</v>
      </c>
    </row>
    <row r="4781" spans="1:6" x14ac:dyDescent="0.35">
      <c r="A4781" t="str">
        <f>+'[2]por cuent'!A4781</f>
        <v>USD</v>
      </c>
      <c r="B4781" t="str">
        <f>+'[2]por cuent'!B4781</f>
        <v>816000253</v>
      </c>
      <c r="C4781" t="str">
        <f>+'[2]por cuent'!C4781</f>
        <v>Sicro SA</v>
      </c>
      <c r="D4781" s="35">
        <f>+'[2]por cuent'!G4781</f>
        <v>31587.64</v>
      </c>
      <c r="E4781" s="35">
        <f>+'[2]por cuent'!H4781</f>
        <v>47241842.631199993</v>
      </c>
      <c r="F4781" t="str">
        <f>+'[2]por cuent'!I4781</f>
        <v>816</v>
      </c>
    </row>
    <row r="4782" spans="1:6" x14ac:dyDescent="0.35">
      <c r="A4782" t="str">
        <f>+'[2]por cuent'!A4782</f>
        <v>USD</v>
      </c>
      <c r="B4782" t="str">
        <f>+'[2]por cuent'!B4782</f>
        <v>816000294</v>
      </c>
      <c r="C4782" t="str">
        <f>+'[2]por cuent'!C4782</f>
        <v>Marchese, Lorenzo Luis</v>
      </c>
      <c r="D4782" s="35">
        <f>+'[2]por cuent'!G4782</f>
        <v>29369.360000000001</v>
      </c>
      <c r="E4782" s="35">
        <f>+'[2]por cuent'!H4782</f>
        <v>43924227.428800002</v>
      </c>
      <c r="F4782" t="str">
        <f>+'[2]por cuent'!I4782</f>
        <v>816</v>
      </c>
    </row>
    <row r="4783" spans="1:6" x14ac:dyDescent="0.35">
      <c r="A4783" t="str">
        <f>+'[2]por cuent'!A4783</f>
        <v>USD</v>
      </c>
      <c r="B4783" t="str">
        <f>+'[2]por cuent'!B4783</f>
        <v>816000395</v>
      </c>
      <c r="C4783" t="str">
        <f>+'[2]por cuent'!C4783</f>
        <v>Panelo, Rodolfo Mario y Nelson, Alejandra</v>
      </c>
      <c r="D4783" s="35">
        <f>+'[2]por cuent'!G4783</f>
        <v>3843.85</v>
      </c>
      <c r="E4783" s="35">
        <f>+'[2]por cuent'!H4783</f>
        <v>5748785.1829999993</v>
      </c>
      <c r="F4783" t="str">
        <f>+'[2]por cuent'!I4783</f>
        <v>816</v>
      </c>
    </row>
    <row r="4784" spans="1:6" x14ac:dyDescent="0.35">
      <c r="A4784" t="str">
        <f>+'[2]por cuent'!A4784</f>
        <v>USD</v>
      </c>
      <c r="B4784" t="str">
        <f>+'[2]por cuent'!B4784</f>
        <v>816000412</v>
      </c>
      <c r="C4784" t="str">
        <f>+'[2]por cuent'!C4784</f>
        <v>Dosisto, Fabian Eduardo y Medina, Graciela Beatriz</v>
      </c>
      <c r="D4784" s="35">
        <f>+'[2]por cuent'!G4784</f>
        <v>41980</v>
      </c>
      <c r="E4784" s="35">
        <f>+'[2]por cuent'!H4784</f>
        <v>62784448.399999999</v>
      </c>
      <c r="F4784" t="str">
        <f>+'[2]por cuent'!I4784</f>
        <v>816</v>
      </c>
    </row>
    <row r="4785" spans="1:6" x14ac:dyDescent="0.35">
      <c r="A4785" t="str">
        <f>+'[2]por cuent'!A4785</f>
        <v>USD</v>
      </c>
      <c r="B4785" t="str">
        <f>+'[2]por cuent'!B4785</f>
        <v>816000422</v>
      </c>
      <c r="C4785" t="str">
        <f>+'[2]por cuent'!C4785</f>
        <v>Logistica Rojas S.A.</v>
      </c>
      <c r="D4785" s="35">
        <f>+'[2]por cuent'!G4785</f>
        <v>403298.97</v>
      </c>
      <c r="E4785" s="35">
        <f>+'[2]por cuent'!H4785</f>
        <v>603165873.55259991</v>
      </c>
      <c r="F4785" t="str">
        <f>+'[2]por cuent'!I4785</f>
        <v>816</v>
      </c>
    </row>
    <row r="4786" spans="1:6" x14ac:dyDescent="0.35">
      <c r="A4786" t="str">
        <f>+'[2]por cuent'!A4786</f>
        <v>USD</v>
      </c>
      <c r="B4786" t="str">
        <f>+'[2]por cuent'!B4786</f>
        <v>816000430</v>
      </c>
      <c r="C4786" t="str">
        <f>+'[2]por cuent'!C4786</f>
        <v>Abalo, Eduardo Diego y Igarzabal, Maria Laura</v>
      </c>
      <c r="D4786" s="35">
        <f>+'[2]por cuent'!G4786</f>
        <v>49501.14</v>
      </c>
      <c r="E4786" s="35">
        <f>+'[2]por cuent'!H4786</f>
        <v>74032914.961199999</v>
      </c>
      <c r="F4786" t="str">
        <f>+'[2]por cuent'!I4786</f>
        <v>816</v>
      </c>
    </row>
    <row r="4787" spans="1:6" x14ac:dyDescent="0.35">
      <c r="A4787" t="str">
        <f>+'[2]por cuent'!A4787</f>
        <v>USD</v>
      </c>
      <c r="B4787" t="str">
        <f>+'[2]por cuent'!B4787</f>
        <v>816000435</v>
      </c>
      <c r="C4787" t="str">
        <f>+'[2]por cuent'!C4787</f>
        <v>Quesada Dionisio, Grandi Mariana</v>
      </c>
      <c r="D4787" s="35">
        <f>+'[2]por cuent'!G4787</f>
        <v>6234.7</v>
      </c>
      <c r="E4787" s="35">
        <f>+'[2]por cuent'!H4787</f>
        <v>9324492.6260000002</v>
      </c>
      <c r="F4787" t="str">
        <f>+'[2]por cuent'!I4787</f>
        <v>816</v>
      </c>
    </row>
    <row r="4788" spans="1:6" x14ac:dyDescent="0.35">
      <c r="A4788" t="str">
        <f>+'[2]por cuent'!A4788</f>
        <v>USD</v>
      </c>
      <c r="B4788" t="str">
        <f>+'[2]por cuent'!B4788</f>
        <v>816000521</v>
      </c>
      <c r="C4788" t="str">
        <f>+'[2]por cuent'!C4788</f>
        <v>Salgueiro, Juan Manuel y Salgueiro, Jose Luis</v>
      </c>
      <c r="D4788" s="35">
        <f>+'[2]por cuent'!G4788</f>
        <v>43101</v>
      </c>
      <c r="E4788" s="35">
        <f>+'[2]por cuent'!H4788</f>
        <v>64460993.579999998</v>
      </c>
      <c r="F4788" t="str">
        <f>+'[2]por cuent'!I4788</f>
        <v>816</v>
      </c>
    </row>
    <row r="4789" spans="1:6" x14ac:dyDescent="0.35">
      <c r="A4789" t="str">
        <f>+'[2]por cuent'!A4789</f>
        <v>USD</v>
      </c>
      <c r="B4789" t="str">
        <f>+'[2]por cuent'!B4789</f>
        <v>816000522</v>
      </c>
      <c r="C4789" t="str">
        <f>+'[2]por cuent'!C4789</f>
        <v>Coll, Esteban y Coll Fernando</v>
      </c>
      <c r="D4789" s="35">
        <f>+'[2]por cuent'!G4789</f>
        <v>25453.31</v>
      </c>
      <c r="E4789" s="35">
        <f>+'[2]por cuent'!H4789</f>
        <v>38067461.369800001</v>
      </c>
      <c r="F4789" t="str">
        <f>+'[2]por cuent'!I4789</f>
        <v>816</v>
      </c>
    </row>
    <row r="4790" spans="1:6" x14ac:dyDescent="0.35">
      <c r="A4790" t="str">
        <f>+'[2]por cuent'!A4790</f>
        <v>USD</v>
      </c>
      <c r="B4790" t="str">
        <f>+'[2]por cuent'!B4790</f>
        <v>816000538</v>
      </c>
      <c r="C4790" t="str">
        <f>+'[2]por cuent'!C4790</f>
        <v>Arias, Juan Manuel y Montenegro , Silvia Carol</v>
      </c>
      <c r="D4790" s="35">
        <f>+'[2]por cuent'!G4790</f>
        <v>694100</v>
      </c>
      <c r="E4790" s="35">
        <f>+'[2]por cuent'!H4790</f>
        <v>1038082078</v>
      </c>
      <c r="F4790" t="str">
        <f>+'[2]por cuent'!I4790</f>
        <v>816</v>
      </c>
    </row>
    <row r="4791" spans="1:6" x14ac:dyDescent="0.35">
      <c r="A4791" t="str">
        <f>+'[2]por cuent'!A4791</f>
        <v>USD</v>
      </c>
      <c r="B4791" t="str">
        <f>+'[2]por cuent'!B4791</f>
        <v>816000612</v>
      </c>
      <c r="C4791" t="str">
        <f>+'[2]por cuent'!C4791</f>
        <v>Lalor S.A.C.M. y F.</v>
      </c>
      <c r="D4791" s="35">
        <f>+'[2]por cuent'!G4791</f>
        <v>4487.45</v>
      </c>
      <c r="E4791" s="35">
        <f>+'[2]por cuent'!H4791</f>
        <v>6711340.470999999</v>
      </c>
      <c r="F4791" t="str">
        <f>+'[2]por cuent'!I4791</f>
        <v>816</v>
      </c>
    </row>
    <row r="4792" spans="1:6" x14ac:dyDescent="0.35">
      <c r="A4792" t="str">
        <f>+'[2]por cuent'!A4792</f>
        <v>USD</v>
      </c>
      <c r="B4792" t="str">
        <f>+'[2]por cuent'!B4792</f>
        <v>816000650</v>
      </c>
      <c r="C4792" t="str">
        <f>+'[2]por cuent'!C4792</f>
        <v>Fundación Universidad de Belgrano Doctor Avelino Porto</v>
      </c>
      <c r="D4792" s="35">
        <f>+'[2]por cuent'!G4792</f>
        <v>64776.79</v>
      </c>
      <c r="E4792" s="35">
        <f>+'[2]por cuent'!H4792</f>
        <v>96878871.588200003</v>
      </c>
      <c r="F4792" t="str">
        <f>+'[2]por cuent'!I4792</f>
        <v>816</v>
      </c>
    </row>
    <row r="4793" spans="1:6" x14ac:dyDescent="0.35">
      <c r="A4793" t="str">
        <f>+'[2]por cuent'!A4793</f>
        <v>USD</v>
      </c>
      <c r="B4793" t="str">
        <f>+'[2]por cuent'!B4793</f>
        <v>816000687</v>
      </c>
      <c r="C4793" t="str">
        <f>+'[2]por cuent'!C4793</f>
        <v>Cardenas Maria Pia - Riesenkamp Guillermo Constantino</v>
      </c>
      <c r="D4793" s="35">
        <f>+'[2]por cuent'!G4793</f>
        <v>4127.62</v>
      </c>
      <c r="E4793" s="35">
        <f>+'[2]por cuent'!H4793</f>
        <v>6173185.9195999997</v>
      </c>
      <c r="F4793" t="str">
        <f>+'[2]por cuent'!I4793</f>
        <v>816</v>
      </c>
    </row>
    <row r="4794" spans="1:6" x14ac:dyDescent="0.35">
      <c r="A4794" t="str">
        <f>+'[2]por cuent'!A4794</f>
        <v>USD</v>
      </c>
      <c r="B4794" t="str">
        <f>+'[2]por cuent'!B4794</f>
        <v>816000858</v>
      </c>
      <c r="C4794" t="str">
        <f>+'[2]por cuent'!C4794</f>
        <v>Gonzalez Garcia Fernandez, Eduardo Efrain</v>
      </c>
      <c r="D4794" s="35">
        <f>+'[2]por cuent'!G4794</f>
        <v>1987.14</v>
      </c>
      <c r="E4794" s="35">
        <f>+'[2]por cuent'!H4794</f>
        <v>2971926.8412000001</v>
      </c>
      <c r="F4794" t="str">
        <f>+'[2]por cuent'!I4794</f>
        <v>816</v>
      </c>
    </row>
    <row r="4795" spans="1:6" x14ac:dyDescent="0.35">
      <c r="A4795" t="str">
        <f>+'[2]por cuent'!A4795</f>
        <v>USD</v>
      </c>
      <c r="B4795" t="str">
        <f>+'[2]por cuent'!B4795</f>
        <v>816000979</v>
      </c>
      <c r="C4795" t="str">
        <f>+'[2]por cuent'!C4795</f>
        <v>Daverio Ana Maria y Sarrabayrouse Bargallo Jose Maria</v>
      </c>
      <c r="D4795" s="35">
        <f>+'[2]por cuent'!G4795</f>
        <v>4659.1000000000004</v>
      </c>
      <c r="E4795" s="35">
        <f>+'[2]por cuent'!H4795</f>
        <v>6968056.7779999999</v>
      </c>
      <c r="F4795" t="str">
        <f>+'[2]por cuent'!I4795</f>
        <v>816</v>
      </c>
    </row>
    <row r="4796" spans="1:6" x14ac:dyDescent="0.35">
      <c r="A4796" t="str">
        <f>+'[2]por cuent'!A4796</f>
        <v>USD</v>
      </c>
      <c r="B4796" t="str">
        <f>+'[2]por cuent'!B4796</f>
        <v>816001216</v>
      </c>
      <c r="C4796" t="str">
        <f>+'[2]por cuent'!C4796</f>
        <v>Arias, Carolina</v>
      </c>
      <c r="D4796" s="35">
        <f>+'[2]por cuent'!G4796</f>
        <v>156600</v>
      </c>
      <c r="E4796" s="35">
        <f>+'[2]por cuent'!H4796</f>
        <v>234207828</v>
      </c>
      <c r="F4796" t="str">
        <f>+'[2]por cuent'!I4796</f>
        <v>816</v>
      </c>
    </row>
    <row r="4797" spans="1:6" x14ac:dyDescent="0.35">
      <c r="A4797" t="str">
        <f>+'[2]por cuent'!A4797</f>
        <v>USD</v>
      </c>
      <c r="B4797" t="str">
        <f>+'[2]por cuent'!B4797</f>
        <v>816001287</v>
      </c>
      <c r="C4797" t="str">
        <f>+'[2]por cuent'!C4797</f>
        <v>Markovic  Esteban</v>
      </c>
      <c r="D4797" s="35">
        <f>+'[2]por cuent'!G4797</f>
        <v>548.69000000000005</v>
      </c>
      <c r="E4797" s="35">
        <f>+'[2]por cuent'!H4797</f>
        <v>820609.79020000005</v>
      </c>
      <c r="F4797" t="str">
        <f>+'[2]por cuent'!I4797</f>
        <v>816</v>
      </c>
    </row>
    <row r="4798" spans="1:6" x14ac:dyDescent="0.35">
      <c r="A4798" t="str">
        <f>+'[2]por cuent'!A4798</f>
        <v>USD</v>
      </c>
      <c r="B4798" t="str">
        <f>+'[2]por cuent'!B4798</f>
        <v>816001489</v>
      </c>
      <c r="C4798" t="str">
        <f>+'[2]por cuent'!C4798</f>
        <v>Borla, Juan Augusto</v>
      </c>
      <c r="D4798" s="35">
        <f>+'[2]por cuent'!G4798</f>
        <v>347982.83</v>
      </c>
      <c r="E4798" s="35">
        <f>+'[2]por cuent'!H4798</f>
        <v>520436160.89139998</v>
      </c>
      <c r="F4798" t="str">
        <f>+'[2]por cuent'!I4798</f>
        <v>816</v>
      </c>
    </row>
    <row r="4799" spans="1:6" x14ac:dyDescent="0.35">
      <c r="A4799" t="str">
        <f>+'[2]por cuent'!A4799</f>
        <v>USD</v>
      </c>
      <c r="B4799" t="str">
        <f>+'[2]por cuent'!B4799</f>
        <v>816001500</v>
      </c>
      <c r="C4799" t="str">
        <f>+'[2]por cuent'!C4799</f>
        <v>Nougues, Ambrosio y Virasoro, Mercedes</v>
      </c>
      <c r="D4799" s="35">
        <f>+'[2]por cuent'!G4799</f>
        <v>10069.719999999999</v>
      </c>
      <c r="E4799" s="35">
        <f>+'[2]por cuent'!H4799</f>
        <v>15060071.837599998</v>
      </c>
      <c r="F4799" t="str">
        <f>+'[2]por cuent'!I4799</f>
        <v>816</v>
      </c>
    </row>
    <row r="4800" spans="1:6" x14ac:dyDescent="0.35">
      <c r="A4800" t="str">
        <f>+'[2]por cuent'!A4800</f>
        <v>USD</v>
      </c>
      <c r="B4800" t="str">
        <f>+'[2]por cuent'!B4800</f>
        <v>816001589</v>
      </c>
      <c r="C4800" t="str">
        <f>+'[2]por cuent'!C4800</f>
        <v>Ferragamo Argentina SA</v>
      </c>
      <c r="D4800" s="35">
        <f>+'[2]por cuent'!G4800</f>
        <v>455.63</v>
      </c>
      <c r="E4800" s="35">
        <f>+'[2]por cuent'!H4800</f>
        <v>681431.11540000001</v>
      </c>
      <c r="F4800" t="str">
        <f>+'[2]por cuent'!I4800</f>
        <v>816</v>
      </c>
    </row>
    <row r="4801" spans="1:6" x14ac:dyDescent="0.35">
      <c r="A4801" t="str">
        <f>+'[2]por cuent'!A4801</f>
        <v>USD</v>
      </c>
      <c r="B4801" t="str">
        <f>+'[2]por cuent'!B4801</f>
        <v>816001709</v>
      </c>
      <c r="C4801" t="str">
        <f>+'[2]por cuent'!C4801</f>
        <v>Sterin Pensel, Lucas; Sterin Pensel, María Julia</v>
      </c>
      <c r="D4801" s="35">
        <f>+'[2]por cuent'!G4801</f>
        <v>99106.9</v>
      </c>
      <c r="E4801" s="35">
        <f>+'[2]por cuent'!H4801</f>
        <v>148222297.50199997</v>
      </c>
      <c r="F4801" t="str">
        <f>+'[2]por cuent'!I4801</f>
        <v>816</v>
      </c>
    </row>
    <row r="4802" spans="1:6" x14ac:dyDescent="0.35">
      <c r="A4802" t="str">
        <f>+'[2]por cuent'!A4802</f>
        <v>USD</v>
      </c>
      <c r="B4802" t="str">
        <f>+'[2]por cuent'!B4802</f>
        <v>816001747</v>
      </c>
      <c r="C4802" t="str">
        <f>+'[2]por cuent'!C4802</f>
        <v>Kancyper, Marcelo Andres</v>
      </c>
      <c r="D4802" s="35">
        <f>+'[2]por cuent'!G4802</f>
        <v>318571.96999999997</v>
      </c>
      <c r="E4802" s="35">
        <f>+'[2]por cuent'!H4802</f>
        <v>476449866.89259994</v>
      </c>
      <c r="F4802" t="str">
        <f>+'[2]por cuent'!I4802</f>
        <v>816</v>
      </c>
    </row>
    <row r="4803" spans="1:6" x14ac:dyDescent="0.35">
      <c r="A4803" t="str">
        <f>+'[2]por cuent'!A4803</f>
        <v>USD</v>
      </c>
      <c r="B4803" t="str">
        <f>+'[2]por cuent'!B4803</f>
        <v>816001755</v>
      </c>
      <c r="C4803" t="str">
        <f>+'[2]por cuent'!C4803</f>
        <v>[C.E.R.A.] - Bof, Ricardo Dario</v>
      </c>
      <c r="D4803" s="35">
        <f>+'[2]por cuent'!G4803</f>
        <v>5.66</v>
      </c>
      <c r="E4803" s="35">
        <f>+'[2]por cuent'!H4803</f>
        <v>8464.9827999999998</v>
      </c>
      <c r="F4803" t="str">
        <f>+'[2]por cuent'!I4803</f>
        <v>816</v>
      </c>
    </row>
    <row r="4804" spans="1:6" x14ac:dyDescent="0.35">
      <c r="A4804" t="str">
        <f>+'[2]por cuent'!A4804</f>
        <v>USD</v>
      </c>
      <c r="B4804" t="str">
        <f>+'[2]por cuent'!B4804</f>
        <v>816001792</v>
      </c>
      <c r="C4804" t="str">
        <f>+'[2]por cuent'!C4804</f>
        <v>Robles, Mateo</v>
      </c>
      <c r="D4804" s="35">
        <f>+'[2]por cuent'!G4804</f>
        <v>24772.02</v>
      </c>
      <c r="E4804" s="35">
        <f>+'[2]por cuent'!H4804</f>
        <v>37048537.671599999</v>
      </c>
      <c r="F4804" t="str">
        <f>+'[2]por cuent'!I4804</f>
        <v>816</v>
      </c>
    </row>
    <row r="4805" spans="1:6" x14ac:dyDescent="0.35">
      <c r="A4805" t="str">
        <f>+'[2]por cuent'!A4805</f>
        <v>USD</v>
      </c>
      <c r="B4805" t="str">
        <f>+'[2]por cuent'!B4805</f>
        <v>816001801</v>
      </c>
      <c r="C4805" t="str">
        <f>+'[2]por cuent'!C4805</f>
        <v>ROBFIN SA</v>
      </c>
      <c r="D4805" s="35">
        <f>+'[2]por cuent'!G4805</f>
        <v>9545.41</v>
      </c>
      <c r="E4805" s="35">
        <f>+'[2]por cuent'!H4805</f>
        <v>14275924.287799999</v>
      </c>
      <c r="F4805" t="str">
        <f>+'[2]por cuent'!I4805</f>
        <v>816</v>
      </c>
    </row>
    <row r="4806" spans="1:6" x14ac:dyDescent="0.35">
      <c r="A4806" t="str">
        <f>+'[2]por cuent'!A4806</f>
        <v>USD</v>
      </c>
      <c r="B4806" t="str">
        <f>+'[2]por cuent'!B4806</f>
        <v>816001806</v>
      </c>
      <c r="C4806" t="str">
        <f>+'[2]por cuent'!C4806</f>
        <v>Iglesias, Joaquin; Puiggari, Milagros María</v>
      </c>
      <c r="D4806" s="35">
        <f>+'[2]por cuent'!G4806</f>
        <v>896.44</v>
      </c>
      <c r="E4806" s="35">
        <f>+'[2]por cuent'!H4806</f>
        <v>1340697.7352</v>
      </c>
      <c r="F4806" t="str">
        <f>+'[2]por cuent'!I4806</f>
        <v>816</v>
      </c>
    </row>
    <row r="4807" spans="1:6" x14ac:dyDescent="0.35">
      <c r="A4807" t="str">
        <f>+'[2]por cuent'!A4807</f>
        <v>USD</v>
      </c>
      <c r="B4807" t="str">
        <f>+'[2]por cuent'!B4807</f>
        <v>816001807</v>
      </c>
      <c r="C4807" t="str">
        <f>+'[2]por cuent'!C4807</f>
        <v>Blaquier, Isabel</v>
      </c>
      <c r="D4807" s="35">
        <f>+'[2]por cuent'!G4807</f>
        <v>138747.51999999999</v>
      </c>
      <c r="E4807" s="35">
        <f>+'[2]por cuent'!H4807</f>
        <v>207508015.96159998</v>
      </c>
      <c r="F4807" t="str">
        <f>+'[2]por cuent'!I4807</f>
        <v>816</v>
      </c>
    </row>
    <row r="4808" spans="1:6" x14ac:dyDescent="0.35">
      <c r="A4808" t="str">
        <f>+'[2]por cuent'!A4808</f>
        <v>USD</v>
      </c>
      <c r="B4808" t="str">
        <f>+'[2]por cuent'!B4808</f>
        <v>816001809</v>
      </c>
      <c r="C4808" t="str">
        <f>+'[2]por cuent'!C4808</f>
        <v>Blaquier, Magdalena</v>
      </c>
      <c r="D4808" s="35">
        <f>+'[2]por cuent'!G4808</f>
        <v>139746.17000000001</v>
      </c>
      <c r="E4808" s="35">
        <f>+'[2]por cuent'!H4808</f>
        <v>209001576.92860001</v>
      </c>
      <c r="F4808" t="str">
        <f>+'[2]por cuent'!I4808</f>
        <v>816</v>
      </c>
    </row>
    <row r="4809" spans="1:6" x14ac:dyDescent="0.35">
      <c r="A4809" t="str">
        <f>+'[2]por cuent'!A4809</f>
        <v>USD</v>
      </c>
      <c r="B4809" t="str">
        <f>+'[2]por cuent'!B4809</f>
        <v>816001810</v>
      </c>
      <c r="C4809" t="str">
        <f>+'[2]por cuent'!C4809</f>
        <v>[C.E.R.A.] - Robles, Mariano</v>
      </c>
      <c r="D4809" s="35">
        <f>+'[2]por cuent'!G4809</f>
        <v>1119.5999999999999</v>
      </c>
      <c r="E4809" s="35">
        <f>+'[2]por cuent'!H4809</f>
        <v>1674451.3679999998</v>
      </c>
      <c r="F4809" t="str">
        <f>+'[2]por cuent'!I4809</f>
        <v>816</v>
      </c>
    </row>
    <row r="4810" spans="1:6" x14ac:dyDescent="0.35">
      <c r="A4810" t="str">
        <f>+'[2]por cuent'!A4810</f>
        <v>USD</v>
      </c>
      <c r="B4810" t="str">
        <f>+'[2]por cuent'!B4810</f>
        <v>816003096</v>
      </c>
      <c r="C4810" t="str">
        <f>+'[2]por cuent'!C4810</f>
        <v>Silva, Horacio Marcelo</v>
      </c>
      <c r="D4810" s="35">
        <f>+'[2]por cuent'!G4810</f>
        <v>24.58</v>
      </c>
      <c r="E4810" s="35">
        <f>+'[2]por cuent'!H4810</f>
        <v>36761.356399999997</v>
      </c>
      <c r="F4810" t="str">
        <f>+'[2]por cuent'!I4810</f>
        <v>816</v>
      </c>
    </row>
    <row r="4811" spans="1:6" x14ac:dyDescent="0.35">
      <c r="A4811" t="str">
        <f>+'[2]por cuent'!A4811</f>
        <v>USD</v>
      </c>
      <c r="B4811" t="str">
        <f>+'[2]por cuent'!B4811</f>
        <v>816102185</v>
      </c>
      <c r="C4811" t="str">
        <f>+'[2]por cuent'!C4811</f>
        <v>CZ WEALTH MANAGEMENT SA</v>
      </c>
      <c r="D4811" s="35">
        <f>+'[2]por cuent'!G4811</f>
        <v>1786027.67</v>
      </c>
      <c r="E4811" s="35">
        <f>+'[2]por cuent'!H4811</f>
        <v>2671147262.6985998</v>
      </c>
      <c r="F4811" t="str">
        <f>+'[2]por cuent'!I4811</f>
        <v>816</v>
      </c>
    </row>
    <row r="4812" spans="1:6" x14ac:dyDescent="0.35">
      <c r="A4812" t="str">
        <f>+'[2]por cuent'!A4812</f>
        <v>USD</v>
      </c>
      <c r="B4812" t="str">
        <f>+'[2]por cuent'!B4812</f>
        <v>817000882</v>
      </c>
      <c r="C4812" t="str">
        <f>+'[2]por cuent'!C4812</f>
        <v>White Cloud S.R.L.</v>
      </c>
      <c r="D4812" s="35">
        <f>+'[2]por cuent'!G4812</f>
        <v>570009.56999999995</v>
      </c>
      <c r="E4812" s="35">
        <f>+'[2]por cuent'!H4812</f>
        <v>852494912.70059991</v>
      </c>
      <c r="F4812" t="str">
        <f>+'[2]por cuent'!I4812</f>
        <v>817</v>
      </c>
    </row>
    <row r="4813" spans="1:6" x14ac:dyDescent="0.35">
      <c r="A4813" t="str">
        <f>+'[2]por cuent'!A4813</f>
        <v>USD</v>
      </c>
      <c r="B4813" t="str">
        <f>+'[2]por cuent'!B4813</f>
        <v>817001499</v>
      </c>
      <c r="C4813" t="str">
        <f>+'[2]por cuent'!C4813</f>
        <v xml:space="preserve">Benites, Agustín María </v>
      </c>
      <c r="D4813" s="35">
        <f>+'[2]por cuent'!G4813</f>
        <v>449918.15</v>
      </c>
      <c r="E4813" s="35">
        <f>+'[2]por cuent'!H4813</f>
        <v>672888586.77699995</v>
      </c>
      <c r="F4813" t="str">
        <f>+'[2]por cuent'!I4813</f>
        <v>817</v>
      </c>
    </row>
    <row r="4814" spans="1:6" x14ac:dyDescent="0.35">
      <c r="A4814" t="str">
        <f>+'[2]por cuent'!A4814</f>
        <v>USD</v>
      </c>
      <c r="B4814" t="str">
        <f>+'[2]por cuent'!B4814</f>
        <v>817001598</v>
      </c>
      <c r="C4814" t="str">
        <f>+'[2]por cuent'!C4814</f>
        <v>First Data Cono Sur S.R.L</v>
      </c>
      <c r="D4814" s="35">
        <f>+'[2]por cuent'!G4814</f>
        <v>8100000</v>
      </c>
      <c r="E4814" s="35">
        <f>+'[2]por cuent'!H4814</f>
        <v>12114198000</v>
      </c>
      <c r="F4814" t="str">
        <f>+'[2]por cuent'!I4814</f>
        <v>817</v>
      </c>
    </row>
    <row r="4815" spans="1:6" x14ac:dyDescent="0.35">
      <c r="A4815" t="str">
        <f>+'[2]por cuent'!A4815</f>
        <v>USD</v>
      </c>
      <c r="B4815" t="str">
        <f>+'[2]por cuent'!B4815</f>
        <v>817001791</v>
      </c>
      <c r="C4815" t="str">
        <f>+'[2]por cuent'!C4815</f>
        <v>BCSA SD ADCAP IOL Dolar Ahorro Plus (CNV 1516)</v>
      </c>
      <c r="D4815" s="35">
        <f>+'[2]por cuent'!G4815</f>
        <v>1466600</v>
      </c>
      <c r="E4815" s="35">
        <f>+'[2]por cuent'!H4815</f>
        <v>2193417628</v>
      </c>
      <c r="F4815" t="str">
        <f>+'[2]por cuent'!I4815</f>
        <v>817</v>
      </c>
    </row>
    <row r="4816" spans="1:6" x14ac:dyDescent="0.35">
      <c r="A4816" t="str">
        <f>+'[2]por cuent'!A4816</f>
        <v>USD</v>
      </c>
      <c r="B4816" t="str">
        <f>+'[2]por cuent'!B4816</f>
        <v>817001792</v>
      </c>
      <c r="C4816" t="str">
        <f>+'[2]por cuent'!C4816</f>
        <v>BCSA SD ADCAP RENTA DOLAR (CNV 944)</v>
      </c>
      <c r="D4816" s="35">
        <f>+'[2]por cuent'!G4816</f>
        <v>7024485.4400000004</v>
      </c>
      <c r="E4816" s="35">
        <f>+'[2]por cuent'!H4816</f>
        <v>10505679934.3552</v>
      </c>
      <c r="F4816" t="str">
        <f>+'[2]por cuent'!I4816</f>
        <v>817</v>
      </c>
    </row>
    <row r="4817" spans="1:6" x14ac:dyDescent="0.35">
      <c r="A4817" t="str">
        <f>+'[2]por cuent'!A4817</f>
        <v>USD</v>
      </c>
      <c r="B4817" t="str">
        <f>+'[2]por cuent'!B4817</f>
        <v>817003260</v>
      </c>
      <c r="C4817" t="str">
        <f>+'[2]por cuent'!C4817</f>
        <v>BVSA Allaria Renta Mixta Dolares (CNV 855)</v>
      </c>
      <c r="D4817" s="35">
        <f>+'[2]por cuent'!G4817</f>
        <v>310810</v>
      </c>
      <c r="E4817" s="35">
        <f>+'[2]por cuent'!H4817</f>
        <v>464841219.79999995</v>
      </c>
      <c r="F4817" t="str">
        <f>+'[2]por cuent'!I4817</f>
        <v>817</v>
      </c>
    </row>
    <row r="4818" spans="1:6" x14ac:dyDescent="0.35">
      <c r="A4818" t="str">
        <f>+'[2]por cuent'!A4818</f>
        <v>USD</v>
      </c>
      <c r="B4818" t="str">
        <f>+'[2]por cuent'!B4818</f>
        <v>817100015</v>
      </c>
      <c r="C4818" t="str">
        <f>+'[2]por cuent'!C4818</f>
        <v>VALO Securities SAU con intermediacion de ICG</v>
      </c>
      <c r="D4818" s="35">
        <f>+'[2]por cuent'!G4818</f>
        <v>112440663.63</v>
      </c>
      <c r="E4818" s="35">
        <f>+'[2]por cuent'!H4818</f>
        <v>168164007711.75537</v>
      </c>
      <c r="F4818" t="str">
        <f>+'[2]por cuent'!I4818</f>
        <v>817</v>
      </c>
    </row>
    <row r="4819" spans="1:6" x14ac:dyDescent="0.35">
      <c r="A4819" t="str">
        <f>+'[2]por cuent'!A4819</f>
        <v>USD</v>
      </c>
      <c r="B4819" t="str">
        <f>+'[2]por cuent'!B4819</f>
        <v>821000004</v>
      </c>
      <c r="C4819" t="str">
        <f>+'[2]por cuent'!C4819</f>
        <v>Porthé, Rosario</v>
      </c>
      <c r="D4819" s="35">
        <f>+'[2]por cuent'!G4819</f>
        <v>1983.93</v>
      </c>
      <c r="E4819" s="35">
        <f>+'[2]por cuent'!H4819</f>
        <v>2967126.0293999999</v>
      </c>
      <c r="F4819" t="str">
        <f>+'[2]por cuent'!I4819</f>
        <v>821</v>
      </c>
    </row>
    <row r="4820" spans="1:6" x14ac:dyDescent="0.35">
      <c r="A4820" t="str">
        <f>+'[2]por cuent'!A4820</f>
        <v>USD</v>
      </c>
      <c r="B4820" t="str">
        <f>+'[2]por cuent'!B4820</f>
        <v>821000007</v>
      </c>
      <c r="C4820" t="str">
        <f>+'[2]por cuent'!C4820</f>
        <v>Lanin Capital S.A</v>
      </c>
      <c r="D4820" s="35">
        <f>+'[2]por cuent'!G4820</f>
        <v>4961.88</v>
      </c>
      <c r="E4820" s="35">
        <f>+'[2]por cuent'!H4820</f>
        <v>7420888.4903999995</v>
      </c>
      <c r="F4820" t="str">
        <f>+'[2]por cuent'!I4820</f>
        <v>821</v>
      </c>
    </row>
    <row r="4821" spans="1:6" x14ac:dyDescent="0.35">
      <c r="A4821" t="str">
        <f>+'[2]por cuent'!A4821</f>
        <v>USD</v>
      </c>
      <c r="B4821" t="str">
        <f>+'[2]por cuent'!B4821</f>
        <v>821000008</v>
      </c>
      <c r="C4821" t="str">
        <f>+'[2]por cuent'!C4821</f>
        <v>Porthe, Juan Cruz</v>
      </c>
      <c r="D4821" s="35">
        <f>+'[2]por cuent'!G4821</f>
        <v>2517.85</v>
      </c>
      <c r="E4821" s="35">
        <f>+'[2]por cuent'!H4821</f>
        <v>3765646.1029999997</v>
      </c>
      <c r="F4821" t="str">
        <f>+'[2]por cuent'!I4821</f>
        <v>821</v>
      </c>
    </row>
    <row r="4822" spans="1:6" x14ac:dyDescent="0.35">
      <c r="A4822" t="str">
        <f>+'[2]por cuent'!A4822</f>
        <v>USD</v>
      </c>
      <c r="B4822" t="str">
        <f>+'[2]por cuent'!B4822</f>
        <v>821000010</v>
      </c>
      <c r="C4822" t="str">
        <f>+'[2]por cuent'!C4822</f>
        <v>Abal, Martina</v>
      </c>
      <c r="D4822" s="35">
        <f>+'[2]por cuent'!G4822</f>
        <v>4316.76</v>
      </c>
      <c r="E4822" s="35">
        <f>+'[2]por cuent'!H4822</f>
        <v>6456059.9208000004</v>
      </c>
      <c r="F4822" t="str">
        <f>+'[2]por cuent'!I4822</f>
        <v>821</v>
      </c>
    </row>
    <row r="4823" spans="1:6" x14ac:dyDescent="0.35">
      <c r="A4823" t="str">
        <f>+'[2]por cuent'!A4823</f>
        <v>USD</v>
      </c>
      <c r="B4823" t="str">
        <f>+'[2]por cuent'!B4823</f>
        <v>821000011</v>
      </c>
      <c r="C4823" t="str">
        <f>+'[2]por cuent'!C4823</f>
        <v>De La Rua, Delfina</v>
      </c>
      <c r="D4823" s="35">
        <f>+'[2]por cuent'!G4823</f>
        <v>1409.38</v>
      </c>
      <c r="E4823" s="35">
        <f>+'[2]por cuent'!H4823</f>
        <v>2107840.5404000003</v>
      </c>
      <c r="F4823" t="str">
        <f>+'[2]por cuent'!I4823</f>
        <v>821</v>
      </c>
    </row>
    <row r="4824" spans="1:6" x14ac:dyDescent="0.35">
      <c r="A4824" t="str">
        <f>+'[2]por cuent'!A4824</f>
        <v>USD</v>
      </c>
      <c r="B4824" t="str">
        <f>+'[2]por cuent'!B4824</f>
        <v>821000012</v>
      </c>
      <c r="C4824" t="str">
        <f>+'[2]por cuent'!C4824</f>
        <v>Iglesias, Sofia Maria</v>
      </c>
      <c r="D4824" s="35">
        <f>+'[2]por cuent'!G4824</f>
        <v>21644.29</v>
      </c>
      <c r="E4824" s="35">
        <f>+'[2]por cuent'!H4824</f>
        <v>32370767.238200001</v>
      </c>
      <c r="F4824" t="str">
        <f>+'[2]por cuent'!I4824</f>
        <v>821</v>
      </c>
    </row>
    <row r="4825" spans="1:6" x14ac:dyDescent="0.35">
      <c r="A4825" t="str">
        <f>+'[2]por cuent'!A4825</f>
        <v>USD</v>
      </c>
      <c r="B4825" t="str">
        <f>+'[2]por cuent'!B4825</f>
        <v>821000013</v>
      </c>
      <c r="C4825" t="str">
        <f>+'[2]por cuent'!C4825</f>
        <v>Calvo, Salvador</v>
      </c>
      <c r="D4825" s="35">
        <f>+'[2]por cuent'!G4825</f>
        <v>139.30000000000001</v>
      </c>
      <c r="E4825" s="35">
        <f>+'[2]por cuent'!H4825</f>
        <v>208334.29399999999</v>
      </c>
      <c r="F4825" t="str">
        <f>+'[2]por cuent'!I4825</f>
        <v>821</v>
      </c>
    </row>
    <row r="4826" spans="1:6" x14ac:dyDescent="0.35">
      <c r="A4826" t="str">
        <f>+'[2]por cuent'!A4826</f>
        <v>USD</v>
      </c>
      <c r="B4826" t="str">
        <f>+'[2]por cuent'!B4826</f>
        <v>821000014</v>
      </c>
      <c r="C4826" t="str">
        <f>+'[2]por cuent'!C4826</f>
        <v>Ragnoli, Pia Silvana</v>
      </c>
      <c r="D4826" s="35">
        <f>+'[2]por cuent'!G4826</f>
        <v>1798.43</v>
      </c>
      <c r="E4826" s="35">
        <f>+'[2]por cuent'!H4826</f>
        <v>2689695.9394</v>
      </c>
      <c r="F4826" t="str">
        <f>+'[2]por cuent'!I4826</f>
        <v>821</v>
      </c>
    </row>
    <row r="4827" spans="1:6" x14ac:dyDescent="0.35">
      <c r="A4827" t="str">
        <f>+'[2]por cuent'!A4827</f>
        <v>USD</v>
      </c>
      <c r="B4827" t="str">
        <f>+'[2]por cuent'!B4827</f>
        <v>821000016</v>
      </c>
      <c r="C4827" t="str">
        <f>+'[2]por cuent'!C4827</f>
        <v>Roura, Pamela Lucia</v>
      </c>
      <c r="D4827" s="35">
        <f>+'[2]por cuent'!G4827</f>
        <v>10565.35</v>
      </c>
      <c r="E4827" s="35">
        <f>+'[2]por cuent'!H4827</f>
        <v>15801326.152999999</v>
      </c>
      <c r="F4827" t="str">
        <f>+'[2]por cuent'!I4827</f>
        <v>821</v>
      </c>
    </row>
    <row r="4828" spans="1:6" x14ac:dyDescent="0.35">
      <c r="A4828" t="str">
        <f>+'[2]por cuent'!A4828</f>
        <v>USD</v>
      </c>
      <c r="B4828" t="str">
        <f>+'[2]por cuent'!B4828</f>
        <v>821000018</v>
      </c>
      <c r="C4828" t="str">
        <f>+'[2]por cuent'!C4828</f>
        <v>Ramos, Marcela Edith o Porthe, Gaston Enrique</v>
      </c>
      <c r="D4828" s="35">
        <f>+'[2]por cuent'!G4828</f>
        <v>5740.01</v>
      </c>
      <c r="E4828" s="35">
        <f>+'[2]por cuent'!H4828</f>
        <v>8584644.1557999998</v>
      </c>
      <c r="F4828" t="str">
        <f>+'[2]por cuent'!I4828</f>
        <v>821</v>
      </c>
    </row>
    <row r="4829" spans="1:6" x14ac:dyDescent="0.35">
      <c r="A4829" t="str">
        <f>+'[2]por cuent'!A4829</f>
        <v>USD</v>
      </c>
      <c r="B4829" t="str">
        <f>+'[2]por cuent'!B4829</f>
        <v>821000020</v>
      </c>
      <c r="C4829" t="str">
        <f>+'[2]por cuent'!C4829</f>
        <v>Frias Rocca, Maria Soledad</v>
      </c>
      <c r="D4829" s="35">
        <f>+'[2]por cuent'!G4829</f>
        <v>25425.7</v>
      </c>
      <c r="E4829" s="35">
        <f>+'[2]por cuent'!H4829</f>
        <v>38026168.405999996</v>
      </c>
      <c r="F4829" t="str">
        <f>+'[2]por cuent'!I4829</f>
        <v>821</v>
      </c>
    </row>
    <row r="4830" spans="1:6" x14ac:dyDescent="0.35">
      <c r="A4830" t="str">
        <f>+'[2]por cuent'!A4830</f>
        <v>USD</v>
      </c>
      <c r="B4830" t="str">
        <f>+'[2]por cuent'!B4830</f>
        <v>821000022</v>
      </c>
      <c r="C4830" t="str">
        <f>+'[2]por cuent'!C4830</f>
        <v>Incardona, Claudio Alejandro</v>
      </c>
      <c r="D4830" s="35">
        <f>+'[2]por cuent'!G4830</f>
        <v>195087.64</v>
      </c>
      <c r="E4830" s="35">
        <f>+'[2]por cuent'!H4830</f>
        <v>291769172.63120002</v>
      </c>
      <c r="F4830" t="str">
        <f>+'[2]por cuent'!I4830</f>
        <v>821</v>
      </c>
    </row>
    <row r="4831" spans="1:6" x14ac:dyDescent="0.35">
      <c r="A4831" t="str">
        <f>+'[2]por cuent'!A4831</f>
        <v>USD</v>
      </c>
      <c r="B4831" t="str">
        <f>+'[2]por cuent'!B4831</f>
        <v>821000023</v>
      </c>
      <c r="C4831" t="str">
        <f>+'[2]por cuent'!C4831</f>
        <v>Bruscantini, Federico Ariel</v>
      </c>
      <c r="D4831" s="35">
        <f>+'[2]por cuent'!G4831</f>
        <v>2570.08</v>
      </c>
      <c r="E4831" s="35">
        <f>+'[2]por cuent'!H4831</f>
        <v>3843760.2463999996</v>
      </c>
      <c r="F4831" t="str">
        <f>+'[2]por cuent'!I4831</f>
        <v>821</v>
      </c>
    </row>
    <row r="4832" spans="1:6" x14ac:dyDescent="0.35">
      <c r="A4832" t="str">
        <f>+'[2]por cuent'!A4832</f>
        <v>USD</v>
      </c>
      <c r="B4832" t="str">
        <f>+'[2]por cuent'!B4832</f>
        <v>821000025</v>
      </c>
      <c r="C4832" t="str">
        <f>+'[2]por cuent'!C4832</f>
        <v>Martin, Tomas</v>
      </c>
      <c r="D4832" s="35">
        <f>+'[2]por cuent'!G4832</f>
        <v>4071.35</v>
      </c>
      <c r="E4832" s="35">
        <f>+'[2]por cuent'!H4832</f>
        <v>6089029.6329999994</v>
      </c>
      <c r="F4832" t="str">
        <f>+'[2]por cuent'!I4832</f>
        <v>821</v>
      </c>
    </row>
    <row r="4833" spans="1:6" x14ac:dyDescent="0.35">
      <c r="A4833" t="str">
        <f>+'[2]por cuent'!A4833</f>
        <v>USD</v>
      </c>
      <c r="B4833" t="str">
        <f>+'[2]por cuent'!B4833</f>
        <v>821000026</v>
      </c>
      <c r="C4833" t="str">
        <f>+'[2]por cuent'!C4833</f>
        <v>Barillari, Gabriela Ana</v>
      </c>
      <c r="D4833" s="35">
        <f>+'[2]por cuent'!G4833</f>
        <v>1594.08</v>
      </c>
      <c r="E4833" s="35">
        <f>+'[2]por cuent'!H4833</f>
        <v>2384074.1664</v>
      </c>
      <c r="F4833" t="str">
        <f>+'[2]por cuent'!I4833</f>
        <v>821</v>
      </c>
    </row>
    <row r="4834" spans="1:6" x14ac:dyDescent="0.35">
      <c r="A4834" t="str">
        <f>+'[2]por cuent'!A4834</f>
        <v>USD</v>
      </c>
      <c r="B4834" t="str">
        <f>+'[2]por cuent'!B4834</f>
        <v>821000028</v>
      </c>
      <c r="C4834" t="str">
        <f>+'[2]por cuent'!C4834</f>
        <v>Martinez Etayo, Marcelo Augusto o Ruffa, Maria Gabriela</v>
      </c>
      <c r="D4834" s="35">
        <f>+'[2]por cuent'!G4834</f>
        <v>2487.41</v>
      </c>
      <c r="E4834" s="35">
        <f>+'[2]por cuent'!H4834</f>
        <v>3720120.6477999995</v>
      </c>
      <c r="F4834" t="str">
        <f>+'[2]por cuent'!I4834</f>
        <v>821</v>
      </c>
    </row>
    <row r="4835" spans="1:6" x14ac:dyDescent="0.35">
      <c r="A4835" t="str">
        <f>+'[2]por cuent'!A4835</f>
        <v>USD</v>
      </c>
      <c r="B4835" t="str">
        <f>+'[2]por cuent'!B4835</f>
        <v>821000029</v>
      </c>
      <c r="C4835" t="str">
        <f>+'[2]por cuent'!C4835</f>
        <v>Iacono, Paula Maria o Abal, Lucio</v>
      </c>
      <c r="D4835" s="35">
        <f>+'[2]por cuent'!G4835</f>
        <v>359.47</v>
      </c>
      <c r="E4835" s="35">
        <f>+'[2]por cuent'!H4835</f>
        <v>537616.14260000002</v>
      </c>
      <c r="F4835" t="str">
        <f>+'[2]por cuent'!I4835</f>
        <v>821</v>
      </c>
    </row>
    <row r="4836" spans="1:6" x14ac:dyDescent="0.35">
      <c r="A4836" t="str">
        <f>+'[2]por cuent'!A4836</f>
        <v>USD</v>
      </c>
      <c r="B4836" t="str">
        <f>+'[2]por cuent'!B4836</f>
        <v>821000034</v>
      </c>
      <c r="C4836" t="str">
        <f>+'[2]por cuent'!C4836</f>
        <v xml:space="preserve">Elias, Ignacio Martin </v>
      </c>
      <c r="D4836" s="35">
        <f>+'[2]por cuent'!G4836</f>
        <v>1967.85</v>
      </c>
      <c r="E4836" s="35">
        <f>+'[2]por cuent'!H4836</f>
        <v>2943077.1029999997</v>
      </c>
      <c r="F4836" t="str">
        <f>+'[2]por cuent'!I4836</f>
        <v>821</v>
      </c>
    </row>
    <row r="4837" spans="1:6" x14ac:dyDescent="0.35">
      <c r="A4837" t="str">
        <f>+'[2]por cuent'!A4837</f>
        <v>USD</v>
      </c>
      <c r="B4837" t="str">
        <f>+'[2]por cuent'!B4837</f>
        <v>834000007</v>
      </c>
      <c r="C4837" t="str">
        <f>+'[2]por cuent'!C4837</f>
        <v>INVERFIN S.A.</v>
      </c>
      <c r="D4837" s="35">
        <f>+'[2]por cuent'!G4837</f>
        <v>210507.08</v>
      </c>
      <c r="E4837" s="35">
        <f>+'[2]por cuent'!H4837</f>
        <v>314830178.70639998</v>
      </c>
      <c r="F4837" t="str">
        <f>+'[2]por cuent'!I4837</f>
        <v>834</v>
      </c>
    </row>
    <row r="4838" spans="1:6" x14ac:dyDescent="0.35">
      <c r="A4838" t="str">
        <f>+'[2]por cuent'!A4838</f>
        <v>USD</v>
      </c>
      <c r="B4838" t="str">
        <f>+'[2]por cuent'!B4838</f>
        <v>834005304</v>
      </c>
      <c r="C4838" t="str">
        <f>+'[2]por cuent'!C4838</f>
        <v>CORTEZ, ALEJANDRO JOSE o BALDASSO, ELSA OFELIA</v>
      </c>
      <c r="D4838" s="35">
        <f>+'[2]por cuent'!G4838</f>
        <v>227502.27</v>
      </c>
      <c r="E4838" s="35">
        <f>+'[2]por cuent'!H4838</f>
        <v>340247844.96659994</v>
      </c>
      <c r="F4838" t="str">
        <f>+'[2]por cuent'!I4838</f>
        <v>834</v>
      </c>
    </row>
    <row r="4839" spans="1:6" x14ac:dyDescent="0.35">
      <c r="A4839" t="str">
        <f>+'[2]por cuent'!A4839</f>
        <v>USD</v>
      </c>
      <c r="B4839" t="str">
        <f>+'[2]por cuent'!B4839</f>
        <v>834005585</v>
      </c>
      <c r="C4839" t="str">
        <f>+'[2]por cuent'!C4839</f>
        <v>CUELLO, ALBERTO GERMAN o CUELLO, MARIA LAURA o CUELLO, CARLOS GABRIEL</v>
      </c>
      <c r="D4839" s="35">
        <f>+'[2]por cuent'!G4839</f>
        <v>1475.51</v>
      </c>
      <c r="E4839" s="35">
        <f>+'[2]por cuent'!H4839</f>
        <v>2206743.2457999997</v>
      </c>
      <c r="F4839" t="str">
        <f>+'[2]por cuent'!I4839</f>
        <v>834</v>
      </c>
    </row>
    <row r="4840" spans="1:6" x14ac:dyDescent="0.35">
      <c r="A4840" t="str">
        <f>+'[2]por cuent'!A4840</f>
        <v>USD</v>
      </c>
      <c r="B4840" t="str">
        <f>+'[2]por cuent'!B4840</f>
        <v>834008887</v>
      </c>
      <c r="C4840" t="str">
        <f>+'[2]por cuent'!C4840</f>
        <v>CASE GRACIELA MARIA RAQUEL</v>
      </c>
      <c r="D4840" s="35">
        <f>+'[2]por cuent'!G4840</f>
        <v>2163.81</v>
      </c>
      <c r="E4840" s="35">
        <f>+'[2]por cuent'!H4840</f>
        <v>3236150.9597999998</v>
      </c>
      <c r="F4840" t="str">
        <f>+'[2]por cuent'!I4840</f>
        <v>834</v>
      </c>
    </row>
    <row r="4841" spans="1:6" x14ac:dyDescent="0.35">
      <c r="A4841" t="str">
        <f>+'[2]por cuent'!A4841</f>
        <v>USD</v>
      </c>
      <c r="B4841" t="str">
        <f>+'[2]por cuent'!B4841</f>
        <v>834009878</v>
      </c>
      <c r="C4841" t="str">
        <f>+'[2]por cuent'!C4841</f>
        <v>RIZZO, PABLO o VENTIN PONTE, ELBIA MARIANA o VALLE, VIRGINIA ESTELA</v>
      </c>
      <c r="D4841" s="35">
        <f>+'[2]por cuent'!G4841</f>
        <v>9985.81</v>
      </c>
      <c r="E4841" s="35">
        <f>+'[2]por cuent'!H4841</f>
        <v>14934577.719799999</v>
      </c>
      <c r="F4841" t="str">
        <f>+'[2]por cuent'!I4841</f>
        <v>834</v>
      </c>
    </row>
    <row r="4842" spans="1:6" x14ac:dyDescent="0.35">
      <c r="A4842" t="str">
        <f>+'[2]por cuent'!A4842</f>
        <v>USD</v>
      </c>
      <c r="B4842" t="str">
        <f>+'[2]por cuent'!B4842</f>
        <v>834010369</v>
      </c>
      <c r="C4842" t="str">
        <f>+'[2]por cuent'!C4842</f>
        <v>LUIS M. PAGLIARA S.A.</v>
      </c>
      <c r="D4842" s="35">
        <f>+'[2]por cuent'!G4842</f>
        <v>1444.77</v>
      </c>
      <c r="E4842" s="35">
        <f>+'[2]por cuent'!H4842</f>
        <v>2160769.1165999998</v>
      </c>
      <c r="F4842" t="str">
        <f>+'[2]por cuent'!I4842</f>
        <v>834</v>
      </c>
    </row>
    <row r="4843" spans="1:6" x14ac:dyDescent="0.35">
      <c r="A4843" t="str">
        <f>+'[2]por cuent'!A4843</f>
        <v>USD</v>
      </c>
      <c r="B4843" t="str">
        <f>+'[2]por cuent'!B4843</f>
        <v>834010392</v>
      </c>
      <c r="C4843" t="str">
        <f>+'[2]por cuent'!C4843</f>
        <v>BARTUCCIOTTO, JUAN PABLO VICTOR</v>
      </c>
      <c r="D4843" s="35">
        <f>+'[2]por cuent'!G4843</f>
        <v>2526.2600000000002</v>
      </c>
      <c r="E4843" s="35">
        <f>+'[2]por cuent'!H4843</f>
        <v>3778223.9308000002</v>
      </c>
      <c r="F4843" t="str">
        <f>+'[2]por cuent'!I4843</f>
        <v>834</v>
      </c>
    </row>
    <row r="4844" spans="1:6" x14ac:dyDescent="0.35">
      <c r="A4844" t="str">
        <f>+'[2]por cuent'!A4844</f>
        <v>USD</v>
      </c>
      <c r="B4844" t="str">
        <f>+'[2]por cuent'!B4844</f>
        <v>834010595</v>
      </c>
      <c r="C4844" t="str">
        <f>+'[2]por cuent'!C4844</f>
        <v>CEDRO, EDUARDO SANTOS  o CAVALLINI, MALCOM ILIA FIVALLER o CEDRO GUEVARA, MARÍA GABRIELA</v>
      </c>
      <c r="D4844" s="35">
        <f>+'[2]por cuent'!G4844</f>
        <v>7443.64</v>
      </c>
      <c r="E4844" s="35">
        <f>+'[2]por cuent'!H4844</f>
        <v>11132559.111199999</v>
      </c>
      <c r="F4844" t="str">
        <f>+'[2]por cuent'!I4844</f>
        <v>834</v>
      </c>
    </row>
    <row r="4845" spans="1:6" x14ac:dyDescent="0.35">
      <c r="A4845" t="str">
        <f>+'[2]por cuent'!A4845</f>
        <v>USD</v>
      </c>
      <c r="B4845" t="str">
        <f>+'[2]por cuent'!B4845</f>
        <v>834010665</v>
      </c>
      <c r="C4845" t="str">
        <f>+'[2]por cuent'!C4845</f>
        <v>CUNIETTI, CRISTINA BEATRIZ o MENDOZA, SANTIAGO NICOLAS</v>
      </c>
      <c r="D4845" s="35">
        <f>+'[2]por cuent'!G4845</f>
        <v>12.44</v>
      </c>
      <c r="E4845" s="35">
        <f>+'[2]por cuent'!H4845</f>
        <v>18605.015199999998</v>
      </c>
      <c r="F4845" t="str">
        <f>+'[2]por cuent'!I4845</f>
        <v>834</v>
      </c>
    </row>
    <row r="4846" spans="1:6" x14ac:dyDescent="0.35">
      <c r="A4846" t="str">
        <f>+'[2]por cuent'!A4846</f>
        <v>USD</v>
      </c>
      <c r="B4846" t="str">
        <f>+'[2]por cuent'!B4846</f>
        <v>834010752</v>
      </c>
      <c r="C4846" t="str">
        <f>+'[2]por cuent'!C4846</f>
        <v>CICCHITTI, JOSE ANTONIO</v>
      </c>
      <c r="D4846" s="35">
        <f>+'[2]por cuent'!G4846</f>
        <v>11966.26</v>
      </c>
      <c r="E4846" s="35">
        <f>+'[2]por cuent'!H4846</f>
        <v>17896499.130799998</v>
      </c>
      <c r="F4846" t="str">
        <f>+'[2]por cuent'!I4846</f>
        <v>834</v>
      </c>
    </row>
    <row r="4847" spans="1:6" x14ac:dyDescent="0.35">
      <c r="A4847" t="str">
        <f>+'[2]por cuent'!A4847</f>
        <v>USD</v>
      </c>
      <c r="B4847" t="str">
        <f>+'[2]por cuent'!B4847</f>
        <v>834010828</v>
      </c>
      <c r="C4847" t="str">
        <f>+'[2]por cuent'!C4847</f>
        <v>DI SANZO, GIOVANNI CARLO o DI SANZO, GIOVANNI PABLO o DI SANZO, FRANCO GABRIEL</v>
      </c>
      <c r="D4847" s="35">
        <f>+'[2]por cuent'!G4847</f>
        <v>26594.720000000001</v>
      </c>
      <c r="E4847" s="35">
        <f>+'[2]por cuent'!H4847</f>
        <v>39774531.3376</v>
      </c>
      <c r="F4847" t="str">
        <f>+'[2]por cuent'!I4847</f>
        <v>834</v>
      </c>
    </row>
    <row r="4848" spans="1:6" x14ac:dyDescent="0.35">
      <c r="A4848" t="str">
        <f>+'[2]por cuent'!A4848</f>
        <v>USD</v>
      </c>
      <c r="B4848" t="str">
        <f>+'[2]por cuent'!B4848</f>
        <v>834010836</v>
      </c>
      <c r="C4848" t="str">
        <f>+'[2]por cuent'!C4848</f>
        <v>DISSAN S.R.L.</v>
      </c>
      <c r="D4848" s="35">
        <f>+'[2]por cuent'!G4848</f>
        <v>86734.11</v>
      </c>
      <c r="E4848" s="35">
        <f>+'[2]por cuent'!H4848</f>
        <v>129717800.23379999</v>
      </c>
      <c r="F4848" t="str">
        <f>+'[2]por cuent'!I4848</f>
        <v>834</v>
      </c>
    </row>
    <row r="4849" spans="1:6" x14ac:dyDescent="0.35">
      <c r="A4849" t="str">
        <f>+'[2]por cuent'!A4849</f>
        <v>USD</v>
      </c>
      <c r="B4849" t="str">
        <f>+'[2]por cuent'!B4849</f>
        <v>834010903</v>
      </c>
      <c r="C4849" t="str">
        <f>+'[2]por cuent'!C4849</f>
        <v>BARRANCOS HERMANOS AUTOMOTORES S.R.L</v>
      </c>
      <c r="D4849" s="35">
        <f>+'[2]por cuent'!G4849</f>
        <v>174213.92</v>
      </c>
      <c r="E4849" s="35">
        <f>+'[2]por cuent'!H4849</f>
        <v>260550854.4736</v>
      </c>
      <c r="F4849" t="str">
        <f>+'[2]por cuent'!I4849</f>
        <v>834</v>
      </c>
    </row>
    <row r="4850" spans="1:6" x14ac:dyDescent="0.35">
      <c r="A4850" t="str">
        <f>+'[2]por cuent'!A4850</f>
        <v>USD</v>
      </c>
      <c r="B4850" t="str">
        <f>+'[2]por cuent'!B4850</f>
        <v>834010911</v>
      </c>
      <c r="C4850" t="str">
        <f>+'[2]por cuent'!C4850</f>
        <v>MOLINA GUERRA, MATIAS MAURICIO</v>
      </c>
      <c r="D4850" s="35">
        <f>+'[2]por cuent'!G4850</f>
        <v>2270.2399999999998</v>
      </c>
      <c r="E4850" s="35">
        <f>+'[2]por cuent'!H4850</f>
        <v>3395325.5391999995</v>
      </c>
      <c r="F4850" t="str">
        <f>+'[2]por cuent'!I4850</f>
        <v>834</v>
      </c>
    </row>
    <row r="4851" spans="1:6" x14ac:dyDescent="0.35">
      <c r="A4851" t="str">
        <f>+'[2]por cuent'!A4851</f>
        <v>USD</v>
      </c>
      <c r="B4851" t="str">
        <f>+'[2]por cuent'!B4851</f>
        <v>834010932</v>
      </c>
      <c r="C4851" t="str">
        <f>+'[2]por cuent'!C4851</f>
        <v>FIDEICOMISO COMPLEJO VILLA CARTAGENA</v>
      </c>
      <c r="D4851" s="35">
        <f>+'[2]por cuent'!G4851</f>
        <v>76000.070000000007</v>
      </c>
      <c r="E4851" s="35">
        <f>+'[2]por cuent'!H4851</f>
        <v>113664184.69060001</v>
      </c>
      <c r="F4851" t="str">
        <f>+'[2]por cuent'!I4851</f>
        <v>834</v>
      </c>
    </row>
    <row r="4852" spans="1:6" x14ac:dyDescent="0.35">
      <c r="A4852" t="str">
        <f>+'[2]por cuent'!A4852</f>
        <v>USD</v>
      </c>
      <c r="B4852" t="str">
        <f>+'[2]por cuent'!B4852</f>
        <v>834010963</v>
      </c>
      <c r="C4852" t="str">
        <f>+'[2]por cuent'!C4852</f>
        <v>MIRANDA, SEBASTIAN XAVIER</v>
      </c>
      <c r="D4852" s="35">
        <f>+'[2]por cuent'!G4852</f>
        <v>10145.379999999999</v>
      </c>
      <c r="E4852" s="35">
        <f>+'[2]por cuent'!H4852</f>
        <v>15173227.420399997</v>
      </c>
      <c r="F4852" t="str">
        <f>+'[2]por cuent'!I4852</f>
        <v>834</v>
      </c>
    </row>
    <row r="4853" spans="1:6" x14ac:dyDescent="0.35">
      <c r="A4853" t="str">
        <f>+'[2]por cuent'!A4853</f>
        <v>USD</v>
      </c>
      <c r="B4853" t="str">
        <f>+'[2]por cuent'!B4853</f>
        <v>834011007</v>
      </c>
      <c r="C4853" t="str">
        <f>+'[2]por cuent'!C4853</f>
        <v>TORRES GIOVANNINI, LUDMILA VALENTINA IRIS o DEL VECCHIO, CESAR MATIAS</v>
      </c>
      <c r="D4853" s="35">
        <f>+'[2]por cuent'!G4853</f>
        <v>1949.86</v>
      </c>
      <c r="E4853" s="35">
        <f>+'[2]por cuent'!H4853</f>
        <v>2916171.6187999998</v>
      </c>
      <c r="F4853" t="str">
        <f>+'[2]por cuent'!I4853</f>
        <v>834</v>
      </c>
    </row>
    <row r="4854" spans="1:6" x14ac:dyDescent="0.35">
      <c r="A4854" t="str">
        <f>+'[2]por cuent'!A4854</f>
        <v>USD</v>
      </c>
      <c r="B4854" t="str">
        <f>+'[2]por cuent'!B4854</f>
        <v>834011009</v>
      </c>
      <c r="C4854" t="str">
        <f>+'[2]por cuent'!C4854</f>
        <v>ARAUCO, MARIA LUCIANA o NANCLARES, MARIA CLAUDIA o ARAUCO, RUBEN CAMILO</v>
      </c>
      <c r="D4854" s="35">
        <f>+'[2]por cuent'!G4854</f>
        <v>9999.81</v>
      </c>
      <c r="E4854" s="35">
        <f>+'[2]por cuent'!H4854</f>
        <v>14955515.839799998</v>
      </c>
      <c r="F4854" t="str">
        <f>+'[2]por cuent'!I4854</f>
        <v>834</v>
      </c>
    </row>
    <row r="4855" spans="1:6" x14ac:dyDescent="0.35">
      <c r="A4855" t="str">
        <f>+'[2]por cuent'!A4855</f>
        <v>USD</v>
      </c>
      <c r="B4855" t="str">
        <f>+'[2]por cuent'!B4855</f>
        <v>852000004</v>
      </c>
      <c r="C4855" t="str">
        <f>+'[2]por cuent'!C4855</f>
        <v>MATIAS AIDENBAUM MENENDEZ</v>
      </c>
      <c r="D4855" s="35">
        <f>+'[2]por cuent'!G4855</f>
        <v>25847.57</v>
      </c>
      <c r="E4855" s="35">
        <f>+'[2]por cuent'!H4855</f>
        <v>38657108.740599997</v>
      </c>
      <c r="F4855" t="str">
        <f>+'[2]por cuent'!I4855</f>
        <v>852</v>
      </c>
    </row>
    <row r="4856" spans="1:6" x14ac:dyDescent="0.35">
      <c r="A4856" t="str">
        <f>+'[2]por cuent'!A4856</f>
        <v>USD</v>
      </c>
      <c r="B4856" t="str">
        <f>+'[2]por cuent'!B4856</f>
        <v>852000005</v>
      </c>
      <c r="C4856" t="str">
        <f>+'[2]por cuent'!C4856</f>
        <v>MG ALFA</v>
      </c>
      <c r="D4856" s="35">
        <f>+'[2]por cuent'!G4856</f>
        <v>39962.47</v>
      </c>
      <c r="E4856" s="35">
        <f>+'[2]por cuent'!H4856</f>
        <v>59767070.882600002</v>
      </c>
      <c r="F4856" t="str">
        <f>+'[2]por cuent'!I4856</f>
        <v>852</v>
      </c>
    </row>
    <row r="4857" spans="1:6" x14ac:dyDescent="0.35">
      <c r="A4857" t="str">
        <f>+'[2]por cuent'!A4857</f>
        <v>USD</v>
      </c>
      <c r="B4857" t="str">
        <f>+'[2]por cuent'!B4857</f>
        <v>852000025</v>
      </c>
      <c r="C4857" t="str">
        <f>+'[2]por cuent'!C4857</f>
        <v>Araoz, Agustina</v>
      </c>
      <c r="D4857" s="35">
        <f>+'[2]por cuent'!G4857</f>
        <v>80152.87</v>
      </c>
      <c r="E4857" s="35">
        <f>+'[2]por cuent'!H4857</f>
        <v>119875029.31459999</v>
      </c>
      <c r="F4857" t="str">
        <f>+'[2]por cuent'!I4857</f>
        <v>852</v>
      </c>
    </row>
    <row r="4858" spans="1:6" x14ac:dyDescent="0.35">
      <c r="A4858" t="str">
        <f>+'[2]por cuent'!A4858</f>
        <v>USD</v>
      </c>
      <c r="B4858" t="str">
        <f>+'[2]por cuent'!B4858</f>
        <v>852000035</v>
      </c>
      <c r="C4858" t="str">
        <f>+'[2]por cuent'!C4858</f>
        <v>Rovetto, Edgardo Daniel</v>
      </c>
      <c r="D4858" s="35">
        <f>+'[2]por cuent'!G4858</f>
        <v>2855.81</v>
      </c>
      <c r="E4858" s="35">
        <f>+'[2]por cuent'!H4858</f>
        <v>4271092.3197999997</v>
      </c>
      <c r="F4858" t="str">
        <f>+'[2]por cuent'!I4858</f>
        <v>852</v>
      </c>
    </row>
    <row r="4859" spans="1:6" x14ac:dyDescent="0.35">
      <c r="A4859" t="str">
        <f>+'[2]por cuent'!A4859</f>
        <v>USD</v>
      </c>
      <c r="B4859" t="str">
        <f>+'[2]por cuent'!B4859</f>
        <v>852000056</v>
      </c>
      <c r="C4859" t="str">
        <f>+'[2]por cuent'!C4859</f>
        <v>Urrizmendi, Mateo Nicolas o gimenez, maria isabel</v>
      </c>
      <c r="D4859" s="35">
        <f>+'[2]por cuent'!G4859</f>
        <v>144362.1</v>
      </c>
      <c r="E4859" s="35">
        <f>+'[2]por cuent'!H4859</f>
        <v>215905069.51800001</v>
      </c>
      <c r="F4859" t="str">
        <f>+'[2]por cuent'!I4859</f>
        <v>852</v>
      </c>
    </row>
    <row r="4860" spans="1:6" x14ac:dyDescent="0.35">
      <c r="A4860" t="str">
        <f>+'[2]por cuent'!A4860</f>
        <v>USD</v>
      </c>
      <c r="B4860" t="str">
        <f>+'[2]por cuent'!B4860</f>
        <v>852000057</v>
      </c>
      <c r="C4860" t="str">
        <f>+'[2]por cuent'!C4860</f>
        <v>INDUSTRIAS FRIGORIFICAS JG SA</v>
      </c>
      <c r="D4860" s="35">
        <f>+'[2]por cuent'!G4860</f>
        <v>50414.43</v>
      </c>
      <c r="E4860" s="35">
        <f>+'[2]por cuent'!H4860</f>
        <v>75398813.219400004</v>
      </c>
      <c r="F4860" t="str">
        <f>+'[2]por cuent'!I4860</f>
        <v>852</v>
      </c>
    </row>
    <row r="4861" spans="1:6" x14ac:dyDescent="0.35">
      <c r="A4861" t="str">
        <f>+'[2]por cuent'!A4861</f>
        <v>USD</v>
      </c>
      <c r="B4861" t="str">
        <f>+'[2]por cuent'!B4861</f>
        <v>852000065</v>
      </c>
      <c r="C4861" t="str">
        <f>+'[2]por cuent'!C4861</f>
        <v>MG ALFA OPERACIONES</v>
      </c>
      <c r="D4861" s="35">
        <f>+'[2]por cuent'!G4861</f>
        <v>72982</v>
      </c>
      <c r="E4861" s="35">
        <f>+'[2]por cuent'!H4861</f>
        <v>109150419.55999999</v>
      </c>
      <c r="F4861" t="str">
        <f>+'[2]por cuent'!I4861</f>
        <v>852</v>
      </c>
    </row>
    <row r="4862" spans="1:6" x14ac:dyDescent="0.35">
      <c r="A4862" t="str">
        <f>+'[2]por cuent'!A4862</f>
        <v>USD</v>
      </c>
      <c r="B4862" t="str">
        <f>+'[2]por cuent'!B4862</f>
        <v>865001277</v>
      </c>
      <c r="C4862" t="str">
        <f>+'[2]por cuent'!C4862</f>
        <v>SOLORZA VUANELLO, MARIA LAURA O PEÑA, JULIO JORGE</v>
      </c>
      <c r="D4862" s="35">
        <f>+'[2]por cuent'!G4862</f>
        <v>27440.99</v>
      </c>
      <c r="E4862" s="35">
        <f>+'[2]por cuent'!H4862</f>
        <v>41040195.824199997</v>
      </c>
      <c r="F4862" t="str">
        <f>+'[2]por cuent'!I4862</f>
        <v>865</v>
      </c>
    </row>
    <row r="4863" spans="1:6" x14ac:dyDescent="0.35">
      <c r="A4863" t="str">
        <f>+'[2]por cuent'!A4863</f>
        <v>USD</v>
      </c>
      <c r="B4863" t="str">
        <f>+'[2]por cuent'!B4863</f>
        <v>865001370</v>
      </c>
      <c r="C4863" t="str">
        <f>+'[2]por cuent'!C4863</f>
        <v>ZULIANI, RICARDO ARIEL Y/O CASTRO ELINA VANESA</v>
      </c>
      <c r="D4863" s="35">
        <f>+'[2]por cuent'!G4863</f>
        <v>44672.38</v>
      </c>
      <c r="E4863" s="35">
        <f>+'[2]por cuent'!H4863</f>
        <v>66811118.08039999</v>
      </c>
      <c r="F4863" t="str">
        <f>+'[2]por cuent'!I4863</f>
        <v>865</v>
      </c>
    </row>
    <row r="4864" spans="1:6" x14ac:dyDescent="0.35">
      <c r="A4864" t="str">
        <f>+'[2]por cuent'!A4864</f>
        <v>USD</v>
      </c>
      <c r="B4864" t="str">
        <f>+'[2]por cuent'!B4864</f>
        <v>868001004</v>
      </c>
      <c r="C4864" t="str">
        <f>+'[2]por cuent'!C4864</f>
        <v>OXXAL S.A.</v>
      </c>
      <c r="D4864" s="35">
        <f>+'[2]por cuent'!G4864</f>
        <v>68874.7</v>
      </c>
      <c r="E4864" s="35">
        <f>+'[2]por cuent'!H4864</f>
        <v>103007623.82599999</v>
      </c>
      <c r="F4864" t="str">
        <f>+'[2]por cuent'!I4864</f>
        <v>868</v>
      </c>
    </row>
    <row r="4865" spans="1:6" x14ac:dyDescent="0.35">
      <c r="A4865" t="str">
        <f>+'[2]por cuent'!A4865</f>
        <v>USD</v>
      </c>
      <c r="B4865" t="str">
        <f>+'[2]por cuent'!B4865</f>
        <v>868001012</v>
      </c>
      <c r="C4865" t="str">
        <f>+'[2]por cuent'!C4865</f>
        <v>Dosam Agropecuaria S.A.</v>
      </c>
      <c r="D4865" s="35">
        <f>+'[2]por cuent'!G4865</f>
        <v>18921.509999999998</v>
      </c>
      <c r="E4865" s="35">
        <f>+'[2]por cuent'!H4865</f>
        <v>28298631.925799996</v>
      </c>
      <c r="F4865" t="str">
        <f>+'[2]por cuent'!I4865</f>
        <v>868</v>
      </c>
    </row>
    <row r="4866" spans="1:6" x14ac:dyDescent="0.35">
      <c r="A4866" t="str">
        <f>+'[2]por cuent'!A4866</f>
        <v>USD</v>
      </c>
      <c r="B4866" t="str">
        <f>+'[2]por cuent'!B4866</f>
        <v>868001015</v>
      </c>
      <c r="C4866" t="str">
        <f>+'[2]por cuent'!C4866</f>
        <v>X LAS DUDAS S.A.S.</v>
      </c>
      <c r="D4866" s="35">
        <f>+'[2]por cuent'!G4866</f>
        <v>6690.36</v>
      </c>
      <c r="E4866" s="35">
        <f>+'[2]por cuent'!H4866</f>
        <v>10005968.6088</v>
      </c>
      <c r="F4866" t="str">
        <f>+'[2]por cuent'!I4866</f>
        <v>868</v>
      </c>
    </row>
    <row r="4867" spans="1:6" x14ac:dyDescent="0.35">
      <c r="A4867" t="str">
        <f>+'[2]por cuent'!A4867</f>
        <v>USD</v>
      </c>
      <c r="B4867" t="str">
        <f>+'[2]por cuent'!B4867</f>
        <v>868001025</v>
      </c>
      <c r="C4867" t="str">
        <f>+'[2]por cuent'!C4867</f>
        <v>Fedea S.A.</v>
      </c>
      <c r="D4867" s="35">
        <f>+'[2]por cuent'!G4867</f>
        <v>4721.0600000000004</v>
      </c>
      <c r="E4867" s="35">
        <f>+'[2]por cuent'!H4867</f>
        <v>7060722.9148000004</v>
      </c>
      <c r="F4867" t="str">
        <f>+'[2]por cuent'!I4867</f>
        <v>868</v>
      </c>
    </row>
    <row r="4868" spans="1:6" x14ac:dyDescent="0.35">
      <c r="A4868" t="str">
        <f>+'[2]por cuent'!A4868</f>
        <v>USD</v>
      </c>
      <c r="B4868" t="str">
        <f>+'[2]por cuent'!B4868</f>
        <v>875001131</v>
      </c>
      <c r="C4868" t="str">
        <f>+'[2]por cuent'!C4868</f>
        <v>Depietri Agustin</v>
      </c>
      <c r="D4868" s="35">
        <f>+'[2]por cuent'!G4868</f>
        <v>83.87</v>
      </c>
      <c r="E4868" s="35">
        <f>+'[2]por cuent'!H4868</f>
        <v>125434.29459999999</v>
      </c>
      <c r="F4868" t="str">
        <f>+'[2]por cuent'!I4868</f>
        <v>875</v>
      </c>
    </row>
    <row r="4869" spans="1:6" x14ac:dyDescent="0.35">
      <c r="A4869" t="str">
        <f>+'[2]por cuent'!A4869</f>
        <v>USD</v>
      </c>
      <c r="B4869" t="str">
        <f>+'[2]por cuent'!B4869</f>
        <v>875001148</v>
      </c>
      <c r="C4869" t="str">
        <f>+'[2]por cuent'!C4869</f>
        <v xml:space="preserve">De Maria , Marcos  o Curia , Martina </v>
      </c>
      <c r="D4869" s="35">
        <f>+'[2]por cuent'!G4869</f>
        <v>77.12</v>
      </c>
      <c r="E4869" s="35">
        <f>+'[2]por cuent'!H4869</f>
        <v>115339.1296</v>
      </c>
      <c r="F4869" t="str">
        <f>+'[2]por cuent'!I4869</f>
        <v>875</v>
      </c>
    </row>
    <row r="4870" spans="1:6" x14ac:dyDescent="0.35">
      <c r="A4870" t="str">
        <f>+'[2]por cuent'!A4870</f>
        <v>USD</v>
      </c>
      <c r="B4870" t="str">
        <f>+'[2]por cuent'!B4870</f>
        <v>875001189</v>
      </c>
      <c r="C4870" t="str">
        <f>+'[2]por cuent'!C4870</f>
        <v>Litmanovich, Alejandro Leonel</v>
      </c>
      <c r="D4870" s="35">
        <f>+'[2]por cuent'!G4870</f>
        <v>52346</v>
      </c>
      <c r="E4870" s="35">
        <f>+'[2]por cuent'!H4870</f>
        <v>78287630.679999992</v>
      </c>
      <c r="F4870" t="str">
        <f>+'[2]por cuent'!I4870</f>
        <v>875</v>
      </c>
    </row>
    <row r="4871" spans="1:6" x14ac:dyDescent="0.35">
      <c r="A4871" t="str">
        <f>+'[2]por cuent'!A4871</f>
        <v>USD</v>
      </c>
      <c r="B4871" t="str">
        <f>+'[2]por cuent'!B4871</f>
        <v>875001191</v>
      </c>
      <c r="C4871" t="str">
        <f>+'[2]por cuent'!C4871</f>
        <v>Litmanovich, Jonathan Ariel</v>
      </c>
      <c r="D4871" s="35">
        <f>+'[2]por cuent'!G4871</f>
        <v>18734</v>
      </c>
      <c r="E4871" s="35">
        <f>+'[2]por cuent'!H4871</f>
        <v>28018195.719999999</v>
      </c>
      <c r="F4871" t="str">
        <f>+'[2]por cuent'!I4871</f>
        <v>875</v>
      </c>
    </row>
    <row r="4872" spans="1:6" x14ac:dyDescent="0.35">
      <c r="A4872" t="str">
        <f>+'[2]por cuent'!A4872</f>
        <v>USD</v>
      </c>
      <c r="B4872" t="str">
        <f>+'[2]por cuent'!B4872</f>
        <v>875001306</v>
      </c>
      <c r="C4872" t="str">
        <f>+'[2]por cuent'!C4872</f>
        <v>Pettiti, Walter Luis Y/O Condorelli, Maria Irene</v>
      </c>
      <c r="D4872" s="35">
        <f>+'[2]por cuent'!G4872</f>
        <v>31832.13</v>
      </c>
      <c r="E4872" s="35">
        <f>+'[2]por cuent'!H4872</f>
        <v>47607496.985399999</v>
      </c>
      <c r="F4872" t="str">
        <f>+'[2]por cuent'!I4872</f>
        <v>875</v>
      </c>
    </row>
    <row r="4873" spans="1:6" x14ac:dyDescent="0.35">
      <c r="A4873" t="str">
        <f>+'[2]por cuent'!A4873</f>
        <v>USDC</v>
      </c>
      <c r="B4873" t="str">
        <f>+'[2]por cuent'!B4873</f>
        <v>114000119</v>
      </c>
      <c r="C4873" t="str">
        <f>+'[2]por cuent'!C4873</f>
        <v>MATBA ROFEX S.A.</v>
      </c>
      <c r="D4873" s="35">
        <f>+'[2]por cuent'!G4873</f>
        <v>2038998.75</v>
      </c>
      <c r="E4873" s="35">
        <f>+'[2]por cuent'!H4873</f>
        <v>3049485750.5249996</v>
      </c>
      <c r="F4873" t="str">
        <f>+'[2]por cuent'!I4873</f>
        <v>114</v>
      </c>
    </row>
    <row r="4874" spans="1:6" x14ac:dyDescent="0.35">
      <c r="A4874" t="str">
        <f>+'[2]por cuent'!A4874</f>
        <v>USDC</v>
      </c>
      <c r="B4874" t="str">
        <f>+'[2]por cuent'!B4874</f>
        <v>114114005</v>
      </c>
      <c r="C4874" t="str">
        <f>+'[2]por cuent'!C4874</f>
        <v>ROSVAL - Operaciones Mesa Trading</v>
      </c>
      <c r="D4874" s="35">
        <f>+'[2]por cuent'!G4874</f>
        <v>49214655.770000003</v>
      </c>
      <c r="E4874" s="35">
        <f>+'[2]por cuent'!H4874</f>
        <v>73604454876.496597</v>
      </c>
      <c r="F4874" t="str">
        <f>+'[2]por cuent'!I4874</f>
        <v>114</v>
      </c>
    </row>
    <row r="4875" spans="1:6" x14ac:dyDescent="0.35">
      <c r="A4875" t="str">
        <f>+'[2]por cuent'!A4875</f>
        <v>USDC</v>
      </c>
      <c r="B4875" t="str">
        <f>+'[2]por cuent'!B4875</f>
        <v>114114100</v>
      </c>
      <c r="C4875" t="str">
        <f>+'[2]por cuent'!C4875</f>
        <v>Ignacio Tillard</v>
      </c>
      <c r="D4875" s="35">
        <f>+'[2]por cuent'!G4875</f>
        <v>599999.93000000005</v>
      </c>
      <c r="E4875" s="35">
        <f>+'[2]por cuent'!H4875</f>
        <v>897347895.30940008</v>
      </c>
      <c r="F4875" t="str">
        <f>+'[2]por cuent'!I4875</f>
        <v>114</v>
      </c>
    </row>
    <row r="4876" spans="1:6" x14ac:dyDescent="0.35">
      <c r="A4876" t="str">
        <f>+'[2]por cuent'!A4876</f>
        <v>USDC</v>
      </c>
      <c r="B4876" t="str">
        <f>+'[2]por cuent'!B4876</f>
        <v>344000005</v>
      </c>
      <c r="C4876" t="str">
        <f>+'[2]por cuent'!C4876</f>
        <v>Bafomet SA</v>
      </c>
      <c r="D4876" s="35">
        <f>+'[2]por cuent'!G4876</f>
        <v>59999.95</v>
      </c>
      <c r="E4876" s="35">
        <f>+'[2]por cuent'!H4876</f>
        <v>89734725.220999986</v>
      </c>
      <c r="F4876" t="str">
        <f>+'[2]por cuent'!I4876</f>
        <v>344</v>
      </c>
    </row>
    <row r="4877" spans="1:6" x14ac:dyDescent="0.35">
      <c r="A4877" t="str">
        <f>+'[2]por cuent'!A4877</f>
        <v>USDC</v>
      </c>
      <c r="B4877" t="str">
        <f>+'[2]por cuent'!B4877</f>
        <v>344000201</v>
      </c>
      <c r="C4877" t="str">
        <f>+'[2]por cuent'!C4877</f>
        <v>Marianela García Rossell y R. Mariano García Rossell</v>
      </c>
      <c r="D4877" s="35">
        <f>+'[2]por cuent'!G4877</f>
        <v>19352.05</v>
      </c>
      <c r="E4877" s="35">
        <f>+'[2]por cuent'!H4877</f>
        <v>28942538.938999999</v>
      </c>
      <c r="F4877" t="str">
        <f>+'[2]por cuent'!I4877</f>
        <v>344</v>
      </c>
    </row>
    <row r="4878" spans="1:6" x14ac:dyDescent="0.35">
      <c r="A4878" t="str">
        <f>+'[2]por cuent'!A4878</f>
        <v>USDC</v>
      </c>
      <c r="B4878" t="str">
        <f>+'[2]por cuent'!B4878</f>
        <v>344000401</v>
      </c>
      <c r="C4878" t="str">
        <f>+'[2]por cuent'!C4878</f>
        <v>Ortner Andres Martin &amp; Schlenew Tatiana</v>
      </c>
      <c r="D4878" s="35">
        <f>+'[2]por cuent'!G4878</f>
        <v>5000.87</v>
      </c>
      <c r="E4878" s="35">
        <f>+'[2]por cuent'!H4878</f>
        <v>7479201.1545999991</v>
      </c>
      <c r="F4878" t="str">
        <f>+'[2]por cuent'!I4878</f>
        <v>344</v>
      </c>
    </row>
    <row r="4879" spans="1:6" x14ac:dyDescent="0.35">
      <c r="A4879" t="str">
        <f>+'[2]por cuent'!A4879</f>
        <v>USDC</v>
      </c>
      <c r="B4879" t="str">
        <f>+'[2]por cuent'!B4879</f>
        <v>344000683</v>
      </c>
      <c r="C4879" t="str">
        <f>+'[2]por cuent'!C4879</f>
        <v>Envíos-Digitales SA</v>
      </c>
      <c r="D4879" s="35">
        <f>+'[2]por cuent'!G4879</f>
        <v>30000.25</v>
      </c>
      <c r="E4879" s="35">
        <f>+'[2]por cuent'!H4879</f>
        <v>44867773.894999996</v>
      </c>
      <c r="F4879" t="str">
        <f>+'[2]por cuent'!I4879</f>
        <v>344</v>
      </c>
    </row>
    <row r="4880" spans="1:6" x14ac:dyDescent="0.35">
      <c r="A4880" t="str">
        <f>+'[2]por cuent'!A4880</f>
        <v>USDC</v>
      </c>
      <c r="B4880" t="str">
        <f>+'[2]por cuent'!B4880</f>
        <v>401000008</v>
      </c>
      <c r="C4880" t="str">
        <f>+'[2]por cuent'!C4880</f>
        <v>AVANTIA VALORES SA</v>
      </c>
      <c r="D4880" s="35">
        <f>+'[2]por cuent'!G4880</f>
        <v>4200000</v>
      </c>
      <c r="E4880" s="35">
        <f>+'[2]por cuent'!H4880</f>
        <v>6281436000</v>
      </c>
      <c r="F4880" t="str">
        <f>+'[2]por cuent'!I4880</f>
        <v>401</v>
      </c>
    </row>
    <row r="4881" spans="1:6" x14ac:dyDescent="0.35">
      <c r="A4881" t="str">
        <f>+'[2]por cuent'!A4881</f>
        <v>USDC</v>
      </c>
      <c r="B4881" t="str">
        <f>+'[2]por cuent'!B4881</f>
        <v>401000014</v>
      </c>
      <c r="C4881" t="str">
        <f>+'[2]por cuent'!C4881</f>
        <v>HERRERA VEGAS DE GAINZA SARA</v>
      </c>
      <c r="D4881" s="35">
        <f>+'[2]por cuent'!G4881</f>
        <v>1989.54</v>
      </c>
      <c r="E4881" s="35">
        <f>+'[2]por cuent'!H4881</f>
        <v>2975516.2331999997</v>
      </c>
      <c r="F4881" t="str">
        <f>+'[2]por cuent'!I4881</f>
        <v>401</v>
      </c>
    </row>
    <row r="4882" spans="1:6" x14ac:dyDescent="0.35">
      <c r="A4882" t="str">
        <f>+'[2]por cuent'!A4882</f>
        <v>USDC</v>
      </c>
      <c r="B4882" t="str">
        <f>+'[2]por cuent'!B4882</f>
        <v>401000020</v>
      </c>
      <c r="C4882" t="str">
        <f>+'[2]por cuent'!C4882</f>
        <v>VENTO CAPITAL S.A.</v>
      </c>
      <c r="D4882" s="35">
        <f>+'[2]por cuent'!G4882</f>
        <v>3403558.3</v>
      </c>
      <c r="E4882" s="35">
        <f>+'[2]por cuent'!H4882</f>
        <v>5090293722.3139992</v>
      </c>
      <c r="F4882" t="str">
        <f>+'[2]por cuent'!I4882</f>
        <v>401</v>
      </c>
    </row>
    <row r="4883" spans="1:6" x14ac:dyDescent="0.35">
      <c r="A4883" t="str">
        <f>+'[2]por cuent'!A4883</f>
        <v>USDC</v>
      </c>
      <c r="B4883" t="str">
        <f>+'[2]por cuent'!B4883</f>
        <v>401000050</v>
      </c>
      <c r="C4883" t="str">
        <f>+'[2]por cuent'!C4883</f>
        <v>FRIGORIFICO ALBERDI S.A.</v>
      </c>
      <c r="D4883" s="35">
        <f>+'[2]por cuent'!G4883</f>
        <v>350000</v>
      </c>
      <c r="E4883" s="35">
        <f>+'[2]por cuent'!H4883</f>
        <v>523453000</v>
      </c>
      <c r="F4883" t="str">
        <f>+'[2]por cuent'!I4883</f>
        <v>401</v>
      </c>
    </row>
    <row r="4884" spans="1:6" x14ac:dyDescent="0.35">
      <c r="A4884" t="str">
        <f>+'[2]por cuent'!A4884</f>
        <v>USDC</v>
      </c>
      <c r="B4884" t="str">
        <f>+'[2]por cuent'!B4884</f>
        <v>401000057</v>
      </c>
      <c r="C4884" t="str">
        <f>+'[2]por cuent'!C4884</f>
        <v xml:space="preserve">GL S.A </v>
      </c>
      <c r="D4884" s="35">
        <f>+'[2]por cuent'!G4884</f>
        <v>750000</v>
      </c>
      <c r="E4884" s="35">
        <f>+'[2]por cuent'!H4884</f>
        <v>1121685000</v>
      </c>
      <c r="F4884" t="str">
        <f>+'[2]por cuent'!I4884</f>
        <v>401</v>
      </c>
    </row>
    <row r="4885" spans="1:6" x14ac:dyDescent="0.35">
      <c r="A4885" t="str">
        <f>+'[2]por cuent'!A4885</f>
        <v>USDC</v>
      </c>
      <c r="B4885" t="str">
        <f>+'[2]por cuent'!B4885</f>
        <v>401000062</v>
      </c>
      <c r="C4885" t="str">
        <f>+'[2]por cuent'!C4885</f>
        <v>BLANCO ALICIA AMALIA</v>
      </c>
      <c r="D4885" s="35">
        <f>+'[2]por cuent'!G4885</f>
        <v>5968.49</v>
      </c>
      <c r="E4885" s="35">
        <f>+'[2]por cuent'!H4885</f>
        <v>8926354.2741999999</v>
      </c>
      <c r="F4885" t="str">
        <f>+'[2]por cuent'!I4885</f>
        <v>401</v>
      </c>
    </row>
    <row r="4886" spans="1:6" x14ac:dyDescent="0.35">
      <c r="A4886" t="str">
        <f>+'[2]por cuent'!A4886</f>
        <v>USDC</v>
      </c>
      <c r="B4886" t="str">
        <f>+'[2]por cuent'!B4886</f>
        <v>401000085</v>
      </c>
      <c r="C4886" t="str">
        <f>+'[2]por cuent'!C4886</f>
        <v>CORRALES PEDRO MANUEL</v>
      </c>
      <c r="D4886" s="35">
        <f>+'[2]por cuent'!G4886</f>
        <v>10062.07</v>
      </c>
      <c r="E4886" s="35">
        <f>+'[2]por cuent'!H4886</f>
        <v>15048630.650599999</v>
      </c>
      <c r="F4886" t="str">
        <f>+'[2]por cuent'!I4886</f>
        <v>401</v>
      </c>
    </row>
    <row r="4887" spans="1:6" x14ac:dyDescent="0.35">
      <c r="A4887" t="str">
        <f>+'[2]por cuent'!A4887</f>
        <v>USDC</v>
      </c>
      <c r="B4887" t="str">
        <f>+'[2]por cuent'!B4887</f>
        <v>401000089</v>
      </c>
      <c r="C4887" t="str">
        <f>+'[2]por cuent'!C4887</f>
        <v>BLANCO ELENA HERMINIA</v>
      </c>
      <c r="D4887" s="35">
        <f>+'[2]por cuent'!G4887</f>
        <v>4377.08</v>
      </c>
      <c r="E4887" s="35">
        <f>+'[2]por cuent'!H4887</f>
        <v>6546273.3063999992</v>
      </c>
      <c r="F4887" t="str">
        <f>+'[2]por cuent'!I4887</f>
        <v>401</v>
      </c>
    </row>
    <row r="4888" spans="1:6" x14ac:dyDescent="0.35">
      <c r="A4888" t="str">
        <f>+'[2]por cuent'!A4888</f>
        <v>USDC</v>
      </c>
      <c r="B4888" t="str">
        <f>+'[2]por cuent'!B4888</f>
        <v>401000192</v>
      </c>
      <c r="C4888" t="str">
        <f>+'[2]por cuent'!C4888</f>
        <v>SATUS AGER S. A</v>
      </c>
      <c r="D4888" s="35">
        <f>+'[2]por cuent'!G4888</f>
        <v>1000000</v>
      </c>
      <c r="E4888" s="35">
        <f>+'[2]por cuent'!H4888</f>
        <v>1495580000</v>
      </c>
      <c r="F4888" t="str">
        <f>+'[2]por cuent'!I4888</f>
        <v>401</v>
      </c>
    </row>
    <row r="4889" spans="1:6" x14ac:dyDescent="0.35">
      <c r="A4889" t="str">
        <f>+'[2]por cuent'!A4889</f>
        <v>USDC</v>
      </c>
      <c r="B4889" t="str">
        <f>+'[2]por cuent'!B4889</f>
        <v>401000261</v>
      </c>
      <c r="C4889" t="str">
        <f>+'[2]por cuent'!C4889</f>
        <v>TANCO CARLOS ARIEL</v>
      </c>
      <c r="D4889" s="35">
        <f>+'[2]por cuent'!G4889</f>
        <v>615.94000000000005</v>
      </c>
      <c r="E4889" s="35">
        <f>+'[2]por cuent'!H4889</f>
        <v>921187.54520000005</v>
      </c>
      <c r="F4889" t="str">
        <f>+'[2]por cuent'!I4889</f>
        <v>401</v>
      </c>
    </row>
    <row r="4890" spans="1:6" x14ac:dyDescent="0.35">
      <c r="A4890" t="str">
        <f>+'[2]por cuent'!A4890</f>
        <v>USDC</v>
      </c>
      <c r="B4890" t="str">
        <f>+'[2]por cuent'!B4890</f>
        <v>401000293</v>
      </c>
      <c r="C4890" t="str">
        <f>+'[2]por cuent'!C4890</f>
        <v>PENSANDO EN GRANDE S.A.S.</v>
      </c>
      <c r="D4890" s="35">
        <f>+'[2]por cuent'!G4890</f>
        <v>295.61</v>
      </c>
      <c r="E4890" s="35">
        <f>+'[2]por cuent'!H4890</f>
        <v>442108.40379999997</v>
      </c>
      <c r="F4890" t="str">
        <f>+'[2]por cuent'!I4890</f>
        <v>401</v>
      </c>
    </row>
    <row r="4891" spans="1:6" x14ac:dyDescent="0.35">
      <c r="A4891" t="str">
        <f>+'[2]por cuent'!A4891</f>
        <v>USDC</v>
      </c>
      <c r="B4891" t="str">
        <f>+'[2]por cuent'!B4891</f>
        <v>401000364</v>
      </c>
      <c r="C4891" t="str">
        <f>+'[2]por cuent'!C4891</f>
        <v>FREIJE MATIAS</v>
      </c>
      <c r="D4891" s="35">
        <f>+'[2]por cuent'!G4891</f>
        <v>18625.43</v>
      </c>
      <c r="E4891" s="35">
        <f>+'[2]por cuent'!H4891</f>
        <v>27855820.599399999</v>
      </c>
      <c r="F4891" t="str">
        <f>+'[2]por cuent'!I4891</f>
        <v>401</v>
      </c>
    </row>
    <row r="4892" spans="1:6" x14ac:dyDescent="0.35">
      <c r="A4892" t="str">
        <f>+'[2]por cuent'!A4892</f>
        <v>USDC</v>
      </c>
      <c r="B4892" t="str">
        <f>+'[2]por cuent'!B4892</f>
        <v>405000022</v>
      </c>
      <c r="C4892" t="str">
        <f>+'[2]por cuent'!C4892</f>
        <v>AINBINDER, JONATAN URIEL</v>
      </c>
      <c r="D4892" s="35">
        <f>+'[2]por cuent'!G4892</f>
        <v>111.62</v>
      </c>
      <c r="E4892" s="35">
        <f>+'[2]por cuent'!H4892</f>
        <v>166936.63959999999</v>
      </c>
      <c r="F4892" t="str">
        <f>+'[2]por cuent'!I4892</f>
        <v>405</v>
      </c>
    </row>
    <row r="4893" spans="1:6" x14ac:dyDescent="0.35">
      <c r="A4893" t="str">
        <f>+'[2]por cuent'!A4893</f>
        <v>USDC</v>
      </c>
      <c r="B4893" t="str">
        <f>+'[2]por cuent'!B4893</f>
        <v>424000074</v>
      </c>
      <c r="C4893" t="str">
        <f>+'[2]por cuent'!C4893</f>
        <v>Maria Dolores Sarobe</v>
      </c>
      <c r="D4893" s="35">
        <f>+'[2]por cuent'!G4893</f>
        <v>385.45</v>
      </c>
      <c r="E4893" s="35">
        <f>+'[2]por cuent'!H4893</f>
        <v>576471.31099999999</v>
      </c>
      <c r="F4893" t="str">
        <f>+'[2]por cuent'!I4893</f>
        <v>424</v>
      </c>
    </row>
    <row r="4894" spans="1:6" x14ac:dyDescent="0.35">
      <c r="A4894" t="str">
        <f>+'[2]por cuent'!A4894</f>
        <v>USDC</v>
      </c>
      <c r="B4894" t="str">
        <f>+'[2]por cuent'!B4894</f>
        <v>424000176</v>
      </c>
      <c r="C4894" t="str">
        <f>+'[2]por cuent'!C4894</f>
        <v>Aguilar, Fernando Martín</v>
      </c>
      <c r="D4894" s="35">
        <f>+'[2]por cuent'!G4894</f>
        <v>3400.04</v>
      </c>
      <c r="E4894" s="35">
        <f>+'[2]por cuent'!H4894</f>
        <v>5085031.8231999995</v>
      </c>
      <c r="F4894" t="str">
        <f>+'[2]por cuent'!I4894</f>
        <v>424</v>
      </c>
    </row>
    <row r="4895" spans="1:6" x14ac:dyDescent="0.35">
      <c r="A4895" t="str">
        <f>+'[2]por cuent'!A4895</f>
        <v>USDC</v>
      </c>
      <c r="B4895" t="str">
        <f>+'[2]por cuent'!B4895</f>
        <v>432000008</v>
      </c>
      <c r="C4895" t="str">
        <f>+'[2]por cuent'!C4895</f>
        <v>Arrigoni, Miguel Angel</v>
      </c>
      <c r="D4895" s="35">
        <f>+'[2]por cuent'!G4895</f>
        <v>120.1</v>
      </c>
      <c r="E4895" s="35">
        <f>+'[2]por cuent'!H4895</f>
        <v>179619.158</v>
      </c>
      <c r="F4895" t="str">
        <f>+'[2]por cuent'!I4895</f>
        <v>432</v>
      </c>
    </row>
    <row r="4896" spans="1:6" x14ac:dyDescent="0.35">
      <c r="A4896" t="str">
        <f>+'[2]por cuent'!A4896</f>
        <v>USDC</v>
      </c>
      <c r="B4896" t="str">
        <f>+'[2]por cuent'!B4896</f>
        <v>432000010</v>
      </c>
      <c r="C4896" t="str">
        <f>+'[2]por cuent'!C4896</f>
        <v>First Capital Markets SA</v>
      </c>
      <c r="D4896" s="35">
        <f>+'[2]por cuent'!G4896</f>
        <v>56592804.439999998</v>
      </c>
      <c r="E4896" s="35">
        <f>+'[2]por cuent'!H4896</f>
        <v>84639066464.375198</v>
      </c>
      <c r="F4896" t="str">
        <f>+'[2]por cuent'!I4896</f>
        <v>432</v>
      </c>
    </row>
    <row r="4897" spans="1:6" x14ac:dyDescent="0.35">
      <c r="A4897" t="str">
        <f>+'[2]por cuent'!A4897</f>
        <v>USDC</v>
      </c>
      <c r="B4897" t="str">
        <f>+'[2]por cuent'!B4897</f>
        <v>432000012</v>
      </c>
      <c r="C4897" t="str">
        <f>+'[2]por cuent'!C4897</f>
        <v>Barbero, Guillermo Alberto</v>
      </c>
      <c r="D4897" s="35">
        <f>+'[2]por cuent'!G4897</f>
        <v>90.03</v>
      </c>
      <c r="E4897" s="35">
        <f>+'[2]por cuent'!H4897</f>
        <v>134647.0674</v>
      </c>
      <c r="F4897" t="str">
        <f>+'[2]por cuent'!I4897</f>
        <v>432</v>
      </c>
    </row>
    <row r="4898" spans="1:6" x14ac:dyDescent="0.35">
      <c r="A4898" t="str">
        <f>+'[2]por cuent'!A4898</f>
        <v>USDC</v>
      </c>
      <c r="B4898" t="str">
        <f>+'[2]por cuent'!B4898</f>
        <v>432000034</v>
      </c>
      <c r="C4898" t="str">
        <f>+'[2]por cuent'!C4898</f>
        <v>Rodriguez, Alicia Diana</v>
      </c>
      <c r="D4898" s="35">
        <f>+'[2]por cuent'!G4898</f>
        <v>9779.17</v>
      </c>
      <c r="E4898" s="35">
        <f>+'[2]por cuent'!H4898</f>
        <v>14625531.068599999</v>
      </c>
      <c r="F4898" t="str">
        <f>+'[2]por cuent'!I4898</f>
        <v>432</v>
      </c>
    </row>
    <row r="4899" spans="1:6" x14ac:dyDescent="0.35">
      <c r="A4899" t="str">
        <f>+'[2]por cuent'!A4899</f>
        <v>USDC</v>
      </c>
      <c r="B4899" t="str">
        <f>+'[2]por cuent'!B4899</f>
        <v>432000259</v>
      </c>
      <c r="C4899" t="str">
        <f>+'[2]por cuent'!C4899</f>
        <v>Bustos, Javier Leonardo o Díaz, Marcela Adriana</v>
      </c>
      <c r="D4899" s="35">
        <f>+'[2]por cuent'!G4899</f>
        <v>9999.94</v>
      </c>
      <c r="E4899" s="35">
        <f>+'[2]por cuent'!H4899</f>
        <v>14955710.2652</v>
      </c>
      <c r="F4899" t="str">
        <f>+'[2]por cuent'!I4899</f>
        <v>432</v>
      </c>
    </row>
    <row r="4900" spans="1:6" x14ac:dyDescent="0.35">
      <c r="A4900" t="str">
        <f>+'[2]por cuent'!A4900</f>
        <v>USDC</v>
      </c>
      <c r="B4900" t="str">
        <f>+'[2]por cuent'!B4900</f>
        <v>432000368</v>
      </c>
      <c r="C4900" t="str">
        <f>+'[2]por cuent'!C4900</f>
        <v>Duscher, Aldo Pedro</v>
      </c>
      <c r="D4900" s="35">
        <f>+'[2]por cuent'!G4900</f>
        <v>15745.59</v>
      </c>
      <c r="E4900" s="35">
        <f>+'[2]por cuent'!H4900</f>
        <v>23548789.492199998</v>
      </c>
      <c r="F4900" t="str">
        <f>+'[2]por cuent'!I4900</f>
        <v>432</v>
      </c>
    </row>
    <row r="4901" spans="1:6" x14ac:dyDescent="0.35">
      <c r="A4901" t="str">
        <f>+'[2]por cuent'!A4901</f>
        <v>USDC</v>
      </c>
      <c r="B4901" t="str">
        <f>+'[2]por cuent'!B4901</f>
        <v>432000657</v>
      </c>
      <c r="C4901" t="str">
        <f>+'[2]por cuent'!C4901</f>
        <v>Córdoba, Sergio Luis</v>
      </c>
      <c r="D4901" s="35">
        <f>+'[2]por cuent'!G4901</f>
        <v>2299.73</v>
      </c>
      <c r="E4901" s="35">
        <f>+'[2]por cuent'!H4901</f>
        <v>3439430.1933999998</v>
      </c>
      <c r="F4901" t="str">
        <f>+'[2]por cuent'!I4901</f>
        <v>432</v>
      </c>
    </row>
    <row r="4902" spans="1:6" x14ac:dyDescent="0.35">
      <c r="A4902" t="str">
        <f>+'[2]por cuent'!A4902</f>
        <v>USDC</v>
      </c>
      <c r="B4902" t="str">
        <f>+'[2]por cuent'!B4902</f>
        <v>432000946</v>
      </c>
      <c r="C4902" t="str">
        <f>+'[2]por cuent'!C4902</f>
        <v>BUYATTI, GERARDO LUIS</v>
      </c>
      <c r="D4902" s="35">
        <f>+'[2]por cuent'!G4902</f>
        <v>67.709999999999994</v>
      </c>
      <c r="E4902" s="35">
        <f>+'[2]por cuent'!H4902</f>
        <v>101265.72179999998</v>
      </c>
      <c r="F4902" t="str">
        <f>+'[2]por cuent'!I4902</f>
        <v>432</v>
      </c>
    </row>
    <row r="4903" spans="1:6" x14ac:dyDescent="0.35">
      <c r="A4903" t="str">
        <f>+'[2]por cuent'!A4903</f>
        <v>USDC</v>
      </c>
      <c r="B4903" t="str">
        <f>+'[2]por cuent'!B4903</f>
        <v>432001242</v>
      </c>
      <c r="C4903" t="str">
        <f>+'[2]por cuent'!C4903</f>
        <v xml:space="preserve">MANSFIELD MINERA S A </v>
      </c>
      <c r="D4903" s="35">
        <f>+'[2]por cuent'!G4903</f>
        <v>28269998.460000001</v>
      </c>
      <c r="E4903" s="35">
        <f>+'[2]por cuent'!H4903</f>
        <v>42280044296.806801</v>
      </c>
      <c r="F4903" t="str">
        <f>+'[2]por cuent'!I4903</f>
        <v>432</v>
      </c>
    </row>
    <row r="4904" spans="1:6" x14ac:dyDescent="0.35">
      <c r="A4904" t="str">
        <f>+'[2]por cuent'!A4904</f>
        <v>USDC</v>
      </c>
      <c r="B4904" t="str">
        <f>+'[2]por cuent'!B4904</f>
        <v>435000006</v>
      </c>
      <c r="C4904" t="str">
        <f>+'[2]por cuent'!C4904</f>
        <v>Inverstart S.A.</v>
      </c>
      <c r="D4904" s="35">
        <f>+'[2]por cuent'!G4904</f>
        <v>1447.6</v>
      </c>
      <c r="E4904" s="35">
        <f>+'[2]por cuent'!H4904</f>
        <v>2165001.6079999995</v>
      </c>
      <c r="F4904" t="str">
        <f>+'[2]por cuent'!I4904</f>
        <v>435</v>
      </c>
    </row>
    <row r="4905" spans="1:6" x14ac:dyDescent="0.35">
      <c r="A4905" t="str">
        <f>+'[2]por cuent'!A4905</f>
        <v>USDC</v>
      </c>
      <c r="B4905" t="str">
        <f>+'[2]por cuent'!B4905</f>
        <v>435000015</v>
      </c>
      <c r="C4905" t="str">
        <f>+'[2]por cuent'!C4905</f>
        <v>Nieto, Lucio Edgardo</v>
      </c>
      <c r="D4905" s="35">
        <f>+'[2]por cuent'!G4905</f>
        <v>190.55</v>
      </c>
      <c r="E4905" s="35">
        <f>+'[2]por cuent'!H4905</f>
        <v>284982.76900000003</v>
      </c>
      <c r="F4905" t="str">
        <f>+'[2]por cuent'!I4905</f>
        <v>435</v>
      </c>
    </row>
    <row r="4906" spans="1:6" x14ac:dyDescent="0.35">
      <c r="A4906" t="str">
        <f>+'[2]por cuent'!A4906</f>
        <v>USDC</v>
      </c>
      <c r="B4906" t="str">
        <f>+'[2]por cuent'!B4906</f>
        <v>435000020</v>
      </c>
      <c r="C4906" t="str">
        <f>+'[2]por cuent'!C4906</f>
        <v>Bolognesi, Roberto Oscar o Massaro, Silvia Edith o Nieto, Lucio Edgardo</v>
      </c>
      <c r="D4906" s="35">
        <f>+'[2]por cuent'!G4906</f>
        <v>5.67</v>
      </c>
      <c r="E4906" s="35">
        <f>+'[2]por cuent'!H4906</f>
        <v>8479.9385999999995</v>
      </c>
      <c r="F4906" t="str">
        <f>+'[2]por cuent'!I4906</f>
        <v>435</v>
      </c>
    </row>
    <row r="4907" spans="1:6" x14ac:dyDescent="0.35">
      <c r="A4907" t="str">
        <f>+'[2]por cuent'!A4907</f>
        <v>USDC</v>
      </c>
      <c r="B4907" t="str">
        <f>+'[2]por cuent'!B4907</f>
        <v>435000272</v>
      </c>
      <c r="C4907" t="str">
        <f>+'[2]por cuent'!C4907</f>
        <v xml:space="preserve">Olagaray, Esther Patricia </v>
      </c>
      <c r="D4907" s="35">
        <f>+'[2]por cuent'!G4907</f>
        <v>782.1</v>
      </c>
      <c r="E4907" s="35">
        <f>+'[2]por cuent'!H4907</f>
        <v>1169693.118</v>
      </c>
      <c r="F4907" t="str">
        <f>+'[2]por cuent'!I4907</f>
        <v>435</v>
      </c>
    </row>
    <row r="4908" spans="1:6" x14ac:dyDescent="0.35">
      <c r="A4908" t="str">
        <f>+'[2]por cuent'!A4908</f>
        <v>USDC</v>
      </c>
      <c r="B4908" t="str">
        <f>+'[2]por cuent'!B4908</f>
        <v>435000276</v>
      </c>
      <c r="C4908" t="str">
        <f>+'[2]por cuent'!C4908</f>
        <v>Gibbs, Jose Guillermo o Gibbs Moreira, Guillermo Damian o Gibbs Moreira, Andres Enrique</v>
      </c>
      <c r="D4908" s="35">
        <f>+'[2]por cuent'!G4908</f>
        <v>496.75</v>
      </c>
      <c r="E4908" s="35">
        <f>+'[2]por cuent'!H4908</f>
        <v>742929.36499999999</v>
      </c>
      <c r="F4908" t="str">
        <f>+'[2]por cuent'!I4908</f>
        <v>435</v>
      </c>
    </row>
    <row r="4909" spans="1:6" x14ac:dyDescent="0.35">
      <c r="A4909" t="str">
        <f>+'[2]por cuent'!A4909</f>
        <v>USDC</v>
      </c>
      <c r="B4909" t="str">
        <f>+'[2]por cuent'!B4909</f>
        <v>435000291</v>
      </c>
      <c r="C4909" t="str">
        <f>+'[2]por cuent'!C4909</f>
        <v>Rutas del Sol S.A.</v>
      </c>
      <c r="D4909" s="35">
        <f>+'[2]por cuent'!G4909</f>
        <v>1602.12</v>
      </c>
      <c r="E4909" s="35">
        <f>+'[2]por cuent'!H4909</f>
        <v>2396098.6295999996</v>
      </c>
      <c r="F4909" t="str">
        <f>+'[2]por cuent'!I4909</f>
        <v>435</v>
      </c>
    </row>
    <row r="4910" spans="1:6" x14ac:dyDescent="0.35">
      <c r="A4910" t="str">
        <f>+'[2]por cuent'!A4910</f>
        <v>USDC</v>
      </c>
      <c r="B4910" t="str">
        <f>+'[2]por cuent'!B4910</f>
        <v>435000292</v>
      </c>
      <c r="C4910" t="str">
        <f>+'[2]por cuent'!C4910</f>
        <v>Vignoni, Susana Vicenta o Gonzalez, Juan Horacio</v>
      </c>
      <c r="D4910" s="35">
        <f>+'[2]por cuent'!G4910</f>
        <v>706.26</v>
      </c>
      <c r="E4910" s="35">
        <f>+'[2]por cuent'!H4910</f>
        <v>1056268.3307999999</v>
      </c>
      <c r="F4910" t="str">
        <f>+'[2]por cuent'!I4910</f>
        <v>435</v>
      </c>
    </row>
    <row r="4911" spans="1:6" x14ac:dyDescent="0.35">
      <c r="A4911" t="str">
        <f>+'[2]por cuent'!A4911</f>
        <v>USDC</v>
      </c>
      <c r="B4911" t="str">
        <f>+'[2]por cuent'!B4911</f>
        <v>435000311</v>
      </c>
      <c r="C4911" t="str">
        <f>+'[2]por cuent'!C4911</f>
        <v>Yanzon, Roberto Horacio</v>
      </c>
      <c r="D4911" s="35">
        <f>+'[2]por cuent'!G4911</f>
        <v>351.71</v>
      </c>
      <c r="E4911" s="35">
        <f>+'[2]por cuent'!H4911</f>
        <v>526010.44179999991</v>
      </c>
      <c r="F4911" t="str">
        <f>+'[2]por cuent'!I4911</f>
        <v>435</v>
      </c>
    </row>
    <row r="4912" spans="1:6" x14ac:dyDescent="0.35">
      <c r="A4912" t="str">
        <f>+'[2]por cuent'!A4912</f>
        <v>USDC</v>
      </c>
      <c r="B4912" t="str">
        <f>+'[2]por cuent'!B4912</f>
        <v>435000347</v>
      </c>
      <c r="C4912" t="str">
        <f>+'[2]por cuent'!C4912</f>
        <v>Tecno Service S.R.L.</v>
      </c>
      <c r="D4912" s="35">
        <f>+'[2]por cuent'!G4912</f>
        <v>191.5</v>
      </c>
      <c r="E4912" s="35">
        <f>+'[2]por cuent'!H4912</f>
        <v>286403.57</v>
      </c>
      <c r="F4912" t="str">
        <f>+'[2]por cuent'!I4912</f>
        <v>435</v>
      </c>
    </row>
    <row r="4913" spans="1:6" x14ac:dyDescent="0.35">
      <c r="A4913" t="str">
        <f>+'[2]por cuent'!A4913</f>
        <v>USDC</v>
      </c>
      <c r="B4913" t="str">
        <f>+'[2]por cuent'!B4913</f>
        <v>435000417</v>
      </c>
      <c r="C4913" t="str">
        <f>+'[2]por cuent'!C4913</f>
        <v xml:space="preserve">Aguilera, Natalia Carina </v>
      </c>
      <c r="D4913" s="35">
        <f>+'[2]por cuent'!G4913</f>
        <v>84.6</v>
      </c>
      <c r="E4913" s="35">
        <f>+'[2]por cuent'!H4913</f>
        <v>126526.06799999998</v>
      </c>
      <c r="F4913" t="str">
        <f>+'[2]por cuent'!I4913</f>
        <v>435</v>
      </c>
    </row>
    <row r="4914" spans="1:6" x14ac:dyDescent="0.35">
      <c r="A4914" t="str">
        <f>+'[2]por cuent'!A4914</f>
        <v>USDC</v>
      </c>
      <c r="B4914" t="str">
        <f>+'[2]por cuent'!B4914</f>
        <v>435000455</v>
      </c>
      <c r="C4914" t="str">
        <f>+'[2]por cuent'!C4914</f>
        <v>Berman, Julieta o Berman, Andres</v>
      </c>
      <c r="D4914" s="35">
        <f>+'[2]por cuent'!G4914</f>
        <v>406.69</v>
      </c>
      <c r="E4914" s="35">
        <f>+'[2]por cuent'!H4914</f>
        <v>608237.43019999994</v>
      </c>
      <c r="F4914" t="str">
        <f>+'[2]por cuent'!I4914</f>
        <v>435</v>
      </c>
    </row>
    <row r="4915" spans="1:6" x14ac:dyDescent="0.35">
      <c r="A4915" t="str">
        <f>+'[2]por cuent'!A4915</f>
        <v>USDC</v>
      </c>
      <c r="B4915" t="str">
        <f>+'[2]por cuent'!B4915</f>
        <v>435000456</v>
      </c>
      <c r="C4915" t="str">
        <f>+'[2]por cuent'!C4915</f>
        <v>Gibbs Moreira, Guillermo Damian o Gibbs Moreira, Andres Enrique</v>
      </c>
      <c r="D4915" s="35">
        <f>+'[2]por cuent'!G4915</f>
        <v>536.57000000000005</v>
      </c>
      <c r="E4915" s="35">
        <f>+'[2]por cuent'!H4915</f>
        <v>802483.36060000001</v>
      </c>
      <c r="F4915" t="str">
        <f>+'[2]por cuent'!I4915</f>
        <v>435</v>
      </c>
    </row>
    <row r="4916" spans="1:6" x14ac:dyDescent="0.35">
      <c r="A4916" t="str">
        <f>+'[2]por cuent'!A4916</f>
        <v>USDC</v>
      </c>
      <c r="B4916" t="str">
        <f>+'[2]por cuent'!B4916</f>
        <v>435000517</v>
      </c>
      <c r="C4916" t="str">
        <f>+'[2]por cuent'!C4916</f>
        <v xml:space="preserve">Muñoz, Karen Valeria o Muñoz, Leandro Adrián Evaristo </v>
      </c>
      <c r="D4916" s="35">
        <f>+'[2]por cuent'!G4916</f>
        <v>28.2</v>
      </c>
      <c r="E4916" s="35">
        <f>+'[2]por cuent'!H4916</f>
        <v>42175.356</v>
      </c>
      <c r="F4916" t="str">
        <f>+'[2]por cuent'!I4916</f>
        <v>435</v>
      </c>
    </row>
    <row r="4917" spans="1:6" x14ac:dyDescent="0.35">
      <c r="A4917" t="str">
        <f>+'[2]por cuent'!A4917</f>
        <v>USDC</v>
      </c>
      <c r="B4917" t="str">
        <f>+'[2]por cuent'!B4917</f>
        <v>479005465</v>
      </c>
      <c r="C4917" t="str">
        <f>+'[2]por cuent'!C4917</f>
        <v>ATRAPALO S.R.L.</v>
      </c>
      <c r="D4917" s="35">
        <f>+'[2]por cuent'!G4917</f>
        <v>208000</v>
      </c>
      <c r="E4917" s="35">
        <f>+'[2]por cuent'!H4917</f>
        <v>311080640</v>
      </c>
      <c r="F4917" t="str">
        <f>+'[2]por cuent'!I4917</f>
        <v>479</v>
      </c>
    </row>
    <row r="4918" spans="1:6" x14ac:dyDescent="0.35">
      <c r="A4918" t="str">
        <f>+'[2]por cuent'!A4918</f>
        <v>USDC</v>
      </c>
      <c r="B4918" t="str">
        <f>+'[2]por cuent'!B4918</f>
        <v>479005634</v>
      </c>
      <c r="C4918" t="str">
        <f>+'[2]por cuent'!C4918</f>
        <v>GRUPO EDITORIAL PLANETA SAIC S.A.</v>
      </c>
      <c r="D4918" s="35">
        <f>+'[2]por cuent'!G4918</f>
        <v>400000</v>
      </c>
      <c r="E4918" s="35">
        <f>+'[2]por cuent'!H4918</f>
        <v>598232000</v>
      </c>
      <c r="F4918" t="str">
        <f>+'[2]por cuent'!I4918</f>
        <v>479</v>
      </c>
    </row>
    <row r="4919" spans="1:6" x14ac:dyDescent="0.35">
      <c r="A4919" t="str">
        <f>+'[2]por cuent'!A4919</f>
        <v>USDC</v>
      </c>
      <c r="B4919" t="str">
        <f>+'[2]por cuent'!B4919</f>
        <v>479005645</v>
      </c>
      <c r="C4919" t="str">
        <f>+'[2]por cuent'!C4919</f>
        <v>INTERALMAR S.A.</v>
      </c>
      <c r="D4919" s="35">
        <f>+'[2]por cuent'!G4919</f>
        <v>100000</v>
      </c>
      <c r="E4919" s="35">
        <f>+'[2]por cuent'!H4919</f>
        <v>149558000</v>
      </c>
      <c r="F4919" t="str">
        <f>+'[2]por cuent'!I4919</f>
        <v>479</v>
      </c>
    </row>
    <row r="4920" spans="1:6" x14ac:dyDescent="0.35">
      <c r="A4920" t="str">
        <f>+'[2]por cuent'!A4920</f>
        <v>USDC</v>
      </c>
      <c r="B4920" t="str">
        <f>+'[2]por cuent'!B4920</f>
        <v>479040602</v>
      </c>
      <c r="C4920" t="str">
        <f>+'[2]por cuent'!C4920</f>
        <v>SUPERVIELLE AGENTE DE NEGOCIACION S.A.U.</v>
      </c>
      <c r="D4920" s="35">
        <f>+'[2]por cuent'!G4920</f>
        <v>27550509.989999998</v>
      </c>
      <c r="E4920" s="35">
        <f>+'[2]por cuent'!H4920</f>
        <v>41203991730.844193</v>
      </c>
      <c r="F4920" t="str">
        <f>+'[2]por cuent'!I4920</f>
        <v>479</v>
      </c>
    </row>
    <row r="4921" spans="1:6" x14ac:dyDescent="0.35">
      <c r="A4921" t="str">
        <f>+'[2]por cuent'!A4921</f>
        <v>USDC</v>
      </c>
      <c r="B4921" t="str">
        <f>+'[2]por cuent'!B4921</f>
        <v>483000004</v>
      </c>
      <c r="C4921" t="str">
        <f>+'[2]por cuent'!C4921</f>
        <v>COPPOLA INVERSIONES S.A.</v>
      </c>
      <c r="D4921" s="35">
        <f>+'[2]por cuent'!G4921</f>
        <v>554742.87</v>
      </c>
      <c r="E4921" s="35">
        <f>+'[2]por cuent'!H4921</f>
        <v>829662341.51459992</v>
      </c>
      <c r="F4921" t="str">
        <f>+'[2]por cuent'!I4921</f>
        <v>483</v>
      </c>
    </row>
    <row r="4922" spans="1:6" x14ac:dyDescent="0.35">
      <c r="A4922" t="str">
        <f>+'[2]por cuent'!A4922</f>
        <v>USDC</v>
      </c>
      <c r="B4922" t="str">
        <f>+'[2]por cuent'!B4922</f>
        <v>483000102</v>
      </c>
      <c r="C4922" t="str">
        <f>+'[2]por cuent'!C4922</f>
        <v>FUNDEMAP SA</v>
      </c>
      <c r="D4922" s="35">
        <f>+'[2]por cuent'!G4922</f>
        <v>5728.83</v>
      </c>
      <c r="E4922" s="35">
        <f>+'[2]por cuent'!H4922</f>
        <v>8567923.5713999998</v>
      </c>
      <c r="F4922" t="str">
        <f>+'[2]por cuent'!I4922</f>
        <v>483</v>
      </c>
    </row>
    <row r="4923" spans="1:6" x14ac:dyDescent="0.35">
      <c r="A4923" t="str">
        <f>+'[2]por cuent'!A4923</f>
        <v>USDC</v>
      </c>
      <c r="B4923" t="str">
        <f>+'[2]por cuent'!B4923</f>
        <v>483000105</v>
      </c>
      <c r="C4923" t="str">
        <f>+'[2]por cuent'!C4923</f>
        <v>TUTTO PORKY'S SRL</v>
      </c>
      <c r="D4923" s="35">
        <f>+'[2]por cuent'!G4923</f>
        <v>2329.44</v>
      </c>
      <c r="E4923" s="35">
        <f>+'[2]por cuent'!H4923</f>
        <v>3483863.8752000001</v>
      </c>
      <c r="F4923" t="str">
        <f>+'[2]por cuent'!I4923</f>
        <v>483</v>
      </c>
    </row>
    <row r="4924" spans="1:6" x14ac:dyDescent="0.35">
      <c r="A4924" t="str">
        <f>+'[2]por cuent'!A4924</f>
        <v>USDC</v>
      </c>
      <c r="B4924" t="str">
        <f>+'[2]por cuent'!B4924</f>
        <v>483000106</v>
      </c>
      <c r="C4924" t="str">
        <f>+'[2]por cuent'!C4924</f>
        <v>MURABITO MARIA CARMEN</v>
      </c>
      <c r="D4924" s="35">
        <f>+'[2]por cuent'!G4924</f>
        <v>67629.23</v>
      </c>
      <c r="E4924" s="35">
        <f>+'[2]por cuent'!H4924</f>
        <v>101144923.80339999</v>
      </c>
      <c r="F4924" t="str">
        <f>+'[2]por cuent'!I4924</f>
        <v>483</v>
      </c>
    </row>
    <row r="4925" spans="1:6" x14ac:dyDescent="0.35">
      <c r="A4925" t="str">
        <f>+'[2]por cuent'!A4925</f>
        <v>USDC</v>
      </c>
      <c r="B4925" t="str">
        <f>+'[2]por cuent'!B4925</f>
        <v>483000112</v>
      </c>
      <c r="C4925" t="str">
        <f>+'[2]por cuent'!C4925</f>
        <v>INSUGRAF SRL</v>
      </c>
      <c r="D4925" s="35">
        <f>+'[2]por cuent'!G4925</f>
        <v>181276.78</v>
      </c>
      <c r="E4925" s="35">
        <f>+'[2]por cuent'!H4925</f>
        <v>271113926.63239998</v>
      </c>
      <c r="F4925" t="str">
        <f>+'[2]por cuent'!I4925</f>
        <v>483</v>
      </c>
    </row>
    <row r="4926" spans="1:6" x14ac:dyDescent="0.35">
      <c r="A4926" t="str">
        <f>+'[2]por cuent'!A4926</f>
        <v>USDC</v>
      </c>
      <c r="B4926" t="str">
        <f>+'[2]por cuent'!B4926</f>
        <v>483000119</v>
      </c>
      <c r="C4926" t="str">
        <f>+'[2]por cuent'!C4926</f>
        <v>FIGUEROA LUCIANO GABRIEL</v>
      </c>
      <c r="D4926" s="35">
        <f>+'[2]por cuent'!G4926</f>
        <v>2967.93</v>
      </c>
      <c r="E4926" s="35">
        <f>+'[2]por cuent'!H4926</f>
        <v>4438776.7493999992</v>
      </c>
      <c r="F4926" t="str">
        <f>+'[2]por cuent'!I4926</f>
        <v>483</v>
      </c>
    </row>
    <row r="4927" spans="1:6" x14ac:dyDescent="0.35">
      <c r="A4927" t="str">
        <f>+'[2]por cuent'!A4927</f>
        <v>USDC</v>
      </c>
      <c r="B4927" t="str">
        <f>+'[2]por cuent'!B4927</f>
        <v>483000123</v>
      </c>
      <c r="C4927" t="str">
        <f>+'[2]por cuent'!C4927</f>
        <v>LOPEZ RAQUEL NELIDA EUGENIA</v>
      </c>
      <c r="D4927" s="35">
        <f>+'[2]por cuent'!G4927</f>
        <v>2012.25</v>
      </c>
      <c r="E4927" s="35">
        <f>+'[2]por cuent'!H4927</f>
        <v>3009480.855</v>
      </c>
      <c r="F4927" t="str">
        <f>+'[2]por cuent'!I4927</f>
        <v>483</v>
      </c>
    </row>
    <row r="4928" spans="1:6" x14ac:dyDescent="0.35">
      <c r="A4928" t="str">
        <f>+'[2]por cuent'!A4928</f>
        <v>USDC</v>
      </c>
      <c r="B4928" t="str">
        <f>+'[2]por cuent'!B4928</f>
        <v>483000124</v>
      </c>
      <c r="C4928" t="str">
        <f>+'[2]por cuent'!C4928</f>
        <v>BENVENUTO, CASANDRA</v>
      </c>
      <c r="D4928" s="35">
        <f>+'[2]por cuent'!G4928</f>
        <v>1959.38</v>
      </c>
      <c r="E4928" s="35">
        <f>+'[2]por cuent'!H4928</f>
        <v>2930409.5403999998</v>
      </c>
      <c r="F4928" t="str">
        <f>+'[2]por cuent'!I4928</f>
        <v>483</v>
      </c>
    </row>
    <row r="4929" spans="1:6" x14ac:dyDescent="0.35">
      <c r="A4929" t="str">
        <f>+'[2]por cuent'!A4929</f>
        <v>USDC</v>
      </c>
      <c r="B4929" t="str">
        <f>+'[2]por cuent'!B4929</f>
        <v>483000157</v>
      </c>
      <c r="C4929" t="str">
        <f>+'[2]por cuent'!C4929</f>
        <v>ACERMA SOCIEDAD ANÓNIMA</v>
      </c>
      <c r="D4929" s="35">
        <f>+'[2]por cuent'!G4929</f>
        <v>4583.1400000000003</v>
      </c>
      <c r="E4929" s="35">
        <f>+'[2]por cuent'!H4929</f>
        <v>6854452.5212000003</v>
      </c>
      <c r="F4929" t="str">
        <f>+'[2]por cuent'!I4929</f>
        <v>483</v>
      </c>
    </row>
    <row r="4930" spans="1:6" x14ac:dyDescent="0.35">
      <c r="A4930" t="str">
        <f>+'[2]por cuent'!A4930</f>
        <v>USDC</v>
      </c>
      <c r="B4930" t="str">
        <f>+'[2]por cuent'!B4930</f>
        <v>483000162</v>
      </c>
      <c r="C4930" t="str">
        <f>+'[2]por cuent'!C4930</f>
        <v>CERDOS SAN JUAN SA</v>
      </c>
      <c r="D4930" s="35">
        <f>+'[2]por cuent'!G4930</f>
        <v>2788.09</v>
      </c>
      <c r="E4930" s="35">
        <f>+'[2]por cuent'!H4930</f>
        <v>4169811.6422000001</v>
      </c>
      <c r="F4930" t="str">
        <f>+'[2]por cuent'!I4930</f>
        <v>483</v>
      </c>
    </row>
    <row r="4931" spans="1:6" x14ac:dyDescent="0.35">
      <c r="A4931" t="str">
        <f>+'[2]por cuent'!A4931</f>
        <v>USDC</v>
      </c>
      <c r="B4931" t="str">
        <f>+'[2]por cuent'!B4931</f>
        <v>486000026</v>
      </c>
      <c r="C4931" t="str">
        <f>+'[2]por cuent'!C4931</f>
        <v>Saenz, Alberto Alfonso</v>
      </c>
      <c r="D4931" s="35">
        <f>+'[2]por cuent'!G4931</f>
        <v>16997.919999999998</v>
      </c>
      <c r="E4931" s="35">
        <f>+'[2]por cuent'!H4931</f>
        <v>25421749.193599995</v>
      </c>
      <c r="F4931" t="str">
        <f>+'[2]por cuent'!I4931</f>
        <v>486</v>
      </c>
    </row>
    <row r="4932" spans="1:6" x14ac:dyDescent="0.35">
      <c r="A4932" t="str">
        <f>+'[2]por cuent'!A4932</f>
        <v>USDC</v>
      </c>
      <c r="B4932" t="str">
        <f>+'[2]por cuent'!B4932</f>
        <v>486000064</v>
      </c>
      <c r="C4932" t="str">
        <f>+'[2]por cuent'!C4932</f>
        <v>Sica Paravicini, Franco</v>
      </c>
      <c r="D4932" s="35">
        <f>+'[2]por cuent'!G4932</f>
        <v>9379.5</v>
      </c>
      <c r="E4932" s="35">
        <f>+'[2]por cuent'!H4932</f>
        <v>14027792.609999999</v>
      </c>
      <c r="F4932" t="str">
        <f>+'[2]por cuent'!I4932</f>
        <v>486</v>
      </c>
    </row>
    <row r="4933" spans="1:6" x14ac:dyDescent="0.35">
      <c r="A4933" t="str">
        <f>+'[2]por cuent'!A4933</f>
        <v>USDC</v>
      </c>
      <c r="B4933" t="str">
        <f>+'[2]por cuent'!B4933</f>
        <v>486000090</v>
      </c>
      <c r="C4933" t="str">
        <f>+'[2]por cuent'!C4933</f>
        <v>Siro, Luis Horacio</v>
      </c>
      <c r="D4933" s="35">
        <f>+'[2]por cuent'!G4933</f>
        <v>3445.31</v>
      </c>
      <c r="E4933" s="35">
        <f>+'[2]por cuent'!H4933</f>
        <v>5152736.7297999999</v>
      </c>
      <c r="F4933" t="str">
        <f>+'[2]por cuent'!I4933</f>
        <v>486</v>
      </c>
    </row>
    <row r="4934" spans="1:6" x14ac:dyDescent="0.35">
      <c r="A4934" t="str">
        <f>+'[2]por cuent'!A4934</f>
        <v>USDC</v>
      </c>
      <c r="B4934" t="str">
        <f>+'[2]por cuent'!B4934</f>
        <v>486000115</v>
      </c>
      <c r="C4934" t="str">
        <f>+'[2]por cuent'!C4934</f>
        <v>Vilariño, Federico Manuel</v>
      </c>
      <c r="D4934" s="35">
        <f>+'[2]por cuent'!G4934</f>
        <v>1.84</v>
      </c>
      <c r="E4934" s="35">
        <f>+'[2]por cuent'!H4934</f>
        <v>2751.8672000000001</v>
      </c>
      <c r="F4934" t="str">
        <f>+'[2]por cuent'!I4934</f>
        <v>486</v>
      </c>
    </row>
    <row r="4935" spans="1:6" x14ac:dyDescent="0.35">
      <c r="A4935" t="str">
        <f>+'[2]por cuent'!A4935</f>
        <v>USDC</v>
      </c>
      <c r="B4935" t="str">
        <f>+'[2]por cuent'!B4935</f>
        <v>486000124</v>
      </c>
      <c r="C4935" t="str">
        <f>+'[2]por cuent'!C4935</f>
        <v>Vilariño, Matias</v>
      </c>
      <c r="D4935" s="35">
        <f>+'[2]por cuent'!G4935</f>
        <v>2792.91</v>
      </c>
      <c r="E4935" s="35">
        <f>+'[2]por cuent'!H4935</f>
        <v>4177020.3377999994</v>
      </c>
      <c r="F4935" t="str">
        <f>+'[2]por cuent'!I4935</f>
        <v>486</v>
      </c>
    </row>
    <row r="4936" spans="1:6" x14ac:dyDescent="0.35">
      <c r="A4936" t="str">
        <f>+'[2]por cuent'!A4936</f>
        <v>USDC</v>
      </c>
      <c r="B4936" t="str">
        <f>+'[2]por cuent'!B4936</f>
        <v>486000185</v>
      </c>
      <c r="C4936" t="str">
        <f>+'[2]por cuent'!C4936</f>
        <v>Lopez Mañan, Jose Maria</v>
      </c>
      <c r="D4936" s="35">
        <f>+'[2]por cuent'!G4936</f>
        <v>11834.64</v>
      </c>
      <c r="E4936" s="35">
        <f>+'[2]por cuent'!H4936</f>
        <v>17699650.891199999</v>
      </c>
      <c r="F4936" t="str">
        <f>+'[2]por cuent'!I4936</f>
        <v>486</v>
      </c>
    </row>
    <row r="4937" spans="1:6" x14ac:dyDescent="0.35">
      <c r="A4937" t="str">
        <f>+'[2]por cuent'!A4937</f>
        <v>USDC</v>
      </c>
      <c r="B4937" t="str">
        <f>+'[2]por cuent'!B4937</f>
        <v>486000206</v>
      </c>
      <c r="C4937" t="str">
        <f>+'[2]por cuent'!C4937</f>
        <v xml:space="preserve">Schvartzman Jesica o Grehan Marcos Roman </v>
      </c>
      <c r="D4937" s="35">
        <f>+'[2]por cuent'!G4937</f>
        <v>4123.8500000000004</v>
      </c>
      <c r="E4937" s="35">
        <f>+'[2]por cuent'!H4937</f>
        <v>6167547.5830000006</v>
      </c>
      <c r="F4937" t="str">
        <f>+'[2]por cuent'!I4937</f>
        <v>486</v>
      </c>
    </row>
    <row r="4938" spans="1:6" x14ac:dyDescent="0.35">
      <c r="A4938" t="str">
        <f>+'[2]por cuent'!A4938</f>
        <v>USDC</v>
      </c>
      <c r="B4938" t="str">
        <f>+'[2]por cuent'!B4938</f>
        <v>486000248</v>
      </c>
      <c r="C4938" t="str">
        <f>+'[2]por cuent'!C4938</f>
        <v>Rossi, Daniel Hugo</v>
      </c>
      <c r="D4938" s="35">
        <f>+'[2]por cuent'!G4938</f>
        <v>18999.990000000002</v>
      </c>
      <c r="E4938" s="35">
        <f>+'[2]por cuent'!H4938</f>
        <v>28416005.044199999</v>
      </c>
      <c r="F4938" t="str">
        <f>+'[2]por cuent'!I4938</f>
        <v>486</v>
      </c>
    </row>
    <row r="4939" spans="1:6" x14ac:dyDescent="0.35">
      <c r="A4939" t="str">
        <f>+'[2]por cuent'!A4939</f>
        <v>USDC</v>
      </c>
      <c r="B4939" t="str">
        <f>+'[2]por cuent'!B4939</f>
        <v>486000369</v>
      </c>
      <c r="C4939" t="str">
        <f>+'[2]por cuent'!C4939</f>
        <v>SUCESIÓN ALBERTO S. ARECO S.A.</v>
      </c>
      <c r="D4939" s="35">
        <f>+'[2]por cuent'!G4939</f>
        <v>475939.74</v>
      </c>
      <c r="E4939" s="35">
        <f>+'[2]por cuent'!H4939</f>
        <v>711805956.34920001</v>
      </c>
      <c r="F4939" t="str">
        <f>+'[2]por cuent'!I4939</f>
        <v>486</v>
      </c>
    </row>
    <row r="4940" spans="1:6" x14ac:dyDescent="0.35">
      <c r="A4940" t="str">
        <f>+'[2]por cuent'!A4940</f>
        <v>USDC</v>
      </c>
      <c r="B4940" t="str">
        <f>+'[2]por cuent'!B4940</f>
        <v>486000375</v>
      </c>
      <c r="C4940" t="str">
        <f>+'[2]por cuent'!C4940</f>
        <v>ACUDIR S.A.</v>
      </c>
      <c r="D4940" s="35">
        <f>+'[2]por cuent'!G4940</f>
        <v>616340.18999999994</v>
      </c>
      <c r="E4940" s="35">
        <f>+'[2]por cuent'!H4940</f>
        <v>921786061.36019993</v>
      </c>
      <c r="F4940" t="str">
        <f>+'[2]por cuent'!I4940</f>
        <v>486</v>
      </c>
    </row>
    <row r="4941" spans="1:6" x14ac:dyDescent="0.35">
      <c r="A4941" t="str">
        <f>+'[2]por cuent'!A4941</f>
        <v>USDC</v>
      </c>
      <c r="B4941" t="str">
        <f>+'[2]por cuent'!B4941</f>
        <v>486000443</v>
      </c>
      <c r="C4941" t="str">
        <f>+'[2]por cuent'!C4941</f>
        <v>Gonzalez, Maria Cristina</v>
      </c>
      <c r="D4941" s="35">
        <f>+'[2]por cuent'!G4941</f>
        <v>40.39</v>
      </c>
      <c r="E4941" s="35">
        <f>+'[2]por cuent'!H4941</f>
        <v>60406.476199999997</v>
      </c>
      <c r="F4941" t="str">
        <f>+'[2]por cuent'!I4941</f>
        <v>486</v>
      </c>
    </row>
    <row r="4942" spans="1:6" x14ac:dyDescent="0.35">
      <c r="A4942" t="str">
        <f>+'[2]por cuent'!A4942</f>
        <v>USDC</v>
      </c>
      <c r="B4942" t="str">
        <f>+'[2]por cuent'!B4942</f>
        <v>486000469</v>
      </c>
      <c r="C4942" t="str">
        <f>+'[2]por cuent'!C4942</f>
        <v>Lavezzi, Ezequiel Ivan</v>
      </c>
      <c r="D4942" s="35">
        <f>+'[2]por cuent'!G4942</f>
        <v>500090.18</v>
      </c>
      <c r="E4942" s="35">
        <f>+'[2]por cuent'!H4942</f>
        <v>747924871.40439999</v>
      </c>
      <c r="F4942" t="str">
        <f>+'[2]por cuent'!I4942</f>
        <v>486</v>
      </c>
    </row>
    <row r="4943" spans="1:6" x14ac:dyDescent="0.35">
      <c r="A4943" t="str">
        <f>+'[2]por cuent'!A4943</f>
        <v>USDC</v>
      </c>
      <c r="B4943" t="str">
        <f>+'[2]por cuent'!B4943</f>
        <v>486000510</v>
      </c>
      <c r="C4943" t="str">
        <f>+'[2]por cuent'!C4943</f>
        <v>Waites, Nicole Samantha</v>
      </c>
      <c r="D4943" s="35">
        <f>+'[2]por cuent'!G4943</f>
        <v>14999.73</v>
      </c>
      <c r="E4943" s="35">
        <f>+'[2]por cuent'!H4943</f>
        <v>22433296.193399999</v>
      </c>
      <c r="F4943" t="str">
        <f>+'[2]por cuent'!I4943</f>
        <v>486</v>
      </c>
    </row>
    <row r="4944" spans="1:6" x14ac:dyDescent="0.35">
      <c r="A4944" t="str">
        <f>+'[2]por cuent'!A4944</f>
        <v>USDC</v>
      </c>
      <c r="B4944" t="str">
        <f>+'[2]por cuent'!B4944</f>
        <v>486000515</v>
      </c>
      <c r="C4944" t="str">
        <f>+'[2]por cuent'!C4944</f>
        <v>Boye, Lucas Ariel</v>
      </c>
      <c r="D4944" s="35">
        <f>+'[2]por cuent'!G4944</f>
        <v>9999.4699999999993</v>
      </c>
      <c r="E4944" s="35">
        <f>+'[2]por cuent'!H4944</f>
        <v>14955007.342599999</v>
      </c>
      <c r="F4944" t="str">
        <f>+'[2]por cuent'!I4944</f>
        <v>486</v>
      </c>
    </row>
    <row r="4945" spans="1:6" x14ac:dyDescent="0.35">
      <c r="A4945" t="str">
        <f>+'[2]por cuent'!A4945</f>
        <v>USDC</v>
      </c>
      <c r="B4945" t="str">
        <f>+'[2]por cuent'!B4945</f>
        <v>486000524</v>
      </c>
      <c r="C4945" t="str">
        <f>+'[2]por cuent'!C4945</f>
        <v>Luicina Alcorta</v>
      </c>
      <c r="D4945" s="35">
        <f>+'[2]por cuent'!G4945</f>
        <v>179999.73</v>
      </c>
      <c r="E4945" s="35">
        <f>+'[2]por cuent'!H4945</f>
        <v>269203996.19340003</v>
      </c>
      <c r="F4945" t="str">
        <f>+'[2]por cuent'!I4945</f>
        <v>486</v>
      </c>
    </row>
    <row r="4946" spans="1:6" x14ac:dyDescent="0.35">
      <c r="A4946" t="str">
        <f>+'[2]por cuent'!A4946</f>
        <v>USDC</v>
      </c>
      <c r="B4946" t="str">
        <f>+'[2]por cuent'!B4946</f>
        <v>486002121</v>
      </c>
      <c r="C4946" t="str">
        <f>+'[2]por cuent'!C4946</f>
        <v>UG VALORES SA (TRADING)</v>
      </c>
      <c r="D4946" s="35">
        <f>+'[2]por cuent'!G4946</f>
        <v>2686.32</v>
      </c>
      <c r="E4946" s="35">
        <f>+'[2]por cuent'!H4946</f>
        <v>4017606.4656000002</v>
      </c>
      <c r="F4946" t="str">
        <f>+'[2]por cuent'!I4946</f>
        <v>486</v>
      </c>
    </row>
    <row r="4947" spans="1:6" x14ac:dyDescent="0.35">
      <c r="A4947" t="str">
        <f>+'[2]por cuent'!A4947</f>
        <v>USDC</v>
      </c>
      <c r="B4947" t="str">
        <f>+'[2]por cuent'!B4947</f>
        <v>486004545</v>
      </c>
      <c r="C4947" t="str">
        <f>+'[2]por cuent'!C4947</f>
        <v>UG Valores SA (Trading2)</v>
      </c>
      <c r="D4947" s="35">
        <f>+'[2]por cuent'!G4947</f>
        <v>21108145.23</v>
      </c>
      <c r="E4947" s="35">
        <f>+'[2]por cuent'!H4947</f>
        <v>31568919843.083401</v>
      </c>
      <c r="F4947" t="str">
        <f>+'[2]por cuent'!I4947</f>
        <v>486</v>
      </c>
    </row>
    <row r="4948" spans="1:6" x14ac:dyDescent="0.35">
      <c r="A4948" t="str">
        <f>+'[2]por cuent'!A4948</f>
        <v>USDC</v>
      </c>
      <c r="B4948" t="str">
        <f>+'[2]por cuent'!B4948</f>
        <v>486005021</v>
      </c>
      <c r="C4948" t="str">
        <f>+'[2]por cuent'!C4948</f>
        <v>Cinco Yardas S.R.L</v>
      </c>
      <c r="D4948" s="35">
        <f>+'[2]por cuent'!G4948</f>
        <v>457759.4</v>
      </c>
      <c r="E4948" s="35">
        <f>+'[2]por cuent'!H4948</f>
        <v>684615803.45200002</v>
      </c>
      <c r="F4948" t="str">
        <f>+'[2]por cuent'!I4948</f>
        <v>486</v>
      </c>
    </row>
    <row r="4949" spans="1:6" x14ac:dyDescent="0.35">
      <c r="A4949" t="str">
        <f>+'[2]por cuent'!A4949</f>
        <v>USDC</v>
      </c>
      <c r="B4949" t="str">
        <f>+'[2]por cuent'!B4949</f>
        <v>486007373</v>
      </c>
      <c r="C4949" t="str">
        <f>+'[2]por cuent'!C4949</f>
        <v>Marque, Joaquín Enrique (BOT)</v>
      </c>
      <c r="D4949" s="35">
        <f>+'[2]por cuent'!G4949</f>
        <v>19612315.260000002</v>
      </c>
      <c r="E4949" s="35">
        <f>+'[2]por cuent'!H4949</f>
        <v>29331786456.5508</v>
      </c>
      <c r="F4949" t="str">
        <f>+'[2]por cuent'!I4949</f>
        <v>486</v>
      </c>
    </row>
    <row r="4950" spans="1:6" x14ac:dyDescent="0.35">
      <c r="A4950" t="str">
        <f>+'[2]por cuent'!A4950</f>
        <v>USDC</v>
      </c>
      <c r="B4950" t="str">
        <f>+'[2]por cuent'!B4950</f>
        <v>486100269</v>
      </c>
      <c r="C4950" t="str">
        <f>+'[2]por cuent'!C4950</f>
        <v>[C.E.R.A.] Vilariño, Agustin</v>
      </c>
      <c r="D4950" s="35">
        <f>+'[2]por cuent'!G4950</f>
        <v>6611.76</v>
      </c>
      <c r="E4950" s="35">
        <f>+'[2]por cuent'!H4950</f>
        <v>9888416.0208000001</v>
      </c>
      <c r="F4950" t="str">
        <f>+'[2]por cuent'!I4950</f>
        <v>486</v>
      </c>
    </row>
    <row r="4951" spans="1:6" x14ac:dyDescent="0.35">
      <c r="A4951" t="str">
        <f>+'[2]por cuent'!A4951</f>
        <v>USDC</v>
      </c>
      <c r="B4951" t="str">
        <f>+'[2]por cuent'!B4951</f>
        <v>492000029</v>
      </c>
      <c r="C4951" t="str">
        <f>+'[2]por cuent'!C4951</f>
        <v>RICSA</v>
      </c>
      <c r="D4951" s="35">
        <f>+'[2]por cuent'!G4951</f>
        <v>20000.16</v>
      </c>
      <c r="E4951" s="35">
        <f>+'[2]por cuent'!H4951</f>
        <v>29911839.292799998</v>
      </c>
      <c r="F4951" t="str">
        <f>+'[2]por cuent'!I4951</f>
        <v>492</v>
      </c>
    </row>
    <row r="4952" spans="1:6" x14ac:dyDescent="0.35">
      <c r="A4952" t="str">
        <f>+'[2]por cuent'!A4952</f>
        <v>USDC</v>
      </c>
      <c r="B4952" t="str">
        <f>+'[2]por cuent'!B4952</f>
        <v>492000313</v>
      </c>
      <c r="C4952" t="str">
        <f>+'[2]por cuent'!C4952</f>
        <v>SILICARO, REGINA MARTA</v>
      </c>
      <c r="D4952" s="35">
        <f>+'[2]por cuent'!G4952</f>
        <v>461.19</v>
      </c>
      <c r="E4952" s="35">
        <f>+'[2]por cuent'!H4952</f>
        <v>689746.54019999993</v>
      </c>
      <c r="F4952" t="str">
        <f>+'[2]por cuent'!I4952</f>
        <v>492</v>
      </c>
    </row>
    <row r="4953" spans="1:6" x14ac:dyDescent="0.35">
      <c r="A4953" t="str">
        <f>+'[2]por cuent'!A4953</f>
        <v>USDC</v>
      </c>
      <c r="B4953" t="str">
        <f>+'[2]por cuent'!B4953</f>
        <v>492000475</v>
      </c>
      <c r="C4953" t="str">
        <f>+'[2]por cuent'!C4953</f>
        <v>VITELLI, CLAUDIA BEATRIZ</v>
      </c>
      <c r="D4953" s="35">
        <f>+'[2]por cuent'!G4953</f>
        <v>52201.760000000002</v>
      </c>
      <c r="E4953" s="35">
        <f>+'[2]por cuent'!H4953</f>
        <v>78071908.220799997</v>
      </c>
      <c r="F4953" t="str">
        <f>+'[2]por cuent'!I4953</f>
        <v>492</v>
      </c>
    </row>
    <row r="4954" spans="1:6" x14ac:dyDescent="0.35">
      <c r="A4954" t="str">
        <f>+'[2]por cuent'!A4954</f>
        <v>USDC</v>
      </c>
      <c r="B4954" t="str">
        <f>+'[2]por cuent'!B4954</f>
        <v>492000476</v>
      </c>
      <c r="C4954" t="str">
        <f>+'[2]por cuent'!C4954</f>
        <v>TAGLIAFERRO, LEANDRO ARIEL</v>
      </c>
      <c r="D4954" s="35">
        <f>+'[2]por cuent'!G4954</f>
        <v>54824.63</v>
      </c>
      <c r="E4954" s="35">
        <f>+'[2]por cuent'!H4954</f>
        <v>81994620.135399997</v>
      </c>
      <c r="F4954" t="str">
        <f>+'[2]por cuent'!I4954</f>
        <v>492</v>
      </c>
    </row>
    <row r="4955" spans="1:6" x14ac:dyDescent="0.35">
      <c r="A4955" t="str">
        <f>+'[2]por cuent'!A4955</f>
        <v>USDC</v>
      </c>
      <c r="B4955" t="str">
        <f>+'[2]por cuent'!B4955</f>
        <v>534000136</v>
      </c>
      <c r="C4955" t="str">
        <f>+'[2]por cuent'!C4955</f>
        <v>Dantur, Gladys Josefina &amp; Dantur, Marcelo E.</v>
      </c>
      <c r="D4955" s="35">
        <f>+'[2]por cuent'!G4955</f>
        <v>2508</v>
      </c>
      <c r="E4955" s="35">
        <f>+'[2]por cuent'!H4955</f>
        <v>3750914.6399999997</v>
      </c>
      <c r="F4955" t="str">
        <f>+'[2]por cuent'!I4955</f>
        <v>534</v>
      </c>
    </row>
    <row r="4956" spans="1:6" x14ac:dyDescent="0.35">
      <c r="A4956" t="str">
        <f>+'[2]por cuent'!A4956</f>
        <v>USDC</v>
      </c>
      <c r="B4956" t="str">
        <f>+'[2]por cuent'!B4956</f>
        <v>554001010</v>
      </c>
      <c r="C4956" t="str">
        <f>+'[2]por cuent'!C4956</f>
        <v>Di Bari, Ignacio</v>
      </c>
      <c r="D4956" s="35">
        <f>+'[2]por cuent'!G4956</f>
        <v>0.55000000000000004</v>
      </c>
      <c r="E4956" s="35">
        <f>+'[2]por cuent'!H4956</f>
        <v>822.56900000000007</v>
      </c>
      <c r="F4956" t="str">
        <f>+'[2]por cuent'!I4956</f>
        <v>554</v>
      </c>
    </row>
    <row r="4957" spans="1:6" x14ac:dyDescent="0.35">
      <c r="A4957" t="str">
        <f>+'[2]por cuent'!A4957</f>
        <v>USDC</v>
      </c>
      <c r="B4957" t="str">
        <f>+'[2]por cuent'!B4957</f>
        <v>560636006</v>
      </c>
      <c r="C4957" t="str">
        <f>+'[2]por cuent'!C4957</f>
        <v>Gabriel Matias Indihar</v>
      </c>
      <c r="D4957" s="35">
        <f>+'[2]por cuent'!G4957</f>
        <v>1.06</v>
      </c>
      <c r="E4957" s="35">
        <f>+'[2]por cuent'!H4957</f>
        <v>1585.3148000000001</v>
      </c>
      <c r="F4957" t="str">
        <f>+'[2]por cuent'!I4957</f>
        <v>560</v>
      </c>
    </row>
    <row r="4958" spans="1:6" x14ac:dyDescent="0.35">
      <c r="A4958" t="str">
        <f>+'[2]por cuent'!A4958</f>
        <v>USDC</v>
      </c>
      <c r="B4958" t="str">
        <f>+'[2]por cuent'!B4958</f>
        <v>560636007</v>
      </c>
      <c r="C4958" t="str">
        <f>+'[2]por cuent'!C4958</f>
        <v>Omega Bursátil S.A.</v>
      </c>
      <c r="D4958" s="35">
        <f>+'[2]por cuent'!G4958</f>
        <v>108213.5</v>
      </c>
      <c r="E4958" s="35">
        <f>+'[2]por cuent'!H4958</f>
        <v>161841946.32999998</v>
      </c>
      <c r="F4958" t="str">
        <f>+'[2]por cuent'!I4958</f>
        <v>560</v>
      </c>
    </row>
    <row r="4959" spans="1:6" x14ac:dyDescent="0.35">
      <c r="A4959" t="str">
        <f>+'[2]por cuent'!A4959</f>
        <v>USDC</v>
      </c>
      <c r="B4959" t="str">
        <f>+'[2]por cuent'!B4959</f>
        <v>560636379</v>
      </c>
      <c r="C4959" t="str">
        <f>+'[2]por cuent'!C4959</f>
        <v>HERRERA , NESTOR ANTONIO</v>
      </c>
      <c r="D4959" s="35">
        <f>+'[2]por cuent'!G4959</f>
        <v>126.06</v>
      </c>
      <c r="E4959" s="35">
        <f>+'[2]por cuent'!H4959</f>
        <v>188532.81479999999</v>
      </c>
      <c r="F4959" t="str">
        <f>+'[2]por cuent'!I4959</f>
        <v>560</v>
      </c>
    </row>
    <row r="4960" spans="1:6" x14ac:dyDescent="0.35">
      <c r="A4960" t="str">
        <f>+'[2]por cuent'!A4960</f>
        <v>USDC</v>
      </c>
      <c r="B4960" t="str">
        <f>+'[2]por cuent'!B4960</f>
        <v>560636443</v>
      </c>
      <c r="C4960" t="str">
        <f>+'[2]por cuent'!C4960</f>
        <v>Gomez, Eustaquio Anastasio</v>
      </c>
      <c r="D4960" s="35">
        <f>+'[2]por cuent'!G4960</f>
        <v>24238.44</v>
      </c>
      <c r="E4960" s="35">
        <f>+'[2]por cuent'!H4960</f>
        <v>36250526.095199995</v>
      </c>
      <c r="F4960" t="str">
        <f>+'[2]por cuent'!I4960</f>
        <v>560</v>
      </c>
    </row>
    <row r="4961" spans="1:6" x14ac:dyDescent="0.35">
      <c r="A4961" t="str">
        <f>+'[2]por cuent'!A4961</f>
        <v>USDC</v>
      </c>
      <c r="B4961" t="str">
        <f>+'[2]por cuent'!B4961</f>
        <v>560636573</v>
      </c>
      <c r="C4961" t="str">
        <f>+'[2]por cuent'!C4961</f>
        <v>Gomez, Lucas Miguel</v>
      </c>
      <c r="D4961" s="35">
        <f>+'[2]por cuent'!G4961</f>
        <v>9611.35</v>
      </c>
      <c r="E4961" s="35">
        <f>+'[2]por cuent'!H4961</f>
        <v>14374542.833000001</v>
      </c>
      <c r="F4961" t="str">
        <f>+'[2]por cuent'!I4961</f>
        <v>560</v>
      </c>
    </row>
    <row r="4962" spans="1:6" x14ac:dyDescent="0.35">
      <c r="A4962" t="str">
        <f>+'[2]por cuent'!A4962</f>
        <v>USDC</v>
      </c>
      <c r="B4962" t="str">
        <f>+'[2]por cuent'!B4962</f>
        <v>560636647</v>
      </c>
      <c r="C4962" t="str">
        <f>+'[2]por cuent'!C4962</f>
        <v xml:space="preserve">Gomez, Eustaquio Ezequiel </v>
      </c>
      <c r="D4962" s="35">
        <f>+'[2]por cuent'!G4962</f>
        <v>3531.42</v>
      </c>
      <c r="E4962" s="35">
        <f>+'[2]por cuent'!H4962</f>
        <v>5281521.1235999996</v>
      </c>
      <c r="F4962" t="str">
        <f>+'[2]por cuent'!I4962</f>
        <v>560</v>
      </c>
    </row>
    <row r="4963" spans="1:6" x14ac:dyDescent="0.35">
      <c r="A4963" t="str">
        <f>+'[2]por cuent'!A4963</f>
        <v>USDC</v>
      </c>
      <c r="B4963" t="str">
        <f>+'[2]por cuent'!B4963</f>
        <v>560637178</v>
      </c>
      <c r="C4963" t="str">
        <f>+'[2]por cuent'!C4963</f>
        <v>Zuberbuhler, Ana Maria</v>
      </c>
      <c r="D4963" s="35">
        <f>+'[2]por cuent'!G4963</f>
        <v>18125.64</v>
      </c>
      <c r="E4963" s="35">
        <f>+'[2]por cuent'!H4963</f>
        <v>27108344.671199996</v>
      </c>
      <c r="F4963" t="str">
        <f>+'[2]por cuent'!I4963</f>
        <v>560</v>
      </c>
    </row>
    <row r="4964" spans="1:6" x14ac:dyDescent="0.35">
      <c r="A4964" t="str">
        <f>+'[2]por cuent'!A4964</f>
        <v>USDC</v>
      </c>
      <c r="B4964" t="str">
        <f>+'[2]por cuent'!B4964</f>
        <v>560637253</v>
      </c>
      <c r="C4964" t="str">
        <f>+'[2]por cuent'!C4964</f>
        <v>Saad, Mariana, Hector, Marcos &amp; Elvira Montermini</v>
      </c>
      <c r="D4964" s="35">
        <f>+'[2]por cuent'!G4964</f>
        <v>11538.88</v>
      </c>
      <c r="E4964" s="35">
        <f>+'[2]por cuent'!H4964</f>
        <v>17257318.150399998</v>
      </c>
      <c r="F4964" t="str">
        <f>+'[2]por cuent'!I4964</f>
        <v>560</v>
      </c>
    </row>
    <row r="4965" spans="1:6" x14ac:dyDescent="0.35">
      <c r="A4965" t="str">
        <f>+'[2]por cuent'!A4965</f>
        <v>USDC</v>
      </c>
      <c r="B4965" t="str">
        <f>+'[2]por cuent'!B4965</f>
        <v>560637453</v>
      </c>
      <c r="C4965" t="str">
        <f>+'[2]por cuent'!C4965</f>
        <v>Oblak, Gabriel y Klemencic, Lorena</v>
      </c>
      <c r="D4965" s="35">
        <f>+'[2]por cuent'!G4965</f>
        <v>25.18</v>
      </c>
      <c r="E4965" s="35">
        <f>+'[2]por cuent'!H4965</f>
        <v>37658.704399999995</v>
      </c>
      <c r="F4965" t="str">
        <f>+'[2]por cuent'!I4965</f>
        <v>560</v>
      </c>
    </row>
    <row r="4966" spans="1:6" x14ac:dyDescent="0.35">
      <c r="A4966" t="str">
        <f>+'[2]por cuent'!A4966</f>
        <v>USDC</v>
      </c>
      <c r="B4966" t="str">
        <f>+'[2]por cuent'!B4966</f>
        <v>560637577</v>
      </c>
      <c r="C4966" t="str">
        <f>+'[2]por cuent'!C4966</f>
        <v>Scherman, Ivan Hernando</v>
      </c>
      <c r="D4966" s="35">
        <f>+'[2]por cuent'!G4966</f>
        <v>21999.73</v>
      </c>
      <c r="E4966" s="35">
        <f>+'[2]por cuent'!H4966</f>
        <v>32902356.193399999</v>
      </c>
      <c r="F4966" t="str">
        <f>+'[2]por cuent'!I4966</f>
        <v>560</v>
      </c>
    </row>
    <row r="4967" spans="1:6" x14ac:dyDescent="0.35">
      <c r="A4967" t="str">
        <f>+'[2]por cuent'!A4967</f>
        <v>USDC</v>
      </c>
      <c r="B4967" t="str">
        <f>+'[2]por cuent'!B4967</f>
        <v>560637637</v>
      </c>
      <c r="C4967" t="str">
        <f>+'[2]por cuent'!C4967</f>
        <v>Ceschini, Juan Carlos</v>
      </c>
      <c r="D4967" s="35">
        <f>+'[2]por cuent'!G4967</f>
        <v>1124.01</v>
      </c>
      <c r="E4967" s="35">
        <f>+'[2]por cuent'!H4967</f>
        <v>1681046.8757999998</v>
      </c>
      <c r="F4967" t="str">
        <f>+'[2]por cuent'!I4967</f>
        <v>560</v>
      </c>
    </row>
    <row r="4968" spans="1:6" x14ac:dyDescent="0.35">
      <c r="A4968" t="str">
        <f>+'[2]por cuent'!A4968</f>
        <v>USDC</v>
      </c>
      <c r="B4968" t="str">
        <f>+'[2]por cuent'!B4968</f>
        <v>560637829</v>
      </c>
      <c r="C4968" t="str">
        <f>+'[2]por cuent'!C4968</f>
        <v>Levy, Luciano Nisim &amp; Falak, Olinda Noemi</v>
      </c>
      <c r="D4968" s="35">
        <f>+'[2]por cuent'!G4968</f>
        <v>0.6</v>
      </c>
      <c r="E4968" s="35">
        <f>+'[2]por cuent'!H4968</f>
        <v>897.34799999999996</v>
      </c>
      <c r="F4968" t="str">
        <f>+'[2]por cuent'!I4968</f>
        <v>560</v>
      </c>
    </row>
    <row r="4969" spans="1:6" x14ac:dyDescent="0.35">
      <c r="A4969" t="str">
        <f>+'[2]por cuent'!A4969</f>
        <v>USDC</v>
      </c>
      <c r="B4969" t="str">
        <f>+'[2]por cuent'!B4969</f>
        <v>568000004</v>
      </c>
      <c r="C4969" t="str">
        <f>+'[2]por cuent'!C4969</f>
        <v>AXON CAPITAL S.A</v>
      </c>
      <c r="D4969" s="35">
        <f>+'[2]por cuent'!G4969</f>
        <v>24800000.82</v>
      </c>
      <c r="E4969" s="35">
        <f>+'[2]por cuent'!H4969</f>
        <v>37090385226.375595</v>
      </c>
      <c r="F4969" t="str">
        <f>+'[2]por cuent'!I4969</f>
        <v>568</v>
      </c>
    </row>
    <row r="4970" spans="1:6" x14ac:dyDescent="0.35">
      <c r="A4970" t="str">
        <f>+'[2]por cuent'!A4970</f>
        <v>USDC</v>
      </c>
      <c r="B4970" t="str">
        <f>+'[2]por cuent'!B4970</f>
        <v>568000008</v>
      </c>
      <c r="C4970" t="str">
        <f>+'[2]por cuent'!C4970</f>
        <v>Leonardo Damian Piaggio Olivera</v>
      </c>
      <c r="D4970" s="35">
        <f>+'[2]por cuent'!G4970</f>
        <v>11012.01</v>
      </c>
      <c r="E4970" s="35">
        <f>+'[2]por cuent'!H4970</f>
        <v>16469341.9158</v>
      </c>
      <c r="F4970" t="str">
        <f>+'[2]por cuent'!I4970</f>
        <v>568</v>
      </c>
    </row>
    <row r="4971" spans="1:6" x14ac:dyDescent="0.35">
      <c r="A4971" t="str">
        <f>+'[2]por cuent'!A4971</f>
        <v>USDC</v>
      </c>
      <c r="B4971" t="str">
        <f>+'[2]por cuent'!B4971</f>
        <v>568000010</v>
      </c>
      <c r="C4971" t="str">
        <f>+'[2]por cuent'!C4971</f>
        <v>Costantini, Gonzalo</v>
      </c>
      <c r="D4971" s="35">
        <f>+'[2]por cuent'!G4971</f>
        <v>12400000.41</v>
      </c>
      <c r="E4971" s="35">
        <f>+'[2]por cuent'!H4971</f>
        <v>18545192613.187798</v>
      </c>
      <c r="F4971" t="str">
        <f>+'[2]por cuent'!I4971</f>
        <v>568</v>
      </c>
    </row>
    <row r="4972" spans="1:6" x14ac:dyDescent="0.35">
      <c r="A4972" t="str">
        <f>+'[2]por cuent'!A4972</f>
        <v>USDC</v>
      </c>
      <c r="B4972" t="str">
        <f>+'[2]por cuent'!B4972</f>
        <v>568000112</v>
      </c>
      <c r="C4972" t="str">
        <f>+'[2]por cuent'!C4972</f>
        <v xml:space="preserve">Potenciar S.G.R (FDR) 1 </v>
      </c>
      <c r="D4972" s="35">
        <f>+'[2]por cuent'!G4972</f>
        <v>23203.27</v>
      </c>
      <c r="E4972" s="35">
        <f>+'[2]por cuent'!H4972</f>
        <v>34702346.546599999</v>
      </c>
      <c r="F4972" t="str">
        <f>+'[2]por cuent'!I4972</f>
        <v>568</v>
      </c>
    </row>
    <row r="4973" spans="1:6" x14ac:dyDescent="0.35">
      <c r="A4973" t="str">
        <f>+'[2]por cuent'!A4973</f>
        <v>USDC</v>
      </c>
      <c r="B4973" t="str">
        <f>+'[2]por cuent'!B4973</f>
        <v>619009999</v>
      </c>
      <c r="C4973" t="str">
        <f>+'[2]por cuent'!C4973</f>
        <v>BRIO VALORES AGENTE DE LIQUIDACION Y COMPENSACION S.A.</v>
      </c>
      <c r="D4973" s="35">
        <f>+'[2]por cuent'!G4973</f>
        <v>1479557.32</v>
      </c>
      <c r="E4973" s="35">
        <f>+'[2]por cuent'!H4973</f>
        <v>2212796336.6455998</v>
      </c>
      <c r="F4973" t="str">
        <f>+'[2]por cuent'!I4973</f>
        <v>619</v>
      </c>
    </row>
    <row r="4974" spans="1:6" x14ac:dyDescent="0.35">
      <c r="A4974" t="str">
        <f>+'[2]por cuent'!A4974</f>
        <v>USDC</v>
      </c>
      <c r="B4974" t="str">
        <f>+'[2]por cuent'!B4974</f>
        <v>619031712</v>
      </c>
      <c r="C4974" t="str">
        <f>+'[2]por cuent'!C4974</f>
        <v>ORLANDI, ALFREDO GUILLERMO u ORLANDI, MARIA FLORENCIA u ORLANDI, SANTIAGO RUBEN u ORLANDI, Gisela Laura y MASETTI, Susana</v>
      </c>
      <c r="D4974" s="35">
        <f>+'[2]por cuent'!G4974</f>
        <v>544999.94999999995</v>
      </c>
      <c r="E4974" s="35">
        <f>+'[2]por cuent'!H4974</f>
        <v>815091025.22099984</v>
      </c>
      <c r="F4974" t="str">
        <f>+'[2]por cuent'!I4974</f>
        <v>619</v>
      </c>
    </row>
    <row r="4975" spans="1:6" x14ac:dyDescent="0.35">
      <c r="A4975" t="str">
        <f>+'[2]por cuent'!A4975</f>
        <v>USDC</v>
      </c>
      <c r="B4975" t="str">
        <f>+'[2]por cuent'!B4975</f>
        <v>619050429</v>
      </c>
      <c r="C4975" t="str">
        <f>+'[2]por cuent'!C4975</f>
        <v>YASCI, Adriana Del Lujan</v>
      </c>
      <c r="D4975" s="35">
        <f>+'[2]por cuent'!G4975</f>
        <v>203038.98</v>
      </c>
      <c r="E4975" s="35">
        <f>+'[2]por cuent'!H4975</f>
        <v>303661037.70840001</v>
      </c>
      <c r="F4975" t="str">
        <f>+'[2]por cuent'!I4975</f>
        <v>619</v>
      </c>
    </row>
    <row r="4976" spans="1:6" x14ac:dyDescent="0.35">
      <c r="A4976" t="str">
        <f>+'[2]por cuent'!A4976</f>
        <v>USDC</v>
      </c>
      <c r="B4976" t="str">
        <f>+'[2]por cuent'!B4976</f>
        <v>619050824</v>
      </c>
      <c r="C4976" t="str">
        <f>+'[2]por cuent'!C4976</f>
        <v>CHEMES, HECTOR DANIEL</v>
      </c>
      <c r="D4976" s="35">
        <f>+'[2]por cuent'!G4976</f>
        <v>194778.71</v>
      </c>
      <c r="E4976" s="35">
        <f>+'[2]por cuent'!H4976</f>
        <v>291307143.10179996</v>
      </c>
      <c r="F4976" t="str">
        <f>+'[2]por cuent'!I4976</f>
        <v>619</v>
      </c>
    </row>
    <row r="4977" spans="1:6" x14ac:dyDescent="0.35">
      <c r="A4977" t="str">
        <f>+'[2]por cuent'!A4977</f>
        <v>USDC</v>
      </c>
      <c r="B4977" t="str">
        <f>+'[2]por cuent'!B4977</f>
        <v>620303210</v>
      </c>
      <c r="C4977" t="str">
        <f>+'[2]por cuent'!C4977</f>
        <v>ROBERTO NANT S.R.L.</v>
      </c>
      <c r="D4977" s="35">
        <f>+'[2]por cuent'!G4977</f>
        <v>218735.51</v>
      </c>
      <c r="E4977" s="35">
        <f>+'[2]por cuent'!H4977</f>
        <v>327136454.04579997</v>
      </c>
      <c r="F4977" t="str">
        <f>+'[2]por cuent'!I4977</f>
        <v>620</v>
      </c>
    </row>
    <row r="4978" spans="1:6" x14ac:dyDescent="0.35">
      <c r="A4978" t="str">
        <f>+'[2]por cuent'!A4978</f>
        <v>USDC</v>
      </c>
      <c r="B4978" t="str">
        <f>+'[2]por cuent'!B4978</f>
        <v>624004072</v>
      </c>
      <c r="C4978" t="str">
        <f>+'[2]por cuent'!C4978</f>
        <v>GALEAZZI, JOSE LUIS o FISSORE, MARIA SOLEDAD o GALEAZZI, FRANCO</v>
      </c>
      <c r="D4978" s="35">
        <f>+'[2]por cuent'!G4978</f>
        <v>21608.57</v>
      </c>
      <c r="E4978" s="35">
        <f>+'[2]por cuent'!H4978</f>
        <v>32317345.120599996</v>
      </c>
      <c r="F4978" t="str">
        <f>+'[2]por cuent'!I4978</f>
        <v>624</v>
      </c>
    </row>
    <row r="4979" spans="1:6" x14ac:dyDescent="0.35">
      <c r="A4979" t="str">
        <f>+'[2]por cuent'!A4979</f>
        <v>USDC</v>
      </c>
      <c r="B4979" t="str">
        <f>+'[2]por cuent'!B4979</f>
        <v>687000928</v>
      </c>
      <c r="C4979" t="str">
        <f>+'[2]por cuent'!C4979</f>
        <v>CORDIVIOLA, ESTEBAN GABRIEL</v>
      </c>
      <c r="D4979" s="35">
        <f>+'[2]por cuent'!G4979</f>
        <v>118079.97</v>
      </c>
      <c r="E4979" s="35">
        <f>+'[2]por cuent'!H4979</f>
        <v>176598041.53259999</v>
      </c>
      <c r="F4979" t="str">
        <f>+'[2]por cuent'!I4979</f>
        <v>687</v>
      </c>
    </row>
    <row r="4980" spans="1:6" x14ac:dyDescent="0.35">
      <c r="A4980" t="str">
        <f>+'[2]por cuent'!A4980</f>
        <v>USDC</v>
      </c>
      <c r="B4980" t="str">
        <f>+'[2]por cuent'!B4980</f>
        <v>687000968</v>
      </c>
      <c r="C4980" t="str">
        <f>+'[2]por cuent'!C4980</f>
        <v>GARCIA, AGUSTIN GASTON</v>
      </c>
      <c r="D4980" s="35">
        <f>+'[2]por cuent'!G4980</f>
        <v>1.1599999999999999</v>
      </c>
      <c r="E4980" s="35">
        <f>+'[2]por cuent'!H4980</f>
        <v>1734.8727999999999</v>
      </c>
      <c r="F4980" t="str">
        <f>+'[2]por cuent'!I4980</f>
        <v>687</v>
      </c>
    </row>
    <row r="4981" spans="1:6" x14ac:dyDescent="0.35">
      <c r="A4981" t="str">
        <f>+'[2]por cuent'!A4981</f>
        <v>USDC</v>
      </c>
      <c r="B4981" t="str">
        <f>+'[2]por cuent'!B4981</f>
        <v>758011002</v>
      </c>
      <c r="C4981" t="str">
        <f>+'[2]por cuent'!C4981</f>
        <v>Orlando Brennan Tomas Manuel</v>
      </c>
      <c r="D4981" s="35">
        <f>+'[2]por cuent'!G4981</f>
        <v>1204.51</v>
      </c>
      <c r="E4981" s="35">
        <f>+'[2]por cuent'!H4981</f>
        <v>1801441.0658</v>
      </c>
      <c r="F4981" t="str">
        <f>+'[2]por cuent'!I4981</f>
        <v>758</v>
      </c>
    </row>
    <row r="4982" spans="1:6" x14ac:dyDescent="0.35">
      <c r="A4982" t="str">
        <f>+'[2]por cuent'!A4982</f>
        <v>USDC</v>
      </c>
      <c r="B4982" t="str">
        <f>+'[2]por cuent'!B4982</f>
        <v>761402830</v>
      </c>
      <c r="C4982" t="str">
        <f>+'[2]por cuent'!C4982</f>
        <v>SRAIER ANDREA EDITH</v>
      </c>
      <c r="D4982" s="35">
        <f>+'[2]por cuent'!G4982</f>
        <v>137721.68</v>
      </c>
      <c r="E4982" s="35">
        <f>+'[2]por cuent'!H4982</f>
        <v>205973790.17439997</v>
      </c>
      <c r="F4982" t="str">
        <f>+'[2]por cuent'!I4982</f>
        <v>761</v>
      </c>
    </row>
    <row r="4983" spans="1:6" x14ac:dyDescent="0.35">
      <c r="A4983" t="str">
        <f>+'[2]por cuent'!A4983</f>
        <v>USDC</v>
      </c>
      <c r="B4983" t="str">
        <f>+'[2]por cuent'!B4983</f>
        <v>765000643</v>
      </c>
      <c r="C4983" t="str">
        <f>+'[2]por cuent'!C4983</f>
        <v>Tapia Dubournais, Gonzalo Andres</v>
      </c>
      <c r="D4983" s="35">
        <f>+'[2]por cuent'!G4983</f>
        <v>17699.03</v>
      </c>
      <c r="E4983" s="35">
        <f>+'[2]por cuent'!H4983</f>
        <v>26470315.287399996</v>
      </c>
      <c r="F4983" t="str">
        <f>+'[2]por cuent'!I4983</f>
        <v>765</v>
      </c>
    </row>
    <row r="4984" spans="1:6" x14ac:dyDescent="0.35">
      <c r="A4984" t="str">
        <f>+'[2]por cuent'!A4984</f>
        <v>USDC</v>
      </c>
      <c r="B4984" t="str">
        <f>+'[2]por cuent'!B4984</f>
        <v>765000655</v>
      </c>
      <c r="C4984" t="str">
        <f>+'[2]por cuent'!C4984</f>
        <v>Baeza Baeza, Claudio Andrés</v>
      </c>
      <c r="D4984" s="35">
        <f>+'[2]por cuent'!G4984</f>
        <v>39794.78</v>
      </c>
      <c r="E4984" s="35">
        <f>+'[2]por cuent'!H4984</f>
        <v>59516277.072399996</v>
      </c>
      <c r="F4984" t="str">
        <f>+'[2]por cuent'!I4984</f>
        <v>765</v>
      </c>
    </row>
    <row r="4985" spans="1:6" x14ac:dyDescent="0.35">
      <c r="A4985" t="str">
        <f>+'[2]por cuent'!A4985</f>
        <v>USDC</v>
      </c>
      <c r="B4985" t="str">
        <f>+'[2]por cuent'!B4985</f>
        <v>765000660</v>
      </c>
      <c r="C4985" t="str">
        <f>+'[2]por cuent'!C4985</f>
        <v>Santos Rosadilla, Michael Nicolas</v>
      </c>
      <c r="D4985" s="35">
        <f>+'[2]por cuent'!G4985</f>
        <v>58904.13</v>
      </c>
      <c r="E4985" s="35">
        <f>+'[2]por cuent'!H4985</f>
        <v>88095838.745399997</v>
      </c>
      <c r="F4985" t="str">
        <f>+'[2]por cuent'!I4985</f>
        <v>765</v>
      </c>
    </row>
    <row r="4986" spans="1:6" x14ac:dyDescent="0.35">
      <c r="A4986" t="str">
        <f>+'[2]por cuent'!A4986</f>
        <v>USDC</v>
      </c>
      <c r="B4986" t="str">
        <f>+'[2]por cuent'!B4986</f>
        <v>765000710</v>
      </c>
      <c r="C4986" t="str">
        <f>+'[2]por cuent'!C4986</f>
        <v>Valdes Contreras, Diego Alfonso</v>
      </c>
      <c r="D4986" s="35">
        <f>+'[2]por cuent'!G4986</f>
        <v>70254.990000000005</v>
      </c>
      <c r="E4986" s="35">
        <f>+'[2]por cuent'!H4986</f>
        <v>105071957.94420001</v>
      </c>
      <c r="F4986" t="str">
        <f>+'[2]por cuent'!I4986</f>
        <v>765</v>
      </c>
    </row>
    <row r="4987" spans="1:6" x14ac:dyDescent="0.35">
      <c r="A4987" t="str">
        <f>+'[2]por cuent'!A4987</f>
        <v>USDC</v>
      </c>
      <c r="B4987" t="str">
        <f>+'[2]por cuent'!B4987</f>
        <v>765000713</v>
      </c>
      <c r="C4987" t="str">
        <f>+'[2]por cuent'!C4987</f>
        <v>Depetris, Mara Belén</v>
      </c>
      <c r="D4987" s="35">
        <f>+'[2]por cuent'!G4987</f>
        <v>72189.740000000005</v>
      </c>
      <c r="E4987" s="35">
        <f>+'[2]por cuent'!H4987</f>
        <v>107965531.3492</v>
      </c>
      <c r="F4987" t="str">
        <f>+'[2]por cuent'!I4987</f>
        <v>765</v>
      </c>
    </row>
    <row r="4988" spans="1:6" x14ac:dyDescent="0.35">
      <c r="A4988" t="str">
        <f>+'[2]por cuent'!A4988</f>
        <v>USDC</v>
      </c>
      <c r="B4988" t="str">
        <f>+'[2]por cuent'!B4988</f>
        <v>766000058</v>
      </c>
      <c r="C4988" t="str">
        <f>+'[2]por cuent'!C4988</f>
        <v>Boschi, Robertino Osvaldo</v>
      </c>
      <c r="D4988" s="35">
        <f>+'[2]por cuent'!G4988</f>
        <v>6451.9</v>
      </c>
      <c r="E4988" s="35">
        <f>+'[2]por cuent'!H4988</f>
        <v>9649332.6019999981</v>
      </c>
      <c r="F4988" t="str">
        <f>+'[2]por cuent'!I4988</f>
        <v>766</v>
      </c>
    </row>
    <row r="4989" spans="1:6" x14ac:dyDescent="0.35">
      <c r="A4989" t="str">
        <f>+'[2]por cuent'!A4989</f>
        <v>USDC</v>
      </c>
      <c r="B4989" t="str">
        <f>+'[2]por cuent'!B4989</f>
        <v>788001384</v>
      </c>
      <c r="C4989" t="str">
        <f>+'[2]por cuent'!C4989</f>
        <v>CICCONI JORGE ROBERTO</v>
      </c>
      <c r="D4989" s="35">
        <f>+'[2]por cuent'!G4989</f>
        <v>10159.41</v>
      </c>
      <c r="E4989" s="35">
        <f>+'[2]por cuent'!H4989</f>
        <v>15194210.407799998</v>
      </c>
      <c r="F4989" t="str">
        <f>+'[2]por cuent'!I4989</f>
        <v>788</v>
      </c>
    </row>
    <row r="4990" spans="1:6" x14ac:dyDescent="0.35">
      <c r="A4990" t="str">
        <f>+'[2]por cuent'!A4990</f>
        <v>USDC</v>
      </c>
      <c r="B4990" t="str">
        <f>+'[2]por cuent'!B4990</f>
        <v>788002147</v>
      </c>
      <c r="C4990" t="str">
        <f>+'[2]por cuent'!C4990</f>
        <v>Tarallo, Agustín</v>
      </c>
      <c r="D4990" s="35">
        <f>+'[2]por cuent'!G4990</f>
        <v>24781.4</v>
      </c>
      <c r="E4990" s="35">
        <f>+'[2]por cuent'!H4990</f>
        <v>37062566.211999997</v>
      </c>
      <c r="F4990" t="str">
        <f>+'[2]por cuent'!I4990</f>
        <v>788</v>
      </c>
    </row>
    <row r="4991" spans="1:6" x14ac:dyDescent="0.35">
      <c r="A4991" t="str">
        <f>+'[2]por cuent'!A4991</f>
        <v>USDC</v>
      </c>
      <c r="B4991" t="str">
        <f>+'[2]por cuent'!B4991</f>
        <v>788002958</v>
      </c>
      <c r="C4991" t="str">
        <f>+'[2]por cuent'!C4991</f>
        <v>DEL ALAMO, RAMIRO</v>
      </c>
      <c r="D4991" s="35">
        <f>+'[2]por cuent'!G4991</f>
        <v>991.89</v>
      </c>
      <c r="E4991" s="35">
        <f>+'[2]por cuent'!H4991</f>
        <v>1483450.8461999998</v>
      </c>
      <c r="F4991" t="str">
        <f>+'[2]por cuent'!I4991</f>
        <v>788</v>
      </c>
    </row>
    <row r="4992" spans="1:6" x14ac:dyDescent="0.35">
      <c r="A4992" t="str">
        <f>+'[2]por cuent'!A4992</f>
        <v>USDC</v>
      </c>
      <c r="B4992" t="str">
        <f>+'[2]por cuent'!B4992</f>
        <v>788003291</v>
      </c>
      <c r="C4992" t="str">
        <f>+'[2]por cuent'!C4992</f>
        <v>STRAUSS, DENISE</v>
      </c>
      <c r="D4992" s="35">
        <f>+'[2]por cuent'!G4992</f>
        <v>107.58</v>
      </c>
      <c r="E4992" s="35">
        <f>+'[2]por cuent'!H4992</f>
        <v>160894.4964</v>
      </c>
      <c r="F4992" t="str">
        <f>+'[2]por cuent'!I4992</f>
        <v>788</v>
      </c>
    </row>
    <row r="4993" spans="1:6" x14ac:dyDescent="0.35">
      <c r="A4993" t="str">
        <f>+'[2]por cuent'!A4993</f>
        <v>USDC</v>
      </c>
      <c r="B4993" t="str">
        <f>+'[2]por cuent'!B4993</f>
        <v>802000998</v>
      </c>
      <c r="C4993" t="str">
        <f>+'[2]por cuent'!C4993</f>
        <v>Meta Inversiones S.A.</v>
      </c>
      <c r="D4993" s="35">
        <f>+'[2]por cuent'!G4993</f>
        <v>1729443.45</v>
      </c>
      <c r="E4993" s="35">
        <f>+'[2]por cuent'!H4993</f>
        <v>2586521034.9509997</v>
      </c>
      <c r="F4993" t="str">
        <f>+'[2]por cuent'!I4993</f>
        <v>802</v>
      </c>
    </row>
    <row r="4994" spans="1:6" x14ac:dyDescent="0.35">
      <c r="A4994" t="str">
        <f>+'[2]por cuent'!A4994</f>
        <v>USDC</v>
      </c>
      <c r="B4994" t="str">
        <f>+'[2]por cuent'!B4994</f>
        <v>802000999</v>
      </c>
      <c r="C4994" t="str">
        <f>+'[2]por cuent'!C4994</f>
        <v>META INVERSIONES SA</v>
      </c>
      <c r="D4994" s="35">
        <f>+'[2]por cuent'!G4994</f>
        <v>8671452.8399999999</v>
      </c>
      <c r="E4994" s="35">
        <f>+'[2]por cuent'!H4994</f>
        <v>12968851438.447199</v>
      </c>
      <c r="F4994" t="str">
        <f>+'[2]por cuent'!I4994</f>
        <v>802</v>
      </c>
    </row>
    <row r="4995" spans="1:6" x14ac:dyDescent="0.35">
      <c r="A4995" t="str">
        <f>+'[2]por cuent'!A4995</f>
        <v>USDC</v>
      </c>
      <c r="B4995" t="str">
        <f>+'[2]por cuent'!B4995</f>
        <v>802001007</v>
      </c>
      <c r="C4995" t="str">
        <f>+'[2]por cuent'!C4995</f>
        <v>WILMAR COOPERATIVA DE VIVIENDA CREDITO Y CONSUMO LTDA</v>
      </c>
      <c r="D4995" s="35">
        <f>+'[2]por cuent'!G4995</f>
        <v>91945.05</v>
      </c>
      <c r="E4995" s="35">
        <f>+'[2]por cuent'!H4995</f>
        <v>137511177.87900001</v>
      </c>
      <c r="F4995" t="str">
        <f>+'[2]por cuent'!I4995</f>
        <v>802</v>
      </c>
    </row>
    <row r="4996" spans="1:6" x14ac:dyDescent="0.35">
      <c r="A4996" t="str">
        <f>+'[2]por cuent'!A4996</f>
        <v>USDC</v>
      </c>
      <c r="B4996" t="str">
        <f>+'[2]por cuent'!B4996</f>
        <v>802001452</v>
      </c>
      <c r="C4996" t="str">
        <f>+'[2]por cuent'!C4996</f>
        <v>KOSINER, HERNAN PATRICIO y KOSINER, JIMENA</v>
      </c>
      <c r="D4996" s="35">
        <f>+'[2]por cuent'!G4996</f>
        <v>3498.23</v>
      </c>
      <c r="E4996" s="35">
        <f>+'[2]por cuent'!H4996</f>
        <v>5231882.8234000001</v>
      </c>
      <c r="F4996" t="str">
        <f>+'[2]por cuent'!I4996</f>
        <v>802</v>
      </c>
    </row>
    <row r="4997" spans="1:6" x14ac:dyDescent="0.35">
      <c r="A4997" t="str">
        <f>+'[2]por cuent'!A4997</f>
        <v>USDC</v>
      </c>
      <c r="B4997" t="str">
        <f>+'[2]por cuent'!B4997</f>
        <v>802001770</v>
      </c>
      <c r="C4997" t="str">
        <f>+'[2]por cuent'!C4997</f>
        <v>CERAMICA SAN LORENZO I.C.S.A.</v>
      </c>
      <c r="D4997" s="35">
        <f>+'[2]por cuent'!G4997</f>
        <v>152215.82</v>
      </c>
      <c r="E4997" s="35">
        <f>+'[2]por cuent'!H4997</f>
        <v>227650936.0756</v>
      </c>
      <c r="F4997" t="str">
        <f>+'[2]por cuent'!I4997</f>
        <v>802</v>
      </c>
    </row>
    <row r="4998" spans="1:6" x14ac:dyDescent="0.35">
      <c r="A4998" t="str">
        <f>+'[2]por cuent'!A4998</f>
        <v>USDC</v>
      </c>
      <c r="B4998" t="str">
        <f>+'[2]por cuent'!B4998</f>
        <v>802001793</v>
      </c>
      <c r="C4998" t="str">
        <f>+'[2]por cuent'!C4998</f>
        <v>DISTRIBUIDORA AMERICANA DEL RELOJ SUIZO S.A.</v>
      </c>
      <c r="D4998" s="35">
        <f>+'[2]por cuent'!G4998</f>
        <v>240299.32</v>
      </c>
      <c r="E4998" s="35">
        <f>+'[2]por cuent'!H4998</f>
        <v>359386857.00559998</v>
      </c>
      <c r="F4998" t="str">
        <f>+'[2]por cuent'!I4998</f>
        <v>802</v>
      </c>
    </row>
    <row r="4999" spans="1:6" x14ac:dyDescent="0.35">
      <c r="A4999" t="str">
        <f>+'[2]por cuent'!A4999</f>
        <v>USDC</v>
      </c>
      <c r="B4999" t="str">
        <f>+'[2]por cuent'!B4999</f>
        <v>802001841</v>
      </c>
      <c r="C4999" t="str">
        <f>+'[2]por cuent'!C4999</f>
        <v>BONIFACIO, ANDRES</v>
      </c>
      <c r="D4999" s="35">
        <f>+'[2]por cuent'!G4999</f>
        <v>411256.46</v>
      </c>
      <c r="E4999" s="35">
        <f>+'[2]por cuent'!H4999</f>
        <v>615066936.44679999</v>
      </c>
      <c r="F4999" t="str">
        <f>+'[2]por cuent'!I4999</f>
        <v>802</v>
      </c>
    </row>
    <row r="5000" spans="1:6" x14ac:dyDescent="0.35">
      <c r="A5000" t="str">
        <f>+'[2]por cuent'!A5000</f>
        <v>USDC</v>
      </c>
      <c r="B5000" t="str">
        <f>+'[2]por cuent'!B5000</f>
        <v>802001935</v>
      </c>
      <c r="C5000" t="str">
        <f>+'[2]por cuent'!C5000</f>
        <v>SIKA AG</v>
      </c>
      <c r="D5000" s="35">
        <f>+'[2]por cuent'!G5000</f>
        <v>2727647.1</v>
      </c>
      <c r="E5000" s="35">
        <f>+'[2]por cuent'!H5000</f>
        <v>4079414449.8179998</v>
      </c>
      <c r="F5000" t="str">
        <f>+'[2]por cuent'!I5000</f>
        <v>802</v>
      </c>
    </row>
    <row r="5001" spans="1:6" x14ac:dyDescent="0.35">
      <c r="A5001" t="str">
        <f>+'[2]por cuent'!A5001</f>
        <v>USDC</v>
      </c>
      <c r="B5001" t="str">
        <f>+'[2]por cuent'!B5001</f>
        <v>802001944</v>
      </c>
      <c r="C5001" t="str">
        <f>+'[2]por cuent'!C5001</f>
        <v>MAHLE METAL LEVE S.A.</v>
      </c>
      <c r="D5001" s="35">
        <f>+'[2]por cuent'!G5001</f>
        <v>730990.82</v>
      </c>
      <c r="E5001" s="35">
        <f>+'[2]por cuent'!H5001</f>
        <v>1093255250.5755999</v>
      </c>
      <c r="F5001" t="str">
        <f>+'[2]por cuent'!I5001</f>
        <v>802</v>
      </c>
    </row>
    <row r="5002" spans="1:6" x14ac:dyDescent="0.35">
      <c r="A5002" t="str">
        <f>+'[2]por cuent'!A5002</f>
        <v>USDC</v>
      </c>
      <c r="B5002" t="str">
        <f>+'[2]por cuent'!B5002</f>
        <v>802001950</v>
      </c>
      <c r="C5002" t="str">
        <f>+'[2]por cuent'!C5002</f>
        <v>HILTI ARGENTINA SRL</v>
      </c>
      <c r="D5002" s="35">
        <f>+'[2]por cuent'!G5002</f>
        <v>528665.81999999995</v>
      </c>
      <c r="E5002" s="35">
        <f>+'[2]por cuent'!H5002</f>
        <v>790662027.07559991</v>
      </c>
      <c r="F5002" t="str">
        <f>+'[2]por cuent'!I5002</f>
        <v>802</v>
      </c>
    </row>
    <row r="5003" spans="1:6" x14ac:dyDescent="0.35">
      <c r="A5003" t="str">
        <f>+'[2]por cuent'!A5003</f>
        <v>USDC</v>
      </c>
      <c r="B5003" t="str">
        <f>+'[2]por cuent'!B5003</f>
        <v>806000367</v>
      </c>
      <c r="C5003" t="str">
        <f>+'[2]por cuent'!C5003</f>
        <v>ECS LATAM SAS</v>
      </c>
      <c r="D5003" s="35">
        <f>+'[2]por cuent'!G5003</f>
        <v>20184.84</v>
      </c>
      <c r="E5003" s="35">
        <f>+'[2]por cuent'!H5003</f>
        <v>30188043.007199999</v>
      </c>
      <c r="F5003" t="str">
        <f>+'[2]por cuent'!I5003</f>
        <v>806</v>
      </c>
    </row>
    <row r="5004" spans="1:6" x14ac:dyDescent="0.35">
      <c r="A5004" t="str">
        <f>+'[2]por cuent'!A5004</f>
        <v>USDC</v>
      </c>
      <c r="B5004" t="str">
        <f>+'[2]por cuent'!B5004</f>
        <v>816000105</v>
      </c>
      <c r="C5004" t="str">
        <f>+'[2]por cuent'!C5004</f>
        <v>Ustariz, Cristian Alberto y Cardona, Maria Dolores y Ustariz, Segundo</v>
      </c>
      <c r="D5004" s="35">
        <f>+'[2]por cuent'!G5004</f>
        <v>13878.27</v>
      </c>
      <c r="E5004" s="35">
        <f>+'[2]por cuent'!H5004</f>
        <v>20756063.046599999</v>
      </c>
      <c r="F5004" t="str">
        <f>+'[2]por cuent'!I5004</f>
        <v>816</v>
      </c>
    </row>
    <row r="5005" spans="1:6" x14ac:dyDescent="0.35">
      <c r="A5005" t="str">
        <f>+'[2]por cuent'!A5005</f>
        <v>USDC</v>
      </c>
      <c r="B5005" t="str">
        <f>+'[2]por cuent'!B5005</f>
        <v>816000132</v>
      </c>
      <c r="C5005" t="str">
        <f>+'[2]por cuent'!C5005</f>
        <v>Giardini, Jorge Raul</v>
      </c>
      <c r="D5005" s="35">
        <f>+'[2]por cuent'!G5005</f>
        <v>69335.199999999997</v>
      </c>
      <c r="E5005" s="35">
        <f>+'[2]por cuent'!H5005</f>
        <v>103696338.41599999</v>
      </c>
      <c r="F5005" t="str">
        <f>+'[2]por cuent'!I5005</f>
        <v>816</v>
      </c>
    </row>
    <row r="5006" spans="1:6" x14ac:dyDescent="0.35">
      <c r="A5006" t="str">
        <f>+'[2]por cuent'!A5006</f>
        <v>USDC</v>
      </c>
      <c r="B5006" t="str">
        <f>+'[2]por cuent'!B5006</f>
        <v>816000139</v>
      </c>
      <c r="C5006" t="str">
        <f>+'[2]por cuent'!C5006</f>
        <v>Boixart, Hugo Ramon y Montaña Corina V.</v>
      </c>
      <c r="D5006" s="35">
        <f>+'[2]por cuent'!G5006</f>
        <v>182929.07</v>
      </c>
      <c r="E5006" s="35">
        <f>+'[2]por cuent'!H5006</f>
        <v>273585058.51059997</v>
      </c>
      <c r="F5006" t="str">
        <f>+'[2]por cuent'!I5006</f>
        <v>816</v>
      </c>
    </row>
    <row r="5007" spans="1:6" x14ac:dyDescent="0.35">
      <c r="A5007" t="str">
        <f>+'[2]por cuent'!A5007</f>
        <v>USDC</v>
      </c>
      <c r="B5007" t="str">
        <f>+'[2]por cuent'!B5007</f>
        <v>816000307</v>
      </c>
      <c r="C5007" t="str">
        <f>+'[2]por cuent'!C5007</f>
        <v>Molinero, Carlos Danilo; Alvarez Nilda; Molinero Lautaro</v>
      </c>
      <c r="D5007" s="35">
        <f>+'[2]por cuent'!G5007</f>
        <v>2.2400000000000002</v>
      </c>
      <c r="E5007" s="35">
        <f>+'[2]por cuent'!H5007</f>
        <v>3350.0992000000001</v>
      </c>
      <c r="F5007" t="str">
        <f>+'[2]por cuent'!I5007</f>
        <v>816</v>
      </c>
    </row>
    <row r="5008" spans="1:6" x14ac:dyDescent="0.35">
      <c r="A5008" t="str">
        <f>+'[2]por cuent'!A5008</f>
        <v>USDC</v>
      </c>
      <c r="B5008" t="str">
        <f>+'[2]por cuent'!B5008</f>
        <v>816000308</v>
      </c>
      <c r="C5008" t="str">
        <f>+'[2]por cuent'!C5008</f>
        <v>Bercovich, Cecilia Adriana</v>
      </c>
      <c r="D5008" s="35">
        <f>+'[2]por cuent'!G5008</f>
        <v>2172.7800000000002</v>
      </c>
      <c r="E5008" s="35">
        <f>+'[2]por cuent'!H5008</f>
        <v>3249566.3124000002</v>
      </c>
      <c r="F5008" t="str">
        <f>+'[2]por cuent'!I5008</f>
        <v>816</v>
      </c>
    </row>
    <row r="5009" spans="1:6" x14ac:dyDescent="0.35">
      <c r="A5009" t="str">
        <f>+'[2]por cuent'!A5009</f>
        <v>USDC</v>
      </c>
      <c r="B5009" t="str">
        <f>+'[2]por cuent'!B5009</f>
        <v>816000420</v>
      </c>
      <c r="C5009" t="str">
        <f>+'[2]por cuent'!C5009</f>
        <v>Sterin Carmona, Ricardo R. y Pensel, Silvia E. y Sterin Pensel, Lucas</v>
      </c>
      <c r="D5009" s="35">
        <f>+'[2]por cuent'!G5009</f>
        <v>50077.64</v>
      </c>
      <c r="E5009" s="35">
        <f>+'[2]por cuent'!H5009</f>
        <v>74895116.831199989</v>
      </c>
      <c r="F5009" t="str">
        <f>+'[2]por cuent'!I5009</f>
        <v>816</v>
      </c>
    </row>
    <row r="5010" spans="1:6" x14ac:dyDescent="0.35">
      <c r="A5010" t="str">
        <f>+'[2]por cuent'!A5010</f>
        <v>USDC</v>
      </c>
      <c r="B5010" t="str">
        <f>+'[2]por cuent'!B5010</f>
        <v>816000422</v>
      </c>
      <c r="C5010" t="str">
        <f>+'[2]por cuent'!C5010</f>
        <v>Logistica Rojas S.A.</v>
      </c>
      <c r="D5010" s="35">
        <f>+'[2]por cuent'!G5010</f>
        <v>95514.19</v>
      </c>
      <c r="E5010" s="35">
        <f>+'[2]por cuent'!H5010</f>
        <v>142849112.2802</v>
      </c>
      <c r="F5010" t="str">
        <f>+'[2]por cuent'!I5010</f>
        <v>816</v>
      </c>
    </row>
    <row r="5011" spans="1:6" x14ac:dyDescent="0.35">
      <c r="A5011" t="str">
        <f>+'[2]por cuent'!A5011</f>
        <v>USDC</v>
      </c>
      <c r="B5011" t="str">
        <f>+'[2]por cuent'!B5011</f>
        <v>816000430</v>
      </c>
      <c r="C5011" t="str">
        <f>+'[2]por cuent'!C5011</f>
        <v>Abalo, Eduardo Diego y Igarzabal, Maria Laura</v>
      </c>
      <c r="D5011" s="35">
        <f>+'[2]por cuent'!G5011</f>
        <v>48782.15</v>
      </c>
      <c r="E5011" s="35">
        <f>+'[2]por cuent'!H5011</f>
        <v>72957607.897</v>
      </c>
      <c r="F5011" t="str">
        <f>+'[2]por cuent'!I5011</f>
        <v>816</v>
      </c>
    </row>
    <row r="5012" spans="1:6" x14ac:dyDescent="0.35">
      <c r="A5012" t="str">
        <f>+'[2]por cuent'!A5012</f>
        <v>USDC</v>
      </c>
      <c r="B5012" t="str">
        <f>+'[2]por cuent'!B5012</f>
        <v>816000612</v>
      </c>
      <c r="C5012" t="str">
        <f>+'[2]por cuent'!C5012</f>
        <v>Lalor S.A.C.M. y F.</v>
      </c>
      <c r="D5012" s="35">
        <f>+'[2]por cuent'!G5012</f>
        <v>2932.6</v>
      </c>
      <c r="E5012" s="35">
        <f>+'[2]por cuent'!H5012</f>
        <v>4385937.9079999998</v>
      </c>
      <c r="F5012" t="str">
        <f>+'[2]por cuent'!I5012</f>
        <v>816</v>
      </c>
    </row>
    <row r="5013" spans="1:6" x14ac:dyDescent="0.35">
      <c r="A5013" t="str">
        <f>+'[2]por cuent'!A5013</f>
        <v>USDC</v>
      </c>
      <c r="B5013" t="str">
        <f>+'[2]por cuent'!B5013</f>
        <v>816000650</v>
      </c>
      <c r="C5013" t="str">
        <f>+'[2]por cuent'!C5013</f>
        <v>Fundación Universidad de Belgrano Doctor Avelino Porto</v>
      </c>
      <c r="D5013" s="35">
        <f>+'[2]por cuent'!G5013</f>
        <v>1699687.66</v>
      </c>
      <c r="E5013" s="35">
        <f>+'[2]por cuent'!H5013</f>
        <v>2542018870.5427999</v>
      </c>
      <c r="F5013" t="str">
        <f>+'[2]por cuent'!I5013</f>
        <v>816</v>
      </c>
    </row>
    <row r="5014" spans="1:6" x14ac:dyDescent="0.35">
      <c r="A5014" t="str">
        <f>+'[2]por cuent'!A5014</f>
        <v>USDC</v>
      </c>
      <c r="B5014" t="str">
        <f>+'[2]por cuent'!B5014</f>
        <v>816000687</v>
      </c>
      <c r="C5014" t="str">
        <f>+'[2]por cuent'!C5014</f>
        <v>Cardenas Maria Pia - Riesenkamp Guillermo Constantino</v>
      </c>
      <c r="D5014" s="35">
        <f>+'[2]por cuent'!G5014</f>
        <v>6597.31</v>
      </c>
      <c r="E5014" s="35">
        <f>+'[2]por cuent'!H5014</f>
        <v>9866804.8898000009</v>
      </c>
      <c r="F5014" t="str">
        <f>+'[2]por cuent'!I5014</f>
        <v>816</v>
      </c>
    </row>
    <row r="5015" spans="1:6" x14ac:dyDescent="0.35">
      <c r="A5015" t="str">
        <f>+'[2]por cuent'!A5015</f>
        <v>USDC</v>
      </c>
      <c r="B5015" t="str">
        <f>+'[2]por cuent'!B5015</f>
        <v>816000829</v>
      </c>
      <c r="C5015" t="str">
        <f>+'[2]por cuent'!C5015</f>
        <v>Martinez Schuster, Elias Juan</v>
      </c>
      <c r="D5015" s="35">
        <f>+'[2]por cuent'!G5015</f>
        <v>599959.4</v>
      </c>
      <c r="E5015" s="35">
        <f>+'[2]por cuent'!H5015</f>
        <v>897287279.45200002</v>
      </c>
      <c r="F5015" t="str">
        <f>+'[2]por cuent'!I5015</f>
        <v>816</v>
      </c>
    </row>
    <row r="5016" spans="1:6" x14ac:dyDescent="0.35">
      <c r="A5016" t="str">
        <f>+'[2]por cuent'!A5016</f>
        <v>USDC</v>
      </c>
      <c r="B5016" t="str">
        <f>+'[2]por cuent'!B5016</f>
        <v>816000866</v>
      </c>
      <c r="C5016" t="str">
        <f>+'[2]por cuent'!C5016</f>
        <v>Bab Weinstein, Daniel Julio o Litman Schatz, Lucia Adriana</v>
      </c>
      <c r="D5016" s="35">
        <f>+'[2]por cuent'!G5016</f>
        <v>49027.71</v>
      </c>
      <c r="E5016" s="35">
        <f>+'[2]por cuent'!H5016</f>
        <v>73324862.521799996</v>
      </c>
      <c r="F5016" t="str">
        <f>+'[2]por cuent'!I5016</f>
        <v>816</v>
      </c>
    </row>
    <row r="5017" spans="1:6" x14ac:dyDescent="0.35">
      <c r="A5017" t="str">
        <f>+'[2]por cuent'!A5017</f>
        <v>USDC</v>
      </c>
      <c r="B5017" t="str">
        <f>+'[2]por cuent'!B5017</f>
        <v>816000907</v>
      </c>
      <c r="C5017" t="str">
        <f>+'[2]por cuent'!C5017</f>
        <v>Iacono, Eduardo Luis y Cioffi, Mirta</v>
      </c>
      <c r="D5017" s="35">
        <f>+'[2]por cuent'!G5017</f>
        <v>1987.18</v>
      </c>
      <c r="E5017" s="35">
        <f>+'[2]por cuent'!H5017</f>
        <v>2971986.6644000001</v>
      </c>
      <c r="F5017" t="str">
        <f>+'[2]por cuent'!I5017</f>
        <v>816</v>
      </c>
    </row>
    <row r="5018" spans="1:6" x14ac:dyDescent="0.35">
      <c r="A5018" t="str">
        <f>+'[2]por cuent'!A5018</f>
        <v>USDC</v>
      </c>
      <c r="B5018" t="str">
        <f>+'[2]por cuent'!B5018</f>
        <v>816001701</v>
      </c>
      <c r="C5018" t="str">
        <f>+'[2]por cuent'!C5018</f>
        <v>DEPLAMED S.R.L.</v>
      </c>
      <c r="D5018" s="35">
        <f>+'[2]por cuent'!G5018</f>
        <v>50341.87</v>
      </c>
      <c r="E5018" s="35">
        <f>+'[2]por cuent'!H5018</f>
        <v>75290293.934599996</v>
      </c>
      <c r="F5018" t="str">
        <f>+'[2]por cuent'!I5018</f>
        <v>816</v>
      </c>
    </row>
    <row r="5019" spans="1:6" x14ac:dyDescent="0.35">
      <c r="A5019" t="str">
        <f>+'[2]por cuent'!A5019</f>
        <v>USDC</v>
      </c>
      <c r="B5019" t="str">
        <f>+'[2]por cuent'!B5019</f>
        <v>816001807</v>
      </c>
      <c r="C5019" t="str">
        <f>+'[2]por cuent'!C5019</f>
        <v>Blaquier, Isabel</v>
      </c>
      <c r="D5019" s="35">
        <f>+'[2]por cuent'!G5019</f>
        <v>184812.03</v>
      </c>
      <c r="E5019" s="35">
        <f>+'[2]por cuent'!H5019</f>
        <v>276401175.82739997</v>
      </c>
      <c r="F5019" t="str">
        <f>+'[2]por cuent'!I5019</f>
        <v>816</v>
      </c>
    </row>
    <row r="5020" spans="1:6" x14ac:dyDescent="0.35">
      <c r="A5020" t="str">
        <f>+'[2]por cuent'!A5020</f>
        <v>USDC</v>
      </c>
      <c r="B5020" t="str">
        <f>+'[2]por cuent'!B5020</f>
        <v>816001809</v>
      </c>
      <c r="C5020" t="str">
        <f>+'[2]por cuent'!C5020</f>
        <v>Blaquier, Magdalena</v>
      </c>
      <c r="D5020" s="35">
        <f>+'[2]por cuent'!G5020</f>
        <v>184810.98</v>
      </c>
      <c r="E5020" s="35">
        <f>+'[2]por cuent'!H5020</f>
        <v>276399605.4684</v>
      </c>
      <c r="F5020" t="str">
        <f>+'[2]por cuent'!I5020</f>
        <v>816</v>
      </c>
    </row>
    <row r="5021" spans="1:6" x14ac:dyDescent="0.35">
      <c r="A5021" t="str">
        <f>+'[2]por cuent'!A5021</f>
        <v>USDC</v>
      </c>
      <c r="B5021" t="str">
        <f>+'[2]por cuent'!B5021</f>
        <v>816001821</v>
      </c>
      <c r="C5021" t="str">
        <f>+'[2]por cuent'!C5021</f>
        <v>Moroni, Lucia</v>
      </c>
      <c r="D5021" s="35">
        <f>+'[2]por cuent'!G5021</f>
        <v>1984.39</v>
      </c>
      <c r="E5021" s="35">
        <f>+'[2]por cuent'!H5021</f>
        <v>2967813.9961999999</v>
      </c>
      <c r="F5021" t="str">
        <f>+'[2]por cuent'!I5021</f>
        <v>816</v>
      </c>
    </row>
    <row r="5022" spans="1:6" x14ac:dyDescent="0.35">
      <c r="A5022" t="str">
        <f>+'[2]por cuent'!A5022</f>
        <v>USDC</v>
      </c>
      <c r="B5022" t="str">
        <f>+'[2]por cuent'!B5022</f>
        <v>816003014</v>
      </c>
      <c r="C5022" t="str">
        <f>+'[2]por cuent'!C5022</f>
        <v>Llorente Gonzalo Maria</v>
      </c>
      <c r="D5022" s="35">
        <f>+'[2]por cuent'!G5022</f>
        <v>16285.42</v>
      </c>
      <c r="E5022" s="35">
        <f>+'[2]por cuent'!H5022</f>
        <v>24356148.443599999</v>
      </c>
      <c r="F5022" t="str">
        <f>+'[2]por cuent'!I5022</f>
        <v>816</v>
      </c>
    </row>
    <row r="5023" spans="1:6" x14ac:dyDescent="0.35">
      <c r="A5023" t="str">
        <f>+'[2]por cuent'!A5023</f>
        <v>USDC</v>
      </c>
      <c r="B5023" t="str">
        <f>+'[2]por cuent'!B5023</f>
        <v>816003022</v>
      </c>
      <c r="C5023" t="str">
        <f>+'[2]por cuent'!C5023</f>
        <v xml:space="preserve">Secco Vivian, Secco Gabriela </v>
      </c>
      <c r="D5023" s="35">
        <f>+'[2]por cuent'!G5023</f>
        <v>3552.13</v>
      </c>
      <c r="E5023" s="35">
        <f>+'[2]por cuent'!H5023</f>
        <v>5312494.5854000002</v>
      </c>
      <c r="F5023" t="str">
        <f>+'[2]por cuent'!I5023</f>
        <v>816</v>
      </c>
    </row>
    <row r="5024" spans="1:6" x14ac:dyDescent="0.35">
      <c r="A5024" t="str">
        <f>+'[2]por cuent'!A5024</f>
        <v>USDC</v>
      </c>
      <c r="B5024" t="str">
        <f>+'[2]por cuent'!B5024</f>
        <v>816102185</v>
      </c>
      <c r="C5024" t="str">
        <f>+'[2]por cuent'!C5024</f>
        <v>CZ WEALTH MANAGEMENT SA</v>
      </c>
      <c r="D5024" s="35">
        <f>+'[2]por cuent'!G5024</f>
        <v>3314914.66</v>
      </c>
      <c r="E5024" s="35">
        <f>+'[2]por cuent'!H5024</f>
        <v>4957720067.2027998</v>
      </c>
      <c r="F5024" t="str">
        <f>+'[2]por cuent'!I5024</f>
        <v>816</v>
      </c>
    </row>
    <row r="5025" spans="1:6" x14ac:dyDescent="0.35">
      <c r="A5025" t="str">
        <f>+'[2]por cuent'!A5025</f>
        <v>USDC</v>
      </c>
      <c r="B5025" t="str">
        <f>+'[2]por cuent'!B5025</f>
        <v>817000240</v>
      </c>
      <c r="C5025" t="str">
        <f>+'[2]por cuent'!C5025</f>
        <v>Juan Pablo Bledel - Patricia Alejandra Cabot</v>
      </c>
      <c r="D5025" s="35">
        <f>+'[2]por cuent'!G5025</f>
        <v>159813</v>
      </c>
      <c r="E5025" s="35">
        <f>+'[2]por cuent'!H5025</f>
        <v>239013126.53999999</v>
      </c>
      <c r="F5025" t="str">
        <f>+'[2]por cuent'!I5025</f>
        <v>817</v>
      </c>
    </row>
    <row r="5026" spans="1:6" x14ac:dyDescent="0.35">
      <c r="A5026" t="str">
        <f>+'[2]por cuent'!A5026</f>
        <v>USDC</v>
      </c>
      <c r="B5026" t="str">
        <f>+'[2]por cuent'!B5026</f>
        <v>817000854</v>
      </c>
      <c r="C5026" t="str">
        <f>+'[2]por cuent'!C5026</f>
        <v>Inmueble Las Heras S.A.</v>
      </c>
      <c r="D5026" s="35">
        <f>+'[2]por cuent'!G5026</f>
        <v>800000.54</v>
      </c>
      <c r="E5026" s="35">
        <f>+'[2]por cuent'!H5026</f>
        <v>1196464807.6131999</v>
      </c>
      <c r="F5026" t="str">
        <f>+'[2]por cuent'!I5026</f>
        <v>817</v>
      </c>
    </row>
    <row r="5027" spans="1:6" x14ac:dyDescent="0.35">
      <c r="A5027" t="str">
        <f>+'[2]por cuent'!A5027</f>
        <v>USDC</v>
      </c>
      <c r="B5027" t="str">
        <f>+'[2]por cuent'!B5027</f>
        <v>817000878</v>
      </c>
      <c r="C5027" t="str">
        <f>+'[2]por cuent'!C5027</f>
        <v>Castresana, Patricio y Dopazo, Maria Soledad</v>
      </c>
      <c r="D5027" s="35">
        <f>+'[2]por cuent'!G5027</f>
        <v>249874.73</v>
      </c>
      <c r="E5027" s="35">
        <f>+'[2]por cuent'!H5027</f>
        <v>373707648.69340003</v>
      </c>
      <c r="F5027" t="str">
        <f>+'[2]por cuent'!I5027</f>
        <v>817</v>
      </c>
    </row>
    <row r="5028" spans="1:6" x14ac:dyDescent="0.35">
      <c r="A5028" t="str">
        <f>+'[2]por cuent'!A5028</f>
        <v>USDC</v>
      </c>
      <c r="B5028" t="str">
        <f>+'[2]por cuent'!B5028</f>
        <v>817000882</v>
      </c>
      <c r="C5028" t="str">
        <f>+'[2]por cuent'!C5028</f>
        <v>White Cloud S.R.L.</v>
      </c>
      <c r="D5028" s="35">
        <f>+'[2]por cuent'!G5028</f>
        <v>1436710.06</v>
      </c>
      <c r="E5028" s="35">
        <f>+'[2]por cuent'!H5028</f>
        <v>2148714831.5348001</v>
      </c>
      <c r="F5028" t="str">
        <f>+'[2]por cuent'!I5028</f>
        <v>817</v>
      </c>
    </row>
    <row r="5029" spans="1:6" x14ac:dyDescent="0.35">
      <c r="A5029" t="str">
        <f>+'[2]por cuent'!A5029</f>
        <v>USDC</v>
      </c>
      <c r="B5029" t="str">
        <f>+'[2]por cuent'!B5029</f>
        <v>817000909</v>
      </c>
      <c r="C5029" t="str">
        <f>+'[2]por cuent'!C5029</f>
        <v>Chacra la Isabel S.R.L.</v>
      </c>
      <c r="D5029" s="35">
        <f>+'[2]por cuent'!G5029</f>
        <v>3109.01</v>
      </c>
      <c r="E5029" s="35">
        <f>+'[2]por cuent'!H5029</f>
        <v>4649773.1758000003</v>
      </c>
      <c r="F5029" t="str">
        <f>+'[2]por cuent'!I5029</f>
        <v>817</v>
      </c>
    </row>
    <row r="5030" spans="1:6" x14ac:dyDescent="0.35">
      <c r="A5030" t="str">
        <f>+'[2]por cuent'!A5030</f>
        <v>USDC</v>
      </c>
      <c r="B5030" t="str">
        <f>+'[2]por cuent'!B5030</f>
        <v>817001372</v>
      </c>
      <c r="C5030" t="str">
        <f>+'[2]por cuent'!C5030</f>
        <v>Distribuidora de Gas Cuyana S.A</v>
      </c>
      <c r="D5030" s="35">
        <f>+'[2]por cuent'!G5030</f>
        <v>9788500.5899999999</v>
      </c>
      <c r="E5030" s="35">
        <f>+'[2]por cuent'!H5030</f>
        <v>14639485712.392199</v>
      </c>
      <c r="F5030" t="str">
        <f>+'[2]por cuent'!I5030</f>
        <v>817</v>
      </c>
    </row>
    <row r="5031" spans="1:6" x14ac:dyDescent="0.35">
      <c r="A5031" t="str">
        <f>+'[2]por cuent'!A5031</f>
        <v>USDC</v>
      </c>
      <c r="B5031" t="str">
        <f>+'[2]por cuent'!B5031</f>
        <v>817001373</v>
      </c>
      <c r="C5031" t="str">
        <f>+'[2]por cuent'!C5031</f>
        <v>DISTRIBUIDORA DE GAS DEL CENTRO S.A.</v>
      </c>
      <c r="D5031" s="35">
        <f>+'[2]por cuent'!G5031</f>
        <v>10822500.560000001</v>
      </c>
      <c r="E5031" s="35">
        <f>+'[2]por cuent'!H5031</f>
        <v>16185915387.524799</v>
      </c>
      <c r="F5031" t="str">
        <f>+'[2]por cuent'!I5031</f>
        <v>817</v>
      </c>
    </row>
    <row r="5032" spans="1:6" x14ac:dyDescent="0.35">
      <c r="A5032" t="str">
        <f>+'[2]por cuent'!A5032</f>
        <v>USDC</v>
      </c>
      <c r="B5032" t="str">
        <f>+'[2]por cuent'!B5032</f>
        <v>817001499</v>
      </c>
      <c r="C5032" t="str">
        <f>+'[2]por cuent'!C5032</f>
        <v xml:space="preserve">Benites, Agustín María </v>
      </c>
      <c r="D5032" s="35">
        <f>+'[2]por cuent'!G5032</f>
        <v>43540.01</v>
      </c>
      <c r="E5032" s="35">
        <f>+'[2]por cuent'!H5032</f>
        <v>65117568.1558</v>
      </c>
      <c r="F5032" t="str">
        <f>+'[2]por cuent'!I5032</f>
        <v>817</v>
      </c>
    </row>
    <row r="5033" spans="1:6" x14ac:dyDescent="0.35">
      <c r="A5033" t="str">
        <f>+'[2]por cuent'!A5033</f>
        <v>USDC</v>
      </c>
      <c r="B5033" t="str">
        <f>+'[2]por cuent'!B5033</f>
        <v>817001635</v>
      </c>
      <c r="C5033" t="str">
        <f>+'[2]por cuent'!C5033</f>
        <v>Mainver Soccer Corp SA</v>
      </c>
      <c r="D5033" s="35">
        <f>+'[2]por cuent'!G5033</f>
        <v>1640772.68</v>
      </c>
      <c r="E5033" s="35">
        <f>+'[2]por cuent'!H5033</f>
        <v>2453906804.7543998</v>
      </c>
      <c r="F5033" t="str">
        <f>+'[2]por cuent'!I5033</f>
        <v>817</v>
      </c>
    </row>
    <row r="5034" spans="1:6" x14ac:dyDescent="0.35">
      <c r="A5034" t="str">
        <f>+'[2]por cuent'!A5034</f>
        <v>USDC</v>
      </c>
      <c r="B5034" t="str">
        <f>+'[2]por cuent'!B5034</f>
        <v>817001797</v>
      </c>
      <c r="C5034" t="str">
        <f>+'[2]por cuent'!C5034</f>
        <v>BCSA SD ADCAP AHORRO DOLARES (CNV 869)</v>
      </c>
      <c r="D5034" s="35">
        <f>+'[2]por cuent'!G5034</f>
        <v>27702705.170000002</v>
      </c>
      <c r="E5034" s="35">
        <f>+'[2]por cuent'!H5034</f>
        <v>41431611798.148598</v>
      </c>
      <c r="F5034" t="str">
        <f>+'[2]por cuent'!I5034</f>
        <v>817</v>
      </c>
    </row>
    <row r="5035" spans="1:6" x14ac:dyDescent="0.35">
      <c r="A5035" t="str">
        <f>+'[2]por cuent'!A5035</f>
        <v>USDC</v>
      </c>
      <c r="B5035" t="str">
        <f>+'[2]por cuent'!B5035</f>
        <v>817003110</v>
      </c>
      <c r="C5035" t="str">
        <f>+'[2]por cuent'!C5035</f>
        <v>Swiss Medical SA</v>
      </c>
      <c r="D5035" s="35">
        <f>+'[2]por cuent'!G5035</f>
        <v>2303000</v>
      </c>
      <c r="E5035" s="35">
        <f>+'[2]por cuent'!H5035</f>
        <v>3444320740</v>
      </c>
      <c r="F5035" t="str">
        <f>+'[2]por cuent'!I5035</f>
        <v>817</v>
      </c>
    </row>
    <row r="5036" spans="1:6" x14ac:dyDescent="0.35">
      <c r="A5036" t="str">
        <f>+'[2]por cuent'!A5036</f>
        <v>USDC</v>
      </c>
      <c r="B5036" t="str">
        <f>+'[2]por cuent'!B5036</f>
        <v>817003285</v>
      </c>
      <c r="C5036" t="str">
        <f>+'[2]por cuent'!C5036</f>
        <v>Ecogas Inversiones S.A.</v>
      </c>
      <c r="D5036" s="35">
        <f>+'[2]por cuent'!G5036</f>
        <v>665000</v>
      </c>
      <c r="E5036" s="35">
        <f>+'[2]por cuent'!H5036</f>
        <v>994560700</v>
      </c>
      <c r="F5036" t="str">
        <f>+'[2]por cuent'!I5036</f>
        <v>817</v>
      </c>
    </row>
    <row r="5037" spans="1:6" x14ac:dyDescent="0.35">
      <c r="A5037" t="str">
        <f>+'[2]por cuent'!A5037</f>
        <v>USDC</v>
      </c>
      <c r="B5037" t="str">
        <f>+'[2]por cuent'!B5037</f>
        <v>817100015</v>
      </c>
      <c r="C5037" t="str">
        <f>+'[2]por cuent'!C5037</f>
        <v>VALO Securities SAU con intermediacion de ICG</v>
      </c>
      <c r="D5037" s="35">
        <f>+'[2]por cuent'!G5037</f>
        <v>353734341.23000002</v>
      </c>
      <c r="E5037" s="35">
        <f>+'[2]por cuent'!H5037</f>
        <v>529038006056.76343</v>
      </c>
      <c r="F5037" t="str">
        <f>+'[2]por cuent'!I5037</f>
        <v>817</v>
      </c>
    </row>
    <row r="5038" spans="1:6" x14ac:dyDescent="0.35">
      <c r="A5038" t="str">
        <f>+'[2]por cuent'!A5038</f>
        <v>USDC</v>
      </c>
      <c r="B5038" t="str">
        <f>+'[2]por cuent'!B5038</f>
        <v>834010786</v>
      </c>
      <c r="C5038" t="str">
        <f>+'[2]por cuent'!C5038</f>
        <v>PRODUCTS STA ARGENTINA S.A.S.</v>
      </c>
      <c r="D5038" s="35">
        <f>+'[2]por cuent'!G5038</f>
        <v>49937.04</v>
      </c>
      <c r="E5038" s="35">
        <f>+'[2]por cuent'!H5038</f>
        <v>74684838.283199996</v>
      </c>
      <c r="F5038" t="str">
        <f>+'[2]por cuent'!I5038</f>
        <v>834</v>
      </c>
    </row>
    <row r="5039" spans="1:6" x14ac:dyDescent="0.35">
      <c r="A5039" t="str">
        <f>+'[2]por cuent'!A5039</f>
        <v>USDC</v>
      </c>
      <c r="B5039" t="str">
        <f>+'[2]por cuent'!B5039</f>
        <v>852000005</v>
      </c>
      <c r="C5039" t="str">
        <f>+'[2]por cuent'!C5039</f>
        <v>MG ALFA</v>
      </c>
      <c r="D5039" s="35">
        <f>+'[2]por cuent'!G5039</f>
        <v>50794.879999999997</v>
      </c>
      <c r="E5039" s="35">
        <f>+'[2]por cuent'!H5039</f>
        <v>75967806.630399987</v>
      </c>
      <c r="F5039" t="str">
        <f>+'[2]por cuent'!I5039</f>
        <v>852</v>
      </c>
    </row>
    <row r="5040" spans="1:6" x14ac:dyDescent="0.35">
      <c r="A5040" t="str">
        <f>+'[2]por cuent'!A5040</f>
        <v>USDC</v>
      </c>
      <c r="B5040" t="str">
        <f>+'[2]por cuent'!B5040</f>
        <v>852000065</v>
      </c>
      <c r="C5040" t="str">
        <f>+'[2]por cuent'!C5040</f>
        <v>MG ALFA OPERACIONES</v>
      </c>
      <c r="D5040" s="35">
        <f>+'[2]por cuent'!G5040</f>
        <v>70210</v>
      </c>
      <c r="E5040" s="35">
        <f>+'[2]por cuent'!H5040</f>
        <v>105004671.8</v>
      </c>
      <c r="F5040" t="str">
        <f>+'[2]por cuent'!I5040</f>
        <v>852</v>
      </c>
    </row>
    <row r="5041" spans="1:6" x14ac:dyDescent="0.35">
      <c r="A5041" t="str">
        <f>+'[2]por cuent'!A5041</f>
        <v>USDC</v>
      </c>
      <c r="B5041" t="str">
        <f>+'[2]por cuent'!B5041</f>
        <v>875001148</v>
      </c>
      <c r="C5041" t="str">
        <f>+'[2]por cuent'!C5041</f>
        <v xml:space="preserve">De Maria , Marcos  o Curia , Martina </v>
      </c>
      <c r="D5041" s="35">
        <f>+'[2]por cuent'!G5041</f>
        <v>74.98</v>
      </c>
      <c r="E5041" s="35">
        <f>+'[2]por cuent'!H5041</f>
        <v>112138.58839999999</v>
      </c>
      <c r="F5041" t="str">
        <f>+'[2]por cuent'!I5041</f>
        <v>875</v>
      </c>
    </row>
    <row r="5042" spans="1:6" x14ac:dyDescent="0.35">
      <c r="A5042" t="str">
        <f>+'[2]por cuent'!A5042</f>
        <v>USDL</v>
      </c>
      <c r="B5042" t="str">
        <f>+'[2]por cuent'!B5042</f>
        <v>403008443</v>
      </c>
      <c r="C5042" t="str">
        <f>+'[2]por cuent'!C5042</f>
        <v>ESTABLECIMIENTO AVICOLA LA MOROCHA SA</v>
      </c>
      <c r="D5042" s="35">
        <f>+'[2]por cuent'!G5042</f>
        <v>3250</v>
      </c>
      <c r="E5042" s="35">
        <f>+'[2]por cuent'!H5042</f>
        <v>4860635</v>
      </c>
      <c r="F5042" t="str">
        <f>+'[2]por cuent'!I5042</f>
        <v>403</v>
      </c>
    </row>
    <row r="5043" spans="1:6" x14ac:dyDescent="0.35">
      <c r="A5043" t="str">
        <f>+'[2]por cuent'!A5043</f>
        <v>USDL</v>
      </c>
      <c r="B5043" t="str">
        <f>+'[2]por cuent'!B5043</f>
        <v>403009599</v>
      </c>
      <c r="C5043" t="str">
        <f>+'[2]por cuent'!C5043</f>
        <v>Mugica y Cia. SA</v>
      </c>
      <c r="D5043" s="35">
        <f>+'[2]por cuent'!G5043</f>
        <v>12850</v>
      </c>
      <c r="E5043" s="35">
        <f>+'[2]por cuent'!H5043</f>
        <v>19218203</v>
      </c>
      <c r="F5043" t="str">
        <f>+'[2]por cuent'!I5043</f>
        <v>403</v>
      </c>
    </row>
    <row r="5044" spans="1:6" x14ac:dyDescent="0.35">
      <c r="A5044" t="str">
        <f>+'[2]por cuent'!A5044</f>
        <v>USDL</v>
      </c>
      <c r="B5044" t="str">
        <f>+'[2]por cuent'!B5044</f>
        <v>405000076</v>
      </c>
      <c r="C5044" t="str">
        <f>+'[2]por cuent'!C5044</f>
        <v>PORCIMONTE SA</v>
      </c>
      <c r="D5044" s="35">
        <f>+'[2]por cuent'!G5044</f>
        <v>42150</v>
      </c>
      <c r="E5044" s="35">
        <f>+'[2]por cuent'!H5044</f>
        <v>63038697</v>
      </c>
      <c r="F5044" t="str">
        <f>+'[2]por cuent'!I5044</f>
        <v>405</v>
      </c>
    </row>
    <row r="5045" spans="1:6" x14ac:dyDescent="0.35">
      <c r="A5045" t="str">
        <f>+'[2]por cuent'!A5045</f>
        <v>USDL</v>
      </c>
      <c r="B5045" t="str">
        <f>+'[2]por cuent'!B5045</f>
        <v>414000022</v>
      </c>
      <c r="C5045" t="str">
        <f>+'[2]por cuent'!C5045</f>
        <v>LA RURAL S.R.L</v>
      </c>
      <c r="D5045" s="35">
        <f>+'[2]por cuent'!G5045</f>
        <v>6700</v>
      </c>
      <c r="E5045" s="35">
        <f>+'[2]por cuent'!H5045</f>
        <v>10020386</v>
      </c>
      <c r="F5045" t="str">
        <f>+'[2]por cuent'!I5045</f>
        <v>414</v>
      </c>
    </row>
    <row r="5046" spans="1:6" x14ac:dyDescent="0.35">
      <c r="A5046" t="str">
        <f>+'[2]por cuent'!A5046</f>
        <v>USDL</v>
      </c>
      <c r="B5046" t="str">
        <f>+'[2]por cuent'!B5046</f>
        <v>717003756</v>
      </c>
      <c r="C5046" t="str">
        <f>+'[2]por cuent'!C5046</f>
        <v>SERVIGRAIN S.A</v>
      </c>
      <c r="D5046" s="35">
        <f>+'[2]por cuent'!G5046</f>
        <v>17240</v>
      </c>
      <c r="E5046" s="35">
        <f>+'[2]por cuent'!H5046</f>
        <v>25783799.199999999</v>
      </c>
      <c r="F5046" t="str">
        <f>+'[2]por cuent'!I5046</f>
        <v>717</v>
      </c>
    </row>
    <row r="5047" spans="1:6" x14ac:dyDescent="0.35">
      <c r="A5047" t="str">
        <f>+'[2]por cuent'!A5047</f>
        <v>USDL</v>
      </c>
      <c r="B5047" t="str">
        <f>+'[2]por cuent'!B5047</f>
        <v>717045575</v>
      </c>
      <c r="C5047" t="str">
        <f>+'[2]por cuent'!C5047</f>
        <v>BIANCUCCI HUGO OSCAR</v>
      </c>
      <c r="D5047" s="35">
        <f>+'[2]por cuent'!G5047</f>
        <v>9300</v>
      </c>
      <c r="E5047" s="35">
        <f>+'[2]por cuent'!H5047</f>
        <v>13908894</v>
      </c>
      <c r="F5047" t="str">
        <f>+'[2]por cuent'!I5047</f>
        <v>717</v>
      </c>
    </row>
    <row r="5048" spans="1:6" x14ac:dyDescent="0.35">
      <c r="A5048" t="str">
        <f>+'[2]por cuent'!A5048</f>
        <v>USDL</v>
      </c>
      <c r="B5048" t="str">
        <f>+'[2]por cuent'!B5048</f>
        <v>811000007</v>
      </c>
      <c r="C5048" t="str">
        <f>+'[2]por cuent'!C5048</f>
        <v>Federico Guillermo Kohnen</v>
      </c>
      <c r="D5048" s="35">
        <f>+'[2]por cuent'!G5048</f>
        <v>10700</v>
      </c>
      <c r="E5048" s="35">
        <f>+'[2]por cuent'!H5048</f>
        <v>16002706</v>
      </c>
      <c r="F5048" t="str">
        <f>+'[2]por cuent'!I5048</f>
        <v>811</v>
      </c>
    </row>
    <row r="5049" spans="1:6" x14ac:dyDescent="0.35">
      <c r="A5049" t="str">
        <f>+'[2]por cuent'!A5049</f>
        <v>USDL</v>
      </c>
      <c r="B5049" t="str">
        <f>+'[2]por cuent'!B5049</f>
        <v>811000009</v>
      </c>
      <c r="C5049" t="str">
        <f>+'[2]por cuent'!C5049</f>
        <v xml:space="preserve"> Rafael Neil</v>
      </c>
      <c r="D5049" s="35">
        <f>+'[2]por cuent'!G5049</f>
        <v>7800</v>
      </c>
      <c r="E5049" s="35">
        <f>+'[2]por cuent'!H5049</f>
        <v>11665524</v>
      </c>
      <c r="F5049" t="str">
        <f>+'[2]por cuent'!I5049</f>
        <v>811</v>
      </c>
    </row>
    <row r="5050" spans="1:6" x14ac:dyDescent="0.35">
      <c r="A5050" t="str">
        <f>+'[2]por cuent'!A5050</f>
        <v>USDL</v>
      </c>
      <c r="B5050" t="str">
        <f>+'[2]por cuent'!B5050</f>
        <v>811000010</v>
      </c>
      <c r="C5050" t="str">
        <f>+'[2]por cuent'!C5050</f>
        <v>Martin Portas</v>
      </c>
      <c r="D5050" s="35">
        <f>+'[2]por cuent'!G5050</f>
        <v>6200</v>
      </c>
      <c r="E5050" s="35">
        <f>+'[2]por cuent'!H5050</f>
        <v>9272596</v>
      </c>
      <c r="F5050" t="str">
        <f>+'[2]por cuent'!I5050</f>
        <v>811</v>
      </c>
    </row>
    <row r="5051" spans="1:6" x14ac:dyDescent="0.35">
      <c r="A5051" t="str">
        <f>+'[2]por cuent'!A5051</f>
        <v>USDL</v>
      </c>
      <c r="B5051" t="str">
        <f>+'[2]por cuent'!B5051</f>
        <v>811000014</v>
      </c>
      <c r="C5051" t="str">
        <f>+'[2]por cuent'!C5051</f>
        <v>Juan Francisco Melendo</v>
      </c>
      <c r="D5051" s="35">
        <f>+'[2]por cuent'!G5051</f>
        <v>17500</v>
      </c>
      <c r="E5051" s="35">
        <f>+'[2]por cuent'!H5051</f>
        <v>26172650</v>
      </c>
      <c r="F5051" t="str">
        <f>+'[2]por cuent'!I5051</f>
        <v>811</v>
      </c>
    </row>
    <row r="5052" spans="1:6" x14ac:dyDescent="0.35">
      <c r="A5052" t="str">
        <f>+'[2]por cuent'!A5052</f>
        <v>USDL</v>
      </c>
      <c r="B5052" t="str">
        <f>+'[2]por cuent'!B5052</f>
        <v>811000016</v>
      </c>
      <c r="C5052" t="str">
        <f>+'[2]por cuent'!C5052</f>
        <v>Verlin Capital S.A</v>
      </c>
      <c r="D5052" s="35">
        <f>+'[2]por cuent'!G5052</f>
        <v>12800</v>
      </c>
      <c r="E5052" s="35">
        <f>+'[2]por cuent'!H5052</f>
        <v>19143424</v>
      </c>
      <c r="F5052" t="str">
        <f>+'[2]por cuent'!I5052</f>
        <v>811</v>
      </c>
    </row>
    <row r="5053" spans="1:6" x14ac:dyDescent="0.35">
      <c r="A5053" t="str">
        <f>+'[2]por cuent'!A5053</f>
        <v>USDL</v>
      </c>
      <c r="B5053" t="str">
        <f>+'[2]por cuent'!B5053</f>
        <v>811000017</v>
      </c>
      <c r="C5053" t="str">
        <f>+'[2]por cuent'!C5053</f>
        <v>Sol Armando</v>
      </c>
      <c r="D5053" s="35">
        <f>+'[2]por cuent'!G5053</f>
        <v>6650</v>
      </c>
      <c r="E5053" s="35">
        <f>+'[2]por cuent'!H5053</f>
        <v>9945607</v>
      </c>
      <c r="F5053" t="str">
        <f>+'[2]por cuent'!I5053</f>
        <v>811</v>
      </c>
    </row>
    <row r="5054" spans="1:6" x14ac:dyDescent="0.35">
      <c r="A5054" t="str">
        <f>+'[2]por cuent'!A5054</f>
        <v>USDL</v>
      </c>
      <c r="B5054" t="str">
        <f>+'[2]por cuent'!B5054</f>
        <v>811000020</v>
      </c>
      <c r="C5054" t="str">
        <f>+'[2]por cuent'!C5054</f>
        <v>Martin Campos</v>
      </c>
      <c r="D5054" s="35">
        <f>+'[2]por cuent'!G5054</f>
        <v>21400</v>
      </c>
      <c r="E5054" s="35">
        <f>+'[2]por cuent'!H5054</f>
        <v>32005412</v>
      </c>
      <c r="F5054" t="str">
        <f>+'[2]por cuent'!I5054</f>
        <v>811</v>
      </c>
    </row>
    <row r="5055" spans="1:6" x14ac:dyDescent="0.35">
      <c r="A5055" t="str">
        <f>+'[2]por cuent'!A5055</f>
        <v>USDL</v>
      </c>
      <c r="B5055" t="str">
        <f>+'[2]por cuent'!B5055</f>
        <v>811000022</v>
      </c>
      <c r="C5055" t="str">
        <f>+'[2]por cuent'!C5055</f>
        <v>Fernando Aldo Siciliano</v>
      </c>
      <c r="D5055" s="35">
        <f>+'[2]por cuent'!G5055</f>
        <v>28050</v>
      </c>
      <c r="E5055" s="35">
        <f>+'[2]por cuent'!H5055</f>
        <v>41951019</v>
      </c>
      <c r="F5055" t="str">
        <f>+'[2]por cuent'!I5055</f>
        <v>811</v>
      </c>
    </row>
    <row r="5056" spans="1:6" x14ac:dyDescent="0.35">
      <c r="A5056" t="str">
        <f>+'[2]por cuent'!A5056</f>
        <v>USDL</v>
      </c>
      <c r="B5056" t="str">
        <f>+'[2]por cuent'!B5056</f>
        <v>811000023</v>
      </c>
      <c r="C5056" t="str">
        <f>+'[2]por cuent'!C5056</f>
        <v>Gustavo Adolfo Kohnen</v>
      </c>
      <c r="D5056" s="35">
        <f>+'[2]por cuent'!G5056</f>
        <v>50850</v>
      </c>
      <c r="E5056" s="35">
        <f>+'[2]por cuent'!H5056</f>
        <v>76050243</v>
      </c>
      <c r="F5056" t="str">
        <f>+'[2]por cuent'!I5056</f>
        <v>811</v>
      </c>
    </row>
    <row r="5057" spans="1:6" x14ac:dyDescent="0.35">
      <c r="A5057" t="str">
        <f>+'[2]por cuent'!A5057</f>
        <v>USDL</v>
      </c>
      <c r="B5057" t="str">
        <f>+'[2]por cuent'!B5057</f>
        <v>811000024</v>
      </c>
      <c r="C5057" t="str">
        <f>+'[2]por cuent'!C5057</f>
        <v>Code Logistics S.A</v>
      </c>
      <c r="D5057" s="35">
        <f>+'[2]por cuent'!G5057</f>
        <v>37400</v>
      </c>
      <c r="E5057" s="35">
        <f>+'[2]por cuent'!H5057</f>
        <v>55934692</v>
      </c>
      <c r="F5057" t="str">
        <f>+'[2]por cuent'!I5057</f>
        <v>811</v>
      </c>
    </row>
    <row r="5058" spans="1:6" x14ac:dyDescent="0.35">
      <c r="A5058" t="str">
        <f>+'[2]por cuent'!A5058</f>
        <v>USDL</v>
      </c>
      <c r="B5058" t="str">
        <f>+'[2]por cuent'!B5058</f>
        <v>811000027</v>
      </c>
      <c r="C5058" t="str">
        <f>+'[2]por cuent'!C5058</f>
        <v>Christian Basile</v>
      </c>
      <c r="D5058" s="35">
        <f>+'[2]por cuent'!G5058</f>
        <v>5450</v>
      </c>
      <c r="E5058" s="35">
        <f>+'[2]por cuent'!H5058</f>
        <v>8150911</v>
      </c>
      <c r="F5058" t="str">
        <f>+'[2]por cuent'!I5058</f>
        <v>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B5D7-466D-4DB9-ABFF-14B031BC2504}">
  <sheetPr>
    <tabColor theme="1"/>
  </sheetPr>
  <dimension ref="A1:D12"/>
  <sheetViews>
    <sheetView workbookViewId="0">
      <selection activeCell="D13" sqref="A13:D15"/>
    </sheetView>
  </sheetViews>
  <sheetFormatPr baseColWidth="10" defaultRowHeight="14.5" x14ac:dyDescent="0.35"/>
  <cols>
    <col min="2" max="2" width="35.54296875" bestFit="1" customWidth="1"/>
    <col min="3" max="4" width="21" style="35" bestFit="1" customWidth="1"/>
  </cols>
  <sheetData>
    <row r="1" spans="1:4" x14ac:dyDescent="0.35">
      <c r="A1" t="str">
        <f>+[2]mercado!A1</f>
        <v>Moneda</v>
      </c>
      <c r="B1" t="str">
        <f>+[2]mercado!B1</f>
        <v>Mercado</v>
      </c>
      <c r="C1" s="35" t="str">
        <f>+[2]mercado!G1</f>
        <v>total</v>
      </c>
      <c r="D1" s="35" t="str">
        <f>+[2]mercado!H1</f>
        <v>TOT ARS</v>
      </c>
    </row>
    <row r="2" spans="1:4" x14ac:dyDescent="0.35">
      <c r="A2" t="str">
        <f>+[2]mercado!A2</f>
        <v>ARS</v>
      </c>
      <c r="B2" t="str">
        <f>+[2]mercado!B2</f>
        <v>[A3] A3 Mercados S.A.</v>
      </c>
      <c r="C2" s="35">
        <f>+[2]mercado!G2</f>
        <v>839512680612.95996</v>
      </c>
      <c r="D2" s="35">
        <f>+[2]mercado!H2</f>
        <v>839512680612.95996</v>
      </c>
    </row>
    <row r="3" spans="1:4" x14ac:dyDescent="0.35">
      <c r="A3" t="str">
        <f>+[2]mercado!A3</f>
        <v>ARS</v>
      </c>
      <c r="B3" t="str">
        <f>+[2]mercado!B3</f>
        <v>[XMEV] Bolsas y Mercados Argentinos S.A.</v>
      </c>
      <c r="C3" s="35">
        <f>+[2]mercado!G3</f>
        <v>10383834293827.27</v>
      </c>
      <c r="D3" s="35">
        <f>+[2]mercado!H3</f>
        <v>10383834293827.27</v>
      </c>
    </row>
    <row r="4" spans="1:4" x14ac:dyDescent="0.35">
      <c r="A4" t="str">
        <f>+[2]mercado!A4</f>
        <v>ARS</v>
      </c>
      <c r="B4" t="str">
        <f>+[2]mercado!B4</f>
        <v>[XROX] Mercado Argentino de Valores S.A.</v>
      </c>
      <c r="C4" s="35">
        <f>+[2]mercado!G4</f>
        <v>1804092898203.8201</v>
      </c>
      <c r="D4" s="35">
        <f>+[2]mercado!H4</f>
        <v>1804092898203.8201</v>
      </c>
    </row>
    <row r="5" spans="1:4" x14ac:dyDescent="0.35">
      <c r="A5" t="str">
        <f>+[2]mercado!A5</f>
        <v>USD</v>
      </c>
      <c r="B5" t="str">
        <f>+[2]mercado!B5</f>
        <v>[A3] A3 Mercados S.A.</v>
      </c>
      <c r="C5" s="35">
        <f>+[2]mercado!G5</f>
        <v>28928241.73</v>
      </c>
      <c r="D5" s="35">
        <f>+[2]mercado!H5</f>
        <v>43264499766.553398</v>
      </c>
    </row>
    <row r="6" spans="1:4" x14ac:dyDescent="0.35">
      <c r="A6" t="str">
        <f>+[2]mercado!A6</f>
        <v>USD</v>
      </c>
      <c r="B6" t="str">
        <f>+[2]mercado!B6</f>
        <v>[XMEV] Bolsas y Mercados Argentinos S.A.</v>
      </c>
      <c r="C6" s="35">
        <f>+[2]mercado!G6</f>
        <v>727975321.69000006</v>
      </c>
      <c r="D6" s="35">
        <f>+[2]mercado!H6</f>
        <v>1088745331613.1302</v>
      </c>
    </row>
    <row r="7" spans="1:4" x14ac:dyDescent="0.35">
      <c r="A7" t="str">
        <f>+[2]mercado!A7</f>
        <v>USD</v>
      </c>
      <c r="B7" t="str">
        <f>+[2]mercado!B7</f>
        <v>[XROX] Mercado Argentino de Valores S.A.</v>
      </c>
      <c r="C7" s="35">
        <f>+[2]mercado!G7</f>
        <v>25808677.41</v>
      </c>
      <c r="D7" s="35">
        <f>+[2]mercado!H7</f>
        <v>38598941760.847801</v>
      </c>
    </row>
    <row r="8" spans="1:4" x14ac:dyDescent="0.35">
      <c r="A8" t="str">
        <f>+[2]mercado!A8</f>
        <v>USDC</v>
      </c>
      <c r="B8" t="str">
        <f>+[2]mercado!B8</f>
        <v>[A3] A3 Mercados S.A.</v>
      </c>
      <c r="C8" s="35">
        <f>+[2]mercado!G8</f>
        <v>2500000</v>
      </c>
      <c r="D8" s="35">
        <f>+[2]mercado!H8</f>
        <v>3738950000</v>
      </c>
    </row>
    <row r="9" spans="1:4" x14ac:dyDescent="0.35">
      <c r="A9" t="str">
        <f>+[2]mercado!A9</f>
        <v>USDC</v>
      </c>
      <c r="B9" t="str">
        <f>+[2]mercado!B9</f>
        <v>[OTCM] OTC Markets Group Inc.</v>
      </c>
      <c r="C9" s="35">
        <f>+[2]mercado!G9</f>
        <v>76591711.540000007</v>
      </c>
      <c r="D9" s="35">
        <f>+[2]mercado!H9</f>
        <v>114549031944.99321</v>
      </c>
    </row>
    <row r="10" spans="1:4" x14ac:dyDescent="0.35">
      <c r="A10" t="str">
        <f>+[2]mercado!A10</f>
        <v>USDC</v>
      </c>
      <c r="B10" t="str">
        <f>+[2]mercado!B10</f>
        <v>[XMEV] Bolsas y Mercados Argentinos S.A.</v>
      </c>
      <c r="C10" s="35">
        <f>+[2]mercado!G10</f>
        <v>610220536.94000006</v>
      </c>
      <c r="D10" s="35">
        <f>+[2]mercado!H10</f>
        <v>912633630636.72522</v>
      </c>
    </row>
    <row r="11" spans="1:4" x14ac:dyDescent="0.35">
      <c r="A11" t="str">
        <f>+[2]mercado!A11</f>
        <v>USDC</v>
      </c>
      <c r="B11" t="str">
        <f>+[2]mercado!B11</f>
        <v>[XNYS] NEW YORK STOCK EXCHANGE, INC.</v>
      </c>
      <c r="C11" s="35">
        <f>+[2]mercado!G11</f>
        <v>1641794.43</v>
      </c>
      <c r="D11" s="35">
        <f>+[2]mercado!H11</f>
        <v>2455434913.6193995</v>
      </c>
    </row>
    <row r="12" spans="1:4" x14ac:dyDescent="0.35">
      <c r="A12" t="str">
        <f>+[2]mercado!A12</f>
        <v>USDL</v>
      </c>
      <c r="B12" t="str">
        <f>+[2]mercado!B12</f>
        <v>[A3] A3 Mercados S.A.</v>
      </c>
      <c r="C12" s="35">
        <f>+[2]mercado!G12</f>
        <v>296290</v>
      </c>
      <c r="D12" s="35">
        <f>+[2]mercado!H12</f>
        <v>443125398.19999999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CA08-0508-4D84-AD42-FEA2ABD648AF}">
  <dimension ref="A1:E96"/>
  <sheetViews>
    <sheetView workbookViewId="0">
      <selection activeCell="A4" sqref="A4"/>
    </sheetView>
  </sheetViews>
  <sheetFormatPr baseColWidth="10" defaultRowHeight="14.5" x14ac:dyDescent="0.35"/>
  <cols>
    <col min="1" max="1" width="54.453125" bestFit="1" customWidth="1"/>
    <col min="2" max="2" width="19.7265625" style="38" bestFit="1" customWidth="1"/>
    <col min="3" max="3" width="10.90625" style="39"/>
    <col min="4" max="4" width="10.81640625" bestFit="1" customWidth="1"/>
    <col min="5" max="5" width="18.36328125" style="35" bestFit="1" customWidth="1"/>
  </cols>
  <sheetData>
    <row r="1" spans="1:5" x14ac:dyDescent="0.35">
      <c r="A1" t="str">
        <f>+'[3]Report AUNE'!A4</f>
        <v>Administrador</v>
      </c>
      <c r="B1" s="38" t="str">
        <f>+'[3]Report AUNE'!B4</f>
        <v>Cantidad</v>
      </c>
      <c r="C1" s="39" t="str">
        <f>+'[3]Report AUNE'!C4</f>
        <v>Fecha cot.</v>
      </c>
      <c r="D1" t="str">
        <f>+'[3]Report AUNE'!D4</f>
        <v>Precio (ARS)</v>
      </c>
      <c r="E1" s="35" t="str">
        <f>+'[3]Report AUNE'!E4</f>
        <v>Valuación</v>
      </c>
    </row>
    <row r="2" spans="1:5" x14ac:dyDescent="0.35">
      <c r="A2">
        <f>+'[3]Report AUNE'!A5</f>
        <v>0</v>
      </c>
      <c r="B2" s="38">
        <f>+'[3]Report AUNE'!B5</f>
        <v>-15455910178.858015</v>
      </c>
      <c r="C2" s="39">
        <f>+'[3]Report AUNE'!C5</f>
        <v>45961</v>
      </c>
      <c r="D2">
        <f>+'[3]Report AUNE'!D5</f>
        <v>0</v>
      </c>
      <c r="E2" s="35">
        <f>+'[3]Report AUNE'!E5</f>
        <v>-418176313781.54993</v>
      </c>
    </row>
    <row r="3" spans="1:5" x14ac:dyDescent="0.35">
      <c r="A3" t="str">
        <f>+'[3]Report AUNE'!A7</f>
        <v>[0114] ROSARIO VALORES S.A.</v>
      </c>
      <c r="B3" s="38">
        <f>+'[3]Report AUNE'!B7</f>
        <v>-8602455174.7532139</v>
      </c>
      <c r="C3" s="39">
        <f>+'[3]Report AUNE'!C7</f>
        <v>45961</v>
      </c>
      <c r="D3">
        <f>+'[3]Report AUNE'!D7</f>
        <v>0</v>
      </c>
      <c r="E3" s="35">
        <f>+'[3]Report AUNE'!E7</f>
        <v>-362209537327.16559</v>
      </c>
    </row>
    <row r="4" spans="1:5" x14ac:dyDescent="0.35">
      <c r="A4" t="str">
        <f>+'[3]Report AUNE'!A24</f>
        <v>[0432] First Capital Markets S.A.</v>
      </c>
      <c r="B4" s="38">
        <f>+'[3]Report AUNE'!B24</f>
        <v>-19691573194.572247</v>
      </c>
      <c r="C4" s="39">
        <f>+'[3]Report AUNE'!C24</f>
        <v>45961</v>
      </c>
      <c r="D4">
        <f>+'[3]Report AUNE'!D24</f>
        <v>0</v>
      </c>
      <c r="E4" s="35">
        <f>+'[3]Report AUNE'!E24</f>
        <v>-257777736735.88657</v>
      </c>
    </row>
    <row r="5" spans="1:5" x14ac:dyDescent="0.35">
      <c r="A5" t="str">
        <f>+'[3]Report AUNE'!A69</f>
        <v>[0802] META Inversiones S.A.</v>
      </c>
      <c r="B5" s="38">
        <f>+'[3]Report AUNE'!B69</f>
        <v>476833825.69040865</v>
      </c>
      <c r="C5" s="39">
        <f>+'[3]Report AUNE'!C69</f>
        <v>45961</v>
      </c>
      <c r="D5">
        <f>+'[3]Report AUNE'!D69</f>
        <v>0</v>
      </c>
      <c r="E5" s="35">
        <f>+'[3]Report AUNE'!E69</f>
        <v>-151424754507.70242</v>
      </c>
    </row>
    <row r="6" spans="1:5" x14ac:dyDescent="0.35">
      <c r="A6" t="str">
        <f>+'[3]Report AUNE'!A30</f>
        <v>[0479] SUPERVIELLE AGENTE DE NEGOCIACIÓN S.A.U</v>
      </c>
      <c r="B6" s="38">
        <f>+'[3]Report AUNE'!B30</f>
        <v>-20077201897.191612</v>
      </c>
      <c r="C6" s="39">
        <f>+'[3]Report AUNE'!C30</f>
        <v>45961</v>
      </c>
      <c r="D6">
        <f>+'[3]Report AUNE'!D30</f>
        <v>0</v>
      </c>
      <c r="E6" s="35">
        <f>+'[3]Report AUNE'!E30</f>
        <v>-119694683744.0338</v>
      </c>
    </row>
    <row r="7" spans="1:5" x14ac:dyDescent="0.35">
      <c r="A7" t="str">
        <f>+'[3]Report AUNE'!A32</f>
        <v>[0483] COPPOLA INVERSIONES S.A.</v>
      </c>
      <c r="B7" s="38">
        <f>+'[3]Report AUNE'!B32</f>
        <v>904183237.48453021</v>
      </c>
      <c r="C7" s="39">
        <f>+'[3]Report AUNE'!C32</f>
        <v>45961</v>
      </c>
      <c r="D7">
        <f>+'[3]Report AUNE'!D32</f>
        <v>0</v>
      </c>
      <c r="E7" s="35">
        <f>+'[3]Report AUNE'!E32</f>
        <v>-117875004556.54306</v>
      </c>
    </row>
    <row r="8" spans="1:5" x14ac:dyDescent="0.35">
      <c r="A8" t="str">
        <f>+'[3]Report AUNE'!A33</f>
        <v>[0486] UG VALORES S.A.</v>
      </c>
      <c r="B8" s="38">
        <f>+'[3]Report AUNE'!B33</f>
        <v>-37723231813.210907</v>
      </c>
      <c r="C8" s="39">
        <f>+'[3]Report AUNE'!C33</f>
        <v>45961</v>
      </c>
      <c r="D8">
        <f>+'[3]Report AUNE'!D33</f>
        <v>0</v>
      </c>
      <c r="E8" s="35">
        <f>+'[3]Report AUNE'!E33</f>
        <v>-71190719746.223557</v>
      </c>
    </row>
    <row r="9" spans="1:5" x14ac:dyDescent="0.35">
      <c r="A9" t="str">
        <f>+'[3]Report AUNE'!A77</f>
        <v>[0834] INVERFIN S.A.</v>
      </c>
      <c r="B9" s="38">
        <f>+'[3]Report AUNE'!B77</f>
        <v>-436723889.13846999</v>
      </c>
      <c r="C9" s="39">
        <f>+'[3]Report AUNE'!C77</f>
        <v>45961</v>
      </c>
      <c r="D9">
        <f>+'[3]Report AUNE'!D77</f>
        <v>0</v>
      </c>
      <c r="E9" s="35">
        <f>+'[3]Report AUNE'!E77</f>
        <v>-66019052983.468941</v>
      </c>
    </row>
    <row r="10" spans="1:5" x14ac:dyDescent="0.35">
      <c r="A10" t="str">
        <f>+'[3]Report AUNE'!A48</f>
        <v>[0624] LISTRO Valores S.A.</v>
      </c>
      <c r="B10" s="38">
        <f>+'[3]Report AUNE'!B48</f>
        <v>-1122179949.2535789</v>
      </c>
      <c r="C10" s="39">
        <f>+'[3]Report AUNE'!C48</f>
        <v>45961</v>
      </c>
      <c r="D10">
        <f>+'[3]Report AUNE'!D48</f>
        <v>0</v>
      </c>
      <c r="E10" s="35">
        <f>+'[3]Report AUNE'!E48</f>
        <v>-62987166429.890434</v>
      </c>
    </row>
    <row r="11" spans="1:5" x14ac:dyDescent="0.35">
      <c r="A11" t="str">
        <f>+'[3]Report AUNE'!A14</f>
        <v>[0401] AVANTIA VALORES S.A.</v>
      </c>
      <c r="B11" s="38">
        <f>+'[3]Report AUNE'!B14</f>
        <v>-4186457750.2509937</v>
      </c>
      <c r="C11" s="39">
        <f>+'[3]Report AUNE'!C14</f>
        <v>45961</v>
      </c>
      <c r="D11">
        <f>+'[3]Report AUNE'!D14</f>
        <v>0</v>
      </c>
      <c r="E11" s="35">
        <f>+'[3]Report AUNE'!E14</f>
        <v>-50163671853.353645</v>
      </c>
    </row>
    <row r="12" spans="1:5" x14ac:dyDescent="0.35">
      <c r="A12" t="str">
        <f>+'[3]Report AUNE'!A11</f>
        <v>[0345] Beta Group Inversiones S.A.</v>
      </c>
      <c r="B12" s="38">
        <f>+'[3]Report AUNE'!B11</f>
        <v>-6576994595.514946</v>
      </c>
      <c r="C12" s="39">
        <f>+'[3]Report AUNE'!C11</f>
        <v>45961</v>
      </c>
      <c r="D12">
        <f>+'[3]Report AUNE'!D11</f>
        <v>0</v>
      </c>
      <c r="E12" s="35">
        <f>+'[3]Report AUNE'!E11</f>
        <v>-48147631591.888519</v>
      </c>
    </row>
    <row r="13" spans="1:5" x14ac:dyDescent="0.35">
      <c r="A13" t="str">
        <f>+'[3]Report AUNE'!A36</f>
        <v>[0534] Múltiplo Bursátil S.A.</v>
      </c>
      <c r="B13" s="38">
        <f>+'[3]Report AUNE'!B36</f>
        <v>-18709433354.380177</v>
      </c>
      <c r="C13" s="39">
        <f>+'[3]Report AUNE'!C36</f>
        <v>45961</v>
      </c>
      <c r="D13">
        <f>+'[3]Report AUNE'!D36</f>
        <v>0</v>
      </c>
      <c r="E13" s="35">
        <f>+'[3]Report AUNE'!E36</f>
        <v>-47092111865.436668</v>
      </c>
    </row>
    <row r="14" spans="1:5" x14ac:dyDescent="0.35">
      <c r="A14" t="str">
        <f>+'[3]Report AUNE'!A75</f>
        <v>[0817] VALO SECURITIES S.A.U.</v>
      </c>
      <c r="B14" s="38">
        <f>+'[3]Report AUNE'!B75</f>
        <v>41215909241.120811</v>
      </c>
      <c r="C14" s="39">
        <f>+'[3]Report AUNE'!C75</f>
        <v>45961</v>
      </c>
      <c r="D14">
        <f>+'[3]Report AUNE'!D75</f>
        <v>0</v>
      </c>
      <c r="E14" s="35">
        <f>+'[3]Report AUNE'!E75</f>
        <v>-42556780812.444862</v>
      </c>
    </row>
    <row r="15" spans="1:5" x14ac:dyDescent="0.35">
      <c r="A15" t="str">
        <f>+'[3]Report AUNE'!A74</f>
        <v>[0816] CZ WEALTH MANAGEMENT S.A.</v>
      </c>
      <c r="B15" s="38">
        <f>+'[3]Report AUNE'!B74</f>
        <v>2965140777.3411002</v>
      </c>
      <c r="C15" s="39">
        <f>+'[3]Report AUNE'!C74</f>
        <v>45961</v>
      </c>
      <c r="D15">
        <f>+'[3]Report AUNE'!D74</f>
        <v>0</v>
      </c>
      <c r="E15" s="35">
        <f>+'[3]Report AUNE'!E74</f>
        <v>-41972397046.340469</v>
      </c>
    </row>
    <row r="16" spans="1:5" x14ac:dyDescent="0.35">
      <c r="A16" t="str">
        <f>+'[3]Report AUNE'!A35</f>
        <v>[0493] CONECTAR BURSÁTIL S.A.</v>
      </c>
      <c r="B16" s="38">
        <f>+'[3]Report AUNE'!B35</f>
        <v>-136202127.74981898</v>
      </c>
      <c r="C16" s="39">
        <f>+'[3]Report AUNE'!C35</f>
        <v>45961</v>
      </c>
      <c r="D16">
        <f>+'[3]Report AUNE'!D35</f>
        <v>0</v>
      </c>
      <c r="E16" s="35">
        <f>+'[3]Report AUNE'!E35</f>
        <v>-36494410852.543198</v>
      </c>
    </row>
    <row r="17" spans="1:5" x14ac:dyDescent="0.35">
      <c r="A17" t="str">
        <f>+'[3]Report AUNE'!A57</f>
        <v>[0717] Barrilli S.A.</v>
      </c>
      <c r="B17" s="38">
        <f>+'[3]Report AUNE'!B57</f>
        <v>-6322939413.234705</v>
      </c>
      <c r="C17" s="39">
        <f>+'[3]Report AUNE'!C57</f>
        <v>45961</v>
      </c>
      <c r="D17">
        <f>+'[3]Report AUNE'!D57</f>
        <v>0</v>
      </c>
      <c r="E17" s="35">
        <f>+'[3]Report AUNE'!E57</f>
        <v>-23261178291.61068</v>
      </c>
    </row>
    <row r="18" spans="1:5" x14ac:dyDescent="0.35">
      <c r="A18" t="str">
        <f>+'[3]Report AUNE'!A56</f>
        <v>[0687] DFC Capital Management S.A.</v>
      </c>
      <c r="B18" s="38">
        <f>+'[3]Report AUNE'!B56</f>
        <v>-989349493.85360003</v>
      </c>
      <c r="C18" s="39">
        <f>+'[3]Report AUNE'!C56</f>
        <v>45961</v>
      </c>
      <c r="D18">
        <f>+'[3]Report AUNE'!D56</f>
        <v>0</v>
      </c>
      <c r="E18" s="35">
        <f>+'[3]Report AUNE'!E56</f>
        <v>-22871066888.411697</v>
      </c>
    </row>
    <row r="19" spans="1:5" x14ac:dyDescent="0.35">
      <c r="A19" t="str">
        <f>+'[3]Report AUNE'!A34</f>
        <v>[0492] REGIONAL INVESTMENT CONSULTING S.A.</v>
      </c>
      <c r="B19" s="38">
        <f>+'[3]Report AUNE'!B34</f>
        <v>-8743797094.6855793</v>
      </c>
      <c r="C19" s="39">
        <f>+'[3]Report AUNE'!C34</f>
        <v>45961</v>
      </c>
      <c r="D19">
        <f>+'[3]Report AUNE'!D34</f>
        <v>0</v>
      </c>
      <c r="E19" s="35">
        <f>+'[3]Report AUNE'!E34</f>
        <v>-20793071099.13253</v>
      </c>
    </row>
    <row r="20" spans="1:5" x14ac:dyDescent="0.35">
      <c r="A20" t="str">
        <f>+'[3]Report AUNE'!A61</f>
        <v>[0758] GOROSTIAGA BURSATIL S.A.</v>
      </c>
      <c r="B20" s="38">
        <f>+'[3]Report AUNE'!B61</f>
        <v>-2451506464.4069009</v>
      </c>
      <c r="C20" s="39">
        <f>+'[3]Report AUNE'!C61</f>
        <v>45961</v>
      </c>
      <c r="D20">
        <f>+'[3]Report AUNE'!D61</f>
        <v>0</v>
      </c>
      <c r="E20" s="35">
        <f>+'[3]Report AUNE'!E61</f>
        <v>-16532388641.157776</v>
      </c>
    </row>
    <row r="21" spans="1:5" x14ac:dyDescent="0.35">
      <c r="A21" t="str">
        <f>+'[3]Report AUNE'!A38</f>
        <v>[0560] Omega Bursátil S.A.</v>
      </c>
      <c r="B21" s="38">
        <f>+'[3]Report AUNE'!B38</f>
        <v>-641134816.69646811</v>
      </c>
      <c r="C21" s="39">
        <f>+'[3]Report AUNE'!C38</f>
        <v>45961</v>
      </c>
      <c r="D21">
        <f>+'[3]Report AUNE'!D38</f>
        <v>0</v>
      </c>
      <c r="E21" s="35">
        <f>+'[3]Report AUNE'!E38</f>
        <v>-15028885520.844835</v>
      </c>
    </row>
    <row r="22" spans="1:5" x14ac:dyDescent="0.35">
      <c r="A22" t="str">
        <f>+'[3]Report AUNE'!A22</f>
        <v>[0423] REAL MARKET S.A.</v>
      </c>
      <c r="B22" s="38">
        <f>+'[3]Report AUNE'!B22</f>
        <v>-3241095603.311234</v>
      </c>
      <c r="C22" s="39">
        <f>+'[3]Report AUNE'!C22</f>
        <v>45961</v>
      </c>
      <c r="D22">
        <f>+'[3]Report AUNE'!D22</f>
        <v>0</v>
      </c>
      <c r="E22" s="35">
        <f>+'[3]Report AUNE'!E22</f>
        <v>-13669192018.758701</v>
      </c>
    </row>
    <row r="23" spans="1:5" x14ac:dyDescent="0.35">
      <c r="A23" t="str">
        <f>+'[3]Report AUNE'!A43</f>
        <v>[0602] Fernando Bibe e Hijos S.A.</v>
      </c>
      <c r="B23" s="38">
        <f>+'[3]Report AUNE'!B43</f>
        <v>-107687681.90805</v>
      </c>
      <c r="C23" s="39">
        <f>+'[3]Report AUNE'!C43</f>
        <v>45961</v>
      </c>
      <c r="D23">
        <f>+'[3]Report AUNE'!D43</f>
        <v>0</v>
      </c>
      <c r="E23" s="35">
        <f>+'[3]Report AUNE'!E43</f>
        <v>-12103106154.6525</v>
      </c>
    </row>
    <row r="24" spans="1:5" x14ac:dyDescent="0.35">
      <c r="A24" t="str">
        <f>+'[3]Report AUNE'!A64</f>
        <v>[0766] AWA GLOBAL S.A.</v>
      </c>
      <c r="B24" s="38">
        <f>+'[3]Report AUNE'!B64</f>
        <v>-1982031731.6920149</v>
      </c>
      <c r="C24" s="39">
        <f>+'[3]Report AUNE'!C64</f>
        <v>45961</v>
      </c>
      <c r="D24">
        <f>+'[3]Report AUNE'!D64</f>
        <v>0</v>
      </c>
      <c r="E24" s="35">
        <f>+'[3]Report AUNE'!E64</f>
        <v>-11045100352.481306</v>
      </c>
    </row>
    <row r="25" spans="1:5" x14ac:dyDescent="0.35">
      <c r="A25" t="str">
        <f>+'[3]Report AUNE'!A25</f>
        <v>[0435] Inverstart SA</v>
      </c>
      <c r="B25" s="38">
        <f>+'[3]Report AUNE'!B25</f>
        <v>-496843026.64399999</v>
      </c>
      <c r="C25" s="39">
        <f>+'[3]Report AUNE'!C25</f>
        <v>45961</v>
      </c>
      <c r="D25">
        <f>+'[3]Report AUNE'!D25</f>
        <v>0</v>
      </c>
      <c r="E25" s="35">
        <f>+'[3]Report AUNE'!E25</f>
        <v>-9743982990.0389996</v>
      </c>
    </row>
    <row r="26" spans="1:5" x14ac:dyDescent="0.35">
      <c r="A26" t="str">
        <f>+'[3]Report AUNE'!A63</f>
        <v>[0765] Hoss S.A</v>
      </c>
      <c r="B26" s="38">
        <f>+'[3]Report AUNE'!B63</f>
        <v>-162342598.1304</v>
      </c>
      <c r="C26" s="39">
        <f>+'[3]Report AUNE'!C63</f>
        <v>45961</v>
      </c>
      <c r="D26">
        <f>+'[3]Report AUNE'!D63</f>
        <v>0</v>
      </c>
      <c r="E26" s="35">
        <f>+'[3]Report AUNE'!E63</f>
        <v>-8797151893.340559</v>
      </c>
    </row>
    <row r="27" spans="1:5" x14ac:dyDescent="0.35">
      <c r="A27" t="str">
        <f>+'[3]Report AUNE'!A28</f>
        <v>[0465] Industria Compañía Bursátil S.A.</v>
      </c>
      <c r="B27" s="38">
        <f>+'[3]Report AUNE'!B28</f>
        <v>-3097123003.8038111</v>
      </c>
      <c r="C27" s="39">
        <f>+'[3]Report AUNE'!C28</f>
        <v>45961</v>
      </c>
      <c r="D27">
        <f>+'[3]Report AUNE'!D28</f>
        <v>0</v>
      </c>
      <c r="E27" s="35">
        <f>+'[3]Report AUNE'!E28</f>
        <v>-8504950703.9392548</v>
      </c>
    </row>
    <row r="28" spans="1:5" x14ac:dyDescent="0.35">
      <c r="A28" t="str">
        <f>+'[3]Report AUNE'!A10</f>
        <v>[0344] Bafomet SA</v>
      </c>
      <c r="B28" s="38">
        <f>+'[3]Report AUNE'!B10</f>
        <v>-885762711.86442006</v>
      </c>
      <c r="C28" s="39">
        <f>+'[3]Report AUNE'!C10</f>
        <v>45961</v>
      </c>
      <c r="D28">
        <f>+'[3]Report AUNE'!D10</f>
        <v>0</v>
      </c>
      <c r="E28" s="35">
        <f>+'[3]Report AUNE'!E10</f>
        <v>-7994306831.1195688</v>
      </c>
    </row>
    <row r="29" spans="1:5" x14ac:dyDescent="0.35">
      <c r="A29" t="str">
        <f>+'[3]Report AUNE'!A73</f>
        <v>[0812] San Cristóbal Servicios Financieros S.A.</v>
      </c>
      <c r="B29" s="38">
        <f>+'[3]Report AUNE'!B73</f>
        <v>3734233341.877049</v>
      </c>
      <c r="C29" s="39">
        <f>+'[3]Report AUNE'!C73</f>
        <v>45961</v>
      </c>
      <c r="D29">
        <f>+'[3]Report AUNE'!D73</f>
        <v>0</v>
      </c>
      <c r="E29" s="35">
        <f>+'[3]Report AUNE'!E73</f>
        <v>-7937347986.2717848</v>
      </c>
    </row>
    <row r="30" spans="1:5" x14ac:dyDescent="0.35">
      <c r="A30" t="str">
        <f>+'[3]Report AUNE'!A40</f>
        <v>[0568] AXON CAPITAL S.A.</v>
      </c>
      <c r="B30" s="38">
        <f>+'[3]Report AUNE'!B40</f>
        <v>-3782716360.6636939</v>
      </c>
      <c r="C30" s="39">
        <f>+'[3]Report AUNE'!C40</f>
        <v>45961</v>
      </c>
      <c r="D30">
        <f>+'[3]Report AUNE'!D40</f>
        <v>0</v>
      </c>
      <c r="E30" s="35">
        <f>+'[3]Report AUNE'!E40</f>
        <v>-5740183781.3556213</v>
      </c>
    </row>
    <row r="31" spans="1:5" x14ac:dyDescent="0.35">
      <c r="A31" t="str">
        <f>+'[3]Report AUNE'!A71</f>
        <v>[0806] INVERSIONES CUYANAS S.A.</v>
      </c>
      <c r="B31" s="38">
        <f>+'[3]Report AUNE'!B71</f>
        <v>-1529665578.919518</v>
      </c>
      <c r="C31" s="39">
        <f>+'[3]Report AUNE'!C71</f>
        <v>45961</v>
      </c>
      <c r="D31">
        <f>+'[3]Report AUNE'!D71</f>
        <v>0</v>
      </c>
      <c r="E31" s="35">
        <f>+'[3]Report AUNE'!E71</f>
        <v>-5603143437.6150732</v>
      </c>
    </row>
    <row r="32" spans="1:5" x14ac:dyDescent="0.35">
      <c r="A32" t="str">
        <f>+'[3]Report AUNE'!A39</f>
        <v>[0565] BUENOS AIRES CREDITOS Y VALORES SOCIEDAD ANONIMA</v>
      </c>
      <c r="B32" s="38">
        <f>+'[3]Report AUNE'!B39</f>
        <v>1711991646.1949999</v>
      </c>
      <c r="C32" s="39">
        <f>+'[3]Report AUNE'!C39</f>
        <v>45961</v>
      </c>
      <c r="D32">
        <f>+'[3]Report AUNE'!D39</f>
        <v>0</v>
      </c>
      <c r="E32" s="35">
        <f>+'[3]Report AUNE'!E39</f>
        <v>-5438736466.9938831</v>
      </c>
    </row>
    <row r="33" spans="1:5" x14ac:dyDescent="0.35">
      <c r="A33" t="str">
        <f>+'[3]Report AUNE'!A16</f>
        <v>[0405] PUERTOS SRL</v>
      </c>
      <c r="B33" s="38">
        <f>+'[3]Report AUNE'!B16</f>
        <v>-1678604091.4889891</v>
      </c>
      <c r="C33" s="39">
        <f>+'[3]Report AUNE'!C16</f>
        <v>45961</v>
      </c>
      <c r="D33">
        <f>+'[3]Report AUNE'!D16</f>
        <v>0</v>
      </c>
      <c r="E33" s="35">
        <f>+'[3]Report AUNE'!E16</f>
        <v>-4148909484.3225856</v>
      </c>
    </row>
    <row r="34" spans="1:5" x14ac:dyDescent="0.35">
      <c r="A34" t="str">
        <f>+'[3]Report AUNE'!A23</f>
        <v>[0424] Vector Investments S.A.</v>
      </c>
      <c r="B34" s="38">
        <f>+'[3]Report AUNE'!B23</f>
        <v>-221320039.31990001</v>
      </c>
      <c r="C34" s="39">
        <f>+'[3]Report AUNE'!C23</f>
        <v>45961</v>
      </c>
      <c r="D34">
        <f>+'[3]Report AUNE'!D23</f>
        <v>0</v>
      </c>
      <c r="E34" s="35">
        <f>+'[3]Report AUNE'!E23</f>
        <v>-3912175071.6502624</v>
      </c>
    </row>
    <row r="35" spans="1:5" x14ac:dyDescent="0.35">
      <c r="A35" t="str">
        <f>+'[3]Report AUNE'!A37</f>
        <v>[0554] Zona Bursátil S.A.</v>
      </c>
      <c r="B35" s="38">
        <f>+'[3]Report AUNE'!B37</f>
        <v>-2884190401.8630438</v>
      </c>
      <c r="C35" s="39">
        <f>+'[3]Report AUNE'!C37</f>
        <v>45961</v>
      </c>
      <c r="D35">
        <f>+'[3]Report AUNE'!D37</f>
        <v>0</v>
      </c>
      <c r="E35" s="35">
        <f>+'[3]Report AUNE'!E37</f>
        <v>-3836742662.9432445</v>
      </c>
    </row>
    <row r="36" spans="1:5" x14ac:dyDescent="0.35">
      <c r="A36" t="str">
        <f>+'[3]Report AUNE'!A20</f>
        <v>[0417] Palm Inversiones S.A.</v>
      </c>
      <c r="B36" s="38">
        <f>+'[3]Report AUNE'!B20</f>
        <v>-19820989.600000001</v>
      </c>
      <c r="C36" s="39">
        <f>+'[3]Report AUNE'!C20</f>
        <v>45961</v>
      </c>
      <c r="D36">
        <f>+'[3]Report AUNE'!D20</f>
        <v>0</v>
      </c>
      <c r="E36" s="35">
        <f>+'[3]Report AUNE'!E20</f>
        <v>-3293924048.6321998</v>
      </c>
    </row>
    <row r="37" spans="1:5" x14ac:dyDescent="0.35">
      <c r="A37" t="str">
        <f>+'[3]Report AUNE'!A79</f>
        <v>[0865] GLOBAL MARKET S.A.</v>
      </c>
      <c r="B37" s="38">
        <f>+'[3]Report AUNE'!B79</f>
        <v>689284431.04400003</v>
      </c>
      <c r="C37" s="39">
        <f>+'[3]Report AUNE'!C79</f>
        <v>45961</v>
      </c>
      <c r="D37">
        <f>+'[3]Report AUNE'!D79</f>
        <v>0</v>
      </c>
      <c r="E37" s="35">
        <f>+'[3]Report AUNE'!E79</f>
        <v>-2927104536.9159999</v>
      </c>
    </row>
    <row r="38" spans="1:5" x14ac:dyDescent="0.35">
      <c r="A38" t="str">
        <f>+'[3]Report AUNE'!A26</f>
        <v>[0447] BAMBA VALORES SA</v>
      </c>
      <c r="B38" s="38">
        <f>+'[3]Report AUNE'!B26</f>
        <v>-1297049650.9340479</v>
      </c>
      <c r="C38" s="39">
        <f>+'[3]Report AUNE'!C26</f>
        <v>45961</v>
      </c>
      <c r="D38">
        <f>+'[3]Report AUNE'!D26</f>
        <v>0</v>
      </c>
      <c r="E38" s="35">
        <f>+'[3]Report AUNE'!E26</f>
        <v>-2774860399.3700004</v>
      </c>
    </row>
    <row r="39" spans="1:5" x14ac:dyDescent="0.35">
      <c r="A39" t="str">
        <f>+'[3]Report AUNE'!A80</f>
        <v>[0868] WETPAMPEAN HDRR S.A.</v>
      </c>
      <c r="B39" s="38">
        <f>+'[3]Report AUNE'!B80</f>
        <v>-751849364.32015049</v>
      </c>
      <c r="C39" s="39">
        <f>+'[3]Report AUNE'!C80</f>
        <v>45961</v>
      </c>
      <c r="D39">
        <f>+'[3]Report AUNE'!D80</f>
        <v>0</v>
      </c>
      <c r="E39" s="35">
        <f>+'[3]Report AUNE'!E80</f>
        <v>-2662896635.0304847</v>
      </c>
    </row>
    <row r="40" spans="1:5" x14ac:dyDescent="0.35">
      <c r="A40" t="str">
        <f>+'[3]Report AUNE'!A72</f>
        <v>[0811] VERLIN CAPITAL S.A.</v>
      </c>
      <c r="B40" s="38">
        <f>+'[3]Report AUNE'!B72</f>
        <v>-490989479.17603898</v>
      </c>
      <c r="C40" s="39">
        <f>+'[3]Report AUNE'!C72</f>
        <v>45961</v>
      </c>
      <c r="D40">
        <f>+'[3]Report AUNE'!D72</f>
        <v>0</v>
      </c>
      <c r="E40" s="35">
        <f>+'[3]Report AUNE'!E72</f>
        <v>-2495269745.8270388</v>
      </c>
    </row>
    <row r="41" spans="1:5" x14ac:dyDescent="0.35">
      <c r="A41" t="str">
        <f>+'[3]Report AUNE'!A78</f>
        <v>[0852] MG ALFA S.A.</v>
      </c>
      <c r="B41" s="38">
        <f>+'[3]Report AUNE'!B78</f>
        <v>-650664792.91199994</v>
      </c>
      <c r="C41" s="39">
        <f>+'[3]Report AUNE'!C78</f>
        <v>45961</v>
      </c>
      <c r="D41">
        <f>+'[3]Report AUNE'!D78</f>
        <v>0</v>
      </c>
      <c r="E41" s="35">
        <f>+'[3]Report AUNE'!E78</f>
        <v>-1890357070.3496752</v>
      </c>
    </row>
    <row r="42" spans="1:5" x14ac:dyDescent="0.35">
      <c r="A42" t="str">
        <f>+'[3]Report AUNE'!A12</f>
        <v>[0346] CAFER CL</v>
      </c>
      <c r="B42" s="38">
        <f>+'[3]Report AUNE'!B12</f>
        <v>-664803474.60000002</v>
      </c>
      <c r="C42" s="39">
        <f>+'[3]Report AUNE'!C12</f>
        <v>45961</v>
      </c>
      <c r="D42">
        <f>+'[3]Report AUNE'!D12</f>
        <v>0</v>
      </c>
      <c r="E42" s="35">
        <f>+'[3]Report AUNE'!E12</f>
        <v>-1497560852.33706</v>
      </c>
    </row>
    <row r="43" spans="1:5" x14ac:dyDescent="0.35">
      <c r="A43" t="str">
        <f>+'[3]Report AUNE'!A15</f>
        <v>[0403] SOLA CEREALES S.A.</v>
      </c>
      <c r="B43" s="38">
        <f>+'[3]Report AUNE'!B15</f>
        <v>-561422.05305999995</v>
      </c>
      <c r="C43" s="39">
        <f>+'[3]Report AUNE'!C15</f>
        <v>45961</v>
      </c>
      <c r="D43">
        <f>+'[3]Report AUNE'!D15</f>
        <v>0</v>
      </c>
      <c r="E43" s="35">
        <f>+'[3]Report AUNE'!E15</f>
        <v>-1479771720.83306</v>
      </c>
    </row>
    <row r="44" spans="1:5" x14ac:dyDescent="0.35">
      <c r="A44" t="str">
        <f>+'[3]Report AUNE'!A81</f>
        <v>[0875] MANTA Cia. Inversora S.A.</v>
      </c>
      <c r="B44" s="38">
        <f>+'[3]Report AUNE'!B81</f>
        <v>-935069.36005699995</v>
      </c>
      <c r="C44" s="39">
        <f>+'[3]Report AUNE'!C81</f>
        <v>45961</v>
      </c>
      <c r="D44">
        <f>+'[3]Report AUNE'!D81</f>
        <v>0</v>
      </c>
      <c r="E44" s="35">
        <f>+'[3]Report AUNE'!E81</f>
        <v>-1365172710.9790235</v>
      </c>
    </row>
    <row r="45" spans="1:5" x14ac:dyDescent="0.35">
      <c r="A45" t="str">
        <f>+'[3]Report AUNE'!A68</f>
        <v xml:space="preserve">[0794] ELYCA SERVICIOS GLOBALES S.A. </v>
      </c>
      <c r="B45" s="38">
        <f>+'[3]Report AUNE'!B68</f>
        <v>-71128196.497600004</v>
      </c>
      <c r="C45" s="39">
        <f>+'[3]Report AUNE'!C68</f>
        <v>45961</v>
      </c>
      <c r="D45">
        <f>+'[3]Report AUNE'!D68</f>
        <v>0</v>
      </c>
      <c r="E45" s="35">
        <f>+'[3]Report AUNE'!E68</f>
        <v>-1246094152.2213869</v>
      </c>
    </row>
    <row r="46" spans="1:5" x14ac:dyDescent="0.35">
      <c r="A46" t="str">
        <f>+'[3]Report AUNE'!A87</f>
        <v>[655] FUTUROS Y OPCIONES.COM S.A</v>
      </c>
      <c r="B46" s="38">
        <f>+'[3]Report AUNE'!B87</f>
        <v>-30730903</v>
      </c>
      <c r="C46" s="39">
        <f>+'[3]Report AUNE'!C87</f>
        <v>45961</v>
      </c>
      <c r="D46">
        <f>+'[3]Report AUNE'!D87</f>
        <v>0</v>
      </c>
      <c r="E46" s="35">
        <f>+'[3]Report AUNE'!E87</f>
        <v>-1091314066.2624974</v>
      </c>
    </row>
    <row r="47" spans="1:5" x14ac:dyDescent="0.35">
      <c r="A47" t="str">
        <f>+'[3]Report AUNE'!A76</f>
        <v>[0821] LANIN CAPITAL S.A.</v>
      </c>
      <c r="B47" s="38">
        <f>+'[3]Report AUNE'!B76</f>
        <v>-14908153.51</v>
      </c>
      <c r="C47" s="39">
        <f>+'[3]Report AUNE'!C76</f>
        <v>45961</v>
      </c>
      <c r="D47">
        <f>+'[3]Report AUNE'!D76</f>
        <v>0</v>
      </c>
      <c r="E47" s="35">
        <f>+'[3]Report AUNE'!E76</f>
        <v>-661249024.74899995</v>
      </c>
    </row>
    <row r="48" spans="1:5" x14ac:dyDescent="0.35">
      <c r="A48" t="str">
        <f>+'[3]Report AUNE'!A67</f>
        <v>[0789] A &amp; J NARI S.A.</v>
      </c>
      <c r="B48" s="38">
        <f>+'[3]Report AUNE'!B67</f>
        <v>-497898141.20999998</v>
      </c>
      <c r="C48" s="39">
        <f>+'[3]Report AUNE'!C67</f>
        <v>45961</v>
      </c>
      <c r="D48">
        <f>+'[3]Report AUNE'!D67</f>
        <v>0</v>
      </c>
      <c r="E48" s="35">
        <f>+'[3]Report AUNE'!E67</f>
        <v>-582203907.46319997</v>
      </c>
    </row>
    <row r="49" spans="1:5" x14ac:dyDescent="0.35">
      <c r="A49" t="str">
        <f>+'[3]Report AUNE'!A42</f>
        <v>[0599] PSA La California S.A.</v>
      </c>
      <c r="B49" s="38">
        <f>+'[3]Report AUNE'!B42</f>
        <v>-26789486.442260001</v>
      </c>
      <c r="C49" s="39">
        <f>+'[3]Report AUNE'!C42</f>
        <v>45961</v>
      </c>
      <c r="D49">
        <f>+'[3]Report AUNE'!D42</f>
        <v>0</v>
      </c>
      <c r="E49" s="35">
        <f>+'[3]Report AUNE'!E42</f>
        <v>-580108380.93220031</v>
      </c>
    </row>
    <row r="50" spans="1:5" x14ac:dyDescent="0.35">
      <c r="A50" t="str">
        <f>+'[3]Report AUNE'!A89</f>
        <v>[9413] Boero y CIA SA</v>
      </c>
      <c r="B50" s="38">
        <f>+'[3]Report AUNE'!B89</f>
        <v>-212199.54209999999</v>
      </c>
      <c r="C50" s="39">
        <f>+'[3]Report AUNE'!C89</f>
        <v>45961</v>
      </c>
      <c r="D50">
        <f>+'[3]Report AUNE'!D89</f>
        <v>0</v>
      </c>
      <c r="E50" s="35">
        <f>+'[3]Report AUNE'!E89</f>
        <v>-299221123.54210001</v>
      </c>
    </row>
    <row r="51" spans="1:5" x14ac:dyDescent="0.35">
      <c r="A51" t="str">
        <f>+'[3]Report AUNE'!A70</f>
        <v>[0803] MT CAPITAL S.A.</v>
      </c>
      <c r="B51" s="38">
        <f>+'[3]Report AUNE'!B70</f>
        <v>-276343.05499999999</v>
      </c>
      <c r="C51" s="39">
        <f>+'[3]Report AUNE'!C70</f>
        <v>45961</v>
      </c>
      <c r="D51">
        <f>+'[3]Report AUNE'!D70</f>
        <v>0</v>
      </c>
      <c r="E51" s="35">
        <f>+'[3]Report AUNE'!E70</f>
        <v>-266147303.89500001</v>
      </c>
    </row>
    <row r="52" spans="1:5" x14ac:dyDescent="0.35">
      <c r="A52" t="str">
        <f>+'[3]Report AUNE'!A18</f>
        <v>[0410] AGROINVERSIONES PAMPEANAS SA</v>
      </c>
      <c r="B52" s="38">
        <f>+'[3]Report AUNE'!B18</f>
        <v>-178765192.84</v>
      </c>
      <c r="C52" s="39">
        <f>+'[3]Report AUNE'!C18</f>
        <v>45961</v>
      </c>
      <c r="D52">
        <f>+'[3]Report AUNE'!D18</f>
        <v>0</v>
      </c>
      <c r="E52" s="35">
        <f>+'[3]Report AUNE'!E18</f>
        <v>-262025811.59599999</v>
      </c>
    </row>
    <row r="53" spans="1:5" x14ac:dyDescent="0.35">
      <c r="A53" t="str">
        <f>+'[3]Report AUNE'!A90</f>
        <v>[9414] MERCADO INTERNO SA</v>
      </c>
      <c r="B53" s="38">
        <f>+'[3]Report AUNE'!B90</f>
        <v>439571.662694</v>
      </c>
      <c r="C53" s="39">
        <f>+'[3]Report AUNE'!C90</f>
        <v>45961</v>
      </c>
      <c r="D53">
        <f>+'[3]Report AUNE'!D90</f>
        <v>0</v>
      </c>
      <c r="E53" s="35">
        <f>+'[3]Report AUNE'!E90</f>
        <v>-246523096.71230599</v>
      </c>
    </row>
    <row r="54" spans="1:5" x14ac:dyDescent="0.35">
      <c r="A54" t="str">
        <f>+'[3]Report AUNE'!A41</f>
        <v>[0592] América Valores S.A.</v>
      </c>
      <c r="B54" s="38">
        <f>+'[3]Report AUNE'!B41</f>
        <v>-1078242.5481</v>
      </c>
      <c r="C54" s="39">
        <f>+'[3]Report AUNE'!C41</f>
        <v>45961</v>
      </c>
      <c r="D54">
        <f>+'[3]Report AUNE'!D41</f>
        <v>0</v>
      </c>
      <c r="E54" s="35">
        <f>+'[3]Report AUNE'!E41</f>
        <v>-245210673.22077182</v>
      </c>
    </row>
    <row r="55" spans="1:5" x14ac:dyDescent="0.35">
      <c r="A55" t="str">
        <f>+'[3]Report AUNE'!A19</f>
        <v>[0412] CENTRO CORREDORA S.A.</v>
      </c>
      <c r="B55" s="38">
        <f>+'[3]Report AUNE'!B19</f>
        <v>-2582528.0692759999</v>
      </c>
      <c r="C55" s="39">
        <f>+'[3]Report AUNE'!C19</f>
        <v>45961</v>
      </c>
      <c r="D55">
        <f>+'[3]Report AUNE'!D19</f>
        <v>0</v>
      </c>
      <c r="E55" s="35">
        <f>+'[3]Report AUNE'!E19</f>
        <v>-157484238.29504615</v>
      </c>
    </row>
    <row r="56" spans="1:5" x14ac:dyDescent="0.35">
      <c r="A56" t="str">
        <f>+'[3]Report AUNE'!A6</f>
        <v>[0072] Avigliano y cia SRL</v>
      </c>
      <c r="B56" s="38">
        <f>+'[3]Report AUNE'!B6</f>
        <v>-6853251.116777</v>
      </c>
      <c r="C56" s="39">
        <f>+'[3]Report AUNE'!C6</f>
        <v>45961</v>
      </c>
      <c r="D56">
        <f>+'[3]Report AUNE'!D6</f>
        <v>0</v>
      </c>
      <c r="E56" s="35">
        <f>+'[3]Report AUNE'!E6</f>
        <v>-118536118.636777</v>
      </c>
    </row>
    <row r="57" spans="1:5" x14ac:dyDescent="0.35">
      <c r="A57" t="str">
        <f>+'[3]Report AUNE'!A21</f>
        <v>[0420] AGROMAR  S.R.L.</v>
      </c>
      <c r="B57" s="38">
        <f>+'[3]Report AUNE'!B21</f>
        <v>-4123636.50929</v>
      </c>
      <c r="C57" s="39">
        <f>+'[3]Report AUNE'!C21</f>
        <v>45961</v>
      </c>
      <c r="D57">
        <f>+'[3]Report AUNE'!D21</f>
        <v>0</v>
      </c>
      <c r="E57" s="35">
        <f>+'[3]Report AUNE'!E21</f>
        <v>-91044576.009289995</v>
      </c>
    </row>
    <row r="58" spans="1:5" x14ac:dyDescent="0.35">
      <c r="A58" t="str">
        <f>+'[3]Report AUNE'!A54</f>
        <v>[0649] Option Securities S.A.</v>
      </c>
      <c r="B58" s="38">
        <f>+'[3]Report AUNE'!B54</f>
        <v>-41400.254999999997</v>
      </c>
      <c r="C58" s="39">
        <f>+'[3]Report AUNE'!C54</f>
        <v>45961</v>
      </c>
      <c r="D58">
        <f>+'[3]Report AUNE'!D54</f>
        <v>0</v>
      </c>
      <c r="E58" s="35">
        <f>+'[3]Report AUNE'!E54</f>
        <v>-59195363.914999999</v>
      </c>
    </row>
    <row r="59" spans="1:5" x14ac:dyDescent="0.35">
      <c r="A59" t="str">
        <f>+'[3]Report AUNE'!A8</f>
        <v>[0278] SHILLING CAPITAL MARKETS S.A.</v>
      </c>
      <c r="B59" s="38">
        <f>+'[3]Report AUNE'!B8</f>
        <v>-29131612.710735999</v>
      </c>
      <c r="C59" s="39">
        <f>+'[3]Report AUNE'!C8</f>
        <v>45961</v>
      </c>
      <c r="D59">
        <f>+'[3]Report AUNE'!D8</f>
        <v>0</v>
      </c>
      <c r="E59" s="35">
        <f>+'[3]Report AUNE'!E8</f>
        <v>-55590009.934059411</v>
      </c>
    </row>
    <row r="60" spans="1:5" x14ac:dyDescent="0.35">
      <c r="A60" t="str">
        <f>+'[3]Report AUNE'!A83</f>
        <v>[1636] Alcorta Valores S.A.</v>
      </c>
      <c r="B60" s="38">
        <f>+'[3]Report AUNE'!B83</f>
        <v>-8555883.6955999993</v>
      </c>
      <c r="C60" s="39">
        <f>+'[3]Report AUNE'!C83</f>
        <v>45961</v>
      </c>
      <c r="D60">
        <f>+'[3]Report AUNE'!D83</f>
        <v>0</v>
      </c>
      <c r="E60" s="35">
        <f>+'[3]Report AUNE'!E83</f>
        <v>-32068046.275600001</v>
      </c>
    </row>
    <row r="61" spans="1:5" x14ac:dyDescent="0.35">
      <c r="A61" t="str">
        <f>+'[3]Report AUNE'!A66</f>
        <v>[0788] TARALLO S.A.</v>
      </c>
      <c r="B61" s="38">
        <f>+'[3]Report AUNE'!B66</f>
        <v>-2672651.0299999998</v>
      </c>
      <c r="C61" s="39">
        <f>+'[3]Report AUNE'!C66</f>
        <v>45961</v>
      </c>
      <c r="D61">
        <f>+'[3]Report AUNE'!D66</f>
        <v>0</v>
      </c>
      <c r="E61" s="35">
        <f>+'[3]Report AUNE'!E66</f>
        <v>-31456293.25</v>
      </c>
    </row>
    <row r="62" spans="1:5" x14ac:dyDescent="0.35">
      <c r="A62" t="str">
        <f>+'[3]Report AUNE'!A17</f>
        <v>[0409] Gafer Cereales</v>
      </c>
      <c r="B62" s="38">
        <f>+'[3]Report AUNE'!B17</f>
        <v>-499608.83</v>
      </c>
      <c r="C62" s="39">
        <f>+'[3]Report AUNE'!C17</f>
        <v>45961</v>
      </c>
      <c r="D62">
        <f>+'[3]Report AUNE'!D17</f>
        <v>0</v>
      </c>
      <c r="E62" s="35">
        <f>+'[3]Report AUNE'!E17</f>
        <v>-27506498.129999999</v>
      </c>
    </row>
    <row r="63" spans="1:5" x14ac:dyDescent="0.35">
      <c r="A63" t="str">
        <f>+'[3]Report AUNE'!A44</f>
        <v>[0619] BRIO Valores Agente de Liq. y Comp. S.A.</v>
      </c>
      <c r="B63" s="38">
        <f>+'[3]Report AUNE'!B44</f>
        <v>-1015021.59</v>
      </c>
      <c r="C63" s="39">
        <f>+'[3]Report AUNE'!C44</f>
        <v>45961</v>
      </c>
      <c r="D63">
        <f>+'[3]Report AUNE'!D44</f>
        <v>0</v>
      </c>
      <c r="E63" s="35">
        <f>+'[3]Report AUNE'!E44</f>
        <v>-20320043.809999999</v>
      </c>
    </row>
    <row r="64" spans="1:5" x14ac:dyDescent="0.35">
      <c r="A64" t="str">
        <f>+'[3]Report AUNE'!A13</f>
        <v>[0351]  Consultatio Investments S.A.</v>
      </c>
      <c r="B64" s="38">
        <f>+'[3]Report AUNE'!B13</f>
        <v>-30285.61</v>
      </c>
      <c r="C64" s="39">
        <f>+'[3]Report AUNE'!C13</f>
        <v>45961</v>
      </c>
      <c r="D64">
        <f>+'[3]Report AUNE'!D13</f>
        <v>0</v>
      </c>
      <c r="E64" s="35">
        <f>+'[3]Report AUNE'!E13</f>
        <v>-14238834.91</v>
      </c>
    </row>
    <row r="65" spans="1:5" x14ac:dyDescent="0.35">
      <c r="A65" t="str">
        <f>+'[3]Report AUNE'!A47</f>
        <v>[0623] NASINI S.B. S.A.</v>
      </c>
      <c r="B65" s="38">
        <f>+'[3]Report AUNE'!B47</f>
        <v>-41042.805</v>
      </c>
      <c r="C65" s="39">
        <f>+'[3]Report AUNE'!C47</f>
        <v>45961</v>
      </c>
      <c r="D65">
        <f>+'[3]Report AUNE'!D47</f>
        <v>0</v>
      </c>
      <c r="E65" s="35">
        <f>+'[3]Report AUNE'!E47</f>
        <v>-6853791.0449999999</v>
      </c>
    </row>
    <row r="66" spans="1:5" x14ac:dyDescent="0.35">
      <c r="A66" t="str">
        <f>+'[3]Report AUNE'!A62</f>
        <v>[0761] INTEGRAR SA</v>
      </c>
      <c r="B66" s="38">
        <f>+'[3]Report AUNE'!B62</f>
        <v>-58855.68</v>
      </c>
      <c r="C66" s="39">
        <f>+'[3]Report AUNE'!C62</f>
        <v>45961</v>
      </c>
      <c r="D66">
        <f>+'[3]Report AUNE'!D62</f>
        <v>0</v>
      </c>
      <c r="E66" s="35">
        <f>+'[3]Report AUNE'!E62</f>
        <v>-4291122.4000000004</v>
      </c>
    </row>
    <row r="67" spans="1:5" x14ac:dyDescent="0.35">
      <c r="A67" t="str">
        <f>+'[3]Report AUNE'!A88</f>
        <v>[9107] ACER CEREALES S.R.L</v>
      </c>
      <c r="B67" s="38">
        <f>+'[3]Report AUNE'!B88</f>
        <v>346887</v>
      </c>
      <c r="C67" s="39">
        <f>+'[3]Report AUNE'!C88</f>
        <v>45961</v>
      </c>
      <c r="D67">
        <f>+'[3]Report AUNE'!D88</f>
        <v>0</v>
      </c>
      <c r="E67" s="35">
        <f>+'[3]Report AUNE'!E88</f>
        <v>-2995074</v>
      </c>
    </row>
    <row r="68" spans="1:5" x14ac:dyDescent="0.35">
      <c r="A68" t="str">
        <f>+'[3]Report AUNE'!A45</f>
        <v>[0620] STC INVERSIONES S.A.</v>
      </c>
      <c r="B68" s="38">
        <f>+'[3]Report AUNE'!B45</f>
        <v>-93375.5</v>
      </c>
      <c r="C68" s="39">
        <f>+'[3]Report AUNE'!C45</f>
        <v>45961</v>
      </c>
      <c r="D68">
        <f>+'[3]Report AUNE'!D45</f>
        <v>0</v>
      </c>
      <c r="E68" s="35">
        <f>+'[3]Report AUNE'!E45</f>
        <v>-2795409.12</v>
      </c>
    </row>
    <row r="69" spans="1:5" x14ac:dyDescent="0.35">
      <c r="A69" t="str">
        <f>+'[3]Report AUNE'!A55</f>
        <v>[0668] FUTURO BURSATIL S.A.</v>
      </c>
      <c r="B69" s="38">
        <f>+'[3]Report AUNE'!B55</f>
        <v>-26824.76</v>
      </c>
      <c r="C69" s="39">
        <f>+'[3]Report AUNE'!C55</f>
        <v>45961</v>
      </c>
      <c r="D69">
        <f>+'[3]Report AUNE'!D55</f>
        <v>0</v>
      </c>
      <c r="E69" s="35">
        <f>+'[3]Report AUNE'!E55</f>
        <v>-2731710.52</v>
      </c>
    </row>
    <row r="70" spans="1:5" x14ac:dyDescent="0.35">
      <c r="A70" t="str">
        <f>+'[3]Report AUNE'!A46</f>
        <v>[0622] Stockbrokers S.A.</v>
      </c>
      <c r="B70" s="38">
        <f>+'[3]Report AUNE'!B46</f>
        <v>-6851.0649999999996</v>
      </c>
      <c r="C70" s="39">
        <f>+'[3]Report AUNE'!C46</f>
        <v>45961</v>
      </c>
      <c r="D70">
        <f>+'[3]Report AUNE'!D46</f>
        <v>0</v>
      </c>
      <c r="E70" s="35">
        <f>+'[3]Report AUNE'!E46</f>
        <v>-2073354.845</v>
      </c>
    </row>
    <row r="71" spans="1:5" x14ac:dyDescent="0.35">
      <c r="A71" t="str">
        <f>+'[3]Report AUNE'!A65</f>
        <v>[0776] DMA Broker S.A</v>
      </c>
      <c r="B71" s="38">
        <f>+'[3]Report AUNE'!B65</f>
        <v>-64020.51</v>
      </c>
      <c r="C71" s="39">
        <f>+'[3]Report AUNE'!C65</f>
        <v>45961</v>
      </c>
      <c r="D71">
        <f>+'[3]Report AUNE'!D65</f>
        <v>0</v>
      </c>
      <c r="E71" s="35">
        <f>+'[3]Report AUNE'!E65</f>
        <v>-1630027.59</v>
      </c>
    </row>
    <row r="72" spans="1:5" x14ac:dyDescent="0.35">
      <c r="A72" t="str">
        <f>+'[3]Report AUNE'!A58</f>
        <v>[0721] ALYCBUR S.A.</v>
      </c>
      <c r="B72" s="38">
        <f>+'[3]Report AUNE'!B58</f>
        <v>-6922.79</v>
      </c>
      <c r="C72" s="39">
        <f>+'[3]Report AUNE'!C58</f>
        <v>45961</v>
      </c>
      <c r="D72">
        <f>+'[3]Report AUNE'!D58</f>
        <v>0</v>
      </c>
      <c r="E72" s="35">
        <f>+'[3]Report AUNE'!E58</f>
        <v>-1454066.51</v>
      </c>
    </row>
    <row r="73" spans="1:5" x14ac:dyDescent="0.35">
      <c r="A73" t="str">
        <f>+'[3]Report AUNE'!A53</f>
        <v>[0648] Cano Bursatil S.A.</v>
      </c>
      <c r="B73" s="38">
        <f>+'[3]Report AUNE'!B53</f>
        <v>-230022.6</v>
      </c>
      <c r="C73" s="39">
        <f>+'[3]Report AUNE'!C53</f>
        <v>45961</v>
      </c>
      <c r="D73">
        <f>+'[3]Report AUNE'!D53</f>
        <v>0</v>
      </c>
      <c r="E73" s="35">
        <f>+'[3]Report AUNE'!E53</f>
        <v>-944956.82</v>
      </c>
    </row>
    <row r="74" spans="1:5" x14ac:dyDescent="0.35">
      <c r="A74" t="str">
        <f>+'[3]Report AUNE'!A60</f>
        <v>[0735] Orion Capital S.A.</v>
      </c>
      <c r="B74" s="38">
        <f>+'[3]Report AUNE'!B60</f>
        <v>-96142.29</v>
      </c>
      <c r="C74" s="39">
        <f>+'[3]Report AUNE'!C60</f>
        <v>45961</v>
      </c>
      <c r="D74">
        <f>+'[3]Report AUNE'!D60</f>
        <v>0</v>
      </c>
      <c r="E74" s="35">
        <f>+'[3]Report AUNE'!E60</f>
        <v>-761918.61</v>
      </c>
    </row>
    <row r="75" spans="1:5" x14ac:dyDescent="0.35">
      <c r="A75" t="str">
        <f>+'[3]Report AUNE'!A9</f>
        <v xml:space="preserve">[0312] AGRO CERES SRL </v>
      </c>
      <c r="B75" s="38">
        <f>+'[3]Report AUNE'!B9</f>
        <v>1501.74</v>
      </c>
      <c r="C75" s="39">
        <f>+'[3]Report AUNE'!C9</f>
        <v>45961</v>
      </c>
      <c r="D75">
        <f>+'[3]Report AUNE'!D9</f>
        <v>0</v>
      </c>
      <c r="E75" s="35">
        <f>+'[3]Report AUNE'!E9</f>
        <v>-531483.26</v>
      </c>
    </row>
    <row r="76" spans="1:5" x14ac:dyDescent="0.35">
      <c r="A76" t="str">
        <f>+'[3]Report AUNE'!A85</f>
        <v xml:space="preserve">[640] AD CAP SECURITIES ARGENTINA S.A. </v>
      </c>
      <c r="B76" s="38">
        <f>+'[3]Report AUNE'!B85</f>
        <v>-508251.71</v>
      </c>
      <c r="C76" s="39">
        <f>+'[3]Report AUNE'!C85</f>
        <v>45961</v>
      </c>
      <c r="D76">
        <f>+'[3]Report AUNE'!D85</f>
        <v>0</v>
      </c>
      <c r="E76" s="35">
        <f>+'[3]Report AUNE'!E85</f>
        <v>-508251.71</v>
      </c>
    </row>
    <row r="77" spans="1:5" x14ac:dyDescent="0.35">
      <c r="A77" t="str">
        <f>+'[3]Report AUNE'!A59</f>
        <v>[0729] LAGUNA S.B. SA</v>
      </c>
      <c r="B77" s="38">
        <f>+'[3]Report AUNE'!B59</f>
        <v>-46151.56</v>
      </c>
      <c r="C77" s="39">
        <f>+'[3]Report AUNE'!C59</f>
        <v>45961</v>
      </c>
      <c r="D77">
        <f>+'[3]Report AUNE'!D59</f>
        <v>0</v>
      </c>
      <c r="E77" s="35">
        <f>+'[3]Report AUNE'!E59</f>
        <v>-185282.42</v>
      </c>
    </row>
    <row r="78" spans="1:5" x14ac:dyDescent="0.35">
      <c r="A78" t="str">
        <f>+'[3]Report AUNE'!A51</f>
        <v>[0635] ABUT S.A.</v>
      </c>
      <c r="B78" s="38">
        <f>+'[3]Report AUNE'!B51</f>
        <v>-148888.89000000001</v>
      </c>
      <c r="C78" s="39">
        <f>+'[3]Report AUNE'!C51</f>
        <v>45961</v>
      </c>
      <c r="D78">
        <f>+'[3]Report AUNE'!D51</f>
        <v>0</v>
      </c>
      <c r="E78" s="35">
        <f>+'[3]Report AUNE'!E51</f>
        <v>-148888.89000000001</v>
      </c>
    </row>
    <row r="79" spans="1:5" x14ac:dyDescent="0.35">
      <c r="A79" t="str">
        <f>+'[3]Report AUNE'!A82</f>
        <v>[1626] GYT S.A.</v>
      </c>
      <c r="B79" s="38">
        <f>+'[3]Report AUNE'!B82</f>
        <v>-147138.32</v>
      </c>
      <c r="C79" s="39">
        <f>+'[3]Report AUNE'!C82</f>
        <v>45961</v>
      </c>
      <c r="D79">
        <f>+'[3]Report AUNE'!D82</f>
        <v>0</v>
      </c>
      <c r="E79" s="35">
        <f>+'[3]Report AUNE'!E82</f>
        <v>-147138.32</v>
      </c>
    </row>
    <row r="80" spans="1:5" x14ac:dyDescent="0.35">
      <c r="A80" t="str">
        <f>+'[3]Report AUNE'!A86</f>
        <v>[650] MAX CAPITAL SA</v>
      </c>
      <c r="B80" s="38">
        <f>+'[3]Report AUNE'!B86</f>
        <v>-43694.54</v>
      </c>
      <c r="C80" s="39">
        <f>+'[3]Report AUNE'!C86</f>
        <v>45961</v>
      </c>
      <c r="D80">
        <f>+'[3]Report AUNE'!D86</f>
        <v>0</v>
      </c>
      <c r="E80" s="35">
        <f>+'[3]Report AUNE'!E86</f>
        <v>-43694.54</v>
      </c>
    </row>
    <row r="81" spans="1:5" x14ac:dyDescent="0.35">
      <c r="A81" t="str">
        <f>+'[3]Report AUNE'!A49</f>
        <v>[0627] Guor Investments S.A.</v>
      </c>
      <c r="B81" s="38">
        <f>+'[3]Report AUNE'!B49</f>
        <v>-21999.98</v>
      </c>
      <c r="C81" s="39">
        <f>+'[3]Report AUNE'!C49</f>
        <v>45961</v>
      </c>
      <c r="D81">
        <f>+'[3]Report AUNE'!D49</f>
        <v>0</v>
      </c>
      <c r="E81" s="35">
        <f>+'[3]Report AUNE'!E49</f>
        <v>-22383.22</v>
      </c>
    </row>
    <row r="82" spans="1:5" x14ac:dyDescent="0.35">
      <c r="A82" t="str">
        <f>+'[3]Report AUNE'!A27</f>
        <v>[0463] DRACMA S.A.</v>
      </c>
      <c r="B82" s="38">
        <f>+'[3]Report AUNE'!B27</f>
        <v>-3.38</v>
      </c>
      <c r="C82" s="39">
        <f>+'[3]Report AUNE'!C27</f>
        <v>45961</v>
      </c>
      <c r="D82">
        <f>+'[3]Report AUNE'!D27</f>
        <v>0</v>
      </c>
      <c r="E82" s="35">
        <f>+'[3]Report AUNE'!E27</f>
        <v>-4985.5</v>
      </c>
    </row>
    <row r="83" spans="1:5" x14ac:dyDescent="0.35">
      <c r="A83" t="str">
        <f>+'[3]Report AUNE'!A52</f>
        <v>[0647] GMA CAPITAL S.A</v>
      </c>
      <c r="B83" s="38">
        <f>+'[3]Report AUNE'!B52</f>
        <v>-1.29</v>
      </c>
      <c r="C83" s="39">
        <f>+'[3]Report AUNE'!C52</f>
        <v>45961</v>
      </c>
      <c r="D83">
        <f>+'[3]Report AUNE'!D52</f>
        <v>0</v>
      </c>
      <c r="E83" s="35">
        <f>+'[3]Report AUNE'!E52</f>
        <v>-1.29</v>
      </c>
    </row>
    <row r="84" spans="1:5" x14ac:dyDescent="0.35">
      <c r="A84" t="str">
        <f>+'[3]Report AUNE'!A31</f>
        <v>[0480] ALYNK S.A.</v>
      </c>
      <c r="B84" s="38">
        <f>+'[3]Report AUNE'!B31</f>
        <v>-0.56999999999999995</v>
      </c>
      <c r="C84" s="39">
        <f>+'[3]Report AUNE'!C31</f>
        <v>45961</v>
      </c>
      <c r="D84">
        <f>+'[3]Report AUNE'!D31</f>
        <v>0</v>
      </c>
      <c r="E84" s="35">
        <f>+'[3]Report AUNE'!E31</f>
        <v>-0.56999999999999995</v>
      </c>
    </row>
    <row r="85" spans="1:5" x14ac:dyDescent="0.35">
      <c r="A85" t="str">
        <f>+'[3]Report AUNE'!A84</f>
        <v>[638] ROAGRO S.A</v>
      </c>
      <c r="B85" s="38">
        <f>+'[3]Report AUNE'!B84</f>
        <v>-0.08</v>
      </c>
      <c r="C85" s="39">
        <f>+'[3]Report AUNE'!C84</f>
        <v>45961</v>
      </c>
      <c r="D85">
        <f>+'[3]Report AUNE'!D84</f>
        <v>0</v>
      </c>
      <c r="E85" s="35">
        <f>+'[3]Report AUNE'!E84</f>
        <v>-0.08</v>
      </c>
    </row>
    <row r="86" spans="1:5" x14ac:dyDescent="0.35">
      <c r="A86" t="str">
        <f>+'[3]Report AUNE'!A29</f>
        <v>[0475] Versátil Inversiones y Transacciones S.A.</v>
      </c>
      <c r="B86" s="38">
        <f>+'[3]Report AUNE'!B29</f>
        <v>-0.01</v>
      </c>
      <c r="C86" s="39">
        <f>+'[3]Report AUNE'!C29</f>
        <v>45961</v>
      </c>
      <c r="D86">
        <f>+'[3]Report AUNE'!D29</f>
        <v>0</v>
      </c>
      <c r="E86" s="35">
        <f>+'[3]Report AUNE'!E29</f>
        <v>-0.01</v>
      </c>
    </row>
    <row r="87" spans="1:5" x14ac:dyDescent="0.35">
      <c r="A87" t="str">
        <f>+'[3]Report AUNE'!A50</f>
        <v>[0634] SECURITIES CAF ARGENTINA SA</v>
      </c>
      <c r="B87" s="38">
        <f>+'[3]Report AUNE'!B50</f>
        <v>-5.0000000000000001E-3</v>
      </c>
      <c r="C87" s="39">
        <f>+'[3]Report AUNE'!C50</f>
        <v>45961</v>
      </c>
      <c r="D87">
        <f>+'[3]Report AUNE'!D50</f>
        <v>0</v>
      </c>
      <c r="E87" s="35">
        <f>+'[3]Report AUNE'!E50</f>
        <v>-5.0000000000000001E-3</v>
      </c>
    </row>
    <row r="88" spans="1:5" x14ac:dyDescent="0.35">
      <c r="A88">
        <f>+'[3]Report AUNE'!A91</f>
        <v>0</v>
      </c>
      <c r="B88" s="38">
        <f>+'[3]Report AUNE'!B91</f>
        <v>0</v>
      </c>
      <c r="C88" s="39">
        <f>+'[3]Report AUNE'!C91</f>
        <v>0</v>
      </c>
      <c r="D88">
        <f>+'[3]Report AUNE'!D91</f>
        <v>0</v>
      </c>
      <c r="E88" s="35">
        <f>+'[3]Report AUNE'!E91</f>
        <v>0</v>
      </c>
    </row>
    <row r="89" spans="1:5" x14ac:dyDescent="0.35">
      <c r="A89">
        <f>+'[3]Report AUNE'!A92</f>
        <v>0</v>
      </c>
      <c r="B89" s="38">
        <f>+'[3]Report AUNE'!B92</f>
        <v>0</v>
      </c>
      <c r="C89" s="39">
        <f>+'[3]Report AUNE'!C92</f>
        <v>0</v>
      </c>
      <c r="D89">
        <f>+'[3]Report AUNE'!D92</f>
        <v>0</v>
      </c>
      <c r="E89" s="35">
        <f>+'[3]Report AUNE'!E92</f>
        <v>0</v>
      </c>
    </row>
    <row r="90" spans="1:5" x14ac:dyDescent="0.35">
      <c r="A90">
        <f>+'[3]Report AUNE'!A93</f>
        <v>0</v>
      </c>
      <c r="B90" s="38">
        <f>+'[3]Report AUNE'!B93</f>
        <v>0</v>
      </c>
      <c r="C90" s="39">
        <f>+'[3]Report AUNE'!C93</f>
        <v>0</v>
      </c>
      <c r="D90">
        <f>+'[3]Report AUNE'!D93</f>
        <v>0</v>
      </c>
      <c r="E90" s="35">
        <f>+'[3]Report AUNE'!E93</f>
        <v>0</v>
      </c>
    </row>
    <row r="91" spans="1:5" x14ac:dyDescent="0.35">
      <c r="A91">
        <f>+'[3]Report AUNE'!A94</f>
        <v>0</v>
      </c>
      <c r="B91" s="38">
        <f>+'[3]Report AUNE'!B94</f>
        <v>0</v>
      </c>
      <c r="C91" s="39">
        <f>+'[3]Report AUNE'!C94</f>
        <v>0</v>
      </c>
      <c r="D91">
        <f>+'[3]Report AUNE'!D94</f>
        <v>0</v>
      </c>
      <c r="E91" s="35">
        <f>+'[3]Report AUNE'!E94</f>
        <v>0</v>
      </c>
    </row>
    <row r="92" spans="1:5" x14ac:dyDescent="0.35">
      <c r="A92">
        <f>+'[3]Report AUNE'!A95</f>
        <v>0</v>
      </c>
      <c r="B92" s="38">
        <f>+'[3]Report AUNE'!B95</f>
        <v>0</v>
      </c>
      <c r="C92" s="39">
        <f>+'[3]Report AUNE'!C95</f>
        <v>0</v>
      </c>
      <c r="D92">
        <f>+'[3]Report AUNE'!D95</f>
        <v>0</v>
      </c>
      <c r="E92" s="35">
        <f>+'[3]Report AUNE'!E95</f>
        <v>0</v>
      </c>
    </row>
    <row r="93" spans="1:5" x14ac:dyDescent="0.35">
      <c r="A93">
        <f>+'[3]Report AUNE'!A96</f>
        <v>0</v>
      </c>
      <c r="B93" s="38">
        <f>+'[3]Report AUNE'!B96</f>
        <v>0</v>
      </c>
      <c r="C93" s="39">
        <f>+'[3]Report AUNE'!C96</f>
        <v>0</v>
      </c>
      <c r="D93">
        <f>+'[3]Report AUNE'!D96</f>
        <v>0</v>
      </c>
      <c r="E93" s="35">
        <f>+'[3]Report AUNE'!E96</f>
        <v>0</v>
      </c>
    </row>
    <row r="94" spans="1:5" x14ac:dyDescent="0.35">
      <c r="A94">
        <f>+'[3]Report AUNE'!A97</f>
        <v>0</v>
      </c>
      <c r="B94" s="38">
        <f>+'[3]Report AUNE'!B97</f>
        <v>0</v>
      </c>
      <c r="C94" s="39">
        <f>+'[3]Report AUNE'!C97</f>
        <v>0</v>
      </c>
      <c r="D94">
        <f>+'[3]Report AUNE'!D97</f>
        <v>0</v>
      </c>
      <c r="E94" s="35">
        <f>+'[3]Report AUNE'!E97</f>
        <v>0</v>
      </c>
    </row>
    <row r="95" spans="1:5" x14ac:dyDescent="0.35">
      <c r="A95">
        <f>+'[3]Report AUNE'!A98</f>
        <v>0</v>
      </c>
      <c r="B95" s="38">
        <f>+'[3]Report AUNE'!B98</f>
        <v>0</v>
      </c>
      <c r="C95" s="39">
        <f>+'[3]Report AUNE'!C98</f>
        <v>0</v>
      </c>
      <c r="D95">
        <f>+'[3]Report AUNE'!D98</f>
        <v>0</v>
      </c>
      <c r="E95" s="35">
        <f>+'[3]Report AUNE'!E98</f>
        <v>0</v>
      </c>
    </row>
    <row r="96" spans="1:5" x14ac:dyDescent="0.35">
      <c r="A96">
        <f>+'[3]Report AUNE'!A99</f>
        <v>0</v>
      </c>
      <c r="B96" s="38">
        <f>+'[3]Report AUNE'!B99</f>
        <v>0</v>
      </c>
      <c r="C96" s="39">
        <f>+'[3]Report AUNE'!C99</f>
        <v>0</v>
      </c>
      <c r="D96">
        <f>+'[3]Report AUNE'!D99</f>
        <v>0</v>
      </c>
      <c r="E96" s="35">
        <f>+'[3]Report AUNE'!E99</f>
        <v>0</v>
      </c>
    </row>
  </sheetData>
  <autoFilter ref="A1:E1" xr:uid="{9D7BCA08-0508-4D84-AD42-FEA2ABD648AF}">
    <sortState xmlns:xlrd2="http://schemas.microsoft.com/office/spreadsheetml/2017/richdata2" ref="A2:E96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General</vt:lpstr>
      <vt:lpstr>Estandar</vt:lpstr>
      <vt:lpstr>Convenio 10%</vt:lpstr>
      <vt:lpstr>Bilateral</vt:lpstr>
      <vt:lpstr>AlyC</vt:lpstr>
      <vt:lpstr>Ints x desc</vt:lpstr>
      <vt:lpstr>FCI</vt:lpstr>
      <vt:lpstr>Vol x cuenta</vt:lpstr>
      <vt:lpstr>Vol x merc</vt:lpstr>
      <vt:lpstr>Posición Valuada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Garrone</dc:creator>
  <cp:lastModifiedBy>Miguel Angel Garrone</cp:lastModifiedBy>
  <dcterms:created xsi:type="dcterms:W3CDTF">2025-08-13T19:50:33Z</dcterms:created>
  <dcterms:modified xsi:type="dcterms:W3CDTF">2025-11-29T22:43:39Z</dcterms:modified>
</cp:coreProperties>
</file>